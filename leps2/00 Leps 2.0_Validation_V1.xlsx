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tec-my.sharepoint.com/personal/wilson_anticona_stantec_com/Documents/00_Bibliografia/Leps 2.0/paper/"/>
    </mc:Choice>
  </mc:AlternateContent>
  <xr:revisionPtr revIDLastSave="2" documentId="8_{F17708D6-1A70-4F4D-B056-0FAF1CC73CFC}" xr6:coauthVersionLast="47" xr6:coauthVersionMax="47" xr10:uidLastSave="{B1BF4617-3DCF-4CC7-9A32-DA2A4F4434D5}"/>
  <bookViews>
    <workbookView xWindow="-110" yWindow="-110" windowWidth="25820" windowHeight="15500" tabRatio="723" xr2:uid="{8B984498-8C7B-4CB4-8D13-93F63D653C84}"/>
  </bookViews>
  <sheets>
    <sheet name="01 Girumugisha-et-al-2025" sheetId="39" r:id="rId1"/>
    <sheet name="03 Jin-et-al-2024" sheetId="41" r:id="rId2"/>
    <sheet name="04 Ning-et-al-2025" sheetId="40" r:id="rId3"/>
  </sheets>
  <definedNames>
    <definedName name="solver_adj" localSheetId="0" hidden="1">'01 Girumugisha-et-al-2025'!$V$28:$V$30</definedName>
    <definedName name="solver_adj" localSheetId="1" hidden="1">'03 Jin-et-al-2024'!$Y$23:$Y$25</definedName>
    <definedName name="solver_adj" localSheetId="2" hidden="1">'04 Ning-et-al-2025'!$V$19:$V$21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'01 Girumugisha-et-al-2025'!$V$28</definedName>
    <definedName name="solver_lhs1" localSheetId="1" hidden="1">'03 Jin-et-al-2024'!$Y$23</definedName>
    <definedName name="solver_lhs1" localSheetId="2" hidden="1">'04 Ning-et-al-2025'!$V$19</definedName>
    <definedName name="solver_lhs2" localSheetId="0" hidden="1">'01 Girumugisha-et-al-2025'!$V$28</definedName>
    <definedName name="solver_lhs2" localSheetId="1" hidden="1">'03 Jin-et-al-2024'!$Y$23</definedName>
    <definedName name="solver_lhs2" localSheetId="2" hidden="1">'04 Ning-et-al-2025'!$V$19</definedName>
    <definedName name="solver_lhs3" localSheetId="0" hidden="1">'01 Girumugisha-et-al-2025'!$V$29</definedName>
    <definedName name="solver_lhs3" localSheetId="1" hidden="1">'03 Jin-et-al-2024'!$Y$24</definedName>
    <definedName name="solver_lhs3" localSheetId="2" hidden="1">'04 Ning-et-al-2025'!$V$20</definedName>
    <definedName name="solver_lhs4" localSheetId="0" hidden="1">'01 Girumugisha-et-al-2025'!$V$29</definedName>
    <definedName name="solver_lhs4" localSheetId="1" hidden="1">'03 Jin-et-al-2024'!$Y$24</definedName>
    <definedName name="solver_lhs4" localSheetId="2" hidden="1">'04 Ning-et-al-2025'!$V$20</definedName>
    <definedName name="solver_lhs5" localSheetId="0" hidden="1">'01 Girumugisha-et-al-2025'!$V$30</definedName>
    <definedName name="solver_lhs5" localSheetId="1" hidden="1">'03 Jin-et-al-2024'!$Y$25</definedName>
    <definedName name="solver_lhs5" localSheetId="2" hidden="1">'04 Ning-et-al-2025'!$V$21</definedName>
    <definedName name="solver_lhs6" localSheetId="0" hidden="1">'01 Girumugisha-et-al-2025'!$V$30</definedName>
    <definedName name="solver_lhs6" localSheetId="1" hidden="1">'03 Jin-et-al-2024'!$Y$25</definedName>
    <definedName name="solver_lhs6" localSheetId="2" hidden="1">'04 Ning-et-al-2025'!$V$21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6</definedName>
    <definedName name="solver_num" localSheetId="1" hidden="1">6</definedName>
    <definedName name="solver_num" localSheetId="2" hidden="1">6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'01 Girumugisha-et-al-2025'!$T$33</definedName>
    <definedName name="solver_opt" localSheetId="1" hidden="1">'03 Jin-et-al-2024'!$T$28</definedName>
    <definedName name="solver_opt" localSheetId="2" hidden="1">'04 Ning-et-al-2025'!$T$24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2" localSheetId="0" hidden="1">3</definedName>
    <definedName name="solver_rel2" localSheetId="1" hidden="1">3</definedName>
    <definedName name="solver_rel2" localSheetId="2" hidden="1">3</definedName>
    <definedName name="solver_rel3" localSheetId="0" hidden="1">1</definedName>
    <definedName name="solver_rel3" localSheetId="1" hidden="1">1</definedName>
    <definedName name="solver_rel3" localSheetId="2" hidden="1">1</definedName>
    <definedName name="solver_rel4" localSheetId="0" hidden="1">3</definedName>
    <definedName name="solver_rel4" localSheetId="1" hidden="1">3</definedName>
    <definedName name="solver_rel4" localSheetId="2" hidden="1">3</definedName>
    <definedName name="solver_rel5" localSheetId="0" hidden="1">1</definedName>
    <definedName name="solver_rel5" localSheetId="1" hidden="1">1</definedName>
    <definedName name="solver_rel5" localSheetId="2" hidden="1">1</definedName>
    <definedName name="solver_rel6" localSheetId="0" hidden="1">3</definedName>
    <definedName name="solver_rel6" localSheetId="1" hidden="1">3</definedName>
    <definedName name="solver_rel6" localSheetId="2" hidden="1">3</definedName>
    <definedName name="solver_rhs1" localSheetId="0" hidden="1">55</definedName>
    <definedName name="solver_rhs1" localSheetId="1" hidden="1">55</definedName>
    <definedName name="solver_rhs1" localSheetId="2" hidden="1">55</definedName>
    <definedName name="solver_rhs2" localSheetId="0" hidden="1">30</definedName>
    <definedName name="solver_rhs2" localSheetId="1" hidden="1">30</definedName>
    <definedName name="solver_rhs2" localSheetId="2" hidden="1">30</definedName>
    <definedName name="solver_rhs3" localSheetId="0" hidden="1">29</definedName>
    <definedName name="solver_rhs3" localSheetId="1" hidden="1">29</definedName>
    <definedName name="solver_rhs3" localSheetId="2" hidden="1">29</definedName>
    <definedName name="solver_rhs4" localSheetId="0" hidden="1">10</definedName>
    <definedName name="solver_rhs4" localSheetId="1" hidden="1">10</definedName>
    <definedName name="solver_rhs4" localSheetId="2" hidden="1">10</definedName>
    <definedName name="solver_rhs5" localSheetId="0" hidden="1">0.95</definedName>
    <definedName name="solver_rhs5" localSheetId="1" hidden="1">0.95</definedName>
    <definedName name="solver_rhs5" localSheetId="2" hidden="1">0.95</definedName>
    <definedName name="solver_rhs6" localSheetId="0" hidden="1">0.85</definedName>
    <definedName name="solver_rhs6" localSheetId="1" hidden="1">0.85</definedName>
    <definedName name="solver_rhs6" localSheetId="2" hidden="1">0.8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val" localSheetId="0" hidden="1">0.01</definedName>
    <definedName name="solver_val" localSheetId="1" hidden="1">0.01</definedName>
    <definedName name="solver_val" localSheetId="2" hidden="1">0.1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7" i="39" l="1"/>
  <c r="AE36" i="39"/>
  <c r="AB37" i="39"/>
  <c r="AB36" i="39"/>
  <c r="O6" i="40"/>
  <c r="O7" i="40"/>
  <c r="O8" i="40"/>
  <c r="O9" i="40"/>
  <c r="Q9" i="40" s="1"/>
  <c r="P9" i="40" s="1"/>
  <c r="O10" i="40"/>
  <c r="Q10" i="40" s="1"/>
  <c r="P10" i="40" s="1"/>
  <c r="O11" i="40"/>
  <c r="O12" i="40"/>
  <c r="O13" i="40"/>
  <c r="Q13" i="40" s="1"/>
  <c r="P13" i="40" s="1"/>
  <c r="O14" i="40"/>
  <c r="V14" i="40" s="1"/>
  <c r="Y14" i="40" s="1"/>
  <c r="O15" i="40"/>
  <c r="O16" i="40"/>
  <c r="Q16" i="40" s="1"/>
  <c r="P16" i="40" s="1"/>
  <c r="O5" i="40"/>
  <c r="Q6" i="41"/>
  <c r="S6" i="41" s="1"/>
  <c r="Q7" i="41"/>
  <c r="Q8" i="41"/>
  <c r="Q9" i="41"/>
  <c r="S9" i="41" s="1"/>
  <c r="T9" i="41" s="1"/>
  <c r="Q10" i="41"/>
  <c r="S10" i="41" s="1"/>
  <c r="T10" i="41" s="1"/>
  <c r="Q11" i="41"/>
  <c r="Q12" i="41"/>
  <c r="S12" i="41" s="1"/>
  <c r="V12" i="41" s="1"/>
  <c r="Q13" i="41"/>
  <c r="S13" i="41" s="1"/>
  <c r="T13" i="41" s="1"/>
  <c r="Q14" i="41"/>
  <c r="S14" i="41" s="1"/>
  <c r="T14" i="41" s="1"/>
  <c r="Q15" i="41"/>
  <c r="S15" i="41" s="1"/>
  <c r="V15" i="41" s="1"/>
  <c r="Q16" i="41"/>
  <c r="X16" i="41" s="1"/>
  <c r="Q17" i="41"/>
  <c r="Q18" i="41"/>
  <c r="S18" i="41" s="1"/>
  <c r="T18" i="41" s="1"/>
  <c r="Q19" i="41"/>
  <c r="Q20" i="41"/>
  <c r="S20" i="41" s="1"/>
  <c r="U20" i="41" s="1"/>
  <c r="Q5" i="41"/>
  <c r="S5" i="41" s="1"/>
  <c r="R5" i="41" s="1"/>
  <c r="O5" i="39"/>
  <c r="O6" i="39"/>
  <c r="O7" i="39"/>
  <c r="O8" i="39"/>
  <c r="O9" i="39"/>
  <c r="O10" i="39"/>
  <c r="O11" i="39"/>
  <c r="O12" i="39"/>
  <c r="O13" i="39"/>
  <c r="O14" i="39"/>
  <c r="O15" i="39"/>
  <c r="O16" i="39"/>
  <c r="O17" i="39"/>
  <c r="O18" i="39"/>
  <c r="O19" i="39"/>
  <c r="O20" i="39"/>
  <c r="O21" i="39"/>
  <c r="O22" i="39"/>
  <c r="O23" i="39"/>
  <c r="O24" i="39"/>
  <c r="O25" i="39"/>
  <c r="S17" i="41"/>
  <c r="S19" i="41"/>
  <c r="U19" i="41" s="1"/>
  <c r="L13" i="41"/>
  <c r="L14" i="41"/>
  <c r="L15" i="41"/>
  <c r="L16" i="41"/>
  <c r="L17" i="41"/>
  <c r="L18" i="41"/>
  <c r="L19" i="41"/>
  <c r="L20" i="41"/>
  <c r="L6" i="41"/>
  <c r="L7" i="41"/>
  <c r="L8" i="41"/>
  <c r="L9" i="41"/>
  <c r="L10" i="41"/>
  <c r="L11" i="41"/>
  <c r="L12" i="41"/>
  <c r="L5" i="41"/>
  <c r="G6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G19" i="41"/>
  <c r="G20" i="41"/>
  <c r="H6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BY19" i="41"/>
  <c r="BQ19" i="41"/>
  <c r="BH19" i="41"/>
  <c r="AY19" i="41"/>
  <c r="AP19" i="41"/>
  <c r="BY18" i="41"/>
  <c r="BQ18" i="41"/>
  <c r="BH18" i="41"/>
  <c r="AY18" i="41"/>
  <c r="AP18" i="41"/>
  <c r="BY17" i="41"/>
  <c r="BQ17" i="41"/>
  <c r="BH17" i="41"/>
  <c r="AY17" i="41"/>
  <c r="AP17" i="41"/>
  <c r="BY12" i="41"/>
  <c r="BQ12" i="41"/>
  <c r="BH12" i="41"/>
  <c r="AY12" i="41"/>
  <c r="AP12" i="41"/>
  <c r="BY11" i="41"/>
  <c r="BQ11" i="41"/>
  <c r="BH11" i="41"/>
  <c r="AY11" i="41"/>
  <c r="AP11" i="41"/>
  <c r="BY10" i="41"/>
  <c r="BQ10" i="41"/>
  <c r="BH10" i="41"/>
  <c r="AY10" i="41"/>
  <c r="AP10" i="41"/>
  <c r="BY9" i="41"/>
  <c r="BQ9" i="41"/>
  <c r="BH9" i="41"/>
  <c r="AY9" i="41"/>
  <c r="AP9" i="41"/>
  <c r="BY8" i="41"/>
  <c r="BQ8" i="41"/>
  <c r="BH8" i="41"/>
  <c r="AY8" i="41"/>
  <c r="AP8" i="41"/>
  <c r="O8" i="41"/>
  <c r="BY7" i="41"/>
  <c r="BQ7" i="41"/>
  <c r="BH7" i="41"/>
  <c r="AY7" i="41"/>
  <c r="AP7" i="41"/>
  <c r="O7" i="41"/>
  <c r="BY6" i="41"/>
  <c r="BQ6" i="41"/>
  <c r="BH6" i="41"/>
  <c r="AY6" i="41"/>
  <c r="AP6" i="41"/>
  <c r="O6" i="41"/>
  <c r="O5" i="41"/>
  <c r="H5" i="41"/>
  <c r="G5" i="41"/>
  <c r="H16" i="40"/>
  <c r="G16" i="40"/>
  <c r="BW15" i="40"/>
  <c r="BO15" i="40"/>
  <c r="BF15" i="40"/>
  <c r="AW15" i="40"/>
  <c r="AN15" i="40"/>
  <c r="Q15" i="40"/>
  <c r="P15" i="40" s="1"/>
  <c r="H15" i="40"/>
  <c r="G15" i="40"/>
  <c r="BW14" i="40"/>
  <c r="BO14" i="40"/>
  <c r="BF14" i="40"/>
  <c r="AW14" i="40"/>
  <c r="AN14" i="40"/>
  <c r="H14" i="40"/>
  <c r="G14" i="40"/>
  <c r="BW13" i="40"/>
  <c r="BO13" i="40"/>
  <c r="BF13" i="40"/>
  <c r="AW13" i="40"/>
  <c r="AN13" i="40"/>
  <c r="H13" i="40"/>
  <c r="G13" i="40"/>
  <c r="BW12" i="40"/>
  <c r="BO12" i="40"/>
  <c r="BF12" i="40"/>
  <c r="AW12" i="40"/>
  <c r="AN12" i="40"/>
  <c r="Q12" i="40"/>
  <c r="P12" i="40" s="1"/>
  <c r="H12" i="40"/>
  <c r="G12" i="40"/>
  <c r="BW11" i="40"/>
  <c r="BO11" i="40"/>
  <c r="BF11" i="40"/>
  <c r="AW11" i="40"/>
  <c r="AN11" i="40"/>
  <c r="Q11" i="40"/>
  <c r="P11" i="40" s="1"/>
  <c r="H11" i="40"/>
  <c r="G11" i="40"/>
  <c r="BW10" i="40"/>
  <c r="BO10" i="40"/>
  <c r="BF10" i="40"/>
  <c r="AW10" i="40"/>
  <c r="AN10" i="40"/>
  <c r="H10" i="40"/>
  <c r="G10" i="40"/>
  <c r="BW9" i="40"/>
  <c r="BO9" i="40"/>
  <c r="BF9" i="40"/>
  <c r="AW9" i="40"/>
  <c r="AN9" i="40"/>
  <c r="H9" i="40"/>
  <c r="G9" i="40"/>
  <c r="BW8" i="40"/>
  <c r="BO8" i="40"/>
  <c r="BF8" i="40"/>
  <c r="AW8" i="40"/>
  <c r="AN8" i="40"/>
  <c r="M8" i="40"/>
  <c r="H8" i="40"/>
  <c r="G8" i="40"/>
  <c r="BW7" i="40"/>
  <c r="BO7" i="40"/>
  <c r="BF7" i="40"/>
  <c r="AW7" i="40"/>
  <c r="AN7" i="40"/>
  <c r="M7" i="40"/>
  <c r="H7" i="40"/>
  <c r="G7" i="40"/>
  <c r="BW6" i="40"/>
  <c r="BO6" i="40"/>
  <c r="BF6" i="40"/>
  <c r="AW6" i="40"/>
  <c r="AN6" i="40"/>
  <c r="M6" i="40"/>
  <c r="H6" i="40"/>
  <c r="G6" i="40"/>
  <c r="M5" i="40"/>
  <c r="H5" i="40"/>
  <c r="G5" i="40"/>
  <c r="Q8" i="40" l="1"/>
  <c r="P8" i="40" s="1"/>
  <c r="Q7" i="40"/>
  <c r="P7" i="40" s="1"/>
  <c r="Q6" i="40"/>
  <c r="P6" i="40" s="1"/>
  <c r="R6" i="41"/>
  <c r="S8" i="41"/>
  <c r="U8" i="41" s="1"/>
  <c r="R17" i="41"/>
  <c r="R14" i="41"/>
  <c r="S7" i="41"/>
  <c r="T7" i="41" s="1"/>
  <c r="R9" i="41"/>
  <c r="R12" i="41"/>
  <c r="R13" i="41"/>
  <c r="W16" i="41"/>
  <c r="R15" i="41"/>
  <c r="R10" i="41"/>
  <c r="R20" i="41"/>
  <c r="R19" i="41"/>
  <c r="R18" i="41"/>
  <c r="V17" i="41"/>
  <c r="V5" i="41"/>
  <c r="U14" i="40"/>
  <c r="X10" i="41"/>
  <c r="Y10" i="41" s="1"/>
  <c r="AC10" i="41" s="1"/>
  <c r="X7" i="41"/>
  <c r="AA7" i="41" s="1"/>
  <c r="X20" i="41"/>
  <c r="Z20" i="41" s="1"/>
  <c r="X18" i="41"/>
  <c r="Y18" i="41" s="1"/>
  <c r="AC18" i="41" s="1"/>
  <c r="T20" i="41"/>
  <c r="T19" i="41"/>
  <c r="X12" i="41"/>
  <c r="Z12" i="41" s="1"/>
  <c r="U18" i="41"/>
  <c r="S11" i="41"/>
  <c r="V11" i="41" s="1"/>
  <c r="V18" i="41"/>
  <c r="X17" i="41"/>
  <c r="X19" i="41"/>
  <c r="Y19" i="41" s="1"/>
  <c r="AC19" i="41" s="1"/>
  <c r="U17" i="41"/>
  <c r="V19" i="41"/>
  <c r="T17" i="41"/>
  <c r="X14" i="41"/>
  <c r="X13" i="41"/>
  <c r="Y13" i="41" s="1"/>
  <c r="AC13" i="41" s="1"/>
  <c r="U12" i="41"/>
  <c r="V10" i="41"/>
  <c r="T12" i="41"/>
  <c r="X11" i="41"/>
  <c r="Y11" i="41" s="1"/>
  <c r="AC11" i="41" s="1"/>
  <c r="X9" i="41"/>
  <c r="AA9" i="41" s="1"/>
  <c r="T6" i="41"/>
  <c r="V6" i="41"/>
  <c r="X8" i="41"/>
  <c r="Z8" i="41" s="1"/>
  <c r="X6" i="41"/>
  <c r="Y6" i="41" s="1"/>
  <c r="AC6" i="41" s="1"/>
  <c r="U6" i="41"/>
  <c r="S16" i="41"/>
  <c r="V16" i="41" s="1"/>
  <c r="X15" i="41"/>
  <c r="W15" i="41" s="1"/>
  <c r="U15" i="41"/>
  <c r="AA16" i="41"/>
  <c r="Z16" i="41"/>
  <c r="V14" i="41"/>
  <c r="Y16" i="41"/>
  <c r="AC16" i="41" s="1"/>
  <c r="U14" i="41"/>
  <c r="T15" i="41"/>
  <c r="U10" i="41"/>
  <c r="V9" i="41"/>
  <c r="U9" i="41"/>
  <c r="V13" i="41"/>
  <c r="V20" i="41"/>
  <c r="U13" i="41"/>
  <c r="X5" i="41"/>
  <c r="Y5" i="41" s="1"/>
  <c r="AC5" i="41" s="1"/>
  <c r="Q14" i="40"/>
  <c r="P14" i="40" s="1"/>
  <c r="R12" i="40"/>
  <c r="V6" i="40"/>
  <c r="U6" i="40" s="1"/>
  <c r="V10" i="40"/>
  <c r="U10" i="40" s="1"/>
  <c r="T10" i="40"/>
  <c r="V7" i="40"/>
  <c r="U7" i="40" s="1"/>
  <c r="T11" i="40"/>
  <c r="V11" i="40"/>
  <c r="U11" i="40" s="1"/>
  <c r="V15" i="40"/>
  <c r="U15" i="40" s="1"/>
  <c r="T15" i="40"/>
  <c r="R16" i="40"/>
  <c r="V16" i="40"/>
  <c r="U16" i="40" s="1"/>
  <c r="W14" i="40"/>
  <c r="AA14" i="40" s="1"/>
  <c r="V8" i="40"/>
  <c r="U8" i="40" s="1"/>
  <c r="V12" i="40"/>
  <c r="U12" i="40" s="1"/>
  <c r="V13" i="40"/>
  <c r="U13" i="40" s="1"/>
  <c r="X14" i="40"/>
  <c r="S9" i="40"/>
  <c r="V9" i="40"/>
  <c r="U9" i="40" s="1"/>
  <c r="R8" i="40" l="1"/>
  <c r="T7" i="40"/>
  <c r="T6" i="40"/>
  <c r="T8" i="41"/>
  <c r="R8" i="41"/>
  <c r="V8" i="41"/>
  <c r="U7" i="41"/>
  <c r="V7" i="41"/>
  <c r="P30" i="41" s="1"/>
  <c r="R7" i="41"/>
  <c r="V40" i="41"/>
  <c r="U40" i="41"/>
  <c r="V41" i="41"/>
  <c r="U41" i="41"/>
  <c r="R16" i="41"/>
  <c r="V34" i="40"/>
  <c r="W34" i="40"/>
  <c r="V29" i="40"/>
  <c r="W29" i="40"/>
  <c r="V27" i="40"/>
  <c r="W27" i="40"/>
  <c r="V31" i="40"/>
  <c r="W31" i="40"/>
  <c r="W36" i="40"/>
  <c r="V36" i="40"/>
  <c r="V35" i="40"/>
  <c r="W35" i="40"/>
  <c r="V33" i="40"/>
  <c r="W33" i="40"/>
  <c r="V32" i="40"/>
  <c r="W32" i="40"/>
  <c r="W30" i="40"/>
  <c r="V30" i="40"/>
  <c r="V28" i="40"/>
  <c r="W28" i="40"/>
  <c r="V26" i="40"/>
  <c r="W26" i="40"/>
  <c r="AB16" i="41"/>
  <c r="W6" i="41"/>
  <c r="W20" i="41"/>
  <c r="W5" i="41"/>
  <c r="R11" i="41"/>
  <c r="W10" i="41"/>
  <c r="W11" i="41"/>
  <c r="W18" i="41"/>
  <c r="W9" i="41"/>
  <c r="Y17" i="41"/>
  <c r="AC17" i="41" s="1"/>
  <c r="AE17" i="41" s="1"/>
  <c r="W17" i="41"/>
  <c r="W12" i="41"/>
  <c r="W19" i="41"/>
  <c r="AE10" i="41"/>
  <c r="Z7" i="41"/>
  <c r="W7" i="41"/>
  <c r="Y14" i="41"/>
  <c r="AC14" i="41" s="1"/>
  <c r="AE14" i="41" s="1"/>
  <c r="W14" i="41"/>
  <c r="W13" i="41"/>
  <c r="W8" i="41"/>
  <c r="Y7" i="41"/>
  <c r="AC7" i="41" s="1"/>
  <c r="AA10" i="41"/>
  <c r="P33" i="41" s="1"/>
  <c r="Z10" i="41"/>
  <c r="Z5" i="41"/>
  <c r="Z14" i="40"/>
  <c r="W15" i="40"/>
  <c r="AA15" i="40" s="1"/>
  <c r="Y9" i="40"/>
  <c r="Y16" i="40"/>
  <c r="X11" i="40"/>
  <c r="Y7" i="40"/>
  <c r="Y13" i="40"/>
  <c r="Y6" i="40"/>
  <c r="P25" i="40" s="1"/>
  <c r="Y10" i="40"/>
  <c r="P29" i="40" s="1"/>
  <c r="Y12" i="40"/>
  <c r="Y8" i="40"/>
  <c r="T11" i="41"/>
  <c r="Y12" i="41"/>
  <c r="AC12" i="41" s="1"/>
  <c r="AG12" i="41" s="1"/>
  <c r="AA12" i="41"/>
  <c r="P35" i="41" s="1"/>
  <c r="AE18" i="41"/>
  <c r="AG10" i="41"/>
  <c r="Y20" i="41"/>
  <c r="AC20" i="41" s="1"/>
  <c r="AG20" i="41" s="1"/>
  <c r="Z18" i="41"/>
  <c r="AA18" i="41"/>
  <c r="P41" i="41" s="1"/>
  <c r="U11" i="41"/>
  <c r="AG18" i="41"/>
  <c r="AA20" i="41"/>
  <c r="P43" i="41" s="1"/>
  <c r="P32" i="41"/>
  <c r="Q32" i="41"/>
  <c r="Q39" i="41"/>
  <c r="P39" i="41"/>
  <c r="AE19" i="41"/>
  <c r="AG19" i="41"/>
  <c r="AE6" i="41"/>
  <c r="AG6" i="41"/>
  <c r="AE13" i="41"/>
  <c r="AG13" i="41"/>
  <c r="Y8" i="41"/>
  <c r="AC8" i="41" s="1"/>
  <c r="AB8" i="41" s="1"/>
  <c r="AA8" i="41"/>
  <c r="AA13" i="41"/>
  <c r="P36" i="41" s="1"/>
  <c r="Z11" i="41"/>
  <c r="AB11" i="41" s="1"/>
  <c r="AA14" i="41"/>
  <c r="P37" i="41" s="1"/>
  <c r="Z13" i="41"/>
  <c r="Z17" i="41"/>
  <c r="Z14" i="41"/>
  <c r="AA19" i="41"/>
  <c r="P42" i="41" s="1"/>
  <c r="Z19" i="41"/>
  <c r="AA17" i="41"/>
  <c r="AI16" i="41"/>
  <c r="Z9" i="41"/>
  <c r="AA11" i="41"/>
  <c r="P34" i="41" s="1"/>
  <c r="Y9" i="41"/>
  <c r="AC9" i="41" s="1"/>
  <c r="Z6" i="41"/>
  <c r="AA6" i="41"/>
  <c r="AH16" i="41"/>
  <c r="AK16" i="41"/>
  <c r="AA15" i="41"/>
  <c r="Y15" i="41"/>
  <c r="AC15" i="41" s="1"/>
  <c r="Z15" i="41"/>
  <c r="U16" i="41"/>
  <c r="T16" i="41"/>
  <c r="AA5" i="41"/>
  <c r="Q28" i="41" s="1"/>
  <c r="T5" i="41"/>
  <c r="U5" i="41"/>
  <c r="AE5" i="41" s="1"/>
  <c r="AG14" i="40"/>
  <c r="S11" i="40"/>
  <c r="S15" i="40"/>
  <c r="S16" i="40"/>
  <c r="S7" i="40"/>
  <c r="S8" i="40"/>
  <c r="T13" i="40"/>
  <c r="R13" i="40"/>
  <c r="Y11" i="40"/>
  <c r="Q30" i="40" s="1"/>
  <c r="T16" i="40"/>
  <c r="T8" i="40"/>
  <c r="S13" i="40"/>
  <c r="W9" i="40"/>
  <c r="AA9" i="40" s="1"/>
  <c r="AE9" i="40" s="1"/>
  <c r="S12" i="40"/>
  <c r="X6" i="40"/>
  <c r="T12" i="40"/>
  <c r="AI14" i="40"/>
  <c r="X16" i="40"/>
  <c r="W7" i="40"/>
  <c r="AA7" i="40" s="1"/>
  <c r="W16" i="40"/>
  <c r="AA16" i="40" s="1"/>
  <c r="X13" i="40"/>
  <c r="W13" i="40"/>
  <c r="AA13" i="40" s="1"/>
  <c r="X7" i="40"/>
  <c r="W10" i="40"/>
  <c r="AA10" i="40" s="1"/>
  <c r="W6" i="40"/>
  <c r="AA6" i="40" s="1"/>
  <c r="R6" i="40"/>
  <c r="X10" i="40"/>
  <c r="W12" i="40"/>
  <c r="AA12" i="40" s="1"/>
  <c r="X9" i="40"/>
  <c r="R9" i="40"/>
  <c r="Y15" i="40"/>
  <c r="Q34" i="40" s="1"/>
  <c r="W11" i="40"/>
  <c r="AA11" i="40" s="1"/>
  <c r="R7" i="40"/>
  <c r="S6" i="40"/>
  <c r="W8" i="40"/>
  <c r="AA8" i="40" s="1"/>
  <c r="X15" i="40"/>
  <c r="T9" i="40"/>
  <c r="X8" i="40"/>
  <c r="AF14" i="40"/>
  <c r="R10" i="40"/>
  <c r="S10" i="40"/>
  <c r="S14" i="40"/>
  <c r="R14" i="40"/>
  <c r="X12" i="40"/>
  <c r="R15" i="40"/>
  <c r="R11" i="40"/>
  <c r="T14" i="40"/>
  <c r="BO24" i="39"/>
  <c r="BO23" i="39"/>
  <c r="BO22" i="39"/>
  <c r="BO21" i="39"/>
  <c r="BO20" i="39"/>
  <c r="BO19" i="39"/>
  <c r="BO18" i="39"/>
  <c r="BO17" i="39"/>
  <c r="BO16" i="39"/>
  <c r="BO15" i="39"/>
  <c r="BO14" i="39"/>
  <c r="BO13" i="39"/>
  <c r="BO12" i="39"/>
  <c r="BO11" i="39"/>
  <c r="BO10" i="39"/>
  <c r="BO9" i="39"/>
  <c r="BO8" i="39"/>
  <c r="BO7" i="39"/>
  <c r="BO6" i="39"/>
  <c r="AW24" i="39"/>
  <c r="AW23" i="39"/>
  <c r="AW22" i="39"/>
  <c r="AW21" i="39"/>
  <c r="AW20" i="39"/>
  <c r="AW19" i="39"/>
  <c r="AW18" i="39"/>
  <c r="AW17" i="39"/>
  <c r="AW16" i="39"/>
  <c r="AW15" i="39"/>
  <c r="AW14" i="39"/>
  <c r="AW13" i="39"/>
  <c r="AW12" i="39"/>
  <c r="AW11" i="39"/>
  <c r="AW10" i="39"/>
  <c r="AW9" i="39"/>
  <c r="AW8" i="39"/>
  <c r="AW7" i="39"/>
  <c r="AW6" i="39"/>
  <c r="H20" i="39"/>
  <c r="H13" i="39"/>
  <c r="H22" i="39"/>
  <c r="H11" i="39"/>
  <c r="H12" i="39"/>
  <c r="H18" i="39"/>
  <c r="H19" i="39"/>
  <c r="H17" i="39"/>
  <c r="H5" i="39"/>
  <c r="H6" i="39"/>
  <c r="H7" i="39"/>
  <c r="H14" i="39"/>
  <c r="H23" i="39"/>
  <c r="H24" i="39"/>
  <c r="H15" i="39"/>
  <c r="H16" i="39"/>
  <c r="H25" i="39"/>
  <c r="H9" i="39"/>
  <c r="H10" i="39"/>
  <c r="H8" i="39"/>
  <c r="H21" i="39"/>
  <c r="BW24" i="39"/>
  <c r="BW23" i="39"/>
  <c r="BW22" i="39"/>
  <c r="BW21" i="39"/>
  <c r="BW20" i="39"/>
  <c r="BW19" i="39"/>
  <c r="BW18" i="39"/>
  <c r="BW17" i="39"/>
  <c r="BW16" i="39"/>
  <c r="BW15" i="39"/>
  <c r="BW14" i="39"/>
  <c r="BW13" i="39"/>
  <c r="BW12" i="39"/>
  <c r="BW11" i="39"/>
  <c r="BW10" i="39"/>
  <c r="BW9" i="39"/>
  <c r="BW8" i="39"/>
  <c r="BW7" i="39"/>
  <c r="BW6" i="39"/>
  <c r="BF24" i="39"/>
  <c r="BF23" i="39"/>
  <c r="BF22" i="39"/>
  <c r="BF21" i="39"/>
  <c r="BF20" i="39"/>
  <c r="BF19" i="39"/>
  <c r="BF18" i="39"/>
  <c r="BF17" i="39"/>
  <c r="BF16" i="39"/>
  <c r="BF15" i="39"/>
  <c r="BF14" i="39"/>
  <c r="BF13" i="39"/>
  <c r="BF12" i="39"/>
  <c r="BF11" i="39"/>
  <c r="BF10" i="39"/>
  <c r="BF9" i="39"/>
  <c r="BF8" i="39"/>
  <c r="BF7" i="39"/>
  <c r="BF6" i="39"/>
  <c r="AN6" i="39"/>
  <c r="AN7" i="39"/>
  <c r="AN8" i="39"/>
  <c r="AN9" i="39"/>
  <c r="AN10" i="39"/>
  <c r="AN11" i="39"/>
  <c r="AN12" i="39"/>
  <c r="AN13" i="39"/>
  <c r="AN14" i="39"/>
  <c r="AN15" i="39"/>
  <c r="AN16" i="39"/>
  <c r="AN17" i="39"/>
  <c r="AN18" i="39"/>
  <c r="AN19" i="39"/>
  <c r="AN20" i="39"/>
  <c r="AN21" i="39"/>
  <c r="AN22" i="39"/>
  <c r="AN23" i="39"/>
  <c r="AN24" i="39"/>
  <c r="P26" i="40" l="1"/>
  <c r="Z12" i="40"/>
  <c r="Q30" i="41"/>
  <c r="U45" i="41"/>
  <c r="V45" i="41"/>
  <c r="V39" i="41"/>
  <c r="U39" i="41"/>
  <c r="U44" i="41"/>
  <c r="V44" i="41"/>
  <c r="U31" i="41"/>
  <c r="V31" i="41"/>
  <c r="U37" i="41"/>
  <c r="V37" i="41"/>
  <c r="V30" i="41"/>
  <c r="U30" i="41"/>
  <c r="U42" i="41"/>
  <c r="V42" i="41"/>
  <c r="U32" i="41"/>
  <c r="V32" i="41"/>
  <c r="AD7" i="41"/>
  <c r="U34" i="41"/>
  <c r="V34" i="41"/>
  <c r="U33" i="41"/>
  <c r="V33" i="41"/>
  <c r="U43" i="41"/>
  <c r="V43" i="41"/>
  <c r="U35" i="41"/>
  <c r="V35" i="41"/>
  <c r="V38" i="41"/>
  <c r="U38" i="41"/>
  <c r="U36" i="41"/>
  <c r="V36" i="41"/>
  <c r="AG14" i="41"/>
  <c r="AB15" i="41"/>
  <c r="AB17" i="41"/>
  <c r="AB7" i="41"/>
  <c r="AG17" i="41"/>
  <c r="AG7" i="41"/>
  <c r="AB20" i="41"/>
  <c r="AK7" i="41"/>
  <c r="AE7" i="41"/>
  <c r="AI7" i="41"/>
  <c r="AD14" i="41"/>
  <c r="AB14" i="41"/>
  <c r="AK19" i="41"/>
  <c r="AB19" i="41"/>
  <c r="AI13" i="41"/>
  <c r="AB13" i="41"/>
  <c r="AH5" i="41"/>
  <c r="AB5" i="41"/>
  <c r="T28" i="41" s="1" a="1"/>
  <c r="T28" i="41" s="1"/>
  <c r="AK18" i="41"/>
  <c r="AB18" i="41"/>
  <c r="AB12" i="41"/>
  <c r="AK6" i="41"/>
  <c r="AB6" i="41"/>
  <c r="AK10" i="41"/>
  <c r="AB10" i="41"/>
  <c r="AB9" i="41"/>
  <c r="AH7" i="41"/>
  <c r="AD17" i="41"/>
  <c r="Q33" i="41"/>
  <c r="AI10" i="41"/>
  <c r="AH10" i="41"/>
  <c r="AD10" i="41"/>
  <c r="Q43" i="41"/>
  <c r="Q35" i="41"/>
  <c r="Z10" i="40"/>
  <c r="Z7" i="40"/>
  <c r="Z9" i="40"/>
  <c r="Z11" i="40"/>
  <c r="Z13" i="40"/>
  <c r="Z16" i="40"/>
  <c r="Z6" i="40"/>
  <c r="Z8" i="40"/>
  <c r="Z15" i="40"/>
  <c r="Q25" i="40"/>
  <c r="AG15" i="40"/>
  <c r="Q29" i="40"/>
  <c r="Q26" i="40"/>
  <c r="AB15" i="40"/>
  <c r="AB13" i="40"/>
  <c r="AC13" i="40"/>
  <c r="AC16" i="40"/>
  <c r="AB16" i="40"/>
  <c r="AE14" i="40"/>
  <c r="AB7" i="40"/>
  <c r="AC7" i="40"/>
  <c r="AE10" i="40"/>
  <c r="AE8" i="40"/>
  <c r="AE6" i="40"/>
  <c r="AC12" i="40"/>
  <c r="AB12" i="40"/>
  <c r="AE7" i="40"/>
  <c r="AC15" i="40"/>
  <c r="AE12" i="40"/>
  <c r="AE16" i="40"/>
  <c r="AE15" i="40"/>
  <c r="AC14" i="40"/>
  <c r="AC9" i="40"/>
  <c r="AB9" i="40"/>
  <c r="AB10" i="40"/>
  <c r="AC10" i="40"/>
  <c r="AE13" i="40"/>
  <c r="AE11" i="40"/>
  <c r="AB14" i="40"/>
  <c r="AB11" i="40"/>
  <c r="AC11" i="40"/>
  <c r="AB6" i="40"/>
  <c r="AC6" i="40"/>
  <c r="AC8" i="40"/>
  <c r="AB8" i="40"/>
  <c r="AK12" i="41"/>
  <c r="AE12" i="41"/>
  <c r="AI12" i="41"/>
  <c r="AH12" i="41"/>
  <c r="AD12" i="41"/>
  <c r="AI18" i="41"/>
  <c r="P31" i="41"/>
  <c r="Q31" i="41"/>
  <c r="AH18" i="41"/>
  <c r="AD6" i="41"/>
  <c r="Q37" i="41"/>
  <c r="P29" i="41"/>
  <c r="Q29" i="41"/>
  <c r="AD18" i="41"/>
  <c r="AK20" i="41"/>
  <c r="AD20" i="41"/>
  <c r="AI20" i="41"/>
  <c r="AE20" i="41"/>
  <c r="Q34" i="41"/>
  <c r="AH20" i="41"/>
  <c r="Q42" i="41"/>
  <c r="Q41" i="41"/>
  <c r="AD13" i="41"/>
  <c r="AG11" i="41"/>
  <c r="Q36" i="41"/>
  <c r="Q40" i="41"/>
  <c r="P40" i="41"/>
  <c r="AG16" i="41"/>
  <c r="AD11" i="41"/>
  <c r="Q38" i="41"/>
  <c r="P38" i="41"/>
  <c r="AE16" i="41"/>
  <c r="AE11" i="41"/>
  <c r="AD19" i="41"/>
  <c r="AD16" i="41"/>
  <c r="AD8" i="41"/>
  <c r="AE8" i="41"/>
  <c r="AG8" i="41"/>
  <c r="AD9" i="41"/>
  <c r="AE9" i="41"/>
  <c r="AG9" i="41"/>
  <c r="AD15" i="41"/>
  <c r="AE15" i="41"/>
  <c r="AG15" i="41"/>
  <c r="AI11" i="41"/>
  <c r="AH14" i="41"/>
  <c r="AH8" i="41"/>
  <c r="AI8" i="41"/>
  <c r="AI14" i="41"/>
  <c r="AK14" i="41"/>
  <c r="AK8" i="41"/>
  <c r="AH13" i="41"/>
  <c r="AH17" i="41"/>
  <c r="AI17" i="41"/>
  <c r="AK17" i="41"/>
  <c r="AK11" i="41"/>
  <c r="AH11" i="41"/>
  <c r="AK9" i="41"/>
  <c r="AI19" i="41"/>
  <c r="AK13" i="41"/>
  <c r="AH19" i="41"/>
  <c r="AK15" i="41"/>
  <c r="AI9" i="41"/>
  <c r="AH9" i="41"/>
  <c r="AH6" i="41"/>
  <c r="AI6" i="41"/>
  <c r="AI15" i="41"/>
  <c r="AH15" i="41"/>
  <c r="AI5" i="41"/>
  <c r="P28" i="41"/>
  <c r="AG22" i="41"/>
  <c r="AF11" i="41" s="1"/>
  <c r="AG5" i="41"/>
  <c r="AK22" i="41"/>
  <c r="AK5" i="41"/>
  <c r="AD5" i="41"/>
  <c r="P30" i="40"/>
  <c r="P34" i="40"/>
  <c r="P32" i="40"/>
  <c r="Q32" i="40"/>
  <c r="Q31" i="40"/>
  <c r="P31" i="40"/>
  <c r="Q33" i="40"/>
  <c r="P33" i="40"/>
  <c r="P28" i="40"/>
  <c r="Q28" i="40"/>
  <c r="P27" i="40"/>
  <c r="Q27" i="40"/>
  <c r="P35" i="40"/>
  <c r="Q35" i="40"/>
  <c r="AG6" i="40"/>
  <c r="AG13" i="40"/>
  <c r="AG10" i="40"/>
  <c r="AG8" i="40"/>
  <c r="AG12" i="40"/>
  <c r="AG16" i="40"/>
  <c r="AG9" i="40"/>
  <c r="AG7" i="40"/>
  <c r="AI11" i="40"/>
  <c r="AG11" i="40"/>
  <c r="AI6" i="40"/>
  <c r="AF9" i="40"/>
  <c r="AI8" i="40"/>
  <c r="AF6" i="40"/>
  <c r="AI10" i="40"/>
  <c r="AF10" i="40"/>
  <c r="AI15" i="40"/>
  <c r="AI7" i="40"/>
  <c r="AF7" i="40"/>
  <c r="AF12" i="40"/>
  <c r="AF13" i="40"/>
  <c r="AI16" i="40"/>
  <c r="AF8" i="40"/>
  <c r="AF11" i="40"/>
  <c r="AI13" i="40"/>
  <c r="AF16" i="40"/>
  <c r="AF15" i="40"/>
  <c r="AI9" i="40"/>
  <c r="AI12" i="40"/>
  <c r="M21" i="39"/>
  <c r="M22" i="39"/>
  <c r="M23" i="39"/>
  <c r="M24" i="39"/>
  <c r="M25" i="39"/>
  <c r="M11" i="39"/>
  <c r="M12" i="39"/>
  <c r="M13" i="39"/>
  <c r="M14" i="39"/>
  <c r="M15" i="39"/>
  <c r="M16" i="39"/>
  <c r="M17" i="39"/>
  <c r="M18" i="39"/>
  <c r="M19" i="39"/>
  <c r="M5" i="39"/>
  <c r="M6" i="39"/>
  <c r="M7" i="39"/>
  <c r="M8" i="39"/>
  <c r="M9" i="39"/>
  <c r="M10" i="39"/>
  <c r="M20" i="39"/>
  <c r="G21" i="39"/>
  <c r="G22" i="39"/>
  <c r="G23" i="39"/>
  <c r="G24" i="39"/>
  <c r="G25" i="39"/>
  <c r="G11" i="39"/>
  <c r="G12" i="39"/>
  <c r="G13" i="39"/>
  <c r="G14" i="39"/>
  <c r="G15" i="39"/>
  <c r="G16" i="39"/>
  <c r="G17" i="39"/>
  <c r="G18" i="39"/>
  <c r="G19" i="39"/>
  <c r="G5" i="39"/>
  <c r="G6" i="39"/>
  <c r="G7" i="39"/>
  <c r="G8" i="39"/>
  <c r="G9" i="39"/>
  <c r="G10" i="39"/>
  <c r="G20" i="39"/>
  <c r="V46" i="41" l="1"/>
  <c r="Q6" i="39"/>
  <c r="T6" i="39" s="1"/>
  <c r="AF5" i="41"/>
  <c r="AF6" i="41"/>
  <c r="AF7" i="41"/>
  <c r="AF8" i="41"/>
  <c r="AF20" i="41"/>
  <c r="AF19" i="41"/>
  <c r="AF18" i="41"/>
  <c r="AF17" i="41"/>
  <c r="AF10" i="41"/>
  <c r="AF9" i="41"/>
  <c r="AF12" i="41"/>
  <c r="AF14" i="41"/>
  <c r="AF13" i="41"/>
  <c r="AF15" i="41"/>
  <c r="AF16" i="41"/>
  <c r="AJ18" i="41"/>
  <c r="AJ10" i="41"/>
  <c r="AJ20" i="41"/>
  <c r="AJ11" i="41"/>
  <c r="AJ8" i="41"/>
  <c r="AJ16" i="41"/>
  <c r="AJ19" i="41"/>
  <c r="AJ9" i="41"/>
  <c r="AJ12" i="41"/>
  <c r="AJ7" i="41"/>
  <c r="AJ15" i="41"/>
  <c r="AJ14" i="41"/>
  <c r="AJ6" i="41"/>
  <c r="AJ13" i="41"/>
  <c r="AJ17" i="41"/>
  <c r="AH22" i="41"/>
  <c r="AJ5" i="41"/>
  <c r="AK24" i="41"/>
  <c r="AD22" i="41"/>
  <c r="AG24" i="41"/>
  <c r="Q7" i="39"/>
  <c r="Q18" i="39"/>
  <c r="Q17" i="39"/>
  <c r="V15" i="39"/>
  <c r="Q15" i="39"/>
  <c r="V6" i="39"/>
  <c r="X6" i="39" s="1"/>
  <c r="Q22" i="39"/>
  <c r="V16" i="39"/>
  <c r="Q16" i="39"/>
  <c r="V14" i="39"/>
  <c r="Q14" i="39"/>
  <c r="V25" i="39"/>
  <c r="Q25" i="39"/>
  <c r="V23" i="39"/>
  <c r="U23" i="39" s="1"/>
  <c r="S53" i="39" s="1"/>
  <c r="Q23" i="39"/>
  <c r="Q21" i="39"/>
  <c r="Q10" i="39"/>
  <c r="Q13" i="39"/>
  <c r="V24" i="39"/>
  <c r="Q24" i="39"/>
  <c r="Q19" i="39"/>
  <c r="V12" i="39"/>
  <c r="Q12" i="39"/>
  <c r="Q8" i="39"/>
  <c r="Q11" i="39"/>
  <c r="V10" i="39"/>
  <c r="U10" i="39" s="1"/>
  <c r="S40" i="39" s="1"/>
  <c r="V8" i="39"/>
  <c r="U8" i="39" s="1"/>
  <c r="S38" i="39" s="1"/>
  <c r="V7" i="39"/>
  <c r="U7" i="39" s="1"/>
  <c r="S37" i="39" s="1"/>
  <c r="V5" i="39"/>
  <c r="U5" i="39" s="1"/>
  <c r="S35" i="39" s="1"/>
  <c r="V11" i="39"/>
  <c r="U11" i="39" s="1"/>
  <c r="S41" i="39" s="1"/>
  <c r="V18" i="39"/>
  <c r="U18" i="39" s="1"/>
  <c r="S48" i="39" s="1"/>
  <c r="V19" i="39"/>
  <c r="U19" i="39" s="1"/>
  <c r="S49" i="39" s="1"/>
  <c r="V22" i="39"/>
  <c r="U22" i="39" s="1"/>
  <c r="S52" i="39" s="1"/>
  <c r="V17" i="39"/>
  <c r="U17" i="39" s="1"/>
  <c r="S47" i="39" s="1"/>
  <c r="V13" i="39"/>
  <c r="U13" i="39" s="1"/>
  <c r="S43" i="39" s="1"/>
  <c r="V21" i="39"/>
  <c r="U21" i="39" s="1"/>
  <c r="S51" i="39" s="1"/>
  <c r="T48" i="39" l="1"/>
  <c r="U48" i="39"/>
  <c r="T41" i="39"/>
  <c r="U41" i="39"/>
  <c r="T49" i="39"/>
  <c r="U49" i="39"/>
  <c r="T37" i="39"/>
  <c r="U37" i="39"/>
  <c r="T38" i="39"/>
  <c r="U38" i="39"/>
  <c r="T35" i="39"/>
  <c r="U35" i="39"/>
  <c r="T40" i="39"/>
  <c r="U40" i="39"/>
  <c r="T43" i="39"/>
  <c r="U43" i="39"/>
  <c r="T47" i="39"/>
  <c r="U47" i="39"/>
  <c r="T53" i="39"/>
  <c r="U53" i="39"/>
  <c r="T52" i="39"/>
  <c r="U52" i="39"/>
  <c r="T51" i="39"/>
  <c r="U51" i="39"/>
  <c r="Q5" i="39"/>
  <c r="R19" i="39"/>
  <c r="P19" i="39"/>
  <c r="T16" i="39"/>
  <c r="P16" i="39"/>
  <c r="T24" i="39"/>
  <c r="P24" i="39"/>
  <c r="T7" i="39"/>
  <c r="P7" i="39"/>
  <c r="T21" i="39"/>
  <c r="P21" i="39"/>
  <c r="R10" i="39"/>
  <c r="P10" i="39"/>
  <c r="R23" i="39"/>
  <c r="P23" i="39"/>
  <c r="T11" i="39"/>
  <c r="P11" i="39"/>
  <c r="T25" i="39"/>
  <c r="P25" i="39"/>
  <c r="T17" i="39"/>
  <c r="P17" i="39"/>
  <c r="R8" i="39"/>
  <c r="P8" i="39"/>
  <c r="T22" i="39"/>
  <c r="P22" i="39"/>
  <c r="S13" i="39"/>
  <c r="P13" i="39"/>
  <c r="S6" i="39"/>
  <c r="P6" i="39"/>
  <c r="S15" i="39"/>
  <c r="P15" i="39"/>
  <c r="T12" i="39"/>
  <c r="P12" i="39"/>
  <c r="S14" i="39"/>
  <c r="P14" i="39"/>
  <c r="T18" i="39"/>
  <c r="P18" i="39"/>
  <c r="X23" i="39"/>
  <c r="Y23" i="39"/>
  <c r="Y24" i="39"/>
  <c r="U24" i="39"/>
  <c r="S54" i="39" s="1"/>
  <c r="Y6" i="39"/>
  <c r="P34" i="39" s="1"/>
  <c r="U6" i="39"/>
  <c r="S36" i="39" s="1"/>
  <c r="Y15" i="39"/>
  <c r="U15" i="39"/>
  <c r="S45" i="39" s="1"/>
  <c r="W5" i="39"/>
  <c r="AA5" i="39" s="1"/>
  <c r="Y25" i="39"/>
  <c r="U25" i="39"/>
  <c r="S55" i="39" s="1"/>
  <c r="Y16" i="39"/>
  <c r="U16" i="39"/>
  <c r="S46" i="39" s="1"/>
  <c r="X24" i="39"/>
  <c r="X15" i="39"/>
  <c r="Y12" i="39"/>
  <c r="U12" i="39"/>
  <c r="S42" i="39" s="1"/>
  <c r="Y14" i="39"/>
  <c r="U14" i="39"/>
  <c r="S44" i="39" s="1"/>
  <c r="W25" i="39"/>
  <c r="AA25" i="39" s="1"/>
  <c r="S23" i="39"/>
  <c r="R15" i="39"/>
  <c r="W16" i="39"/>
  <c r="AA16" i="39" s="1"/>
  <c r="R21" i="39"/>
  <c r="S22" i="39"/>
  <c r="T23" i="39"/>
  <c r="S24" i="39"/>
  <c r="R24" i="39"/>
  <c r="R13" i="39"/>
  <c r="R11" i="39"/>
  <c r="S8" i="39"/>
  <c r="S10" i="39"/>
  <c r="T8" i="39"/>
  <c r="T10" i="39"/>
  <c r="S21" i="39"/>
  <c r="R22" i="39"/>
  <c r="T15" i="39"/>
  <c r="S11" i="39"/>
  <c r="S16" i="39"/>
  <c r="S25" i="39"/>
  <c r="R6" i="39"/>
  <c r="S18" i="39"/>
  <c r="S19" i="39"/>
  <c r="T19" i="39"/>
  <c r="T14" i="39"/>
  <c r="AK23" i="41"/>
  <c r="AK25" i="41" s="1"/>
  <c r="AG23" i="41"/>
  <c r="AG25" i="41" s="1"/>
  <c r="T13" i="39"/>
  <c r="R16" i="39"/>
  <c r="R25" i="39"/>
  <c r="R18" i="39"/>
  <c r="X14" i="39"/>
  <c r="X12" i="39"/>
  <c r="V20" i="39"/>
  <c r="Q20" i="39"/>
  <c r="S7" i="39"/>
  <c r="Q9" i="39"/>
  <c r="S12" i="39"/>
  <c r="R14" i="39"/>
  <c r="S17" i="39"/>
  <c r="R7" i="39"/>
  <c r="R12" i="39"/>
  <c r="R17" i="39"/>
  <c r="Y19" i="39"/>
  <c r="Y7" i="39"/>
  <c r="W10" i="39"/>
  <c r="X8" i="39"/>
  <c r="Y21" i="39"/>
  <c r="Y13" i="39"/>
  <c r="Y18" i="39"/>
  <c r="W11" i="39"/>
  <c r="AA11" i="39" s="1"/>
  <c r="Y17" i="39"/>
  <c r="Y22" i="39"/>
  <c r="Y5" i="39"/>
  <c r="X5" i="39"/>
  <c r="X7" i="39"/>
  <c r="W8" i="39"/>
  <c r="AA8" i="39" s="1"/>
  <c r="Y8" i="39"/>
  <c r="Y10" i="39"/>
  <c r="V9" i="39"/>
  <c r="U9" i="39" s="1"/>
  <c r="S39" i="39" s="1"/>
  <c r="Y11" i="39"/>
  <c r="X11" i="39"/>
  <c r="W7" i="39"/>
  <c r="AA7" i="39" s="1"/>
  <c r="X19" i="39"/>
  <c r="W17" i="39"/>
  <c r="W19" i="39"/>
  <c r="X17" i="39"/>
  <c r="W18" i="39"/>
  <c r="W21" i="39"/>
  <c r="X21" i="39"/>
  <c r="W22" i="39"/>
  <c r="X13" i="39"/>
  <c r="W13" i="39"/>
  <c r="W6" i="39"/>
  <c r="X18" i="39"/>
  <c r="X22" i="39"/>
  <c r="W23" i="39"/>
  <c r="W24" i="39"/>
  <c r="X25" i="39"/>
  <c r="X16" i="39"/>
  <c r="W12" i="39"/>
  <c r="AA12" i="39" s="1"/>
  <c r="X10" i="39"/>
  <c r="W15" i="39"/>
  <c r="W14" i="39"/>
  <c r="T39" i="39" l="1"/>
  <c r="U39" i="39"/>
  <c r="T36" i="39"/>
  <c r="U36" i="39"/>
  <c r="T42" i="39"/>
  <c r="U42" i="39"/>
  <c r="T55" i="39"/>
  <c r="U55" i="39"/>
  <c r="Q53" i="39"/>
  <c r="T54" i="39"/>
  <c r="U54" i="39"/>
  <c r="T46" i="39"/>
  <c r="U46" i="39"/>
  <c r="T45" i="39"/>
  <c r="U45" i="39"/>
  <c r="T44" i="39"/>
  <c r="U44" i="39"/>
  <c r="T5" i="39"/>
  <c r="P5" i="39"/>
  <c r="Z16" i="39"/>
  <c r="P50" i="39"/>
  <c r="Q46" i="39"/>
  <c r="S5" i="39"/>
  <c r="AB5" i="39" s="1"/>
  <c r="R5" i="39"/>
  <c r="Q52" i="39"/>
  <c r="AB11" i="39"/>
  <c r="P45" i="39"/>
  <c r="AB12" i="39"/>
  <c r="Q34" i="39"/>
  <c r="AB25" i="39"/>
  <c r="Z25" i="39"/>
  <c r="Z8" i="39"/>
  <c r="Z11" i="39"/>
  <c r="Z5" i="39"/>
  <c r="Z12" i="39"/>
  <c r="Z7" i="39"/>
  <c r="Q39" i="39"/>
  <c r="P44" i="39"/>
  <c r="P35" i="39"/>
  <c r="AB7" i="39"/>
  <c r="P33" i="39"/>
  <c r="AF5" i="39"/>
  <c r="Q40" i="39"/>
  <c r="T9" i="39"/>
  <c r="P9" i="39"/>
  <c r="Q49" i="39"/>
  <c r="P51" i="39"/>
  <c r="T20" i="39"/>
  <c r="P20" i="39"/>
  <c r="AB8" i="39"/>
  <c r="AB16" i="39"/>
  <c r="P52" i="39"/>
  <c r="Q51" i="39"/>
  <c r="P53" i="39"/>
  <c r="P40" i="39"/>
  <c r="X20" i="39"/>
  <c r="U20" i="39"/>
  <c r="S50" i="39" s="1"/>
  <c r="Q44" i="39"/>
  <c r="P36" i="39"/>
  <c r="Y20" i="39"/>
  <c r="P48" i="39" s="1"/>
  <c r="W20" i="39"/>
  <c r="AA20" i="39" s="1"/>
  <c r="Q38" i="39"/>
  <c r="Q36" i="39"/>
  <c r="P46" i="39"/>
  <c r="P39" i="39"/>
  <c r="Q35" i="39"/>
  <c r="AE25" i="39"/>
  <c r="P49" i="39"/>
  <c r="AC8" i="39"/>
  <c r="P42" i="39"/>
  <c r="Q42" i="39"/>
  <c r="Q47" i="39"/>
  <c r="P47" i="39"/>
  <c r="P43" i="39"/>
  <c r="Q43" i="39"/>
  <c r="P41" i="39"/>
  <c r="Q41" i="39"/>
  <c r="AE16" i="39"/>
  <c r="Q33" i="39"/>
  <c r="AE11" i="39"/>
  <c r="AE8" i="39"/>
  <c r="AE12" i="39"/>
  <c r="AE5" i="39"/>
  <c r="P38" i="39"/>
  <c r="Q50" i="39"/>
  <c r="Q45" i="39"/>
  <c r="AC7" i="39"/>
  <c r="AC12" i="39"/>
  <c r="AC25" i="39"/>
  <c r="AE7" i="39"/>
  <c r="AC11" i="39"/>
  <c r="AC16" i="39"/>
  <c r="S20" i="39"/>
  <c r="R20" i="39"/>
  <c r="AG7" i="39"/>
  <c r="S9" i="39"/>
  <c r="R9" i="39"/>
  <c r="AG25" i="39"/>
  <c r="AG11" i="39"/>
  <c r="AG16" i="39"/>
  <c r="AF12" i="39"/>
  <c r="AG12" i="39"/>
  <c r="AG8" i="39"/>
  <c r="AG5" i="39"/>
  <c r="Y9" i="39"/>
  <c r="AF16" i="39"/>
  <c r="W9" i="39"/>
  <c r="AA9" i="39" s="1"/>
  <c r="X9" i="39"/>
  <c r="AF8" i="39"/>
  <c r="AF11" i="39"/>
  <c r="AF25" i="39"/>
  <c r="AA21" i="39"/>
  <c r="AB21" i="39" s="1"/>
  <c r="AA10" i="39"/>
  <c r="AB10" i="39" s="1"/>
  <c r="AA19" i="39"/>
  <c r="Z19" i="39" s="1"/>
  <c r="AA22" i="39"/>
  <c r="AB22" i="39" s="1"/>
  <c r="AF7" i="39"/>
  <c r="AA13" i="39"/>
  <c r="AB13" i="39" s="1"/>
  <c r="AI8" i="39"/>
  <c r="AI11" i="39"/>
  <c r="AA6" i="39"/>
  <c r="AA14" i="39"/>
  <c r="AB14" i="39" s="1"/>
  <c r="AA15" i="39"/>
  <c r="AB15" i="39" s="1"/>
  <c r="AA24" i="39"/>
  <c r="AB24" i="39" s="1"/>
  <c r="AA17" i="39"/>
  <c r="AB17" i="39" s="1"/>
  <c r="AA23" i="39"/>
  <c r="AB23" i="39" s="1"/>
  <c r="AA18" i="39"/>
  <c r="Z18" i="39" s="1"/>
  <c r="AI25" i="39"/>
  <c r="AI16" i="39"/>
  <c r="T50" i="39" l="1"/>
  <c r="U50" i="39"/>
  <c r="AC5" i="39"/>
  <c r="Z14" i="39"/>
  <c r="Z17" i="39"/>
  <c r="Z9" i="39"/>
  <c r="Z22" i="39"/>
  <c r="Z10" i="39"/>
  <c r="Z24" i="39"/>
  <c r="Z13" i="39"/>
  <c r="Z21" i="39"/>
  <c r="AB6" i="39"/>
  <c r="Z6" i="39"/>
  <c r="Z15" i="39"/>
  <c r="Z20" i="39"/>
  <c r="T33" i="39" s="1" a="1"/>
  <c r="T33" i="39" s="1"/>
  <c r="Z23" i="39"/>
  <c r="AI27" i="39"/>
  <c r="AH10" i="39" s="1"/>
  <c r="AB20" i="39"/>
  <c r="AB9" i="39"/>
  <c r="Q37" i="39"/>
  <c r="AE19" i="39"/>
  <c r="AB19" i="39"/>
  <c r="AE18" i="39"/>
  <c r="AB18" i="39"/>
  <c r="Q48" i="39"/>
  <c r="P37" i="39"/>
  <c r="AG15" i="39"/>
  <c r="AC15" i="39"/>
  <c r="AE15" i="39"/>
  <c r="AC9" i="39"/>
  <c r="AC13" i="39"/>
  <c r="AE13" i="39"/>
  <c r="AG14" i="39"/>
  <c r="AC14" i="39"/>
  <c r="AE14" i="39"/>
  <c r="AG6" i="39"/>
  <c r="AC6" i="39"/>
  <c r="AE6" i="39"/>
  <c r="AC17" i="39"/>
  <c r="AG24" i="39"/>
  <c r="AC24" i="39"/>
  <c r="AE24" i="39"/>
  <c r="AE9" i="39"/>
  <c r="AE27" i="39"/>
  <c r="AC20" i="39"/>
  <c r="AC22" i="39"/>
  <c r="AE22" i="39"/>
  <c r="AE20" i="39"/>
  <c r="AC19" i="39"/>
  <c r="AC21" i="39"/>
  <c r="AE21" i="39"/>
  <c r="AC18" i="39"/>
  <c r="AG23" i="39"/>
  <c r="AC23" i="39"/>
  <c r="AE23" i="39"/>
  <c r="AC10" i="39"/>
  <c r="AE10" i="39"/>
  <c r="AE17" i="39"/>
  <c r="AF22" i="39"/>
  <c r="AG22" i="39"/>
  <c r="AG18" i="39"/>
  <c r="AF10" i="39"/>
  <c r="AG10" i="39"/>
  <c r="AF19" i="39"/>
  <c r="AG19" i="39"/>
  <c r="AF21" i="39"/>
  <c r="AG21" i="39"/>
  <c r="AF20" i="39"/>
  <c r="AG20" i="39"/>
  <c r="AF17" i="39"/>
  <c r="AG17" i="39"/>
  <c r="AF13" i="39"/>
  <c r="AG13" i="39"/>
  <c r="AG9" i="39"/>
  <c r="AF9" i="39"/>
  <c r="AF15" i="39"/>
  <c r="AI10" i="39"/>
  <c r="AI12" i="39"/>
  <c r="AI22" i="39"/>
  <c r="AI21" i="39"/>
  <c r="AF23" i="39"/>
  <c r="AF18" i="39"/>
  <c r="AF24" i="39"/>
  <c r="AF14" i="39"/>
  <c r="AI15" i="39"/>
  <c r="AI6" i="39"/>
  <c r="AF6" i="39"/>
  <c r="AI18" i="39"/>
  <c r="AI7" i="39"/>
  <c r="AI9" i="39"/>
  <c r="AI14" i="39"/>
  <c r="AI19" i="39"/>
  <c r="AI20" i="39"/>
  <c r="AI13" i="39"/>
  <c r="AI24" i="39"/>
  <c r="AI23" i="39"/>
  <c r="AI5" i="39"/>
  <c r="AI17" i="39"/>
  <c r="AD20" i="39" l="1"/>
  <c r="AD5" i="39"/>
  <c r="AB27" i="39"/>
  <c r="AE29" i="39"/>
  <c r="AD8" i="39"/>
  <c r="AD15" i="39"/>
  <c r="AD21" i="39"/>
  <c r="AD14" i="39"/>
  <c r="AD24" i="39"/>
  <c r="AD10" i="39"/>
  <c r="AD13" i="39"/>
  <c r="AD23" i="39"/>
  <c r="AD22" i="39"/>
  <c r="AD6" i="39"/>
  <c r="AD19" i="39"/>
  <c r="AD12" i="39"/>
  <c r="AD16" i="39"/>
  <c r="AD7" i="39"/>
  <c r="AD18" i="39"/>
  <c r="AD25" i="39"/>
  <c r="AD17" i="39"/>
  <c r="AD11" i="39"/>
  <c r="AD9" i="39"/>
  <c r="AI29" i="39"/>
  <c r="AH8" i="39"/>
  <c r="AH16" i="39"/>
  <c r="AH9" i="39"/>
  <c r="AH21" i="39"/>
  <c r="AH17" i="39"/>
  <c r="AH13" i="39"/>
  <c r="AH22" i="39"/>
  <c r="AH24" i="39"/>
  <c r="AH7" i="39"/>
  <c r="AH12" i="39"/>
  <c r="AH23" i="39"/>
  <c r="AF27" i="39"/>
  <c r="AH18" i="39"/>
  <c r="AH15" i="39"/>
  <c r="AH19" i="39"/>
  <c r="AH11" i="39"/>
  <c r="AH6" i="39"/>
  <c r="AH25" i="39"/>
  <c r="AH14" i="39"/>
  <c r="AH20" i="39"/>
  <c r="AH5" i="39"/>
  <c r="AE28" i="39" l="1"/>
  <c r="AE30" i="39" s="1"/>
  <c r="AI28" i="39"/>
  <c r="AI30" i="39" s="1"/>
  <c r="Q5" i="40" l="1"/>
  <c r="R5" i="40" s="1"/>
  <c r="V5" i="40"/>
  <c r="U5" i="40" s="1"/>
  <c r="W25" i="40" l="1"/>
  <c r="W37" i="40" s="1"/>
  <c r="V25" i="40"/>
  <c r="T5" i="40"/>
  <c r="Y5" i="40"/>
  <c r="P5" i="40"/>
  <c r="X5" i="40"/>
  <c r="S5" i="40"/>
  <c r="W5" i="40"/>
  <c r="AA5" i="40" s="1"/>
  <c r="AI18" i="40" l="1"/>
  <c r="AH5" i="40" s="1"/>
  <c r="Z5" i="40"/>
  <c r="T24" i="40" s="1" a="1"/>
  <c r="T24" i="40" s="1"/>
  <c r="AI5" i="40"/>
  <c r="AI20" i="40" s="1"/>
  <c r="AC5" i="40"/>
  <c r="AF5" i="40"/>
  <c r="AF18" i="40" s="1"/>
  <c r="AB5" i="40"/>
  <c r="AB18" i="40" s="1"/>
  <c r="AG5" i="40"/>
  <c r="AE18" i="40"/>
  <c r="AD5" i="40" s="1"/>
  <c r="AE5" i="40"/>
  <c r="AE20" i="40" s="1"/>
  <c r="Q24" i="40"/>
  <c r="P24" i="40"/>
  <c r="AD13" i="40" l="1"/>
  <c r="AD16" i="40"/>
  <c r="AD14" i="40"/>
  <c r="AD8" i="40"/>
  <c r="AD10" i="40"/>
  <c r="AD15" i="40"/>
  <c r="AD9" i="40"/>
  <c r="AD12" i="40"/>
  <c r="AD6" i="40"/>
  <c r="AE19" i="40" s="1"/>
  <c r="AE21" i="40" s="1"/>
  <c r="AD11" i="40"/>
  <c r="AD7" i="40"/>
  <c r="AH10" i="40"/>
  <c r="AH13" i="40"/>
  <c r="AH11" i="40"/>
  <c r="AH15" i="40"/>
  <c r="AH7" i="40"/>
  <c r="AH12" i="40"/>
  <c r="AH6" i="40"/>
  <c r="AH14" i="40"/>
  <c r="AH8" i="40"/>
  <c r="AH16" i="40"/>
  <c r="AH9" i="40"/>
  <c r="AI19" i="40" l="1"/>
  <c r="AI21" i="4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<sst xmlns="http://schemas.openxmlformats.org/spreadsheetml/2006/main" count="357" uniqueCount="91">
  <si>
    <t>Raw Data  Girumugisha-et-al-2025</t>
  </si>
  <si>
    <t>Alluvial gravel (Low)</t>
  </si>
  <si>
    <t xml:space="preserve">Caclulated Values Default </t>
  </si>
  <si>
    <t>Caclulated Values Solver</t>
  </si>
  <si>
    <t>Caclulated Values Leps 2.0</t>
  </si>
  <si>
    <t>Analysis of Model Accuracy and Error Default</t>
  </si>
  <si>
    <t>Analysis of Model Accuracy and Error Solver</t>
  </si>
  <si>
    <t>Residuals</t>
  </si>
  <si>
    <t>ID</t>
  </si>
  <si>
    <t>Scalping Type</t>
  </si>
  <si>
    <t>Ds (mm)</t>
  </si>
  <si>
    <t>Dmax (mm)</t>
  </si>
  <si>
    <t>D50 (mm)</t>
  </si>
  <si>
    <t>Ds/Dmax</t>
  </si>
  <si>
    <t>Ds/D50</t>
  </si>
  <si>
    <t>Cu</t>
  </si>
  <si>
    <t>e</t>
  </si>
  <si>
    <r>
      <t>σ</t>
    </r>
    <r>
      <rPr>
        <b/>
        <vertAlign val="subscript"/>
        <sz val="11"/>
        <color theme="1"/>
        <rFont val="Arial Narrow"/>
        <family val="2"/>
      </rPr>
      <t>3</t>
    </r>
    <r>
      <rPr>
        <b/>
        <sz val="11"/>
        <color theme="1"/>
        <rFont val="Arial Narrow"/>
        <family val="2"/>
      </rPr>
      <t xml:space="preserve"> (kPa)</t>
    </r>
  </si>
  <si>
    <r>
      <t>Φ</t>
    </r>
    <r>
      <rPr>
        <b/>
        <vertAlign val="subscript"/>
        <sz val="11"/>
        <color theme="1"/>
        <rFont val="Aptos Narrow"/>
        <family val="2"/>
      </rPr>
      <t>p</t>
    </r>
  </si>
  <si>
    <r>
      <t>σ</t>
    </r>
    <r>
      <rPr>
        <b/>
        <vertAlign val="subscript"/>
        <sz val="11"/>
        <color theme="1"/>
        <rFont val="Arial Narrow"/>
        <family val="2"/>
      </rPr>
      <t>3</t>
    </r>
    <r>
      <rPr>
        <b/>
        <sz val="11"/>
        <color theme="1"/>
        <rFont val="Arial Narrow"/>
        <family val="2"/>
      </rPr>
      <t xml:space="preserve"> (MPa)</t>
    </r>
  </si>
  <si>
    <t>M</t>
  </si>
  <si>
    <r>
      <t>σ</t>
    </r>
    <r>
      <rPr>
        <b/>
        <vertAlign val="subscript"/>
        <sz val="11"/>
        <color theme="1"/>
        <rFont val="Arial Narrow"/>
        <family val="2"/>
      </rPr>
      <t>1</t>
    </r>
    <r>
      <rPr>
        <b/>
        <sz val="11"/>
        <color theme="1"/>
        <rFont val="Arial Narrow"/>
        <family val="2"/>
      </rPr>
      <t xml:space="preserve"> (MPa)</t>
    </r>
  </si>
  <si>
    <r>
      <t>σ</t>
    </r>
    <r>
      <rPr>
        <b/>
        <vertAlign val="subscript"/>
        <sz val="11"/>
        <color theme="1"/>
        <rFont val="Arial Narrow"/>
        <family val="2"/>
      </rPr>
      <t>3-Leps2.0</t>
    </r>
    <r>
      <rPr>
        <b/>
        <sz val="11"/>
        <color theme="1"/>
        <rFont val="Arial Narrow"/>
        <family val="2"/>
      </rPr>
      <t xml:space="preserve"> (MPa) [Eq. 21]</t>
    </r>
  </si>
  <si>
    <r>
      <t>Φ</t>
    </r>
    <r>
      <rPr>
        <b/>
        <vertAlign val="subscript"/>
        <sz val="11"/>
        <color theme="1"/>
        <rFont val="Arial Narrow"/>
        <family val="2"/>
      </rPr>
      <t xml:space="preserve">inst </t>
    </r>
    <r>
      <rPr>
        <b/>
        <sz val="11"/>
        <color theme="1"/>
        <rFont val="Arial Narrow"/>
        <family val="2"/>
      </rPr>
      <t>(deg)</t>
    </r>
  </si>
  <si>
    <r>
      <t>σ</t>
    </r>
    <r>
      <rPr>
        <b/>
        <vertAlign val="subscript"/>
        <sz val="11"/>
        <color theme="1"/>
        <rFont val="Arial Narrow"/>
        <family val="2"/>
      </rPr>
      <t>n</t>
    </r>
    <r>
      <rPr>
        <b/>
        <sz val="11"/>
        <color theme="1"/>
        <rFont val="Arial Narrow"/>
        <family val="2"/>
      </rPr>
      <t xml:space="preserve"> (MPa) [Eq. 13]</t>
    </r>
  </si>
  <si>
    <r>
      <rPr>
        <b/>
        <sz val="11"/>
        <color theme="1"/>
        <rFont val="Aptos Narrow"/>
        <family val="2"/>
        <charset val="1"/>
      </rPr>
      <t>τ</t>
    </r>
    <r>
      <rPr>
        <b/>
        <sz val="11"/>
        <color theme="1"/>
        <rFont val="Arial Narrow"/>
        <family val="2"/>
      </rPr>
      <t xml:space="preserve"> (MPa) [Eq. 14]</t>
    </r>
  </si>
  <si>
    <r>
      <t>Ø'</t>
    </r>
    <r>
      <rPr>
        <b/>
        <vertAlign val="subscript"/>
        <sz val="11"/>
        <color theme="1"/>
        <rFont val="Arial Narrow"/>
        <family val="2"/>
      </rPr>
      <t>1</t>
    </r>
    <r>
      <rPr>
        <b/>
        <sz val="11"/>
        <color theme="1"/>
        <rFont val="Arial Narrow"/>
        <family val="2"/>
      </rPr>
      <t xml:space="preserve"> test (deg) [Eq. 17]</t>
    </r>
  </si>
  <si>
    <r>
      <t>Φ</t>
    </r>
    <r>
      <rPr>
        <b/>
        <vertAlign val="subscript"/>
        <sz val="11"/>
        <color theme="1"/>
        <rFont val="Arial Narrow"/>
        <family val="2"/>
      </rPr>
      <t xml:space="preserve">inst </t>
    </r>
    <r>
      <rPr>
        <b/>
        <sz val="11"/>
        <color theme="1"/>
        <rFont val="Arial Narrow"/>
        <family val="2"/>
      </rPr>
      <t>(deg) [Eq. 16]</t>
    </r>
  </si>
  <si>
    <t>Consistency</t>
  </si>
  <si>
    <r>
      <rPr>
        <b/>
        <sz val="11"/>
        <color theme="1"/>
        <rFont val="Aptos Narrow"/>
        <family val="2"/>
        <charset val="1"/>
      </rPr>
      <t>τ</t>
    </r>
    <r>
      <rPr>
        <b/>
        <sz val="11"/>
        <color theme="1"/>
        <rFont val="Arial Narrow"/>
        <family val="2"/>
      </rPr>
      <t xml:space="preserve"> (MPa) [Eq. 26]</t>
    </r>
  </si>
  <si>
    <t>abs. error [Eq. 30]</t>
  </si>
  <si>
    <t>error [Eq. 30]</t>
  </si>
  <si>
    <t>(y-ybar)2</t>
  </si>
  <si>
    <t>(y-f)2</t>
  </si>
  <si>
    <t>dmax (mm)</t>
  </si>
  <si>
    <t>error</t>
  </si>
  <si>
    <t>Moving Average</t>
  </si>
  <si>
    <t>d50 (mm)</t>
  </si>
  <si>
    <t>L1</t>
  </si>
  <si>
    <t>Scalping</t>
  </si>
  <si>
    <t>L2</t>
  </si>
  <si>
    <t>L3</t>
  </si>
  <si>
    <t>L4</t>
  </si>
  <si>
    <t>L5</t>
  </si>
  <si>
    <t>L6</t>
  </si>
  <si>
    <t>M1</t>
  </si>
  <si>
    <t>Truncation</t>
  </si>
  <si>
    <t>M2</t>
  </si>
  <si>
    <t>M3</t>
  </si>
  <si>
    <t>M4</t>
  </si>
  <si>
    <t>M5</t>
  </si>
  <si>
    <t>M6</t>
  </si>
  <si>
    <t>M7</t>
  </si>
  <si>
    <t>M8</t>
  </si>
  <si>
    <t>M9</t>
  </si>
  <si>
    <t>S1</t>
  </si>
  <si>
    <t>S2</t>
  </si>
  <si>
    <t>S3</t>
  </si>
  <si>
    <t>S4</t>
  </si>
  <si>
    <t>S5</t>
  </si>
  <si>
    <t>S6</t>
  </si>
  <si>
    <t xml:space="preserve">Fitting Parameters - Default </t>
  </si>
  <si>
    <t>Fitting Parameters - Leps 2.0</t>
  </si>
  <si>
    <t>avg. rel. error</t>
  </si>
  <si>
    <t>y-bar</t>
  </si>
  <si>
    <r>
      <t>Ø'</t>
    </r>
    <r>
      <rPr>
        <vertAlign val="subscript"/>
        <sz val="11"/>
        <color theme="1"/>
        <rFont val="Arial Narrow"/>
        <family val="2"/>
      </rPr>
      <t>e=0</t>
    </r>
  </si>
  <si>
    <t>Sstot</t>
  </si>
  <si>
    <t>ω</t>
  </si>
  <si>
    <t>Ssres</t>
  </si>
  <si>
    <t>m</t>
  </si>
  <si>
    <r>
      <t>R</t>
    </r>
    <r>
      <rPr>
        <b/>
        <vertAlign val="superscript"/>
        <sz val="12"/>
        <rFont val="Arial Narrow"/>
        <family val="2"/>
      </rPr>
      <t>2</t>
    </r>
  </si>
  <si>
    <r>
      <t>Ø'</t>
    </r>
    <r>
      <rPr>
        <b/>
        <vertAlign val="subscript"/>
        <sz val="11"/>
        <color theme="1"/>
        <rFont val="Arial Narrow"/>
        <family val="2"/>
      </rPr>
      <t>1</t>
    </r>
    <r>
      <rPr>
        <b/>
        <sz val="11"/>
        <color theme="1"/>
        <rFont val="Arial Narrow"/>
        <family val="2"/>
      </rPr>
      <t xml:space="preserve"> (deg) [Eq. 17] Diff</t>
    </r>
  </si>
  <si>
    <t>Residual Error</t>
  </si>
  <si>
    <r>
      <t>Objective = ∑(lnσ</t>
    </r>
    <r>
      <rPr>
        <b/>
        <vertAlign val="sub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pred − lnσ</t>
    </r>
    <r>
      <rPr>
        <b/>
        <vertAlign val="sub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)²</t>
    </r>
  </si>
  <si>
    <t>Avg. rel. error</t>
  </si>
  <si>
    <r>
      <t>R</t>
    </r>
    <r>
      <rPr>
        <vertAlign val="superscript"/>
        <sz val="11"/>
        <color theme="1"/>
        <rFont val="Aptos Narrow"/>
        <family val="2"/>
        <scheme val="minor"/>
      </rPr>
      <t>2</t>
    </r>
  </si>
  <si>
    <t>Raw Jin-et-al-2024</t>
  </si>
  <si>
    <t>Sandstone (Low)</t>
  </si>
  <si>
    <r>
      <t>γ</t>
    </r>
    <r>
      <rPr>
        <b/>
        <vertAlign val="subscript"/>
        <sz val="11"/>
        <color theme="1"/>
        <rFont val="Arial Narrow"/>
        <family val="2"/>
      </rPr>
      <t>d</t>
    </r>
    <r>
      <rPr>
        <b/>
        <sz val="11"/>
        <color theme="1"/>
        <rFont val="Arial Narrow"/>
        <family val="2"/>
      </rPr>
      <t xml:space="preserve"> (g/cm</t>
    </r>
    <r>
      <rPr>
        <b/>
        <vertAlign val="superscript"/>
        <sz val="11"/>
        <color theme="1"/>
        <rFont val="Arial Narrow"/>
        <family val="2"/>
      </rPr>
      <t>3</t>
    </r>
    <r>
      <rPr>
        <b/>
        <sz val="11"/>
        <color theme="1"/>
        <rFont val="Arial Narrow"/>
        <family val="2"/>
      </rPr>
      <t>)</t>
    </r>
  </si>
  <si>
    <r>
      <t>G</t>
    </r>
    <r>
      <rPr>
        <b/>
        <vertAlign val="subscript"/>
        <sz val="11"/>
        <color theme="1"/>
        <rFont val="Arial Narrow"/>
        <family val="2"/>
      </rPr>
      <t>s</t>
    </r>
  </si>
  <si>
    <r>
      <t>e</t>
    </r>
    <r>
      <rPr>
        <b/>
        <vertAlign val="subscript"/>
        <sz val="11"/>
        <color theme="1"/>
        <rFont val="Arial Narrow"/>
        <family val="2"/>
      </rPr>
      <t>i</t>
    </r>
  </si>
  <si>
    <t>q (MPa)</t>
  </si>
  <si>
    <t>M1 (Dr=0.6)</t>
  </si>
  <si>
    <t>Parallel</t>
  </si>
  <si>
    <t>M2 (Dr=0.7)</t>
  </si>
  <si>
    <t>M3 (Dr=0.8)</t>
  </si>
  <si>
    <t>M4 (Dr=0.9)</t>
  </si>
  <si>
    <r>
      <t>R</t>
    </r>
    <r>
      <rPr>
        <vertAlign val="superscript"/>
        <sz val="10"/>
        <rFont val="Arial Narrow"/>
        <family val="2"/>
      </rPr>
      <t>2</t>
    </r>
  </si>
  <si>
    <t>Raw Data Ning-et-al-2025</t>
  </si>
  <si>
    <t>Dacite/Andesite/Rhyolite (Moderate)</t>
  </si>
  <si>
    <t xml:space="preserve">Fitting Parameters - All data Default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</si>
</sst>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19" x14ac:knownFonts="1">
    <font>
      <sz val="11"/>
      <color theme="1"/>
      <name val="Aptos Narrow"/>
      <family val="2"/>
      <scheme val="minor"/>
    </font>
    <font>
      <sz val="10"/>
      <name val="Arial Narrow"/>
      <family val="2"/>
    </font>
    <font>
      <sz val="8"/>
      <name val="Aptos Narrow"/>
      <family val="2"/>
      <scheme val="minor"/>
    </font>
    <font>
      <vertAlign val="superscript"/>
      <sz val="10"/>
      <name val="Arial Narrow"/>
      <family val="2"/>
    </font>
    <font>
      <sz val="11"/>
      <color theme="1"/>
      <name val="Arial Narrow"/>
      <family val="2"/>
    </font>
    <font>
      <vertAlign val="subscript"/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Aptos Narrow"/>
      <family val="2"/>
    </font>
    <font>
      <b/>
      <vertAlign val="subscript"/>
      <sz val="11"/>
      <color theme="1"/>
      <name val="Arial Narrow"/>
      <family val="2"/>
    </font>
    <font>
      <b/>
      <sz val="11"/>
      <color theme="1"/>
      <name val="Arial Narrow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vertAlign val="superscript"/>
      <sz val="12"/>
      <name val="Arial Narrow"/>
      <family val="2"/>
    </font>
    <font>
      <b/>
      <vertAlign val="superscript"/>
      <sz val="11"/>
      <color theme="1"/>
      <name val="Arial Narrow"/>
      <family val="2"/>
    </font>
    <font>
      <b/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77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164" fontId="4" fillId="4" borderId="0" xfId="0" applyNumberFormat="1" applyFont="1" applyFill="1" applyAlignment="1">
      <alignment vertical="center"/>
    </xf>
    <xf numFmtId="164" fontId="4" fillId="0" borderId="0" xfId="0" applyNumberFormat="1" applyFont="1" applyAlignment="1">
      <alignment vertical="center"/>
    </xf>
    <xf numFmtId="2" fontId="1" fillId="4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2" fontId="4" fillId="2" borderId="6" xfId="0" applyNumberFormat="1" applyFont="1" applyFill="1" applyBorder="1" applyAlignment="1">
      <alignment horizontal="center" vertical="center"/>
    </xf>
    <xf numFmtId="165" fontId="4" fillId="2" borderId="6" xfId="0" applyNumberFormat="1" applyFont="1" applyFill="1" applyBorder="1" applyAlignment="1">
      <alignment horizontal="center" vertical="center"/>
    </xf>
    <xf numFmtId="2" fontId="4" fillId="2" borderId="7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2" fontId="4" fillId="2" borderId="9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165" fontId="4" fillId="2" borderId="11" xfId="0" applyNumberFormat="1" applyFont="1" applyFill="1" applyBorder="1" applyAlignment="1">
      <alignment horizontal="center" vertical="center"/>
    </xf>
    <xf numFmtId="2" fontId="4" fillId="2" borderId="12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2" fontId="4" fillId="3" borderId="7" xfId="0" applyNumberFormat="1" applyFont="1" applyFill="1" applyBorder="1" applyAlignment="1">
      <alignment horizontal="center" vertical="center"/>
    </xf>
    <xf numFmtId="2" fontId="4" fillId="3" borderId="9" xfId="0" applyNumberFormat="1" applyFont="1" applyFill="1" applyBorder="1" applyAlignment="1">
      <alignment horizontal="center" vertical="center"/>
    </xf>
    <xf numFmtId="164" fontId="4" fillId="3" borderId="11" xfId="0" applyNumberFormat="1" applyFont="1" applyFill="1" applyBorder="1" applyAlignment="1">
      <alignment horizontal="center" vertical="center"/>
    </xf>
    <xf numFmtId="2" fontId="4" fillId="3" borderId="1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2" fontId="4" fillId="5" borderId="5" xfId="0" applyNumberFormat="1" applyFont="1" applyFill="1" applyBorder="1" applyAlignment="1">
      <alignment horizontal="center" vertical="center"/>
    </xf>
    <xf numFmtId="164" fontId="4" fillId="5" borderId="6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2" fontId="4" fillId="5" borderId="9" xfId="0" applyNumberFormat="1" applyFont="1" applyFill="1" applyBorder="1" applyAlignment="1">
      <alignment horizontal="center" vertical="center"/>
    </xf>
    <xf numFmtId="2" fontId="4" fillId="5" borderId="10" xfId="0" applyNumberFormat="1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166" fontId="4" fillId="0" borderId="7" xfId="1" applyNumberFormat="1" applyFont="1" applyBorder="1" applyAlignment="1">
      <alignment horizontal="center" vertical="center"/>
    </xf>
    <xf numFmtId="166" fontId="4" fillId="0" borderId="9" xfId="1" applyNumberFormat="1" applyFont="1" applyBorder="1" applyAlignment="1">
      <alignment horizontal="center" vertical="center"/>
    </xf>
    <xf numFmtId="166" fontId="4" fillId="0" borderId="12" xfId="1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/>
    </xf>
    <xf numFmtId="164" fontId="4" fillId="4" borderId="7" xfId="0" applyNumberFormat="1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164" fontId="4" fillId="4" borderId="10" xfId="0" applyNumberFormat="1" applyFont="1" applyFill="1" applyBorder="1" applyAlignment="1">
      <alignment horizontal="center" vertical="center"/>
    </xf>
    <xf numFmtId="164" fontId="4" fillId="4" borderId="11" xfId="0" applyNumberFormat="1" applyFont="1" applyFill="1" applyBorder="1" applyAlignment="1">
      <alignment horizontal="center" vertical="center"/>
    </xf>
    <xf numFmtId="164" fontId="4" fillId="4" borderId="12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2" fontId="4" fillId="5" borderId="6" xfId="0" applyNumberFormat="1" applyFont="1" applyFill="1" applyBorder="1" applyAlignment="1">
      <alignment horizontal="center" vertical="center"/>
    </xf>
    <xf numFmtId="2" fontId="4" fillId="5" borderId="0" xfId="0" applyNumberFormat="1" applyFont="1" applyFill="1" applyAlignment="1">
      <alignment horizontal="center" vertical="center"/>
    </xf>
    <xf numFmtId="2" fontId="4" fillId="5" borderId="1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64" fontId="4" fillId="8" borderId="6" xfId="0" applyNumberFormat="1" applyFont="1" applyFill="1" applyBorder="1" applyAlignment="1">
      <alignment horizontal="center" vertical="center"/>
    </xf>
    <xf numFmtId="164" fontId="4" fillId="8" borderId="7" xfId="0" applyNumberFormat="1" applyFont="1" applyFill="1" applyBorder="1" applyAlignment="1">
      <alignment horizontal="center" vertical="center"/>
    </xf>
    <xf numFmtId="164" fontId="4" fillId="8" borderId="0" xfId="0" applyNumberFormat="1" applyFont="1" applyFill="1" applyAlignment="1">
      <alignment horizontal="center" vertical="center"/>
    </xf>
    <xf numFmtId="164" fontId="4" fillId="8" borderId="9" xfId="0" applyNumberFormat="1" applyFont="1" applyFill="1" applyBorder="1" applyAlignment="1">
      <alignment horizontal="center" vertical="center"/>
    </xf>
    <xf numFmtId="164" fontId="4" fillId="8" borderId="11" xfId="0" applyNumberFormat="1" applyFont="1" applyFill="1" applyBorder="1" applyAlignment="1">
      <alignment horizontal="center" vertical="center"/>
    </xf>
    <xf numFmtId="164" fontId="4" fillId="8" borderId="12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right" vertical="center"/>
    </xf>
    <xf numFmtId="2" fontId="1" fillId="8" borderId="0" xfId="0" applyNumberFormat="1" applyFont="1" applyFill="1" applyAlignment="1">
      <alignment horizontal="center" vertical="center"/>
    </xf>
    <xf numFmtId="164" fontId="4" fillId="8" borderId="0" xfId="0" applyNumberFormat="1" applyFont="1" applyFill="1" applyAlignment="1">
      <alignment vertical="center"/>
    </xf>
    <xf numFmtId="10" fontId="6" fillId="8" borderId="2" xfId="1" applyNumberFormat="1" applyFont="1" applyFill="1" applyBorder="1" applyAlignment="1">
      <alignment horizontal="center" vertical="center"/>
    </xf>
    <xf numFmtId="10" fontId="6" fillId="4" borderId="2" xfId="1" applyNumberFormat="1" applyFont="1" applyFill="1" applyBorder="1" applyAlignment="1">
      <alignment vertical="center"/>
    </xf>
    <xf numFmtId="2" fontId="14" fillId="4" borderId="3" xfId="0" applyNumberFormat="1" applyFont="1" applyFill="1" applyBorder="1" applyAlignment="1">
      <alignment horizontal="center" vertical="center"/>
    </xf>
    <xf numFmtId="2" fontId="14" fillId="8" borderId="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66" fontId="4" fillId="2" borderId="9" xfId="1" applyNumberFormat="1" applyFont="1" applyFill="1" applyBorder="1" applyAlignment="1">
      <alignment horizontal="center" vertical="center"/>
    </xf>
    <xf numFmtId="1" fontId="4" fillId="2" borderId="11" xfId="0" applyNumberFormat="1" applyFont="1" applyFill="1" applyBorder="1" applyAlignment="1">
      <alignment horizontal="center" vertical="center"/>
    </xf>
    <xf numFmtId="166" fontId="4" fillId="2" borderId="12" xfId="1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6" fontId="4" fillId="0" borderId="7" xfId="1" applyNumberFormat="1" applyFont="1" applyFill="1" applyBorder="1" applyAlignment="1">
      <alignment horizontal="center" vertical="center"/>
    </xf>
    <xf numFmtId="166" fontId="4" fillId="0" borderId="9" xfId="1" applyNumberFormat="1" applyFont="1" applyFill="1" applyBorder="1" applyAlignment="1">
      <alignment horizontal="center" vertical="center"/>
    </xf>
    <xf numFmtId="166" fontId="4" fillId="0" borderId="12" xfId="1" applyNumberFormat="1" applyFont="1" applyFill="1" applyBorder="1" applyAlignment="1">
      <alignment horizontal="center" vertical="center"/>
    </xf>
    <xf numFmtId="164" fontId="14" fillId="8" borderId="1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0" fontId="6" fillId="4" borderId="2" xfId="1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64" fontId="4" fillId="8" borderId="5" xfId="0" applyNumberFormat="1" applyFont="1" applyFill="1" applyBorder="1" applyAlignment="1">
      <alignment horizontal="center" vertical="center"/>
    </xf>
    <xf numFmtId="164" fontId="4" fillId="8" borderId="8" xfId="0" applyNumberFormat="1" applyFont="1" applyFill="1" applyBorder="1" applyAlignment="1">
      <alignment horizontal="center" vertical="center"/>
    </xf>
    <xf numFmtId="164" fontId="4" fillId="8" borderId="10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4" fillId="5" borderId="5" xfId="0" applyNumberFormat="1" applyFont="1" applyFill="1" applyBorder="1" applyAlignment="1">
      <alignment horizontal="center" vertical="center"/>
    </xf>
    <xf numFmtId="165" fontId="4" fillId="5" borderId="8" xfId="0" applyNumberFormat="1" applyFont="1" applyFill="1" applyBorder="1" applyAlignment="1">
      <alignment horizontal="center" vertical="center"/>
    </xf>
    <xf numFmtId="165" fontId="4" fillId="5" borderId="10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2" fontId="4" fillId="3" borderId="11" xfId="0" applyNumberFormat="1" applyFont="1" applyFill="1" applyBorder="1" applyAlignment="1">
      <alignment horizontal="center" vertical="center"/>
    </xf>
    <xf numFmtId="2" fontId="4" fillId="3" borderId="6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5" fontId="4" fillId="3" borderId="8" xfId="0" applyNumberFormat="1" applyFont="1" applyFill="1" applyBorder="1" applyAlignment="1">
      <alignment horizontal="center" vertical="center"/>
    </xf>
    <xf numFmtId="165" fontId="4" fillId="3" borderId="10" xfId="0" applyNumberFormat="1" applyFont="1" applyFill="1" applyBorder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165" fontId="4" fillId="5" borderId="11" xfId="0" applyNumberFormat="1" applyFont="1" applyFill="1" applyBorder="1" applyAlignment="1">
      <alignment horizontal="center" vertical="center"/>
    </xf>
    <xf numFmtId="165" fontId="4" fillId="5" borderId="6" xfId="0" applyNumberFormat="1" applyFont="1" applyFill="1" applyBorder="1" applyAlignment="1">
      <alignment horizontal="center" vertical="center"/>
    </xf>
    <xf numFmtId="165" fontId="4" fillId="3" borderId="7" xfId="0" applyNumberFormat="1" applyFont="1" applyFill="1" applyBorder="1" applyAlignment="1">
      <alignment horizontal="center" vertical="center"/>
    </xf>
    <xf numFmtId="165" fontId="4" fillId="3" borderId="9" xfId="0" applyNumberFormat="1" applyFont="1" applyFill="1" applyBorder="1" applyAlignment="1">
      <alignment horizontal="center" vertical="center"/>
    </xf>
    <xf numFmtId="165" fontId="4" fillId="3" borderId="12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9" fontId="0" fillId="0" borderId="0" xfId="1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166" fontId="4" fillId="2" borderId="7" xfId="1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6" fillId="8" borderId="3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2"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</dxfs>
  <tableStyles count="0" defaultTableStyle="TableStyleMedium2" defaultPivotStyle="PivotStyleLight16"/>
  <colors>
    <mruColors>
      <color rgb="FFFF00FF"/>
      <color rgb="FFCC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111781759792"/>
          <c:y val="8.9337760146909473E-2"/>
          <c:w val="0.72966144158415036"/>
          <c:h val="0.713284862765296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'01 Girumugisha-et-al-2025'!$AL$3</c:f>
              <c:strCache>
                <c:ptCount val="1"/>
                <c:pt idx="0">
                  <c:v>Residuals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'01 Girumugisha-et-al-2025'!$AL$5:$AL$25</c:f>
              <c:numCache>
                <c:formatCode>General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6.3</c:v>
                </c:pt>
                <c:pt idx="3">
                  <c:v>6.3</c:v>
                </c:pt>
                <c:pt idx="4">
                  <c:v>6.3</c:v>
                </c:pt>
                <c:pt idx="5">
                  <c:v>6.3</c:v>
                </c:pt>
                <c:pt idx="6">
                  <c:v>6.3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30</c:v>
                </c:pt>
                <c:pt idx="16">
                  <c:v>30</c:v>
                </c:pt>
                <c:pt idx="17">
                  <c:v>60</c:v>
                </c:pt>
                <c:pt idx="18">
                  <c:v>60</c:v>
                </c:pt>
                <c:pt idx="19">
                  <c:v>100</c:v>
                </c:pt>
                <c:pt idx="20">
                  <c:v>100</c:v>
                </c:pt>
              </c:numCache>
            </c:numRef>
          </c:xVal>
          <c:yVal>
            <c:numRef>
              <c:f>'01 Girumugisha-et-al-2025'!$AM$5:$AM$25</c:f>
              <c:numCache>
                <c:formatCode>General</c:formatCode>
                <c:ptCount val="21"/>
                <c:pt idx="0">
                  <c:v>-2.4880439052412037E-2</c:v>
                </c:pt>
                <c:pt idx="1">
                  <c:v>-1.8442016461616102E-2</c:v>
                </c:pt>
                <c:pt idx="2">
                  <c:v>6.0858236896929069E-2</c:v>
                </c:pt>
                <c:pt idx="3">
                  <c:v>-2.5918329860951481E-2</c:v>
                </c:pt>
                <c:pt idx="4">
                  <c:v>-1.8557178493755428E-3</c:v>
                </c:pt>
                <c:pt idx="5">
                  <c:v>2.2097269902615541E-2</c:v>
                </c:pt>
                <c:pt idx="6">
                  <c:v>-2.5988714756240688E-3</c:v>
                </c:pt>
                <c:pt idx="7">
                  <c:v>4.3610433730917463E-2</c:v>
                </c:pt>
                <c:pt idx="8">
                  <c:v>-7.2304173696284392E-3</c:v>
                </c:pt>
                <c:pt idx="9">
                  <c:v>3.0507233874841042E-2</c:v>
                </c:pt>
                <c:pt idx="10">
                  <c:v>7.2014443614454263E-2</c:v>
                </c:pt>
                <c:pt idx="11">
                  <c:v>-3.550381415814035E-2</c:v>
                </c:pt>
                <c:pt idx="12">
                  <c:v>0.11334024542131316</c:v>
                </c:pt>
                <c:pt idx="13">
                  <c:v>5.7982088457193263E-2</c:v>
                </c:pt>
                <c:pt idx="14">
                  <c:v>5.277281240920207E-2</c:v>
                </c:pt>
                <c:pt idx="15">
                  <c:v>-5.2045072237944551E-2</c:v>
                </c:pt>
                <c:pt idx="16">
                  <c:v>-6.2168607250181251E-2</c:v>
                </c:pt>
                <c:pt idx="17">
                  <c:v>-3.3838487268380631E-2</c:v>
                </c:pt>
                <c:pt idx="18">
                  <c:v>-4.8252294509255455E-3</c:v>
                </c:pt>
                <c:pt idx="19">
                  <c:v>-7.2681371379854268E-2</c:v>
                </c:pt>
                <c:pt idx="20">
                  <c:v>-1.5372684220704914E-2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5-46CD-8344-D506C4A6DDFD}"/>
            </c:ext>
          </c:extLst>
        </c:ser>
        <c:ser>
          <c:idx val="0"/>
          <c:order val="1"/>
          <c:tx>
            <c:strRef>
              <c:f>'01 Girumugisha-et-al-2025'!$AN$4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'01 Girumugisha-et-al-2025'!$AL$6:$AL$24</c:f>
              <c:numCache>
                <c:formatCode>General</c:formatCode>
                <c:ptCount val="19"/>
                <c:pt idx="0">
                  <c:v>4</c:v>
                </c:pt>
                <c:pt idx="1">
                  <c:v>6.3</c:v>
                </c:pt>
                <c:pt idx="2">
                  <c:v>6.3</c:v>
                </c:pt>
                <c:pt idx="3">
                  <c:v>6.3</c:v>
                </c:pt>
                <c:pt idx="4">
                  <c:v>6.3</c:v>
                </c:pt>
                <c:pt idx="5">
                  <c:v>6.3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30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100</c:v>
                </c:pt>
              </c:numCache>
            </c:numRef>
          </c:xVal>
          <c:yVal>
            <c:numRef>
              <c:f>'01 Girumugisha-et-al-2025'!$AN$6:$AN$24</c:f>
              <c:numCache>
                <c:formatCode>General</c:formatCode>
                <c:ptCount val="19"/>
                <c:pt idx="0">
                  <c:v>-2.0956371195126368E-3</c:v>
                </c:pt>
                <c:pt idx="1">
                  <c:v>-2.047653265485218E-3</c:v>
                </c:pt>
                <c:pt idx="2">
                  <c:v>7.3478885255202978E-3</c:v>
                </c:pt>
                <c:pt idx="3">
                  <c:v>1.0516517522718703E-2</c:v>
                </c:pt>
                <c:pt idx="4">
                  <c:v>7.0669568895163817E-3</c:v>
                </c:pt>
                <c:pt idx="5">
                  <c:v>1.080453938778099E-2</c:v>
                </c:pt>
                <c:pt idx="6">
                  <c:v>1.7277129732624307E-2</c:v>
                </c:pt>
                <c:pt idx="7">
                  <c:v>2.7260564474992054E-2</c:v>
                </c:pt>
                <c:pt idx="8">
                  <c:v>2.0679575938488792E-2</c:v>
                </c:pt>
                <c:pt idx="9">
                  <c:v>3.4625538276567933E-2</c:v>
                </c:pt>
                <c:pt idx="10">
                  <c:v>4.7668039441932278E-2</c:v>
                </c:pt>
                <c:pt idx="11">
                  <c:v>5.2121155148804485E-2</c:v>
                </c:pt>
                <c:pt idx="12">
                  <c:v>2.7309251978324716E-2</c:v>
                </c:pt>
                <c:pt idx="13">
                  <c:v>2.1976293359916538E-2</c:v>
                </c:pt>
                <c:pt idx="14">
                  <c:v>-7.4594531780222198E-3</c:v>
                </c:pt>
                <c:pt idx="15">
                  <c:v>-2.0020916759645981E-2</c:v>
                </c:pt>
                <c:pt idx="16">
                  <c:v>-4.5111753517457241E-2</c:v>
                </c:pt>
                <c:pt idx="17">
                  <c:v>-3.7777275914009326E-2</c:v>
                </c:pt>
                <c:pt idx="18">
                  <c:v>-3.1679443079966341E-2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05-46CD-8344-D506C4A6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scatterChart>
        <c:scatterStyle val="lineMarker"/>
        <c:varyColors val="0"/>
        <c:ser>
          <c:idx val="1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1.1000000000000001</c:v>
              </c:pt>
              <c:pt idx="1">
                <c:v>1.1000000000000001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5F05-46CD-8344-D506C4A6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6207"/>
        <c:axId val="621996447"/>
      </c:scatterChart>
      <c:valAx>
        <c:axId val="1514459807"/>
        <c:scaling>
          <c:logBase val="10"/>
          <c:orientation val="minMax"/>
          <c:max val="2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Cambria Math" panose="02040503050406030204" pitchFamily="18" charset="0"/>
                    <a:cs typeface="Arial" panose="020B0604020202020204" pitchFamily="34" charset="0"/>
                  </a:rPr>
                  <a:t>Dmax (mm)</a:t>
                </a:r>
                <a:endParaRPr lang="en-US" sz="900" b="0" i="0" u="none" strike="noStrike" kern="1200" baseline="-25000">
                  <a:solidFill>
                    <a:sysClr val="windowText" lastClr="000000"/>
                  </a:solidFill>
                  <a:latin typeface="Arial Narrow" panose="020B0606020202030204" pitchFamily="34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567491936708958"/>
              <c:y val="0.90459302537885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60223"/>
        <c:crossesAt val="-0.8"/>
        <c:crossBetween val="midCat"/>
      </c:valAx>
      <c:valAx>
        <c:axId val="1514460223"/>
        <c:scaling>
          <c:orientation val="minMax"/>
          <c:max val="0.60000000000000009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90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ε</a:t>
                </a:r>
                <a:endParaRPr lang="en-US" sz="9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58157467262809E-2"/>
              <c:y val="0.4292689087108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59807"/>
        <c:crossesAt val="0"/>
        <c:crossBetween val="midCat"/>
      </c:valAx>
      <c:valAx>
        <c:axId val="621996447"/>
        <c:scaling>
          <c:orientation val="minMax"/>
          <c:max val="0.60000000000000009"/>
          <c:min val="-0.60000000000000009"/>
        </c:scaling>
        <c:delete val="0"/>
        <c:axPos val="r"/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36207"/>
        <c:crosses val="max"/>
        <c:crossBetween val="midCat"/>
      </c:valAx>
      <c:valAx>
        <c:axId val="621736207"/>
        <c:scaling>
          <c:logBase val="10"/>
          <c:orientation val="minMax"/>
          <c:max val="200"/>
          <c:min val="1"/>
        </c:scaling>
        <c:delete val="0"/>
        <c:axPos val="t"/>
        <c:numFmt formatCode="General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6447"/>
        <c:crosses val="max"/>
        <c:crossBetween val="midCat"/>
        <c:min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85504319844418"/>
          <c:y val="0.14359976186119391"/>
          <c:w val="0.30001216263474817"/>
          <c:h val="0.14916448379559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111781759792"/>
          <c:y val="8.9337760146909473E-2"/>
          <c:w val="0.72966144158415036"/>
          <c:h val="0.713284862765296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'01 Girumugisha-et-al-2025'!$AL$3</c:f>
              <c:strCache>
                <c:ptCount val="1"/>
                <c:pt idx="0">
                  <c:v>Residuals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'01 Girumugisha-et-al-2025'!$BD$5:$BD$25</c:f>
              <c:numCache>
                <c:formatCode>General</c:formatCode>
                <c:ptCount val="21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8</c:v>
                </c:pt>
                <c:pt idx="4">
                  <c:v>8</c:v>
                </c:pt>
                <c:pt idx="5">
                  <c:v>9.0909090909090917</c:v>
                </c:pt>
                <c:pt idx="6">
                  <c:v>9.0909090909090917</c:v>
                </c:pt>
                <c:pt idx="7">
                  <c:v>13.333333333333334</c:v>
                </c:pt>
                <c:pt idx="8">
                  <c:v>13.333333333333334</c:v>
                </c:pt>
                <c:pt idx="9">
                  <c:v>13.636363636363637</c:v>
                </c:pt>
                <c:pt idx="10">
                  <c:v>13.636363636363637</c:v>
                </c:pt>
                <c:pt idx="11">
                  <c:v>13.636363636363637</c:v>
                </c:pt>
                <c:pt idx="12">
                  <c:v>15.873015873015873</c:v>
                </c:pt>
                <c:pt idx="13">
                  <c:v>15.873015873015873</c:v>
                </c:pt>
                <c:pt idx="14">
                  <c:v>23.80952380952381</c:v>
                </c:pt>
                <c:pt idx="15">
                  <c:v>23.80952380952381</c:v>
                </c:pt>
                <c:pt idx="16">
                  <c:v>23.80952380952381</c:v>
                </c:pt>
                <c:pt idx="17">
                  <c:v>25</c:v>
                </c:pt>
                <c:pt idx="18">
                  <c:v>25</c:v>
                </c:pt>
                <c:pt idx="19">
                  <c:v>26.666666666666668</c:v>
                </c:pt>
                <c:pt idx="20">
                  <c:v>26.666666666666668</c:v>
                </c:pt>
              </c:numCache>
            </c:numRef>
          </c:xVal>
          <c:yVal>
            <c:numRef>
              <c:f>'01 Girumugisha-et-al-2025'!$BE$5:$BE$25</c:f>
              <c:numCache>
                <c:formatCode>General</c:formatCode>
                <c:ptCount val="21"/>
                <c:pt idx="0">
                  <c:v>0.11334024542131316</c:v>
                </c:pt>
                <c:pt idx="1">
                  <c:v>5.7982088457193263E-2</c:v>
                </c:pt>
                <c:pt idx="2">
                  <c:v>5.277281240920207E-2</c:v>
                </c:pt>
                <c:pt idx="3">
                  <c:v>-7.2681371379854268E-2</c:v>
                </c:pt>
                <c:pt idx="4">
                  <c:v>-1.5372684220704914E-2</c:v>
                </c:pt>
                <c:pt idx="5">
                  <c:v>4.3610433730917463E-2</c:v>
                </c:pt>
                <c:pt idx="6">
                  <c:v>-3.550381415814035E-2</c:v>
                </c:pt>
                <c:pt idx="7">
                  <c:v>-3.3838487268380631E-2</c:v>
                </c:pt>
                <c:pt idx="8">
                  <c:v>-4.8252294509255455E-3</c:v>
                </c:pt>
                <c:pt idx="9">
                  <c:v>-7.2304173696284392E-3</c:v>
                </c:pt>
                <c:pt idx="10">
                  <c:v>3.0507233874841042E-2</c:v>
                </c:pt>
                <c:pt idx="11">
                  <c:v>7.2014443614454263E-2</c:v>
                </c:pt>
                <c:pt idx="12">
                  <c:v>6.0858236896929069E-2</c:v>
                </c:pt>
                <c:pt idx="13">
                  <c:v>-2.5988714756240688E-3</c:v>
                </c:pt>
                <c:pt idx="14">
                  <c:v>-2.5918329860951481E-2</c:v>
                </c:pt>
                <c:pt idx="15">
                  <c:v>-1.8557178493755428E-3</c:v>
                </c:pt>
                <c:pt idx="16">
                  <c:v>2.2097269902615541E-2</c:v>
                </c:pt>
                <c:pt idx="17">
                  <c:v>-2.4880439052412037E-2</c:v>
                </c:pt>
                <c:pt idx="18">
                  <c:v>-1.8442016461616102E-2</c:v>
                </c:pt>
                <c:pt idx="19">
                  <c:v>-5.2045072237944551E-2</c:v>
                </c:pt>
                <c:pt idx="20">
                  <c:v>-6.2168607250181251E-2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CF-4909-897A-1FFB6D05E612}"/>
            </c:ext>
          </c:extLst>
        </c:ser>
        <c:ser>
          <c:idx val="0"/>
          <c:order val="1"/>
          <c:tx>
            <c:strRef>
              <c:f>'01 Girumugisha-et-al-2025'!$AN$4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'01 Girumugisha-et-al-2025'!$BD$6:$BD$24</c:f>
              <c:numCache>
                <c:formatCode>General</c:formatCode>
                <c:ptCount val="19"/>
                <c:pt idx="0">
                  <c:v>7.5</c:v>
                </c:pt>
                <c:pt idx="1">
                  <c:v>7.5</c:v>
                </c:pt>
                <c:pt idx="2">
                  <c:v>8</c:v>
                </c:pt>
                <c:pt idx="3">
                  <c:v>8</c:v>
                </c:pt>
                <c:pt idx="4">
                  <c:v>9.0909090909090917</c:v>
                </c:pt>
                <c:pt idx="5">
                  <c:v>9.0909090909090917</c:v>
                </c:pt>
                <c:pt idx="6">
                  <c:v>13.333333333333334</c:v>
                </c:pt>
                <c:pt idx="7">
                  <c:v>13.333333333333334</c:v>
                </c:pt>
                <c:pt idx="8">
                  <c:v>13.636363636363637</c:v>
                </c:pt>
                <c:pt idx="9">
                  <c:v>13.636363636363637</c:v>
                </c:pt>
                <c:pt idx="10">
                  <c:v>13.636363636363637</c:v>
                </c:pt>
                <c:pt idx="11">
                  <c:v>15.873015873015873</c:v>
                </c:pt>
                <c:pt idx="12">
                  <c:v>15.873015873015873</c:v>
                </c:pt>
                <c:pt idx="13">
                  <c:v>23.80952380952381</c:v>
                </c:pt>
                <c:pt idx="14">
                  <c:v>23.80952380952381</c:v>
                </c:pt>
                <c:pt idx="15">
                  <c:v>23.80952380952381</c:v>
                </c:pt>
                <c:pt idx="16">
                  <c:v>25</c:v>
                </c:pt>
                <c:pt idx="17">
                  <c:v>25</c:v>
                </c:pt>
                <c:pt idx="18">
                  <c:v>26.666666666666668</c:v>
                </c:pt>
              </c:numCache>
            </c:numRef>
          </c:xVal>
          <c:yVal>
            <c:numRef>
              <c:f>'01 Girumugisha-et-al-2025'!$BF$6:$BF$24</c:f>
              <c:numCache>
                <c:formatCode>General</c:formatCode>
                <c:ptCount val="19"/>
                <c:pt idx="0">
                  <c:v>3.7853443726963559E-2</c:v>
                </c:pt>
                <c:pt idx="1">
                  <c:v>2.7208218137429862E-2</c:v>
                </c:pt>
                <c:pt idx="2">
                  <c:v>1.3262255799350722E-2</c:v>
                </c:pt>
                <c:pt idx="3">
                  <c:v>-5.4349247237160002E-3</c:v>
                </c:pt>
                <c:pt idx="4">
                  <c:v>-2.2757184659232536E-2</c:v>
                </c:pt>
                <c:pt idx="5">
                  <c:v>-9.1859562734467968E-3</c:v>
                </c:pt>
                <c:pt idx="6">
                  <c:v>-7.5575029032315015E-3</c:v>
                </c:pt>
                <c:pt idx="7">
                  <c:v>-1.0178142874446785E-2</c:v>
                </c:pt>
                <c:pt idx="8">
                  <c:v>1.1325508680072137E-2</c:v>
                </c:pt>
                <c:pt idx="9">
                  <c:v>3.0264853513134078E-2</c:v>
                </c:pt>
                <c:pt idx="10">
                  <c:v>3.0710125108194368E-2</c:v>
                </c:pt>
                <c:pt idx="11">
                  <c:v>2.6972542609929762E-2</c:v>
                </c:pt>
                <c:pt idx="12">
                  <c:v>2.0499952265086448E-2</c:v>
                </c:pt>
                <c:pt idx="13">
                  <c:v>1.0516517522718703E-2</c:v>
                </c:pt>
                <c:pt idx="14">
                  <c:v>-6.6312176671495179E-3</c:v>
                </c:pt>
                <c:pt idx="15">
                  <c:v>-9.7998466643479248E-3</c:v>
                </c:pt>
                <c:pt idx="16">
                  <c:v>-1.5025195139746539E-2</c:v>
                </c:pt>
                <c:pt idx="17">
                  <c:v>-2.7087773019907679E-2</c:v>
                </c:pt>
                <c:pt idx="18">
                  <c:v>-3.9384033750538484E-2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CF-4909-897A-1FFB6D05E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scatterChart>
        <c:scatterStyle val="lineMarker"/>
        <c:varyColors val="0"/>
        <c:ser>
          <c:idx val="1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1.1000000000000001</c:v>
              </c:pt>
              <c:pt idx="1">
                <c:v>1.1000000000000001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FCF-4909-897A-1FFB6D05E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6207"/>
        <c:axId val="621996447"/>
      </c:scatterChart>
      <c:valAx>
        <c:axId val="1514459807"/>
        <c:scaling>
          <c:logBase val="10"/>
          <c:orientation val="minMax"/>
          <c:max val="50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Cambria Math" panose="02040503050406030204" pitchFamily="18" charset="0"/>
                    <a:cs typeface="Arial" panose="020B0604020202020204" pitchFamily="34" charset="0"/>
                  </a:rPr>
                  <a:t>Ds/Dmax</a:t>
                </a:r>
                <a:endParaRPr lang="en-US" sz="900" b="0" i="0" u="none" strike="noStrike" kern="1200" baseline="-25000">
                  <a:solidFill>
                    <a:sysClr val="windowText" lastClr="000000"/>
                  </a:solidFill>
                  <a:latin typeface="Arial Narrow" panose="020B0606020202030204" pitchFamily="34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567491936708958"/>
              <c:y val="0.90459302537885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60223"/>
        <c:crossesAt val="-0.8"/>
        <c:crossBetween val="midCat"/>
      </c:valAx>
      <c:valAx>
        <c:axId val="1514460223"/>
        <c:scaling>
          <c:orientation val="minMax"/>
          <c:max val="0.60000000000000009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90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ε</a:t>
                </a:r>
                <a:endParaRPr lang="en-US" sz="9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58157467262809E-2"/>
              <c:y val="0.4292689087108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59807"/>
        <c:crossesAt val="0"/>
        <c:crossBetween val="midCat"/>
      </c:valAx>
      <c:valAx>
        <c:axId val="621996447"/>
        <c:scaling>
          <c:orientation val="minMax"/>
          <c:max val="0.60000000000000009"/>
          <c:min val="-0.60000000000000009"/>
        </c:scaling>
        <c:delete val="0"/>
        <c:axPos val="r"/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36207"/>
        <c:crosses val="max"/>
        <c:crossBetween val="midCat"/>
      </c:valAx>
      <c:valAx>
        <c:axId val="621736207"/>
        <c:scaling>
          <c:logBase val="10"/>
          <c:orientation val="minMax"/>
          <c:max val="50"/>
          <c:min val="5"/>
        </c:scaling>
        <c:delete val="0"/>
        <c:axPos val="t"/>
        <c:numFmt formatCode="General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6447"/>
        <c:crosses val="max"/>
        <c:crossBetween val="midCat"/>
        <c:min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85504319844418"/>
          <c:y val="0.14359976186119391"/>
          <c:w val="0.30001216263474817"/>
          <c:h val="0.14916448379559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111781759792"/>
          <c:y val="8.9337760146909473E-2"/>
          <c:w val="0.72966144158415036"/>
          <c:h val="0.713284862765296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'01 Girumugisha-et-al-2025'!$AL$3</c:f>
              <c:strCache>
                <c:ptCount val="1"/>
                <c:pt idx="0">
                  <c:v>Residuals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'01 Girumugisha-et-al-2025'!$BU$5:$BU$25</c:f>
              <c:numCache>
                <c:formatCode>General</c:formatCode>
                <c:ptCount val="21"/>
                <c:pt idx="0">
                  <c:v>1.8</c:v>
                </c:pt>
                <c:pt idx="1">
                  <c:v>1.8</c:v>
                </c:pt>
                <c:pt idx="2">
                  <c:v>2.9</c:v>
                </c:pt>
                <c:pt idx="3">
                  <c:v>2.9</c:v>
                </c:pt>
                <c:pt idx="4">
                  <c:v>2.9</c:v>
                </c:pt>
                <c:pt idx="5">
                  <c:v>2.9</c:v>
                </c:pt>
                <c:pt idx="6">
                  <c:v>8.6999999999999993</c:v>
                </c:pt>
                <c:pt idx="7">
                  <c:v>8.6999999999999993</c:v>
                </c:pt>
                <c:pt idx="8">
                  <c:v>8.6999999999999993</c:v>
                </c:pt>
                <c:pt idx="9">
                  <c:v>8.6999999999999993</c:v>
                </c:pt>
                <c:pt idx="10">
                  <c:v>15.9</c:v>
                </c:pt>
                <c:pt idx="11">
                  <c:v>21.2</c:v>
                </c:pt>
                <c:pt idx="12">
                  <c:v>21.2</c:v>
                </c:pt>
                <c:pt idx="13">
                  <c:v>28.7</c:v>
                </c:pt>
                <c:pt idx="14">
                  <c:v>31.7</c:v>
                </c:pt>
                <c:pt idx="15">
                  <c:v>31.7</c:v>
                </c:pt>
                <c:pt idx="16">
                  <c:v>49.3</c:v>
                </c:pt>
                <c:pt idx="17">
                  <c:v>49.3</c:v>
                </c:pt>
                <c:pt idx="18">
                  <c:v>52.5</c:v>
                </c:pt>
                <c:pt idx="19">
                  <c:v>57.3</c:v>
                </c:pt>
                <c:pt idx="20">
                  <c:v>57.3</c:v>
                </c:pt>
              </c:numCache>
            </c:numRef>
          </c:xVal>
          <c:yVal>
            <c:numRef>
              <c:f>'01 Girumugisha-et-al-2025'!$BV$5:$BV$25</c:f>
              <c:numCache>
                <c:formatCode>General</c:formatCode>
                <c:ptCount val="21"/>
                <c:pt idx="0">
                  <c:v>-2.4880439052412037E-2</c:v>
                </c:pt>
                <c:pt idx="1">
                  <c:v>-1.8442016461616102E-2</c:v>
                </c:pt>
                <c:pt idx="2">
                  <c:v>6.0858236896929069E-2</c:v>
                </c:pt>
                <c:pt idx="3">
                  <c:v>-2.5918329860951481E-2</c:v>
                </c:pt>
                <c:pt idx="4">
                  <c:v>2.2097269902615541E-2</c:v>
                </c:pt>
                <c:pt idx="5">
                  <c:v>-2.5988714756240688E-3</c:v>
                </c:pt>
                <c:pt idx="6">
                  <c:v>4.3610433730917463E-2</c:v>
                </c:pt>
                <c:pt idx="7">
                  <c:v>-7.2304173696284392E-3</c:v>
                </c:pt>
                <c:pt idx="8">
                  <c:v>7.2014443614454263E-2</c:v>
                </c:pt>
                <c:pt idx="9">
                  <c:v>-3.550381415814035E-2</c:v>
                </c:pt>
                <c:pt idx="10">
                  <c:v>-1.8557178493755428E-3</c:v>
                </c:pt>
                <c:pt idx="11">
                  <c:v>0.11334024542131316</c:v>
                </c:pt>
                <c:pt idx="12">
                  <c:v>5.277281240920207E-2</c:v>
                </c:pt>
                <c:pt idx="13">
                  <c:v>3.0507233874841042E-2</c:v>
                </c:pt>
                <c:pt idx="14">
                  <c:v>-5.2045072237944551E-2</c:v>
                </c:pt>
                <c:pt idx="15">
                  <c:v>-6.2168607250181251E-2</c:v>
                </c:pt>
                <c:pt idx="16">
                  <c:v>-3.3838487268380631E-2</c:v>
                </c:pt>
                <c:pt idx="17">
                  <c:v>-4.8252294509255455E-3</c:v>
                </c:pt>
                <c:pt idx="18">
                  <c:v>5.7982088457193263E-2</c:v>
                </c:pt>
                <c:pt idx="19">
                  <c:v>-7.2681371379854268E-2</c:v>
                </c:pt>
                <c:pt idx="20">
                  <c:v>-1.5372684220704914E-2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E8-45B8-9DC6-3C23EF0E5D98}"/>
            </c:ext>
          </c:extLst>
        </c:ser>
        <c:ser>
          <c:idx val="0"/>
          <c:order val="1"/>
          <c:tx>
            <c:strRef>
              <c:f>'01 Girumugisha-et-al-2025'!$AN$4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'01 Girumugisha-et-al-2025'!$BU$6:$BU$24</c:f>
              <c:numCache>
                <c:formatCode>General</c:formatCode>
                <c:ptCount val="19"/>
                <c:pt idx="0">
                  <c:v>1.8</c:v>
                </c:pt>
                <c:pt idx="1">
                  <c:v>2.9</c:v>
                </c:pt>
                <c:pt idx="2">
                  <c:v>2.9</c:v>
                </c:pt>
                <c:pt idx="3">
                  <c:v>2.9</c:v>
                </c:pt>
                <c:pt idx="4">
                  <c:v>2.9</c:v>
                </c:pt>
                <c:pt idx="5">
                  <c:v>8.6999999999999993</c:v>
                </c:pt>
                <c:pt idx="6">
                  <c:v>8.6999999999999993</c:v>
                </c:pt>
                <c:pt idx="7">
                  <c:v>8.6999999999999993</c:v>
                </c:pt>
                <c:pt idx="8">
                  <c:v>8.6999999999999993</c:v>
                </c:pt>
                <c:pt idx="9">
                  <c:v>15.9</c:v>
                </c:pt>
                <c:pt idx="10">
                  <c:v>21.2</c:v>
                </c:pt>
                <c:pt idx="11">
                  <c:v>21.2</c:v>
                </c:pt>
                <c:pt idx="12">
                  <c:v>28.7</c:v>
                </c:pt>
                <c:pt idx="13">
                  <c:v>31.7</c:v>
                </c:pt>
                <c:pt idx="14">
                  <c:v>31.7</c:v>
                </c:pt>
                <c:pt idx="15">
                  <c:v>49.3</c:v>
                </c:pt>
                <c:pt idx="16">
                  <c:v>49.3</c:v>
                </c:pt>
                <c:pt idx="17">
                  <c:v>52.5</c:v>
                </c:pt>
                <c:pt idx="18">
                  <c:v>57.3</c:v>
                </c:pt>
              </c:numCache>
            </c:numRef>
          </c:xVal>
          <c:yVal>
            <c:numRef>
              <c:f>'01 Girumugisha-et-al-2025'!$BW$6:$BW$24</c:f>
              <c:numCache>
                <c:formatCode>General</c:formatCode>
                <c:ptCount val="19"/>
                <c:pt idx="0">
                  <c:v>-2.0956371195126368E-3</c:v>
                </c:pt>
                <c:pt idx="1">
                  <c:v>2.7429442849129988E-3</c:v>
                </c:pt>
                <c:pt idx="2">
                  <c:v>7.1992578002705917E-3</c:v>
                </c:pt>
                <c:pt idx="3">
                  <c:v>1.9609747838777301E-2</c:v>
                </c:pt>
                <c:pt idx="4">
                  <c:v>5.9920169854658029E-3</c:v>
                </c:pt>
                <c:pt idx="5">
                  <c:v>2.5578571680546953E-2</c:v>
                </c:pt>
                <c:pt idx="6">
                  <c:v>1.4058354868395772E-2</c:v>
                </c:pt>
                <c:pt idx="7">
                  <c:v>1.4206985593645477E-2</c:v>
                </c:pt>
                <c:pt idx="8">
                  <c:v>2.8152947931724615E-2</c:v>
                </c:pt>
                <c:pt idx="9">
                  <c:v>4.0153593887490721E-2</c:v>
                </c:pt>
                <c:pt idx="10">
                  <c:v>3.1852151939568071E-2</c:v>
                </c:pt>
                <c:pt idx="11">
                  <c:v>2.8543900323607235E-2</c:v>
                </c:pt>
                <c:pt idx="12">
                  <c:v>1.6481322443446095E-2</c:v>
                </c:pt>
                <c:pt idx="13">
                  <c:v>-1.2954424094492661E-2</c:v>
                </c:pt>
                <c:pt idx="14">
                  <c:v>-2.4474032466518188E-2</c:v>
                </c:pt>
                <c:pt idx="15">
                  <c:v>-1.8979061550047738E-2</c:v>
                </c:pt>
                <c:pt idx="16">
                  <c:v>-2.3106321378429683E-2</c:v>
                </c:pt>
                <c:pt idx="17">
                  <c:v>-1.3747136772534418E-2</c:v>
                </c:pt>
                <c:pt idx="18">
                  <c:v>-8.7242991485728671E-3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E8-45B8-9DC6-3C23EF0E5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scatterChart>
        <c:scatterStyle val="lineMarker"/>
        <c:varyColors val="0"/>
        <c:ser>
          <c:idx val="1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1.1000000000000001</c:v>
              </c:pt>
              <c:pt idx="1">
                <c:v>1.1000000000000001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3E8-45B8-9DC6-3C23EF0E5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6207"/>
        <c:axId val="621996447"/>
      </c:scatterChart>
      <c:valAx>
        <c:axId val="1514459807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Cambria Math" panose="02040503050406030204" pitchFamily="18" charset="0"/>
                    <a:cs typeface="Arial" panose="020B0604020202020204" pitchFamily="34" charset="0"/>
                  </a:rPr>
                  <a:t>Cu</a:t>
                </a:r>
              </a:p>
            </c:rich>
          </c:tx>
          <c:layout>
            <c:manualLayout>
              <c:xMode val="edge"/>
              <c:yMode val="edge"/>
              <c:x val="0.49727942593161334"/>
              <c:y val="0.90459298885558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60223"/>
        <c:crossesAt val="-0.8"/>
        <c:crossBetween val="midCat"/>
      </c:valAx>
      <c:valAx>
        <c:axId val="1514460223"/>
        <c:scaling>
          <c:orientation val="minMax"/>
          <c:max val="0.60000000000000009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90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ε</a:t>
                </a:r>
                <a:endParaRPr lang="en-US" sz="9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58157467262809E-2"/>
              <c:y val="0.4292689087108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59807"/>
        <c:crossesAt val="0"/>
        <c:crossBetween val="midCat"/>
      </c:valAx>
      <c:valAx>
        <c:axId val="621996447"/>
        <c:scaling>
          <c:orientation val="minMax"/>
          <c:max val="0.60000000000000009"/>
          <c:min val="-0.60000000000000009"/>
        </c:scaling>
        <c:delete val="0"/>
        <c:axPos val="r"/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36207"/>
        <c:crosses val="max"/>
        <c:crossBetween val="midCat"/>
      </c:valAx>
      <c:valAx>
        <c:axId val="621736207"/>
        <c:scaling>
          <c:logBase val="10"/>
          <c:orientation val="minMax"/>
          <c:max val="100"/>
          <c:min val="1"/>
        </c:scaling>
        <c:delete val="0"/>
        <c:axPos val="t"/>
        <c:numFmt formatCode="General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6447"/>
        <c:crosses val="max"/>
        <c:crossBetween val="midCat"/>
        <c:min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85504319844418"/>
          <c:y val="0.14359976186119391"/>
          <c:w val="0.30001216263474817"/>
          <c:h val="0.14916448379559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111781759792"/>
          <c:y val="8.9337760146909473E-2"/>
          <c:w val="0.72966144158415036"/>
          <c:h val="0.713284862765296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'01 Girumugisha-et-al-2025'!$AL$3</c:f>
              <c:strCache>
                <c:ptCount val="1"/>
                <c:pt idx="0">
                  <c:v>Residuals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'01 Girumugisha-et-al-2025'!$AU$5:$AU$25</c:f>
              <c:numCache>
                <c:formatCode>General</c:formatCode>
                <c:ptCount val="21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0.8</c:v>
                </c:pt>
                <c:pt idx="5">
                  <c:v>0.8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12</c:v>
                </c:pt>
                <c:pt idx="16">
                  <c:v>12</c:v>
                </c:pt>
                <c:pt idx="17">
                  <c:v>15</c:v>
                </c:pt>
                <c:pt idx="18">
                  <c:v>15</c:v>
                </c:pt>
                <c:pt idx="19">
                  <c:v>17</c:v>
                </c:pt>
                <c:pt idx="20">
                  <c:v>17</c:v>
                </c:pt>
              </c:numCache>
            </c:numRef>
          </c:xVal>
          <c:yVal>
            <c:numRef>
              <c:f>'01 Girumugisha-et-al-2025'!$AV$5:$AV$25</c:f>
              <c:numCache>
                <c:formatCode>General</c:formatCode>
                <c:ptCount val="21"/>
                <c:pt idx="0">
                  <c:v>6.0858236896929069E-2</c:v>
                </c:pt>
                <c:pt idx="1">
                  <c:v>-2.4880439052412037E-2</c:v>
                </c:pt>
                <c:pt idx="2">
                  <c:v>-1.8442016461616102E-2</c:v>
                </c:pt>
                <c:pt idx="3">
                  <c:v>-2.5988714756240688E-3</c:v>
                </c:pt>
                <c:pt idx="4">
                  <c:v>4.3610433730917463E-2</c:v>
                </c:pt>
                <c:pt idx="5">
                  <c:v>-3.550381415814035E-2</c:v>
                </c:pt>
                <c:pt idx="6">
                  <c:v>0.11334024542131316</c:v>
                </c:pt>
                <c:pt idx="7">
                  <c:v>-2.5918329860951481E-2</c:v>
                </c:pt>
                <c:pt idx="8">
                  <c:v>-1.8557178493755428E-3</c:v>
                </c:pt>
                <c:pt idx="9">
                  <c:v>2.2097269902615541E-2</c:v>
                </c:pt>
                <c:pt idx="10">
                  <c:v>-5.2045072237944551E-2</c:v>
                </c:pt>
                <c:pt idx="11">
                  <c:v>-6.2168607250181251E-2</c:v>
                </c:pt>
                <c:pt idx="12">
                  <c:v>-7.2304173696284392E-3</c:v>
                </c:pt>
                <c:pt idx="13">
                  <c:v>3.0507233874841042E-2</c:v>
                </c:pt>
                <c:pt idx="14">
                  <c:v>7.2014443614454263E-2</c:v>
                </c:pt>
                <c:pt idx="15">
                  <c:v>5.7982088457193263E-2</c:v>
                </c:pt>
                <c:pt idx="16">
                  <c:v>5.277281240920207E-2</c:v>
                </c:pt>
                <c:pt idx="17">
                  <c:v>-3.3838487268380631E-2</c:v>
                </c:pt>
                <c:pt idx="18">
                  <c:v>-4.8252294509255455E-3</c:v>
                </c:pt>
                <c:pt idx="19">
                  <c:v>-7.2681371379854268E-2</c:v>
                </c:pt>
                <c:pt idx="20">
                  <c:v>-1.5372684220704914E-2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DB-4F5D-9C13-84CCE50EF17A}"/>
            </c:ext>
          </c:extLst>
        </c:ser>
        <c:ser>
          <c:idx val="0"/>
          <c:order val="1"/>
          <c:tx>
            <c:strRef>
              <c:f>'01 Girumugisha-et-al-2025'!$AN$4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'01 Girumugisha-et-al-2025'!$AU$6:$AU$24</c:f>
              <c:numCache>
                <c:formatCode>General</c:formatCode>
                <c:ptCount val="19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0.8</c:v>
                </c:pt>
                <c:pt idx="4">
                  <c:v>0.8</c:v>
                </c:pt>
                <c:pt idx="5">
                  <c:v>3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12</c:v>
                </c:pt>
                <c:pt idx="15">
                  <c:v>12</c:v>
                </c:pt>
                <c:pt idx="16">
                  <c:v>15</c:v>
                </c:pt>
                <c:pt idx="17">
                  <c:v>15</c:v>
                </c:pt>
                <c:pt idx="18">
                  <c:v>17</c:v>
                </c:pt>
              </c:numCache>
            </c:numRef>
          </c:xVal>
          <c:yVal>
            <c:numRef>
              <c:f>'01 Girumugisha-et-al-2025'!$AW$6:$AW$24</c:f>
              <c:numCache>
                <c:formatCode>General</c:formatCode>
                <c:ptCount val="19"/>
                <c:pt idx="0">
                  <c:v>3.7342274768192153E-3</c:v>
                </c:pt>
                <c:pt idx="1">
                  <c:v>1.1709468727638865E-2</c:v>
                </c:pt>
                <c:pt idx="2">
                  <c:v>-7.5629414833750189E-3</c:v>
                </c:pt>
                <c:pt idx="3">
                  <c:v>2.0081195411370021E-2</c:v>
                </c:pt>
                <c:pt idx="4">
                  <c:v>1.8585932731502944E-2</c:v>
                </c:pt>
                <c:pt idx="5">
                  <c:v>1.8734563456752649E-2</c:v>
                </c:pt>
                <c:pt idx="6">
                  <c:v>1.4431930691092266E-2</c:v>
                </c:pt>
                <c:pt idx="7">
                  <c:v>1.1123679075131423E-2</c:v>
                </c:pt>
                <c:pt idx="8">
                  <c:v>-2.3978091459167454E-2</c:v>
                </c:pt>
                <c:pt idx="9">
                  <c:v>-2.0240508960902851E-2</c:v>
                </c:pt>
                <c:pt idx="10">
                  <c:v>-1.3767918616059532E-2</c:v>
                </c:pt>
                <c:pt idx="11">
                  <c:v>-3.7844838736917881E-3</c:v>
                </c:pt>
                <c:pt idx="12">
                  <c:v>1.8220948265335775E-2</c:v>
                </c:pt>
                <c:pt idx="13">
                  <c:v>4.1209232197212439E-2</c:v>
                </c:pt>
                <c:pt idx="14">
                  <c:v>3.5887618217462003E-2</c:v>
                </c:pt>
                <c:pt idx="15">
                  <c:v>2.8821125552308684E-2</c:v>
                </c:pt>
                <c:pt idx="16">
                  <c:v>-1.1803744655302096E-4</c:v>
                </c:pt>
                <c:pt idx="17">
                  <c:v>-1.4788991982132658E-2</c:v>
                </c:pt>
                <c:pt idx="18">
                  <c:v>-3.1679443079966341E-2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DB-4F5D-9C13-84CCE50E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scatterChart>
        <c:scatterStyle val="lineMarker"/>
        <c:varyColors val="0"/>
        <c:ser>
          <c:idx val="1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1.1000000000000001</c:v>
              </c:pt>
              <c:pt idx="1">
                <c:v>1.1000000000000001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EDB-4F5D-9C13-84CCE50E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6207"/>
        <c:axId val="621996447"/>
      </c:scatterChart>
      <c:valAx>
        <c:axId val="1514459807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Cambria Math" panose="02040503050406030204" pitchFamily="18" charset="0"/>
                    <a:cs typeface="Arial" panose="020B0604020202020204" pitchFamily="34" charset="0"/>
                  </a:rPr>
                  <a:t>D50 (mm)</a:t>
                </a:r>
                <a:endParaRPr lang="en-US" sz="900" b="0" i="0" u="none" strike="noStrike" kern="1200" baseline="-25000">
                  <a:solidFill>
                    <a:sysClr val="windowText" lastClr="000000"/>
                  </a:solidFill>
                  <a:latin typeface="Arial Narrow" panose="020B0606020202030204" pitchFamily="34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567491936708958"/>
              <c:y val="0.90459302537885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60223"/>
        <c:crossesAt val="-0.8"/>
        <c:crossBetween val="midCat"/>
      </c:valAx>
      <c:valAx>
        <c:axId val="1514460223"/>
        <c:scaling>
          <c:orientation val="minMax"/>
          <c:max val="0.60000000000000009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90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ε</a:t>
                </a:r>
                <a:endParaRPr lang="en-US" sz="9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58157467262809E-2"/>
              <c:y val="0.4292689087108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59807"/>
        <c:crossesAt val="0"/>
        <c:crossBetween val="midCat"/>
      </c:valAx>
      <c:valAx>
        <c:axId val="621996447"/>
        <c:scaling>
          <c:orientation val="minMax"/>
          <c:max val="0.60000000000000009"/>
          <c:min val="-0.60000000000000009"/>
        </c:scaling>
        <c:delete val="0"/>
        <c:axPos val="r"/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36207"/>
        <c:crosses val="max"/>
        <c:crossBetween val="midCat"/>
      </c:valAx>
      <c:valAx>
        <c:axId val="621736207"/>
        <c:scaling>
          <c:logBase val="10"/>
          <c:orientation val="minMax"/>
          <c:max val="100"/>
          <c:min val="0.1"/>
        </c:scaling>
        <c:delete val="0"/>
        <c:axPos val="t"/>
        <c:numFmt formatCode="General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6447"/>
        <c:crosses val="max"/>
        <c:crossBetween val="midCat"/>
        <c:min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85504319844418"/>
          <c:y val="0.14359976186119391"/>
          <c:w val="0.30001216263474817"/>
          <c:h val="0.14916448379559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111781759792"/>
          <c:y val="8.9337760146909473E-2"/>
          <c:w val="0.72966144158415036"/>
          <c:h val="0.713284862765296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'01 Girumugisha-et-al-2025'!$AL$3</c:f>
              <c:strCache>
                <c:ptCount val="1"/>
                <c:pt idx="0">
                  <c:v>Residuals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'01 Girumugisha-et-al-2025'!$BM$5:$BM$25</c:f>
              <c:numCache>
                <c:formatCode>General</c:formatCode>
                <c:ptCount val="21"/>
                <c:pt idx="0">
                  <c:v>12.5</c:v>
                </c:pt>
                <c:pt idx="1">
                  <c:v>12.5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47.058823529411768</c:v>
                </c:pt>
                <c:pt idx="9">
                  <c:v>47.058823529411768</c:v>
                </c:pt>
                <c:pt idx="10">
                  <c:v>50</c:v>
                </c:pt>
                <c:pt idx="11">
                  <c:v>53.333333333333336</c:v>
                </c:pt>
                <c:pt idx="12">
                  <c:v>53.333333333333336</c:v>
                </c:pt>
                <c:pt idx="13">
                  <c:v>114.28571428571429</c:v>
                </c:pt>
                <c:pt idx="14">
                  <c:v>114.28571428571429</c:v>
                </c:pt>
                <c:pt idx="15">
                  <c:v>125</c:v>
                </c:pt>
                <c:pt idx="16">
                  <c:v>125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</c:numCache>
            </c:numRef>
          </c:xVal>
          <c:yVal>
            <c:numRef>
              <c:f>'01 Girumugisha-et-al-2025'!$BN$5:$BN$25</c:f>
              <c:numCache>
                <c:formatCode>General</c:formatCode>
                <c:ptCount val="21"/>
                <c:pt idx="0">
                  <c:v>5.7982088457193263E-2</c:v>
                </c:pt>
                <c:pt idx="1">
                  <c:v>5.277281240920207E-2</c:v>
                </c:pt>
                <c:pt idx="2">
                  <c:v>-7.2304173696284392E-3</c:v>
                </c:pt>
                <c:pt idx="3">
                  <c:v>3.0507233874841042E-2</c:v>
                </c:pt>
                <c:pt idx="4">
                  <c:v>7.2014443614454263E-2</c:v>
                </c:pt>
                <c:pt idx="5">
                  <c:v>-2.5918329860951481E-2</c:v>
                </c:pt>
                <c:pt idx="6">
                  <c:v>-1.8557178493755428E-3</c:v>
                </c:pt>
                <c:pt idx="7">
                  <c:v>2.2097269902615541E-2</c:v>
                </c:pt>
                <c:pt idx="8">
                  <c:v>-7.2681371379854268E-2</c:v>
                </c:pt>
                <c:pt idx="9">
                  <c:v>-1.5372684220704914E-2</c:v>
                </c:pt>
                <c:pt idx="10">
                  <c:v>0.11334024542131316</c:v>
                </c:pt>
                <c:pt idx="11">
                  <c:v>-3.3838487268380631E-2</c:v>
                </c:pt>
                <c:pt idx="12">
                  <c:v>-4.8252294509255455E-3</c:v>
                </c:pt>
                <c:pt idx="13">
                  <c:v>-5.2045072237944551E-2</c:v>
                </c:pt>
                <c:pt idx="14">
                  <c:v>-6.2168607250181251E-2</c:v>
                </c:pt>
                <c:pt idx="15">
                  <c:v>4.3610433730917463E-2</c:v>
                </c:pt>
                <c:pt idx="16">
                  <c:v>-3.550381415814035E-2</c:v>
                </c:pt>
                <c:pt idx="17">
                  <c:v>6.0858236896929069E-2</c:v>
                </c:pt>
                <c:pt idx="18">
                  <c:v>-2.4880439052412037E-2</c:v>
                </c:pt>
                <c:pt idx="19">
                  <c:v>-1.8442016461616102E-2</c:v>
                </c:pt>
                <c:pt idx="20">
                  <c:v>-2.5988714756240688E-3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47-42B5-A880-5E3156811AC4}"/>
            </c:ext>
          </c:extLst>
        </c:ser>
        <c:ser>
          <c:idx val="0"/>
          <c:order val="1"/>
          <c:tx>
            <c:strRef>
              <c:f>'01 Girumugisha-et-al-2025'!$AN$4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'01 Girumugisha-et-al-2025'!$BM$6:$BM$24</c:f>
              <c:numCache>
                <c:formatCode>General</c:formatCode>
                <c:ptCount val="19"/>
                <c:pt idx="0">
                  <c:v>12.5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47.058823529411768</c:v>
                </c:pt>
                <c:pt idx="8">
                  <c:v>47.058823529411768</c:v>
                </c:pt>
                <c:pt idx="9">
                  <c:v>50</c:v>
                </c:pt>
                <c:pt idx="10">
                  <c:v>53.333333333333336</c:v>
                </c:pt>
                <c:pt idx="11">
                  <c:v>53.333333333333336</c:v>
                </c:pt>
                <c:pt idx="12">
                  <c:v>114.28571428571429</c:v>
                </c:pt>
                <c:pt idx="13">
                  <c:v>114.28571428571429</c:v>
                </c:pt>
                <c:pt idx="14">
                  <c:v>125</c:v>
                </c:pt>
                <c:pt idx="15">
                  <c:v>125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</c:numCache>
            </c:numRef>
          </c:xVal>
          <c:yVal>
            <c:numRef>
              <c:f>'01 Girumugisha-et-al-2025'!$BO$6:$BO$24</c:f>
              <c:numCache>
                <c:formatCode>General</c:formatCode>
                <c:ptCount val="19"/>
                <c:pt idx="0">
                  <c:v>3.3507929342901983E-2</c:v>
                </c:pt>
                <c:pt idx="1">
                  <c:v>4.1209232197212439E-2</c:v>
                </c:pt>
                <c:pt idx="2">
                  <c:v>2.4429148533583491E-2</c:v>
                </c:pt>
                <c:pt idx="3">
                  <c:v>1.3503442481867967E-2</c:v>
                </c:pt>
                <c:pt idx="4">
                  <c:v>1.9368979936316762E-2</c:v>
                </c:pt>
                <c:pt idx="5">
                  <c:v>-1.2687411146222987E-3</c:v>
                </c:pt>
                <c:pt idx="6">
                  <c:v>-1.8746166681654134E-2</c:v>
                </c:pt>
                <c:pt idx="7">
                  <c:v>9.1055483747987942E-3</c:v>
                </c:pt>
                <c:pt idx="8">
                  <c:v>2.7089944909977778E-3</c:v>
                </c:pt>
                <c:pt idx="9">
                  <c:v>-2.6755053797104392E-3</c:v>
                </c:pt>
                <c:pt idx="10">
                  <c:v>1.4517544486715023E-3</c:v>
                </c:pt>
                <c:pt idx="11">
                  <c:v>-7.9074301572237635E-3</c:v>
                </c:pt>
                <c:pt idx="12">
                  <c:v>-2.1853392495302902E-2</c:v>
                </c:pt>
                <c:pt idx="13">
                  <c:v>-2.218645787325485E-2</c:v>
                </c:pt>
                <c:pt idx="14">
                  <c:v>-9.0497646036839241E-3</c:v>
                </c:pt>
                <c:pt idx="15">
                  <c:v>-3.6168379665774213E-3</c:v>
                </c:pt>
                <c:pt idx="16">
                  <c:v>5.1284801911356086E-3</c:v>
                </c:pt>
                <c:pt idx="17">
                  <c:v>-4.1133808501726977E-3</c:v>
                </c:pt>
                <c:pt idx="18">
                  <c:v>3.7342274768192153E-3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47-42B5-A880-5E3156811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scatterChart>
        <c:scatterStyle val="lineMarker"/>
        <c:varyColors val="0"/>
        <c:ser>
          <c:idx val="1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1.1000000000000001</c:v>
              </c:pt>
              <c:pt idx="1">
                <c:v>1.1000000000000001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547-42B5-A880-5E3156811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6207"/>
        <c:axId val="621996447"/>
      </c:scatterChart>
      <c:valAx>
        <c:axId val="1514459807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Cambria Math" panose="02040503050406030204" pitchFamily="18" charset="0"/>
                    <a:cs typeface="Arial" panose="020B0604020202020204" pitchFamily="34" charset="0"/>
                  </a:rPr>
                  <a:t>Ds/D50</a:t>
                </a:r>
                <a:endParaRPr lang="en-US" sz="900" b="0" i="0" u="none" strike="noStrike" kern="1200" baseline="-25000">
                  <a:solidFill>
                    <a:sysClr val="windowText" lastClr="000000"/>
                  </a:solidFill>
                  <a:latin typeface="Arial Narrow" panose="020B0606020202030204" pitchFamily="34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567491936708958"/>
              <c:y val="0.90459302537885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60223"/>
        <c:crossesAt val="-0.8"/>
        <c:crossBetween val="midCat"/>
      </c:valAx>
      <c:valAx>
        <c:axId val="1514460223"/>
        <c:scaling>
          <c:orientation val="minMax"/>
          <c:max val="0.60000000000000009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90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ε</a:t>
                </a:r>
                <a:endParaRPr lang="en-US" sz="9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58157467262809E-2"/>
              <c:y val="0.4292689087108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59807"/>
        <c:crossesAt val="0"/>
        <c:crossBetween val="midCat"/>
      </c:valAx>
      <c:valAx>
        <c:axId val="621996447"/>
        <c:scaling>
          <c:orientation val="minMax"/>
          <c:max val="0.60000000000000009"/>
          <c:min val="-0.60000000000000009"/>
        </c:scaling>
        <c:delete val="0"/>
        <c:axPos val="r"/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36207"/>
        <c:crosses val="max"/>
        <c:crossBetween val="midCat"/>
      </c:valAx>
      <c:valAx>
        <c:axId val="621736207"/>
        <c:scaling>
          <c:logBase val="10"/>
          <c:orientation val="minMax"/>
          <c:max val="50"/>
          <c:min val="5"/>
        </c:scaling>
        <c:delete val="0"/>
        <c:axPos val="t"/>
        <c:numFmt formatCode="General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6447"/>
        <c:crosses val="max"/>
        <c:crossBetween val="midCat"/>
        <c:min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85504319844418"/>
          <c:y val="0.14359976186119391"/>
          <c:w val="0.30001216263474817"/>
          <c:h val="0.14916448379559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xVal>
            <c:numRef>
              <c:f>'01 Girumugisha-et-al-2025'!$Q$5:$Q$25</c:f>
              <c:numCache>
                <c:formatCode>0.00</c:formatCode>
                <c:ptCount val="21"/>
                <c:pt idx="0">
                  <c:v>47.030432247992735</c:v>
                </c:pt>
                <c:pt idx="1">
                  <c:v>44.580994352405419</c:v>
                </c:pt>
                <c:pt idx="2">
                  <c:v>46.521950441467425</c:v>
                </c:pt>
                <c:pt idx="3">
                  <c:v>42.353073723655243</c:v>
                </c:pt>
                <c:pt idx="4">
                  <c:v>43.097105533727138</c:v>
                </c:pt>
                <c:pt idx="5">
                  <c:v>41.35692717285977</c:v>
                </c:pt>
                <c:pt idx="6">
                  <c:v>45.453286710085244</c:v>
                </c:pt>
                <c:pt idx="7">
                  <c:v>46.025963871360247</c:v>
                </c:pt>
                <c:pt idx="8">
                  <c:v>46.646424982416939</c:v>
                </c:pt>
                <c:pt idx="9">
                  <c:v>39.574792723960037</c:v>
                </c:pt>
                <c:pt idx="10">
                  <c:v>40.409752694979659</c:v>
                </c:pt>
                <c:pt idx="11">
                  <c:v>40.863212324868414</c:v>
                </c:pt>
                <c:pt idx="12">
                  <c:v>44.222574946980806</c:v>
                </c:pt>
                <c:pt idx="13">
                  <c:v>46.155259368301273</c:v>
                </c:pt>
                <c:pt idx="14">
                  <c:v>47.360287802327775</c:v>
                </c:pt>
                <c:pt idx="15">
                  <c:v>43.752861087521353</c:v>
                </c:pt>
                <c:pt idx="16">
                  <c:v>43.351514417971863</c:v>
                </c:pt>
                <c:pt idx="17">
                  <c:v>46.922995771881162</c:v>
                </c:pt>
                <c:pt idx="18">
                  <c:v>39.845972892732881</c:v>
                </c:pt>
                <c:pt idx="19">
                  <c:v>39.714778567150361</c:v>
                </c:pt>
                <c:pt idx="20">
                  <c:v>41.127684172798752</c:v>
                </c:pt>
              </c:numCache>
            </c:numRef>
          </c:xVal>
          <c:yVal>
            <c:numRef>
              <c:f>'01 Girumugisha-et-al-2025'!$V$5:$V$25</c:f>
              <c:numCache>
                <c:formatCode>0.00</c:formatCode>
                <c:ptCount val="21"/>
                <c:pt idx="0">
                  <c:v>47.269853979342585</c:v>
                </c:pt>
                <c:pt idx="1">
                  <c:v>44.819923096794867</c:v>
                </c:pt>
                <c:pt idx="2">
                  <c:v>46.761413877040617</c:v>
                </c:pt>
                <c:pt idx="3">
                  <c:v>42.590048166902811</c:v>
                </c:pt>
                <c:pt idx="4">
                  <c:v>43.334890470034132</c:v>
                </c:pt>
                <c:pt idx="5">
                  <c:v>41.592571293161718</c:v>
                </c:pt>
                <c:pt idx="6">
                  <c:v>45.692591361008155</c:v>
                </c:pt>
                <c:pt idx="7">
                  <c:v>46.265395062323293</c:v>
                </c:pt>
                <c:pt idx="8">
                  <c:v>46.885885213315873</c:v>
                </c:pt>
                <c:pt idx="9">
                  <c:v>39.807365829624295</c:v>
                </c:pt>
                <c:pt idx="10">
                  <c:v>40.643874126614065</c:v>
                </c:pt>
                <c:pt idx="11">
                  <c:v>41.098093911522561</c:v>
                </c:pt>
                <c:pt idx="12">
                  <c:v>44.461285410421368</c:v>
                </c:pt>
                <c:pt idx="13">
                  <c:v>46.394705893485934</c:v>
                </c:pt>
                <c:pt idx="14">
                  <c:v>47.599641909649662</c:v>
                </c:pt>
                <c:pt idx="15">
                  <c:v>43.991229460991399</c:v>
                </c:pt>
                <c:pt idx="16">
                  <c:v>43.589540312897576</c:v>
                </c:pt>
                <c:pt idx="17">
                  <c:v>47.162432631698636</c:v>
                </c:pt>
                <c:pt idx="18">
                  <c:v>40.079069898084491</c:v>
                </c:pt>
                <c:pt idx="19">
                  <c:v>39.947624633379313</c:v>
                </c:pt>
                <c:pt idx="20">
                  <c:v>41.362982696658655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BF-42F0-AAAF-4197B525C0FD}"/>
            </c:ext>
          </c:extLst>
        </c:ser>
        <c:ser>
          <c:idx val="0"/>
          <c:order val="1"/>
          <c:spPr>
            <a:ln w="127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>
                    <a:lumMod val="95000"/>
                    <a:lumOff val="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AEBF-42F0-AAAF-4197B525C0FD}"/>
              </c:ext>
            </c:extLst>
          </c:dPt>
          <c:xVal>
            <c:numRef>
              <c:f>'01 Girumugisha-et-al-2025'!$L$28:$L$29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'01 Girumugisha-et-al-2025'!$M$28:$M$29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BF-42F0-AAAF-4197B525C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50"/>
          <c:min val="38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𝜑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Default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(°)</a:t>
                </a:r>
              </a:p>
            </c:rich>
          </c:tx>
          <c:layout>
            <c:manualLayout>
              <c:xMode val="edge"/>
              <c:yMode val="edge"/>
              <c:x val="0.4503736217435429"/>
              <c:y val="0.91401090071111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2"/>
      </c:valAx>
      <c:valAx>
        <c:axId val="1514460223"/>
        <c:scaling>
          <c:orientation val="minMax"/>
          <c:max val="50"/>
          <c:min val="38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𝜑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Solver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(°)</a:t>
                </a:r>
              </a:p>
            </c:rich>
          </c:tx>
          <c:layout>
            <c:manualLayout>
              <c:xMode val="edge"/>
              <c:yMode val="edge"/>
              <c:x val="4.2369152385363595E-2"/>
              <c:y val="0.30792924715345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xVal>
            <c:numRef>
              <c:f>'01 Girumugisha-et-al-2025'!$T$5:$T$25</c:f>
              <c:numCache>
                <c:formatCode>0.00</c:formatCode>
                <c:ptCount val="21"/>
                <c:pt idx="0">
                  <c:v>45.23308475539465</c:v>
                </c:pt>
                <c:pt idx="1">
                  <c:v>42.724297634218466</c:v>
                </c:pt>
                <c:pt idx="2">
                  <c:v>44.711447466799285</c:v>
                </c:pt>
                <c:pt idx="3">
                  <c:v>45.565571602082727</c:v>
                </c:pt>
                <c:pt idx="4">
                  <c:v>46.331100351387114</c:v>
                </c:pt>
                <c:pt idx="5">
                  <c:v>44.536693830197279</c:v>
                </c:pt>
                <c:pt idx="6">
                  <c:v>43.616540769100524</c:v>
                </c:pt>
                <c:pt idx="7">
                  <c:v>44.203040196967883</c:v>
                </c:pt>
                <c:pt idx="8">
                  <c:v>44.839103354219851</c:v>
                </c:pt>
                <c:pt idx="9">
                  <c:v>42.684971205899075</c:v>
                </c:pt>
                <c:pt idx="10">
                  <c:v>43.554272359886589</c:v>
                </c:pt>
                <c:pt idx="11">
                  <c:v>44.025103173627258</c:v>
                </c:pt>
                <c:pt idx="12">
                  <c:v>42.358077807959603</c:v>
                </c:pt>
                <c:pt idx="13">
                  <c:v>44.335533826689364</c:v>
                </c:pt>
                <c:pt idx="14">
                  <c:v>45.571697648030138</c:v>
                </c:pt>
                <c:pt idx="15">
                  <c:v>41.878501004444942</c:v>
                </c:pt>
                <c:pt idx="16">
                  <c:v>41.469056235126438</c:v>
                </c:pt>
                <c:pt idx="17">
                  <c:v>45.122833622139773</c:v>
                </c:pt>
                <c:pt idx="18">
                  <c:v>42.967636887187737</c:v>
                </c:pt>
                <c:pt idx="19">
                  <c:v>42.83092565325537</c:v>
                </c:pt>
                <c:pt idx="20">
                  <c:v>44.299285873606713</c:v>
                </c:pt>
              </c:numCache>
            </c:numRef>
          </c:xVal>
          <c:yVal>
            <c:numRef>
              <c:f>'01 Girumugisha-et-al-2025'!$Y$5:$Y$25</c:f>
              <c:numCache>
                <c:formatCode>0.00</c:formatCode>
                <c:ptCount val="21"/>
                <c:pt idx="0">
                  <c:v>45.577442516620003</c:v>
                </c:pt>
                <c:pt idx="1">
                  <c:v>43.071994191729026</c:v>
                </c:pt>
                <c:pt idx="2">
                  <c:v>45.056697166434979</c:v>
                </c:pt>
                <c:pt idx="3">
                  <c:v>45.551872865851614</c:v>
                </c:pt>
                <c:pt idx="4">
                  <c:v>46.316031270389594</c:v>
                </c:pt>
                <c:pt idx="5">
                  <c:v>44.524883142378066</c:v>
                </c:pt>
                <c:pt idx="6">
                  <c:v>43.963326500193865</c:v>
                </c:pt>
                <c:pt idx="7">
                  <c:v>44.549060054816231</c:v>
                </c:pt>
                <c:pt idx="8">
                  <c:v>45.184144269530137</c:v>
                </c:pt>
                <c:pt idx="9">
                  <c:v>42.676670117542223</c:v>
                </c:pt>
                <c:pt idx="10">
                  <c:v>43.544307804198013</c:v>
                </c:pt>
                <c:pt idx="11">
                  <c:v>44.014248994190162</c:v>
                </c:pt>
                <c:pt idx="12">
                  <c:v>42.706058613138111</c:v>
                </c:pt>
                <c:pt idx="13">
                  <c:v>44.681362450881444</c:v>
                </c:pt>
                <c:pt idx="14">
                  <c:v>45.915421652817599</c:v>
                </c:pt>
                <c:pt idx="15">
                  <c:v>42.226774559207279</c:v>
                </c:pt>
                <c:pt idx="16">
                  <c:v>41.817508007483958</c:v>
                </c:pt>
                <c:pt idx="17">
                  <c:v>45.467388447514857</c:v>
                </c:pt>
                <c:pt idx="18">
                  <c:v>42.958792126109188</c:v>
                </c:pt>
                <c:pt idx="19">
                  <c:v>42.822343523110597</c:v>
                </c:pt>
                <c:pt idx="20">
                  <c:v>44.287917693172254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A8-4274-8816-93EB1092666A}"/>
            </c:ext>
          </c:extLst>
        </c:ser>
        <c:ser>
          <c:idx val="0"/>
          <c:order val="1"/>
          <c:spPr>
            <a:ln w="127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>
                    <a:lumMod val="95000"/>
                    <a:lumOff val="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3A8-4274-8816-93EB1092666A}"/>
              </c:ext>
            </c:extLst>
          </c:dPt>
          <c:xVal>
            <c:numRef>
              <c:f>'01 Girumugisha-et-al-2025'!$L$28:$L$29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'01 Girumugisha-et-al-2025'!$M$28:$M$29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A8-4274-8816-93EB10926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50"/>
          <c:min val="38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Ø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1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'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Default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(°)</a:t>
                </a:r>
              </a:p>
            </c:rich>
          </c:tx>
          <c:layout>
            <c:manualLayout>
              <c:xMode val="edge"/>
              <c:yMode val="edge"/>
              <c:x val="0.4503736217435429"/>
              <c:y val="0.91401090071111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2"/>
      </c:valAx>
      <c:valAx>
        <c:axId val="1514460223"/>
        <c:scaling>
          <c:orientation val="minMax"/>
          <c:max val="50"/>
          <c:min val="38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Ø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1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'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Solver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(°)</a:t>
                </a:r>
              </a:p>
            </c:rich>
          </c:tx>
          <c:layout>
            <c:manualLayout>
              <c:xMode val="edge"/>
              <c:yMode val="edge"/>
              <c:x val="4.2369152385363595E-2"/>
              <c:y val="0.30792924715345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All data</a:t>
            </a:r>
          </a:p>
        </c:rich>
      </c:tx>
      <c:layout>
        <c:manualLayout>
          <c:xMode val="edge"/>
          <c:yMode val="edge"/>
          <c:x val="0.16934232026143792"/>
          <c:y val="9.8992080633549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72999330965982"/>
          <c:y val="8.9337760146909473E-2"/>
          <c:w val="0.75648866501981371"/>
          <c:h val="0.70669952702996364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947522644228297"/>
                  <c:y val="9.9146556464459218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8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 Girumugisha-et-al-2025'!$J$5:$J$25</c:f>
              <c:numCache>
                <c:formatCode>0.00</c:formatCode>
                <c:ptCount val="21"/>
                <c:pt idx="0">
                  <c:v>0.25</c:v>
                </c:pt>
                <c:pt idx="1">
                  <c:v>0.23</c:v>
                </c:pt>
                <c:pt idx="2">
                  <c:v>0.21</c:v>
                </c:pt>
                <c:pt idx="3">
                  <c:v>0.26</c:v>
                </c:pt>
                <c:pt idx="4">
                  <c:v>0.22</c:v>
                </c:pt>
                <c:pt idx="5">
                  <c:v>0.22</c:v>
                </c:pt>
                <c:pt idx="6">
                  <c:v>0.38</c:v>
                </c:pt>
                <c:pt idx="7">
                  <c:v>0.32</c:v>
                </c:pt>
                <c:pt idx="8">
                  <c:v>0.26</c:v>
                </c:pt>
                <c:pt idx="9">
                  <c:v>0.38</c:v>
                </c:pt>
                <c:pt idx="10">
                  <c:v>0.27</c:v>
                </c:pt>
                <c:pt idx="11">
                  <c:v>0.27</c:v>
                </c:pt>
                <c:pt idx="12">
                  <c:v>0.27</c:v>
                </c:pt>
                <c:pt idx="13">
                  <c:v>0.27</c:v>
                </c:pt>
                <c:pt idx="14">
                  <c:v>0.22</c:v>
                </c:pt>
                <c:pt idx="15">
                  <c:v>0.43</c:v>
                </c:pt>
                <c:pt idx="16">
                  <c:v>0.37</c:v>
                </c:pt>
                <c:pt idx="17">
                  <c:v>0.32</c:v>
                </c:pt>
                <c:pt idx="18">
                  <c:v>0.41</c:v>
                </c:pt>
                <c:pt idx="19">
                  <c:v>0.36</c:v>
                </c:pt>
                <c:pt idx="20">
                  <c:v>0.32</c:v>
                </c:pt>
              </c:numCache>
            </c:numRef>
          </c:xVal>
          <c:yVal>
            <c:numRef>
              <c:f>'01 Girumugisha-et-al-2025'!$T$5:$T$25</c:f>
              <c:numCache>
                <c:formatCode>0.00</c:formatCode>
                <c:ptCount val="21"/>
                <c:pt idx="0">
                  <c:v>45.23308475539465</c:v>
                </c:pt>
                <c:pt idx="1">
                  <c:v>42.724297634218466</c:v>
                </c:pt>
                <c:pt idx="2">
                  <c:v>44.711447466799285</c:v>
                </c:pt>
                <c:pt idx="3">
                  <c:v>45.565571602082727</c:v>
                </c:pt>
                <c:pt idx="4">
                  <c:v>46.331100351387114</c:v>
                </c:pt>
                <c:pt idx="5">
                  <c:v>44.536693830197279</c:v>
                </c:pt>
                <c:pt idx="6">
                  <c:v>43.616540769100524</c:v>
                </c:pt>
                <c:pt idx="7">
                  <c:v>44.203040196967883</c:v>
                </c:pt>
                <c:pt idx="8">
                  <c:v>44.839103354219851</c:v>
                </c:pt>
                <c:pt idx="9">
                  <c:v>42.684971205899075</c:v>
                </c:pt>
                <c:pt idx="10">
                  <c:v>43.554272359886589</c:v>
                </c:pt>
                <c:pt idx="11">
                  <c:v>44.025103173627258</c:v>
                </c:pt>
                <c:pt idx="12">
                  <c:v>42.358077807959603</c:v>
                </c:pt>
                <c:pt idx="13">
                  <c:v>44.335533826689364</c:v>
                </c:pt>
                <c:pt idx="14">
                  <c:v>45.571697648030138</c:v>
                </c:pt>
                <c:pt idx="15">
                  <c:v>41.878501004444942</c:v>
                </c:pt>
                <c:pt idx="16">
                  <c:v>41.469056235126438</c:v>
                </c:pt>
                <c:pt idx="17">
                  <c:v>45.122833622139773</c:v>
                </c:pt>
                <c:pt idx="18">
                  <c:v>42.967636887187737</c:v>
                </c:pt>
                <c:pt idx="19">
                  <c:v>42.83092565325537</c:v>
                </c:pt>
                <c:pt idx="20">
                  <c:v>44.299285873606713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2E-499F-B0EC-445132171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in val="0.1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e (Void Ratio)</a:t>
                </a:r>
              </a:p>
            </c:rich>
          </c:tx>
          <c:layout>
            <c:manualLayout>
              <c:xMode val="edge"/>
              <c:yMode val="edge"/>
              <c:x val="0.39931150609850241"/>
              <c:y val="0.911011056123384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800" b="0" i="0" u="none" strike="noStrike" kern="1200" baseline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</c:valAx>
      <c:valAx>
        <c:axId val="1514460223"/>
        <c:scaling>
          <c:orientation val="minMax"/>
          <c:min val="3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Ø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1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'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Default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(°)</a:t>
                </a:r>
              </a:p>
            </c:rich>
          </c:tx>
          <c:layout>
            <c:manualLayout>
              <c:xMode val="edge"/>
              <c:yMode val="edge"/>
              <c:x val="2.6029122278832792E-2"/>
              <c:y val="0.393744484693193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800" b="0" i="0" u="none" strike="noStrike" kern="1200" baseline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\°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All data</a:t>
            </a:r>
          </a:p>
        </c:rich>
      </c:tx>
      <c:layout>
        <c:manualLayout>
          <c:xMode val="edge"/>
          <c:yMode val="edge"/>
          <c:x val="0.18776037646029539"/>
          <c:y val="0.116906474820143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9142526761360712"/>
                  <c:y val="6.3539955437225029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sz="1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 Girumugisha-et-al-2025'!$R$5:$R$25</c:f>
              <c:numCache>
                <c:formatCode>0.000</c:formatCode>
                <c:ptCount val="21"/>
                <c:pt idx="0">
                  <c:v>0.18849669685072176</c:v>
                </c:pt>
                <c:pt idx="1">
                  <c:v>0.18458782743054747</c:v>
                </c:pt>
                <c:pt idx="2">
                  <c:v>0.18769715832172679</c:v>
                </c:pt>
                <c:pt idx="3">
                  <c:v>1.0854716782510314</c:v>
                </c:pt>
                <c:pt idx="4">
                  <c:v>1.0929106748653552</c:v>
                </c:pt>
                <c:pt idx="5">
                  <c:v>1.0754007350081638</c:v>
                </c:pt>
                <c:pt idx="6">
                  <c:v>0.18599627548277214</c:v>
                </c:pt>
                <c:pt idx="7">
                  <c:v>0.1869111700309336</c:v>
                </c:pt>
                <c:pt idx="8">
                  <c:v>0.18789347103832699</c:v>
                </c:pt>
                <c:pt idx="9">
                  <c:v>1.0570786164553385</c:v>
                </c:pt>
                <c:pt idx="10">
                  <c:v>1.0657104061529283</c:v>
                </c:pt>
                <c:pt idx="11">
                  <c:v>1.0703633288699255</c:v>
                </c:pt>
                <c:pt idx="12">
                  <c:v>0.18400398769393711</c:v>
                </c:pt>
                <c:pt idx="13">
                  <c:v>0.18711663949117083</c:v>
                </c:pt>
                <c:pt idx="14">
                  <c:v>0.18901193467403299</c:v>
                </c:pt>
                <c:pt idx="15">
                  <c:v>0.18323442444045954</c:v>
                </c:pt>
                <c:pt idx="16">
                  <c:v>0.18257293985156753</c:v>
                </c:pt>
                <c:pt idx="17">
                  <c:v>0.18832829528810599</c:v>
                </c:pt>
                <c:pt idx="18">
                  <c:v>1.0598910934583383</c:v>
                </c:pt>
                <c:pt idx="19">
                  <c:v>1.0585315191360882</c:v>
                </c:pt>
                <c:pt idx="20">
                  <c:v>1.0730654896949616</c:v>
                </c:pt>
              </c:numCache>
            </c:numRef>
          </c:xVal>
          <c:yVal>
            <c:numRef>
              <c:f>'01 Girumugisha-et-al-2025'!$S$5:$S$25</c:f>
              <c:numCache>
                <c:formatCode>0.000</c:formatCode>
                <c:ptCount val="21"/>
                <c:pt idx="0">
                  <c:v>0.22483703886564799</c:v>
                </c:pt>
                <c:pt idx="1">
                  <c:v>0.20211954262585408</c:v>
                </c:pt>
                <c:pt idx="2">
                  <c:v>0.2199370612462937</c:v>
                </c:pt>
                <c:pt idx="3">
                  <c:v>1.0994919785340538</c:v>
                </c:pt>
                <c:pt idx="4">
                  <c:v>1.136249073269304</c:v>
                </c:pt>
                <c:pt idx="5">
                  <c:v>1.0518415796277372</c:v>
                </c:pt>
                <c:pt idx="6">
                  <c:v>0.20995863103510001</c:v>
                </c:pt>
                <c:pt idx="7">
                  <c:v>0.21525310021109609</c:v>
                </c:pt>
                <c:pt idx="8">
                  <c:v>0.2211272685113429</c:v>
                </c:pt>
                <c:pt idx="9">
                  <c:v>0.97078714325779736</c:v>
                </c:pt>
                <c:pt idx="10">
                  <c:v>1.0081149853018385</c:v>
                </c:pt>
                <c:pt idx="11">
                  <c:v>1.0288617241075637</c:v>
                </c:pt>
                <c:pt idx="12">
                  <c:v>0.1989746361680339</c:v>
                </c:pt>
                <c:pt idx="13">
                  <c:v>0.21646519496173858</c:v>
                </c:pt>
                <c:pt idx="14">
                  <c:v>0.22807023533242865</c:v>
                </c:pt>
                <c:pt idx="15">
                  <c:v>0.19491815239744978</c:v>
                </c:pt>
                <c:pt idx="16">
                  <c:v>0.19150913211092174</c:v>
                </c:pt>
                <c:pt idx="17">
                  <c:v>0.22379330674698203</c:v>
                </c:pt>
                <c:pt idx="18">
                  <c:v>0.98278856703025963</c:v>
                </c:pt>
                <c:pt idx="19">
                  <c:v>0.97696791032900843</c:v>
                </c:pt>
                <c:pt idx="20">
                  <c:v>1.0411201412224782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93-47F3-9885-F040EBAB6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1.2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σ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n_Default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503736217435429"/>
              <c:y val="0.91401090071111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0.2"/>
      </c:valAx>
      <c:valAx>
        <c:axId val="1514460223"/>
        <c:scaling>
          <c:orientation val="minMax"/>
          <c:max val="1.2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Default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(MPa)</a:t>
                </a:r>
              </a:p>
            </c:rich>
          </c:tx>
          <c:layout>
            <c:manualLayout>
              <c:xMode val="edge"/>
              <c:yMode val="edge"/>
              <c:x val="3.8284185065102158E-2"/>
              <c:y val="0.34090286825657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0.2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All data</a:t>
            </a:r>
          </a:p>
        </c:rich>
      </c:tx>
      <c:layout>
        <c:manualLayout>
          <c:xMode val="edge"/>
          <c:yMode val="edge"/>
          <c:x val="0.18776037646029539"/>
          <c:y val="0.110911270983213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9142526761360712"/>
                  <c:y val="6.3539955437225029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sz="1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 Girumugisha-et-al-2025'!$W$5:$W$25</c:f>
              <c:numCache>
                <c:formatCode>0.000</c:formatCode>
                <c:ptCount val="21"/>
                <c:pt idx="0">
                  <c:v>0.18755928090672916</c:v>
                </c:pt>
                <c:pt idx="1">
                  <c:v>0.18374670440622606</c:v>
                </c:pt>
                <c:pt idx="2">
                  <c:v>0.1867799762022487</c:v>
                </c:pt>
                <c:pt idx="3">
                  <c:v>1.0809327827280653</c:v>
                </c:pt>
                <c:pt idx="4">
                  <c:v>1.088204262808355</c:v>
                </c:pt>
                <c:pt idx="5">
                  <c:v>1.0710826000409237</c:v>
                </c:pt>
                <c:pt idx="6">
                  <c:v>0.18512121397112299</c:v>
                </c:pt>
                <c:pt idx="7">
                  <c:v>0.18601360752793555</c:v>
                </c:pt>
                <c:pt idx="8">
                  <c:v>0.18697134670890542</c:v>
                </c:pt>
                <c:pt idx="9">
                  <c:v>1.053144651058489</c:v>
                </c:pt>
                <c:pt idx="10">
                  <c:v>1.0615982336408838</c:v>
                </c:pt>
                <c:pt idx="11">
                  <c:v>1.0661530453124257</c:v>
                </c:pt>
                <c:pt idx="12">
                  <c:v>0.18317668599120421</c:v>
                </c:pt>
                <c:pt idx="13">
                  <c:v>0.18621397398202122</c:v>
                </c:pt>
                <c:pt idx="14">
                  <c:v>0.18806133130980307</c:v>
                </c:pt>
                <c:pt idx="15">
                  <c:v>0.18242512122477061</c:v>
                </c:pt>
                <c:pt idx="16">
                  <c:v>0.18177890905880204</c:v>
                </c:pt>
                <c:pt idx="17">
                  <c:v>0.18739516429351263</c:v>
                </c:pt>
                <c:pt idx="18">
                  <c:v>1.0558996030467698</c:v>
                </c:pt>
                <c:pt idx="19">
                  <c:v>1.054567901704605</c:v>
                </c:pt>
                <c:pt idx="20">
                  <c:v>1.0687975644725318</c:v>
                </c:pt>
              </c:numCache>
            </c:numRef>
          </c:xVal>
          <c:yVal>
            <c:numRef>
              <c:f>'01 Girumugisha-et-al-2025'!$AA$5:$AA$25</c:f>
              <c:numCache>
                <c:formatCode>0.000</c:formatCode>
                <c:ptCount val="21"/>
                <c:pt idx="0">
                  <c:v>0.21746475064494633</c:v>
                </c:pt>
                <c:pt idx="1">
                  <c:v>0.21540174343173535</c:v>
                </c:pt>
                <c:pt idx="2">
                  <c:v>0.22062299715714587</c:v>
                </c:pt>
                <c:pt idx="3">
                  <c:v>1.0603206016026658</c:v>
                </c:pt>
                <c:pt idx="4">
                  <c:v>1.0863777143716076</c:v>
                </c:pt>
                <c:pt idx="5">
                  <c:v>1.0708606743850686</c:v>
                </c:pt>
                <c:pt idx="6">
                  <c:v>0.20254881992876186</c:v>
                </c:pt>
                <c:pt idx="7">
                  <c:v>0.2090717082635162</c:v>
                </c:pt>
                <c:pt idx="8">
                  <c:v>0.21586206821833154</c:v>
                </c:pt>
                <c:pt idx="9">
                  <c:v>0.98050103676403677</c:v>
                </c:pt>
                <c:pt idx="10">
                  <c:v>1.0383668721904502</c:v>
                </c:pt>
                <c:pt idx="11">
                  <c:v>1.0424074939844663</c:v>
                </c:pt>
                <c:pt idx="12">
                  <c:v>0.21092236119799446</c:v>
                </c:pt>
                <c:pt idx="13">
                  <c:v>0.21409250856951592</c:v>
                </c:pt>
                <c:pt idx="14">
                  <c:v>0.22098798485286461</c:v>
                </c:pt>
                <c:pt idx="15">
                  <c:v>0.19536237311543153</c:v>
                </c:pt>
                <c:pt idx="16">
                  <c:v>0.20013893745511285</c:v>
                </c:pt>
                <c:pt idx="17">
                  <c:v>0.21047984045984289</c:v>
                </c:pt>
                <c:pt idx="18">
                  <c:v>0.96946941106192375</c:v>
                </c:pt>
                <c:pt idx="19">
                  <c:v>0.99069303615411275</c:v>
                </c:pt>
                <c:pt idx="20">
                  <c:v>1.0212485443270742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62-4481-BA07-A8456FF9F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1.2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σ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n_Solver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503736217435429"/>
              <c:y val="0.91401090071111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0.2"/>
      </c:valAx>
      <c:valAx>
        <c:axId val="1514460223"/>
        <c:scaling>
          <c:orientation val="minMax"/>
          <c:max val="1.2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Solver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3.8284185065102158E-2"/>
              <c:y val="0.310926849071923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0.2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All data</a:t>
            </a:r>
          </a:p>
        </c:rich>
      </c:tx>
      <c:layout>
        <c:manualLayout>
          <c:xMode val="edge"/>
          <c:yMode val="edge"/>
          <c:x val="0.16944943003448096"/>
          <c:y val="9.5992320614350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72999330965982"/>
          <c:y val="8.9337760146909473E-2"/>
          <c:w val="0.75648866501981371"/>
          <c:h val="0.70669952702996364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947522644228297"/>
                  <c:y val="9.9146556464459218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8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 Girumugisha-et-al-2025'!$J$5:$J$25</c:f>
              <c:numCache>
                <c:formatCode>0.00</c:formatCode>
                <c:ptCount val="21"/>
                <c:pt idx="0">
                  <c:v>0.25</c:v>
                </c:pt>
                <c:pt idx="1">
                  <c:v>0.23</c:v>
                </c:pt>
                <c:pt idx="2">
                  <c:v>0.21</c:v>
                </c:pt>
                <c:pt idx="3">
                  <c:v>0.26</c:v>
                </c:pt>
                <c:pt idx="4">
                  <c:v>0.22</c:v>
                </c:pt>
                <c:pt idx="5">
                  <c:v>0.22</c:v>
                </c:pt>
                <c:pt idx="6">
                  <c:v>0.38</c:v>
                </c:pt>
                <c:pt idx="7">
                  <c:v>0.32</c:v>
                </c:pt>
                <c:pt idx="8">
                  <c:v>0.26</c:v>
                </c:pt>
                <c:pt idx="9">
                  <c:v>0.38</c:v>
                </c:pt>
                <c:pt idx="10">
                  <c:v>0.27</c:v>
                </c:pt>
                <c:pt idx="11">
                  <c:v>0.27</c:v>
                </c:pt>
                <c:pt idx="12">
                  <c:v>0.27</c:v>
                </c:pt>
                <c:pt idx="13">
                  <c:v>0.27</c:v>
                </c:pt>
                <c:pt idx="14">
                  <c:v>0.22</c:v>
                </c:pt>
                <c:pt idx="15">
                  <c:v>0.43</c:v>
                </c:pt>
                <c:pt idx="16">
                  <c:v>0.37</c:v>
                </c:pt>
                <c:pt idx="17">
                  <c:v>0.32</c:v>
                </c:pt>
                <c:pt idx="18">
                  <c:v>0.41</c:v>
                </c:pt>
                <c:pt idx="19">
                  <c:v>0.36</c:v>
                </c:pt>
                <c:pt idx="20">
                  <c:v>0.32</c:v>
                </c:pt>
              </c:numCache>
            </c:numRef>
          </c:xVal>
          <c:yVal>
            <c:numRef>
              <c:f>'01 Girumugisha-et-al-2025'!$Y$5:$Y$25</c:f>
              <c:numCache>
                <c:formatCode>0.00</c:formatCode>
                <c:ptCount val="21"/>
                <c:pt idx="0">
                  <c:v>45.577442516620003</c:v>
                </c:pt>
                <c:pt idx="1">
                  <c:v>43.071994191729026</c:v>
                </c:pt>
                <c:pt idx="2">
                  <c:v>45.056697166434979</c:v>
                </c:pt>
                <c:pt idx="3">
                  <c:v>45.551872865851614</c:v>
                </c:pt>
                <c:pt idx="4">
                  <c:v>46.316031270389594</c:v>
                </c:pt>
                <c:pt idx="5">
                  <c:v>44.524883142378066</c:v>
                </c:pt>
                <c:pt idx="6">
                  <c:v>43.963326500193865</c:v>
                </c:pt>
                <c:pt idx="7">
                  <c:v>44.549060054816231</c:v>
                </c:pt>
                <c:pt idx="8">
                  <c:v>45.184144269530137</c:v>
                </c:pt>
                <c:pt idx="9">
                  <c:v>42.676670117542223</c:v>
                </c:pt>
                <c:pt idx="10">
                  <c:v>43.544307804198013</c:v>
                </c:pt>
                <c:pt idx="11">
                  <c:v>44.014248994190162</c:v>
                </c:pt>
                <c:pt idx="12">
                  <c:v>42.706058613138111</c:v>
                </c:pt>
                <c:pt idx="13">
                  <c:v>44.681362450881444</c:v>
                </c:pt>
                <c:pt idx="14">
                  <c:v>45.915421652817599</c:v>
                </c:pt>
                <c:pt idx="15">
                  <c:v>42.226774559207279</c:v>
                </c:pt>
                <c:pt idx="16">
                  <c:v>41.817508007483958</c:v>
                </c:pt>
                <c:pt idx="17">
                  <c:v>45.467388447514857</c:v>
                </c:pt>
                <c:pt idx="18">
                  <c:v>42.958792126109188</c:v>
                </c:pt>
                <c:pt idx="19">
                  <c:v>42.822343523110597</c:v>
                </c:pt>
                <c:pt idx="20">
                  <c:v>44.287917693172254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9E-412A-BCF7-340A38D64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in val="0.1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e (Void Ratio)</a:t>
                </a:r>
              </a:p>
            </c:rich>
          </c:tx>
          <c:layout>
            <c:manualLayout>
              <c:xMode val="edge"/>
              <c:yMode val="edge"/>
              <c:x val="0.39931150609850241"/>
              <c:y val="0.911011056123384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800" b="0" i="0" u="none" strike="noStrike" kern="1200" baseline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</c:valAx>
      <c:valAx>
        <c:axId val="1514460223"/>
        <c:scaling>
          <c:orientation val="minMax"/>
          <c:min val="3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Ø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1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'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Solver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(°)</a:t>
                </a:r>
              </a:p>
            </c:rich>
          </c:tx>
          <c:layout>
            <c:manualLayout>
              <c:xMode val="edge"/>
              <c:yMode val="edge"/>
              <c:x val="2.3986638618702073E-2"/>
              <c:y val="0.339748804347620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800" b="0" i="0" u="none" strike="noStrike" kern="1200" baseline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\°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Sample ID: L</a:t>
            </a:r>
          </a:p>
        </c:rich>
      </c:tx>
      <c:layout>
        <c:manualLayout>
          <c:xMode val="edge"/>
          <c:yMode val="edge"/>
          <c:x val="0.18759183135196336"/>
          <c:y val="0.116906474820143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9142526761360712"/>
                  <c:y val="6.3539955437225029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sz="1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 Girumugisha-et-al-2025'!$W$5:$W$10</c:f>
              <c:numCache>
                <c:formatCode>0.000</c:formatCode>
                <c:ptCount val="6"/>
                <c:pt idx="0">
                  <c:v>0.18755928090672916</c:v>
                </c:pt>
                <c:pt idx="1">
                  <c:v>0.18374670440622606</c:v>
                </c:pt>
                <c:pt idx="2">
                  <c:v>0.1867799762022487</c:v>
                </c:pt>
                <c:pt idx="3">
                  <c:v>1.0809327827280653</c:v>
                </c:pt>
                <c:pt idx="4">
                  <c:v>1.088204262808355</c:v>
                </c:pt>
                <c:pt idx="5">
                  <c:v>1.0710826000409237</c:v>
                </c:pt>
              </c:numCache>
            </c:numRef>
          </c:xVal>
          <c:yVal>
            <c:numRef>
              <c:f>'01 Girumugisha-et-al-2025'!$X$5:$X$10</c:f>
              <c:numCache>
                <c:formatCode>0.000</c:formatCode>
                <c:ptCount val="6"/>
                <c:pt idx="0">
                  <c:v>0.22382648705093328</c:v>
                </c:pt>
                <c:pt idx="1">
                  <c:v>0.20128716869238017</c:v>
                </c:pt>
                <c:pt idx="2">
                  <c:v>0.21896575388006509</c:v>
                </c:pt>
                <c:pt idx="3">
                  <c:v>1.0953369897708471</c:v>
                </c:pt>
                <c:pt idx="4">
                  <c:v>1.1318269845707285</c:v>
                </c:pt>
                <c:pt idx="5">
                  <c:v>1.0480246078294759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4B-4B1F-9D18-A5F6779C5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1.2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σ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n_M-C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503736217435429"/>
              <c:y val="0.91401090071111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0.2"/>
      </c:valAx>
      <c:valAx>
        <c:axId val="1514460223"/>
        <c:scaling>
          <c:orientation val="minMax"/>
          <c:max val="1.2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Leps 2.0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3.8284185065102158E-2"/>
              <c:y val="0.310926849071923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0.2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xVal>
            <c:numRef>
              <c:f>'01 Girumugisha-et-al-2025'!$X$5:$X$25</c:f>
              <c:numCache>
                <c:formatCode>0.000</c:formatCode>
                <c:ptCount val="21"/>
                <c:pt idx="0">
                  <c:v>0.22382648705093328</c:v>
                </c:pt>
                <c:pt idx="1">
                  <c:v>0.20128716869238017</c:v>
                </c:pt>
                <c:pt idx="2">
                  <c:v>0.21896575388006509</c:v>
                </c:pt>
                <c:pt idx="3">
                  <c:v>1.0953369897708471</c:v>
                </c:pt>
                <c:pt idx="4">
                  <c:v>1.1318269845707285</c:v>
                </c:pt>
                <c:pt idx="5">
                  <c:v>1.0480246078294759</c:v>
                </c:pt>
                <c:pt idx="6">
                  <c:v>0.20906589150258376</c:v>
                </c:pt>
                <c:pt idx="7">
                  <c:v>0.2143189052247759</c:v>
                </c:pt>
                <c:pt idx="8">
                  <c:v>0.22014646750078037</c:v>
                </c:pt>
                <c:pt idx="9">
                  <c:v>0.96752213680130539</c:v>
                </c:pt>
                <c:pt idx="10">
                  <c:v>1.0045995286506062</c:v>
                </c:pt>
                <c:pt idx="11">
                  <c:v>1.0252042756897297</c:v>
                </c:pt>
                <c:pt idx="12">
                  <c:v>0.19816612341405029</c:v>
                </c:pt>
                <c:pt idx="13">
                  <c:v>0.21552143481498354</c:v>
                </c:pt>
                <c:pt idx="14">
                  <c:v>0.22703356180900297</c:v>
                </c:pt>
                <c:pt idx="15">
                  <c:v>0.19414010268064152</c:v>
                </c:pt>
                <c:pt idx="16">
                  <c:v>0.19075640090869678</c:v>
                </c:pt>
                <c:pt idx="17">
                  <c:v>0.22279114943410896</c:v>
                </c:pt>
                <c:pt idx="18">
                  <c:v>0.97944375571950648</c:v>
                </c:pt>
                <c:pt idx="19">
                  <c:v>0.97366189031059946</c:v>
                </c:pt>
                <c:pt idx="20">
                  <c:v>1.0373778861641967</c:v>
                </c:pt>
              </c:numCache>
            </c:numRef>
          </c:xVal>
          <c:yVal>
            <c:numRef>
              <c:f>'01 Girumugisha-et-al-2025'!$AA$5:$AA$25</c:f>
              <c:numCache>
                <c:formatCode>0.000</c:formatCode>
                <c:ptCount val="21"/>
                <c:pt idx="0">
                  <c:v>0.21746475064494633</c:v>
                </c:pt>
                <c:pt idx="1">
                  <c:v>0.21540174343173535</c:v>
                </c:pt>
                <c:pt idx="2">
                  <c:v>0.22062299715714587</c:v>
                </c:pt>
                <c:pt idx="3">
                  <c:v>1.0603206016026658</c:v>
                </c:pt>
                <c:pt idx="4">
                  <c:v>1.0863777143716076</c:v>
                </c:pt>
                <c:pt idx="5">
                  <c:v>1.0708606743850686</c:v>
                </c:pt>
                <c:pt idx="6">
                  <c:v>0.20254881992876186</c:v>
                </c:pt>
                <c:pt idx="7">
                  <c:v>0.2090717082635162</c:v>
                </c:pt>
                <c:pt idx="8">
                  <c:v>0.21586206821833154</c:v>
                </c:pt>
                <c:pt idx="9">
                  <c:v>0.98050103676403677</c:v>
                </c:pt>
                <c:pt idx="10">
                  <c:v>1.0383668721904502</c:v>
                </c:pt>
                <c:pt idx="11">
                  <c:v>1.0424074939844663</c:v>
                </c:pt>
                <c:pt idx="12">
                  <c:v>0.21092236119799446</c:v>
                </c:pt>
                <c:pt idx="13">
                  <c:v>0.21409250856951592</c:v>
                </c:pt>
                <c:pt idx="14">
                  <c:v>0.22098798485286461</c:v>
                </c:pt>
                <c:pt idx="15">
                  <c:v>0.19536237311543153</c:v>
                </c:pt>
                <c:pt idx="16">
                  <c:v>0.20013893745511285</c:v>
                </c:pt>
                <c:pt idx="17">
                  <c:v>0.21047984045984289</c:v>
                </c:pt>
                <c:pt idx="18">
                  <c:v>0.96946941106192375</c:v>
                </c:pt>
                <c:pt idx="19">
                  <c:v>0.99069303615411275</c:v>
                </c:pt>
                <c:pt idx="20">
                  <c:v>1.0212485443270742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79-455A-9D5B-1EC9B783D80C}"/>
            </c:ext>
          </c:extLst>
        </c:ser>
        <c:ser>
          <c:idx val="0"/>
          <c:order val="1"/>
          <c:spPr>
            <a:ln w="127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>
                    <a:lumMod val="95000"/>
                    <a:lumOff val="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279-455A-9D5B-1EC9B783D80C}"/>
              </c:ext>
            </c:extLst>
          </c:dPt>
          <c:xVal>
            <c:numRef>
              <c:f>'01 Girumugisha-et-al-2025'!$L$28:$L$29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'01 Girumugisha-et-al-2025'!$M$28:$M$29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79-455A-9D5B-1EC9B783D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1.2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Solver</a:t>
                </a:r>
                <a:endParaRPr lang="en-US" sz="1800" b="0" i="0" u="none" strike="noStrike" kern="12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48750401150729517"/>
              <c:y val="0.90819872450555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0.2"/>
      </c:valAx>
      <c:valAx>
        <c:axId val="1514460223"/>
        <c:scaling>
          <c:orientation val="minMax"/>
          <c:max val="1.2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Leps 2.0</a:t>
                </a:r>
                <a:endParaRPr lang="en-US" sz="1800" b="0" i="0" u="none" strike="noStrike" kern="120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endParaRPr>
              </a:p>
            </c:rich>
          </c:tx>
          <c:layout>
            <c:manualLayout>
              <c:xMode val="edge"/>
              <c:yMode val="edge"/>
              <c:x val="4.2369110247681925E-2"/>
              <c:y val="0.409643781449725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0.2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xVal>
            <c:numRef>
              <c:f>'01 Girumugisha-et-al-2025'!$S$5:$S$25</c:f>
              <c:numCache>
                <c:formatCode>0.000</c:formatCode>
                <c:ptCount val="21"/>
                <c:pt idx="0">
                  <c:v>0.22483703886564799</c:v>
                </c:pt>
                <c:pt idx="1">
                  <c:v>0.20211954262585408</c:v>
                </c:pt>
                <c:pt idx="2">
                  <c:v>0.2199370612462937</c:v>
                </c:pt>
                <c:pt idx="3">
                  <c:v>1.0994919785340538</c:v>
                </c:pt>
                <c:pt idx="4">
                  <c:v>1.136249073269304</c:v>
                </c:pt>
                <c:pt idx="5">
                  <c:v>1.0518415796277372</c:v>
                </c:pt>
                <c:pt idx="6">
                  <c:v>0.20995863103510001</c:v>
                </c:pt>
                <c:pt idx="7">
                  <c:v>0.21525310021109609</c:v>
                </c:pt>
                <c:pt idx="8">
                  <c:v>0.2211272685113429</c:v>
                </c:pt>
                <c:pt idx="9">
                  <c:v>0.97078714325779736</c:v>
                </c:pt>
                <c:pt idx="10">
                  <c:v>1.0081149853018385</c:v>
                </c:pt>
                <c:pt idx="11">
                  <c:v>1.0288617241075637</c:v>
                </c:pt>
                <c:pt idx="12">
                  <c:v>0.1989746361680339</c:v>
                </c:pt>
                <c:pt idx="13">
                  <c:v>0.21646519496173858</c:v>
                </c:pt>
                <c:pt idx="14">
                  <c:v>0.22807023533242865</c:v>
                </c:pt>
                <c:pt idx="15">
                  <c:v>0.19491815239744978</c:v>
                </c:pt>
                <c:pt idx="16">
                  <c:v>0.19150913211092174</c:v>
                </c:pt>
                <c:pt idx="17">
                  <c:v>0.22379330674698203</c:v>
                </c:pt>
                <c:pt idx="18">
                  <c:v>0.98278856703025963</c:v>
                </c:pt>
                <c:pt idx="19">
                  <c:v>0.97696791032900843</c:v>
                </c:pt>
                <c:pt idx="20">
                  <c:v>1.0411201412224782</c:v>
                </c:pt>
              </c:numCache>
            </c:numRef>
          </c:xVal>
          <c:yVal>
            <c:numRef>
              <c:f>'01 Girumugisha-et-al-2025'!$AA$5:$AA$25</c:f>
              <c:numCache>
                <c:formatCode>0.000</c:formatCode>
                <c:ptCount val="21"/>
                <c:pt idx="0">
                  <c:v>0.21746475064494633</c:v>
                </c:pt>
                <c:pt idx="1">
                  <c:v>0.21540174343173535</c:v>
                </c:pt>
                <c:pt idx="2">
                  <c:v>0.22062299715714587</c:v>
                </c:pt>
                <c:pt idx="3">
                  <c:v>1.0603206016026658</c:v>
                </c:pt>
                <c:pt idx="4">
                  <c:v>1.0863777143716076</c:v>
                </c:pt>
                <c:pt idx="5">
                  <c:v>1.0708606743850686</c:v>
                </c:pt>
                <c:pt idx="6">
                  <c:v>0.20254881992876186</c:v>
                </c:pt>
                <c:pt idx="7">
                  <c:v>0.2090717082635162</c:v>
                </c:pt>
                <c:pt idx="8">
                  <c:v>0.21586206821833154</c:v>
                </c:pt>
                <c:pt idx="9">
                  <c:v>0.98050103676403677</c:v>
                </c:pt>
                <c:pt idx="10">
                  <c:v>1.0383668721904502</c:v>
                </c:pt>
                <c:pt idx="11">
                  <c:v>1.0424074939844663</c:v>
                </c:pt>
                <c:pt idx="12">
                  <c:v>0.21092236119799446</c:v>
                </c:pt>
                <c:pt idx="13">
                  <c:v>0.21409250856951592</c:v>
                </c:pt>
                <c:pt idx="14">
                  <c:v>0.22098798485286461</c:v>
                </c:pt>
                <c:pt idx="15">
                  <c:v>0.19536237311543153</c:v>
                </c:pt>
                <c:pt idx="16">
                  <c:v>0.20013893745511285</c:v>
                </c:pt>
                <c:pt idx="17">
                  <c:v>0.21047984045984289</c:v>
                </c:pt>
                <c:pt idx="18">
                  <c:v>0.96946941106192375</c:v>
                </c:pt>
                <c:pt idx="19">
                  <c:v>0.99069303615411275</c:v>
                </c:pt>
                <c:pt idx="20">
                  <c:v>1.0212485443270742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0B-44C6-958C-EE03758FA8DA}"/>
            </c:ext>
          </c:extLst>
        </c:ser>
        <c:ser>
          <c:idx val="0"/>
          <c:order val="1"/>
          <c:spPr>
            <a:ln w="127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>
                    <a:lumMod val="95000"/>
                    <a:lumOff val="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40B-44C6-958C-EE03758FA8DA}"/>
              </c:ext>
            </c:extLst>
          </c:dPt>
          <c:xVal>
            <c:numRef>
              <c:f>'01 Girumugisha-et-al-2025'!$L$28:$L$29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'01 Girumugisha-et-al-2025'!$M$28:$M$29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0B-44C6-958C-EE03758FA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1.2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Default</a:t>
                </a:r>
                <a:endParaRPr lang="en-US" sz="1800" b="0" i="0" u="none" strike="noStrike" kern="12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44424614662137824"/>
              <c:y val="0.9052925925671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0.2"/>
      </c:valAx>
      <c:valAx>
        <c:axId val="1514460223"/>
        <c:scaling>
          <c:orientation val="minMax"/>
          <c:max val="1.2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Leps 2.0</a:t>
                </a:r>
                <a:endParaRPr lang="en-US" sz="1800" b="0" i="0" u="none" strike="noStrike" kern="120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endParaRPr>
              </a:p>
            </c:rich>
          </c:tx>
          <c:layout>
            <c:manualLayout>
              <c:xMode val="edge"/>
              <c:yMode val="edge"/>
              <c:x val="3.4199217744840721E-2"/>
              <c:y val="0.409643781449725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0.2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111781759792"/>
          <c:y val="8.9337760146909473E-2"/>
          <c:w val="0.72966144158415036"/>
          <c:h val="0.713284862765296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'03 Jin-et-al-2024'!$AH$3</c:f>
              <c:strCache>
                <c:ptCount val="1"/>
                <c:pt idx="0">
                  <c:v>Residuals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 Jin-et-al-2024'!$AN$5:$AN$20</c:f>
              <c:numCache>
                <c:formatCode>General</c:formatCode>
                <c:ptCount val="16"/>
                <c:pt idx="0">
                  <c:v>4</c:v>
                </c:pt>
                <c:pt idx="1">
                  <c:v>4</c:v>
                </c:pt>
                <c:pt idx="2">
                  <c:v>6.3</c:v>
                </c:pt>
                <c:pt idx="3">
                  <c:v>6.3</c:v>
                </c:pt>
                <c:pt idx="4">
                  <c:v>6.3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12">
                  <c:v>30</c:v>
                </c:pt>
                <c:pt idx="13">
                  <c:v>30</c:v>
                </c:pt>
                <c:pt idx="14">
                  <c:v>60</c:v>
                </c:pt>
                <c:pt idx="15">
                  <c:v>100</c:v>
                </c:pt>
              </c:numCache>
            </c:numRef>
          </c:xVal>
          <c:yVal>
            <c:numRef>
              <c:f>'03 Jin-et-al-2024'!$AO$5:$AO$20</c:f>
              <c:numCache>
                <c:formatCode>General</c:formatCode>
                <c:ptCount val="16"/>
                <c:pt idx="0">
                  <c:v>-2.4880439052412037E-2</c:v>
                </c:pt>
                <c:pt idx="1">
                  <c:v>-1.8442016461616102E-2</c:v>
                </c:pt>
                <c:pt idx="2">
                  <c:v>6.0858236896929069E-2</c:v>
                </c:pt>
                <c:pt idx="3">
                  <c:v>-2.5918329860951481E-2</c:v>
                </c:pt>
                <c:pt idx="4">
                  <c:v>-2.5988714756240688E-3</c:v>
                </c:pt>
                <c:pt idx="5">
                  <c:v>4.3610433730917463E-2</c:v>
                </c:pt>
                <c:pt idx="6">
                  <c:v>-7.2304173696284392E-3</c:v>
                </c:pt>
                <c:pt idx="7">
                  <c:v>3.0507233874841042E-2</c:v>
                </c:pt>
                <c:pt idx="12">
                  <c:v>-5.2045072237944551E-2</c:v>
                </c:pt>
                <c:pt idx="13">
                  <c:v>-6.2168607250181251E-2</c:v>
                </c:pt>
                <c:pt idx="14">
                  <c:v>-3.3838487268380631E-2</c:v>
                </c:pt>
                <c:pt idx="15">
                  <c:v>-1.5372684220704914E-2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8-44E4-BAF0-3F608E4712F7}"/>
            </c:ext>
          </c:extLst>
        </c:ser>
        <c:ser>
          <c:idx val="0"/>
          <c:order val="1"/>
          <c:tx>
            <c:strRef>
              <c:f>'03 Jin-et-al-2024'!$AP$4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'03 Jin-et-al-2024'!$AN$6:$AN$19</c:f>
              <c:numCache>
                <c:formatCode>General</c:formatCode>
                <c:ptCount val="14"/>
                <c:pt idx="0">
                  <c:v>4</c:v>
                </c:pt>
                <c:pt idx="1">
                  <c:v>6.3</c:v>
                </c:pt>
                <c:pt idx="2">
                  <c:v>6.3</c:v>
                </c:pt>
                <c:pt idx="3">
                  <c:v>6.3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11">
                  <c:v>30</c:v>
                </c:pt>
                <c:pt idx="12">
                  <c:v>30</c:v>
                </c:pt>
                <c:pt idx="13">
                  <c:v>60</c:v>
                </c:pt>
              </c:numCache>
            </c:numRef>
          </c:xVal>
          <c:yVal>
            <c:numRef>
              <c:f>'03 Jin-et-al-2024'!$AP$6:$AP$19</c:f>
              <c:numCache>
                <c:formatCode>General</c:formatCode>
                <c:ptCount val="14"/>
                <c:pt idx="0">
                  <c:v>-2.0956371195126368E-3</c:v>
                </c:pt>
                <c:pt idx="1">
                  <c:v>-2.0956371195126368E-3</c:v>
                </c:pt>
                <c:pt idx="2">
                  <c:v>5.4992968581204964E-3</c:v>
                </c:pt>
                <c:pt idx="3">
                  <c:v>1.1260381628554984E-2</c:v>
                </c:pt>
                <c:pt idx="4">
                  <c:v>1.60720946901265E-2</c:v>
                </c:pt>
                <c:pt idx="5">
                  <c:v>1.60720946901265E-2</c:v>
                </c:pt>
                <c:pt idx="6">
                  <c:v>2.2295750078710024E-2</c:v>
                </c:pt>
                <c:pt idx="11">
                  <c:v>-4.9350722252168806E-2</c:v>
                </c:pt>
                <c:pt idx="12">
                  <c:v>-4.9350722252168806E-2</c:v>
                </c:pt>
                <c:pt idx="13">
                  <c:v>-4.9350722252168806E-2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C8-44E4-BAF0-3F608E471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scatterChart>
        <c:scatterStyle val="lineMarker"/>
        <c:varyColors val="0"/>
        <c:ser>
          <c:idx val="1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1.1000000000000001</c:v>
              </c:pt>
              <c:pt idx="1">
                <c:v>1.1000000000000001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5C8-44E4-BAF0-3F608E471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6207"/>
        <c:axId val="621996447"/>
      </c:scatterChart>
      <c:valAx>
        <c:axId val="1514459807"/>
        <c:scaling>
          <c:logBase val="10"/>
          <c:orientation val="minMax"/>
          <c:max val="2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Cambria Math" panose="02040503050406030204" pitchFamily="18" charset="0"/>
                    <a:cs typeface="Arial" panose="020B0604020202020204" pitchFamily="34" charset="0"/>
                  </a:rPr>
                  <a:t>Dmax (mm)</a:t>
                </a:r>
                <a:endParaRPr lang="en-US" sz="900" b="0" i="0" u="none" strike="noStrike" kern="1200" baseline="-25000">
                  <a:solidFill>
                    <a:sysClr val="windowText" lastClr="000000"/>
                  </a:solidFill>
                  <a:latin typeface="Arial Narrow" panose="020B0606020202030204" pitchFamily="34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567491936708958"/>
              <c:y val="0.90459302537885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60223"/>
        <c:crossesAt val="-0.8"/>
        <c:crossBetween val="midCat"/>
      </c:valAx>
      <c:valAx>
        <c:axId val="1514460223"/>
        <c:scaling>
          <c:orientation val="minMax"/>
          <c:max val="0.60000000000000009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90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ε</a:t>
                </a:r>
                <a:endParaRPr lang="en-US" sz="9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58157467262809E-2"/>
              <c:y val="0.4292689087108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59807"/>
        <c:crossesAt val="0"/>
        <c:crossBetween val="midCat"/>
      </c:valAx>
      <c:valAx>
        <c:axId val="621996447"/>
        <c:scaling>
          <c:orientation val="minMax"/>
          <c:max val="0.60000000000000009"/>
          <c:min val="-0.60000000000000009"/>
        </c:scaling>
        <c:delete val="0"/>
        <c:axPos val="r"/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36207"/>
        <c:crosses val="max"/>
        <c:crossBetween val="midCat"/>
      </c:valAx>
      <c:valAx>
        <c:axId val="621736207"/>
        <c:scaling>
          <c:logBase val="10"/>
          <c:orientation val="minMax"/>
          <c:max val="200"/>
          <c:min val="1"/>
        </c:scaling>
        <c:delete val="0"/>
        <c:axPos val="t"/>
        <c:numFmt formatCode="General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6447"/>
        <c:crosses val="max"/>
        <c:crossBetween val="midCat"/>
        <c:min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85504319844418"/>
          <c:y val="0.14359976186119391"/>
          <c:w val="0.30001216263474817"/>
          <c:h val="0.14916448379559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111781759792"/>
          <c:y val="8.9337760146909473E-2"/>
          <c:w val="0.72966144158415036"/>
          <c:h val="0.713284862765296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'03 Jin-et-al-2024'!$AH$3</c:f>
              <c:strCache>
                <c:ptCount val="1"/>
                <c:pt idx="0">
                  <c:v>Residuals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 Jin-et-al-2024'!$BF$5:$BF$20</c:f>
              <c:numCache>
                <c:formatCode>General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8</c:v>
                </c:pt>
                <c:pt idx="4">
                  <c:v>9.0909090909090917</c:v>
                </c:pt>
                <c:pt idx="5">
                  <c:v>13.333333333333334</c:v>
                </c:pt>
                <c:pt idx="6">
                  <c:v>13.333333333333334</c:v>
                </c:pt>
                <c:pt idx="7">
                  <c:v>13.636363636363637</c:v>
                </c:pt>
                <c:pt idx="12">
                  <c:v>23.80952380952381</c:v>
                </c:pt>
                <c:pt idx="13">
                  <c:v>23.80952380952381</c:v>
                </c:pt>
                <c:pt idx="14">
                  <c:v>25</c:v>
                </c:pt>
                <c:pt idx="15">
                  <c:v>26.666666666666668</c:v>
                </c:pt>
              </c:numCache>
            </c:numRef>
          </c:xVal>
          <c:yVal>
            <c:numRef>
              <c:f>'03 Jin-et-al-2024'!$BG$5:$BG$20</c:f>
              <c:numCache>
                <c:formatCode>General</c:formatCode>
                <c:ptCount val="16"/>
                <c:pt idx="0">
                  <c:v>0.11334024542131316</c:v>
                </c:pt>
                <c:pt idx="1">
                  <c:v>5.7982088457193263E-2</c:v>
                </c:pt>
                <c:pt idx="2">
                  <c:v>5.277281240920207E-2</c:v>
                </c:pt>
                <c:pt idx="3">
                  <c:v>-7.2681371379854268E-2</c:v>
                </c:pt>
                <c:pt idx="4">
                  <c:v>-3.550381415814035E-2</c:v>
                </c:pt>
                <c:pt idx="5">
                  <c:v>-3.3838487268380631E-2</c:v>
                </c:pt>
                <c:pt idx="6">
                  <c:v>-4.8252294509255455E-3</c:v>
                </c:pt>
                <c:pt idx="7">
                  <c:v>-7.2304173696284392E-3</c:v>
                </c:pt>
                <c:pt idx="12">
                  <c:v>-1.8557178493755428E-3</c:v>
                </c:pt>
                <c:pt idx="13">
                  <c:v>2.2097269902615541E-2</c:v>
                </c:pt>
                <c:pt idx="14">
                  <c:v>-2.4880439052412037E-2</c:v>
                </c:pt>
                <c:pt idx="15">
                  <c:v>-6.2168607250181251E-2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D-40FB-97EF-3EE9C523FD3C}"/>
            </c:ext>
          </c:extLst>
        </c:ser>
        <c:ser>
          <c:idx val="0"/>
          <c:order val="1"/>
          <c:tx>
            <c:strRef>
              <c:f>'03 Jin-et-al-2024'!$AP$4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'03 Jin-et-al-2024'!$BF$6:$BF$19</c:f>
              <c:numCache>
                <c:formatCode>General</c:formatCode>
                <c:ptCount val="14"/>
                <c:pt idx="0">
                  <c:v>7.5</c:v>
                </c:pt>
                <c:pt idx="1">
                  <c:v>7.5</c:v>
                </c:pt>
                <c:pt idx="2">
                  <c:v>8</c:v>
                </c:pt>
                <c:pt idx="3">
                  <c:v>9.0909090909090917</c:v>
                </c:pt>
                <c:pt idx="4">
                  <c:v>13.333333333333334</c:v>
                </c:pt>
                <c:pt idx="5">
                  <c:v>13.333333333333334</c:v>
                </c:pt>
                <c:pt idx="6">
                  <c:v>13.636363636363637</c:v>
                </c:pt>
                <c:pt idx="11">
                  <c:v>23.80952380952381</c:v>
                </c:pt>
                <c:pt idx="12">
                  <c:v>23.80952380952381</c:v>
                </c:pt>
                <c:pt idx="13">
                  <c:v>25</c:v>
                </c:pt>
              </c:numCache>
            </c:numRef>
          </c:xVal>
          <c:yVal>
            <c:numRef>
              <c:f>'03 Jin-et-al-2024'!$BH$6:$BH$19</c:f>
              <c:numCache>
                <c:formatCode>General</c:formatCode>
                <c:ptCount val="14"/>
                <c:pt idx="0">
                  <c:v>3.7853443726963559E-2</c:v>
                </c:pt>
                <c:pt idx="1">
                  <c:v>3.7853443726963559E-2</c:v>
                </c:pt>
                <c:pt idx="2">
                  <c:v>1.2691176495513689E-2</c:v>
                </c:pt>
                <c:pt idx="3">
                  <c:v>-2.4722510292482177E-2</c:v>
                </c:pt>
                <c:pt idx="4">
                  <c:v>-2.0349487061768742E-2</c:v>
                </c:pt>
                <c:pt idx="5">
                  <c:v>-2.0349487061768742E-2</c:v>
                </c:pt>
                <c:pt idx="6">
                  <c:v>-1.529804469631154E-2</c:v>
                </c:pt>
                <c:pt idx="11">
                  <c:v>-1.5462956663906794E-3</c:v>
                </c:pt>
                <c:pt idx="12">
                  <c:v>-1.5462956663906794E-3</c:v>
                </c:pt>
                <c:pt idx="13">
                  <c:v>-1.5462956663906794E-3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0D-40FB-97EF-3EE9C523F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scatterChart>
        <c:scatterStyle val="lineMarker"/>
        <c:varyColors val="0"/>
        <c:ser>
          <c:idx val="1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1.1000000000000001</c:v>
              </c:pt>
              <c:pt idx="1">
                <c:v>1.1000000000000001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10D-40FB-97EF-3EE9C523F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6207"/>
        <c:axId val="621996447"/>
      </c:scatterChart>
      <c:valAx>
        <c:axId val="1514459807"/>
        <c:scaling>
          <c:logBase val="10"/>
          <c:orientation val="minMax"/>
          <c:max val="50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Cambria Math" panose="02040503050406030204" pitchFamily="18" charset="0"/>
                    <a:cs typeface="Arial" panose="020B0604020202020204" pitchFamily="34" charset="0"/>
                  </a:rPr>
                  <a:t>Ds/Dmax</a:t>
                </a:r>
                <a:endParaRPr lang="en-US" sz="900" b="0" i="0" u="none" strike="noStrike" kern="1200" baseline="-25000">
                  <a:solidFill>
                    <a:sysClr val="windowText" lastClr="000000"/>
                  </a:solidFill>
                  <a:latin typeface="Arial Narrow" panose="020B0606020202030204" pitchFamily="34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567491936708958"/>
              <c:y val="0.90459302537885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60223"/>
        <c:crossesAt val="-0.8"/>
        <c:crossBetween val="midCat"/>
      </c:valAx>
      <c:valAx>
        <c:axId val="1514460223"/>
        <c:scaling>
          <c:orientation val="minMax"/>
          <c:max val="0.60000000000000009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90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ε</a:t>
                </a:r>
                <a:endParaRPr lang="en-US" sz="9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58157467262809E-2"/>
              <c:y val="0.4292689087108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59807"/>
        <c:crossesAt val="0"/>
        <c:crossBetween val="midCat"/>
      </c:valAx>
      <c:valAx>
        <c:axId val="621996447"/>
        <c:scaling>
          <c:orientation val="minMax"/>
          <c:max val="0.60000000000000009"/>
          <c:min val="-0.60000000000000009"/>
        </c:scaling>
        <c:delete val="0"/>
        <c:axPos val="r"/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36207"/>
        <c:crosses val="max"/>
        <c:crossBetween val="midCat"/>
      </c:valAx>
      <c:valAx>
        <c:axId val="621736207"/>
        <c:scaling>
          <c:logBase val="10"/>
          <c:orientation val="minMax"/>
          <c:max val="50"/>
          <c:min val="5"/>
        </c:scaling>
        <c:delete val="0"/>
        <c:axPos val="t"/>
        <c:numFmt formatCode="General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6447"/>
        <c:crosses val="max"/>
        <c:crossBetween val="midCat"/>
        <c:min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85504319844418"/>
          <c:y val="0.14359976186119391"/>
          <c:w val="0.30001216263474817"/>
          <c:h val="0.14916448379559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111781759792"/>
          <c:y val="8.9337760146909473E-2"/>
          <c:w val="0.72966144158415036"/>
          <c:h val="0.713284862765296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'03 Jin-et-al-2024'!$AH$3</c:f>
              <c:strCache>
                <c:ptCount val="1"/>
                <c:pt idx="0">
                  <c:v>Residuals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 Jin-et-al-2024'!$BW$5:$BW$20</c:f>
              <c:numCache>
                <c:formatCode>General</c:formatCode>
                <c:ptCount val="16"/>
                <c:pt idx="0">
                  <c:v>1.8</c:v>
                </c:pt>
                <c:pt idx="1">
                  <c:v>1.8</c:v>
                </c:pt>
                <c:pt idx="2">
                  <c:v>2.9</c:v>
                </c:pt>
                <c:pt idx="3">
                  <c:v>2.9</c:v>
                </c:pt>
                <c:pt idx="4">
                  <c:v>8.6999999999999993</c:v>
                </c:pt>
                <c:pt idx="5">
                  <c:v>8.6999999999999993</c:v>
                </c:pt>
                <c:pt idx="6">
                  <c:v>8.6999999999999993</c:v>
                </c:pt>
                <c:pt idx="7">
                  <c:v>8.6999999999999993</c:v>
                </c:pt>
                <c:pt idx="12">
                  <c:v>31.7</c:v>
                </c:pt>
                <c:pt idx="13">
                  <c:v>49.3</c:v>
                </c:pt>
                <c:pt idx="14">
                  <c:v>49.3</c:v>
                </c:pt>
                <c:pt idx="15">
                  <c:v>57.3</c:v>
                </c:pt>
              </c:numCache>
            </c:numRef>
          </c:xVal>
          <c:yVal>
            <c:numRef>
              <c:f>'03 Jin-et-al-2024'!$BX$5:$BX$20</c:f>
              <c:numCache>
                <c:formatCode>General</c:formatCode>
                <c:ptCount val="16"/>
                <c:pt idx="0">
                  <c:v>-2.4880439052412037E-2</c:v>
                </c:pt>
                <c:pt idx="1">
                  <c:v>-1.8442016461616102E-2</c:v>
                </c:pt>
                <c:pt idx="2">
                  <c:v>6.0858236896929069E-2</c:v>
                </c:pt>
                <c:pt idx="3">
                  <c:v>-2.5918329860951481E-2</c:v>
                </c:pt>
                <c:pt idx="4">
                  <c:v>4.3610433730917463E-2</c:v>
                </c:pt>
                <c:pt idx="5">
                  <c:v>-7.2304173696284392E-3</c:v>
                </c:pt>
                <c:pt idx="6">
                  <c:v>7.2014443614454263E-2</c:v>
                </c:pt>
                <c:pt idx="7">
                  <c:v>-3.550381415814035E-2</c:v>
                </c:pt>
                <c:pt idx="12">
                  <c:v>-6.2168607250181251E-2</c:v>
                </c:pt>
                <c:pt idx="13">
                  <c:v>-3.3838487268380631E-2</c:v>
                </c:pt>
                <c:pt idx="14">
                  <c:v>-4.8252294509255455E-3</c:v>
                </c:pt>
                <c:pt idx="15">
                  <c:v>-1.5372684220704914E-2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C4-46FF-ACCB-B6640678A88A}"/>
            </c:ext>
          </c:extLst>
        </c:ser>
        <c:ser>
          <c:idx val="0"/>
          <c:order val="1"/>
          <c:tx>
            <c:strRef>
              <c:f>'03 Jin-et-al-2024'!$AP$4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'03 Jin-et-al-2024'!$BW$6:$BW$19</c:f>
              <c:numCache>
                <c:formatCode>General</c:formatCode>
                <c:ptCount val="14"/>
                <c:pt idx="0">
                  <c:v>1.8</c:v>
                </c:pt>
                <c:pt idx="1">
                  <c:v>2.9</c:v>
                </c:pt>
                <c:pt idx="2">
                  <c:v>2.9</c:v>
                </c:pt>
                <c:pt idx="3">
                  <c:v>8.6999999999999993</c:v>
                </c:pt>
                <c:pt idx="4">
                  <c:v>8.6999999999999993</c:v>
                </c:pt>
                <c:pt idx="5">
                  <c:v>8.6999999999999993</c:v>
                </c:pt>
                <c:pt idx="6">
                  <c:v>8.6999999999999993</c:v>
                </c:pt>
                <c:pt idx="11">
                  <c:v>31.7</c:v>
                </c:pt>
                <c:pt idx="12">
                  <c:v>49.3</c:v>
                </c:pt>
                <c:pt idx="13">
                  <c:v>49.3</c:v>
                </c:pt>
              </c:numCache>
            </c:numRef>
          </c:xVal>
          <c:yVal>
            <c:numRef>
              <c:f>'03 Jin-et-al-2024'!$BY$6:$BY$19</c:f>
              <c:numCache>
                <c:formatCode>General</c:formatCode>
                <c:ptCount val="14"/>
                <c:pt idx="0">
                  <c:v>-2.0956371195126368E-3</c:v>
                </c:pt>
                <c:pt idx="1">
                  <c:v>-2.0956371195126368E-3</c:v>
                </c:pt>
                <c:pt idx="2">
                  <c:v>5.4992968581204964E-3</c:v>
                </c:pt>
                <c:pt idx="3">
                  <c:v>3.6131486658581097E-2</c:v>
                </c:pt>
                <c:pt idx="4">
                  <c:v>1.8222661454400733E-2</c:v>
                </c:pt>
                <c:pt idx="5">
                  <c:v>1.8222661454400733E-2</c:v>
                </c:pt>
                <c:pt idx="6">
                  <c:v>9.7600706955618243E-3</c:v>
                </c:pt>
                <c:pt idx="11">
                  <c:v>-3.3610774656495805E-2</c:v>
                </c:pt>
                <c:pt idx="12">
                  <c:v>-3.3610774656495805E-2</c:v>
                </c:pt>
                <c:pt idx="13">
                  <c:v>-3.3610774656495805E-2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C4-46FF-ACCB-B6640678A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scatterChart>
        <c:scatterStyle val="lineMarker"/>
        <c:varyColors val="0"/>
        <c:ser>
          <c:idx val="1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1.1000000000000001</c:v>
              </c:pt>
              <c:pt idx="1">
                <c:v>1.1000000000000001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3C4-46FF-ACCB-B6640678A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6207"/>
        <c:axId val="621996447"/>
      </c:scatterChart>
      <c:valAx>
        <c:axId val="1514459807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Cambria Math" panose="02040503050406030204" pitchFamily="18" charset="0"/>
                    <a:cs typeface="Arial" panose="020B0604020202020204" pitchFamily="34" charset="0"/>
                  </a:rPr>
                  <a:t>Cu</a:t>
                </a:r>
              </a:p>
            </c:rich>
          </c:tx>
          <c:layout>
            <c:manualLayout>
              <c:xMode val="edge"/>
              <c:yMode val="edge"/>
              <c:x val="0.49727942593161334"/>
              <c:y val="0.90459298885558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60223"/>
        <c:crossesAt val="-0.8"/>
        <c:crossBetween val="midCat"/>
      </c:valAx>
      <c:valAx>
        <c:axId val="1514460223"/>
        <c:scaling>
          <c:orientation val="minMax"/>
          <c:max val="0.60000000000000009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90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ε</a:t>
                </a:r>
                <a:endParaRPr lang="en-US" sz="9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58157467262809E-2"/>
              <c:y val="0.4292689087108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59807"/>
        <c:crossesAt val="0"/>
        <c:crossBetween val="midCat"/>
      </c:valAx>
      <c:valAx>
        <c:axId val="621996447"/>
        <c:scaling>
          <c:orientation val="minMax"/>
          <c:max val="0.60000000000000009"/>
          <c:min val="-0.60000000000000009"/>
        </c:scaling>
        <c:delete val="0"/>
        <c:axPos val="r"/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36207"/>
        <c:crosses val="max"/>
        <c:crossBetween val="midCat"/>
      </c:valAx>
      <c:valAx>
        <c:axId val="621736207"/>
        <c:scaling>
          <c:logBase val="10"/>
          <c:orientation val="minMax"/>
          <c:max val="100"/>
          <c:min val="1"/>
        </c:scaling>
        <c:delete val="0"/>
        <c:axPos val="t"/>
        <c:numFmt formatCode="General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6447"/>
        <c:crosses val="max"/>
        <c:crossBetween val="midCat"/>
        <c:min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85504319844418"/>
          <c:y val="0.14359976186119391"/>
          <c:w val="0.30001216263474817"/>
          <c:h val="0.14916448379559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111781759792"/>
          <c:y val="8.9337760146909473E-2"/>
          <c:w val="0.72966144158415036"/>
          <c:h val="0.713284862765296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'03 Jin-et-al-2024'!$AH$3</c:f>
              <c:strCache>
                <c:ptCount val="1"/>
                <c:pt idx="0">
                  <c:v>Residuals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 Jin-et-al-2024'!$AW$5:$AW$20</c:f>
              <c:numCache>
                <c:formatCode>General</c:formatCode>
                <c:ptCount val="1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12">
                  <c:v>12</c:v>
                </c:pt>
                <c:pt idx="13">
                  <c:v>12</c:v>
                </c:pt>
                <c:pt idx="14">
                  <c:v>15</c:v>
                </c:pt>
                <c:pt idx="15">
                  <c:v>17</c:v>
                </c:pt>
              </c:numCache>
            </c:numRef>
          </c:xVal>
          <c:yVal>
            <c:numRef>
              <c:f>'03 Jin-et-al-2024'!$AX$5:$AX$20</c:f>
              <c:numCache>
                <c:formatCode>General</c:formatCode>
                <c:ptCount val="16"/>
                <c:pt idx="0">
                  <c:v>6.0858236896929069E-2</c:v>
                </c:pt>
                <c:pt idx="1">
                  <c:v>-2.4880439052412037E-2</c:v>
                </c:pt>
                <c:pt idx="2">
                  <c:v>-1.8442016461616102E-2</c:v>
                </c:pt>
                <c:pt idx="3">
                  <c:v>-2.5988714756240688E-3</c:v>
                </c:pt>
                <c:pt idx="4">
                  <c:v>0.11334024542131316</c:v>
                </c:pt>
                <c:pt idx="5">
                  <c:v>-2.5918329860951481E-2</c:v>
                </c:pt>
                <c:pt idx="6">
                  <c:v>-1.8557178493755428E-3</c:v>
                </c:pt>
                <c:pt idx="7">
                  <c:v>2.2097269902615541E-2</c:v>
                </c:pt>
                <c:pt idx="12">
                  <c:v>5.7982088457193263E-2</c:v>
                </c:pt>
                <c:pt idx="13">
                  <c:v>5.277281240920207E-2</c:v>
                </c:pt>
                <c:pt idx="14">
                  <c:v>-3.3838487268380631E-2</c:v>
                </c:pt>
                <c:pt idx="15">
                  <c:v>-1.5372684220704914E-2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BB-42FA-9975-5829840EFD03}"/>
            </c:ext>
          </c:extLst>
        </c:ser>
        <c:ser>
          <c:idx val="0"/>
          <c:order val="1"/>
          <c:tx>
            <c:strRef>
              <c:f>'03 Jin-et-al-2024'!$AP$4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'03 Jin-et-al-2024'!$AW$6:$AW$19</c:f>
              <c:numCache>
                <c:formatCode>General</c:formatCode>
                <c:ptCount val="14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3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11">
                  <c:v>12</c:v>
                </c:pt>
                <c:pt idx="12">
                  <c:v>12</c:v>
                </c:pt>
                <c:pt idx="13">
                  <c:v>15</c:v>
                </c:pt>
              </c:numCache>
            </c:numRef>
          </c:xVal>
          <c:yVal>
            <c:numRef>
              <c:f>'03 Jin-et-al-2024'!$AY$6:$AY$19</c:f>
              <c:numCache>
                <c:formatCode>General</c:formatCode>
                <c:ptCount val="14"/>
                <c:pt idx="0">
                  <c:v>3.7342274768192153E-3</c:v>
                </c:pt>
                <c:pt idx="1">
                  <c:v>3.7342274768192153E-3</c:v>
                </c:pt>
                <c:pt idx="2">
                  <c:v>-1.5307108996550736E-2</c:v>
                </c:pt>
                <c:pt idx="3">
                  <c:v>2.8522065903662044E-2</c:v>
                </c:pt>
                <c:pt idx="4">
                  <c:v>2.6915866903400417E-2</c:v>
                </c:pt>
                <c:pt idx="5">
                  <c:v>2.6915866903400417E-2</c:v>
                </c:pt>
                <c:pt idx="6">
                  <c:v>-1.8922592692371606E-3</c:v>
                </c:pt>
                <c:pt idx="11">
                  <c:v>2.5638804532671571E-2</c:v>
                </c:pt>
                <c:pt idx="12">
                  <c:v>2.5638804532671571E-2</c:v>
                </c:pt>
                <c:pt idx="13">
                  <c:v>2.5638804532671571E-2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BB-42FA-9975-5829840EF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scatterChart>
        <c:scatterStyle val="lineMarker"/>
        <c:varyColors val="0"/>
        <c:ser>
          <c:idx val="1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1.1000000000000001</c:v>
              </c:pt>
              <c:pt idx="1">
                <c:v>1.1000000000000001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ABB-42FA-9975-5829840EF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6207"/>
        <c:axId val="621996447"/>
      </c:scatterChart>
      <c:valAx>
        <c:axId val="1514459807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Cambria Math" panose="02040503050406030204" pitchFamily="18" charset="0"/>
                    <a:cs typeface="Arial" panose="020B0604020202020204" pitchFamily="34" charset="0"/>
                  </a:rPr>
                  <a:t>D50 (mm)</a:t>
                </a:r>
                <a:endParaRPr lang="en-US" sz="900" b="0" i="0" u="none" strike="noStrike" kern="1200" baseline="-25000">
                  <a:solidFill>
                    <a:sysClr val="windowText" lastClr="000000"/>
                  </a:solidFill>
                  <a:latin typeface="Arial Narrow" panose="020B0606020202030204" pitchFamily="34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567491936708958"/>
              <c:y val="0.90459302537885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60223"/>
        <c:crossesAt val="-0.8"/>
        <c:crossBetween val="midCat"/>
      </c:valAx>
      <c:valAx>
        <c:axId val="1514460223"/>
        <c:scaling>
          <c:orientation val="minMax"/>
          <c:max val="0.60000000000000009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90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ε</a:t>
                </a:r>
                <a:endParaRPr lang="en-US" sz="9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58157467262809E-2"/>
              <c:y val="0.4292689087108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59807"/>
        <c:crossesAt val="0"/>
        <c:crossBetween val="midCat"/>
      </c:valAx>
      <c:valAx>
        <c:axId val="621996447"/>
        <c:scaling>
          <c:orientation val="minMax"/>
          <c:max val="0.60000000000000009"/>
          <c:min val="-0.60000000000000009"/>
        </c:scaling>
        <c:delete val="0"/>
        <c:axPos val="r"/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36207"/>
        <c:crosses val="max"/>
        <c:crossBetween val="midCat"/>
      </c:valAx>
      <c:valAx>
        <c:axId val="621736207"/>
        <c:scaling>
          <c:logBase val="10"/>
          <c:orientation val="minMax"/>
          <c:max val="100"/>
          <c:min val="0.1"/>
        </c:scaling>
        <c:delete val="0"/>
        <c:axPos val="t"/>
        <c:numFmt formatCode="General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6447"/>
        <c:crosses val="max"/>
        <c:crossBetween val="midCat"/>
        <c:min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85504319844418"/>
          <c:y val="0.14359976186119391"/>
          <c:w val="0.30001216263474817"/>
          <c:h val="0.14916448379559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111781759792"/>
          <c:y val="8.9337760146909473E-2"/>
          <c:w val="0.72966144158415036"/>
          <c:h val="0.713284862765296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'03 Jin-et-al-2024'!$AH$3</c:f>
              <c:strCache>
                <c:ptCount val="1"/>
                <c:pt idx="0">
                  <c:v>Residuals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 Jin-et-al-2024'!$BO$5:$BO$20</c:f>
              <c:numCache>
                <c:formatCode>General</c:formatCode>
                <c:ptCount val="16"/>
                <c:pt idx="0">
                  <c:v>12.5</c:v>
                </c:pt>
                <c:pt idx="1">
                  <c:v>12.5</c:v>
                </c:pt>
                <c:pt idx="2">
                  <c:v>15</c:v>
                </c:pt>
                <c:pt idx="3">
                  <c:v>15</c:v>
                </c:pt>
                <c:pt idx="4">
                  <c:v>25</c:v>
                </c:pt>
                <c:pt idx="5">
                  <c:v>25</c:v>
                </c:pt>
                <c:pt idx="6">
                  <c:v>47.058823529411768</c:v>
                </c:pt>
                <c:pt idx="7">
                  <c:v>47.058823529411768</c:v>
                </c:pt>
                <c:pt idx="12">
                  <c:v>125</c:v>
                </c:pt>
                <c:pt idx="13">
                  <c:v>125</c:v>
                </c:pt>
                <c:pt idx="14">
                  <c:v>250</c:v>
                </c:pt>
                <c:pt idx="15">
                  <c:v>250</c:v>
                </c:pt>
              </c:numCache>
            </c:numRef>
          </c:xVal>
          <c:yVal>
            <c:numRef>
              <c:f>'03 Jin-et-al-2024'!$BP$5:$BP$20</c:f>
              <c:numCache>
                <c:formatCode>General</c:formatCode>
                <c:ptCount val="16"/>
                <c:pt idx="0">
                  <c:v>5.7982088457193263E-2</c:v>
                </c:pt>
                <c:pt idx="1">
                  <c:v>5.277281240920207E-2</c:v>
                </c:pt>
                <c:pt idx="2">
                  <c:v>-7.2304173696284392E-3</c:v>
                </c:pt>
                <c:pt idx="3">
                  <c:v>3.0507233874841042E-2</c:v>
                </c:pt>
                <c:pt idx="4">
                  <c:v>-1.8557178493755428E-3</c:v>
                </c:pt>
                <c:pt idx="5">
                  <c:v>2.2097269902615541E-2</c:v>
                </c:pt>
                <c:pt idx="6">
                  <c:v>-7.2681371379854268E-2</c:v>
                </c:pt>
                <c:pt idx="7">
                  <c:v>-1.5372684220704914E-2</c:v>
                </c:pt>
                <c:pt idx="12">
                  <c:v>4.3610433730917463E-2</c:v>
                </c:pt>
                <c:pt idx="13">
                  <c:v>-3.550381415814035E-2</c:v>
                </c:pt>
                <c:pt idx="14">
                  <c:v>6.0858236896929069E-2</c:v>
                </c:pt>
                <c:pt idx="15">
                  <c:v>-2.5988714756240688E-3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16-43DC-83A3-7993B61AC7CB}"/>
            </c:ext>
          </c:extLst>
        </c:ser>
        <c:ser>
          <c:idx val="0"/>
          <c:order val="1"/>
          <c:tx>
            <c:strRef>
              <c:f>'03 Jin-et-al-2024'!$AP$4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'03 Jin-et-al-2024'!$BO$6:$BO$19</c:f>
              <c:numCache>
                <c:formatCode>General</c:formatCode>
                <c:ptCount val="14"/>
                <c:pt idx="0">
                  <c:v>12.5</c:v>
                </c:pt>
                <c:pt idx="1">
                  <c:v>15</c:v>
                </c:pt>
                <c:pt idx="2">
                  <c:v>15</c:v>
                </c:pt>
                <c:pt idx="3">
                  <c:v>25</c:v>
                </c:pt>
                <c:pt idx="4">
                  <c:v>25</c:v>
                </c:pt>
                <c:pt idx="5">
                  <c:v>47.058823529411768</c:v>
                </c:pt>
                <c:pt idx="6">
                  <c:v>47.058823529411768</c:v>
                </c:pt>
                <c:pt idx="11">
                  <c:v>125</c:v>
                </c:pt>
                <c:pt idx="12">
                  <c:v>125</c:v>
                </c:pt>
                <c:pt idx="13">
                  <c:v>250</c:v>
                </c:pt>
              </c:numCache>
            </c:numRef>
          </c:xVal>
          <c:yVal>
            <c:numRef>
              <c:f>'03 Jin-et-al-2024'!$BQ$6:$BQ$19</c:f>
              <c:numCache>
                <c:formatCode>General</c:formatCode>
                <c:ptCount val="14"/>
                <c:pt idx="0">
                  <c:v>3.3507929342901983E-2</c:v>
                </c:pt>
                <c:pt idx="1">
                  <c:v>3.3507929342901983E-2</c:v>
                </c:pt>
                <c:pt idx="2">
                  <c:v>2.5349876304804887E-2</c:v>
                </c:pt>
                <c:pt idx="3">
                  <c:v>-1.7479939775538089E-2</c:v>
                </c:pt>
                <c:pt idx="4">
                  <c:v>-1.6953125886829797E-2</c:v>
                </c:pt>
                <c:pt idx="5">
                  <c:v>-1.6953125886829797E-2</c:v>
                </c:pt>
                <c:pt idx="6">
                  <c:v>-2.198559523264788E-2</c:v>
                </c:pt>
                <c:pt idx="11">
                  <c:v>2.2988285489902061E-2</c:v>
                </c:pt>
                <c:pt idx="12">
                  <c:v>2.2988285489902061E-2</c:v>
                </c:pt>
                <c:pt idx="13">
                  <c:v>2.2988285489902061E-2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16-43DC-83A3-7993B61AC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scatterChart>
        <c:scatterStyle val="lineMarker"/>
        <c:varyColors val="0"/>
        <c:ser>
          <c:idx val="1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1.1000000000000001</c:v>
              </c:pt>
              <c:pt idx="1">
                <c:v>1.1000000000000001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F16-43DC-83A3-7993B61AC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6207"/>
        <c:axId val="621996447"/>
      </c:scatterChart>
      <c:valAx>
        <c:axId val="1514459807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Cambria Math" panose="02040503050406030204" pitchFamily="18" charset="0"/>
                    <a:cs typeface="Arial" panose="020B0604020202020204" pitchFamily="34" charset="0"/>
                  </a:rPr>
                  <a:t>Ds/D50</a:t>
                </a:r>
                <a:endParaRPr lang="en-US" sz="900" b="0" i="0" u="none" strike="noStrike" kern="1200" baseline="-25000">
                  <a:solidFill>
                    <a:sysClr val="windowText" lastClr="000000"/>
                  </a:solidFill>
                  <a:latin typeface="Arial Narrow" panose="020B0606020202030204" pitchFamily="34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567491936708958"/>
              <c:y val="0.90459302537885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60223"/>
        <c:crossesAt val="-0.8"/>
        <c:crossBetween val="midCat"/>
      </c:valAx>
      <c:valAx>
        <c:axId val="1514460223"/>
        <c:scaling>
          <c:orientation val="minMax"/>
          <c:max val="0.60000000000000009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90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ε</a:t>
                </a:r>
                <a:endParaRPr lang="en-US" sz="9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58157467262809E-2"/>
              <c:y val="0.4292689087108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59807"/>
        <c:crossesAt val="0"/>
        <c:crossBetween val="midCat"/>
      </c:valAx>
      <c:valAx>
        <c:axId val="621996447"/>
        <c:scaling>
          <c:orientation val="minMax"/>
          <c:max val="0.60000000000000009"/>
          <c:min val="-0.60000000000000009"/>
        </c:scaling>
        <c:delete val="0"/>
        <c:axPos val="r"/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36207"/>
        <c:crosses val="max"/>
        <c:crossBetween val="midCat"/>
      </c:valAx>
      <c:valAx>
        <c:axId val="621736207"/>
        <c:scaling>
          <c:logBase val="10"/>
          <c:orientation val="minMax"/>
          <c:max val="50"/>
          <c:min val="5"/>
        </c:scaling>
        <c:delete val="0"/>
        <c:axPos val="t"/>
        <c:numFmt formatCode="General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6447"/>
        <c:crosses val="max"/>
        <c:crossBetween val="midCat"/>
        <c:min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85504319844418"/>
          <c:y val="0.14359976186119391"/>
          <c:w val="0.30001216263474817"/>
          <c:h val="0.14916448379559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xVal>
            <c:numRef>
              <c:f>'03 Jin-et-al-2024'!$S$5:$S$20</c:f>
              <c:numCache>
                <c:formatCode>0.00</c:formatCode>
                <c:ptCount val="16"/>
                <c:pt idx="0">
                  <c:v>44.599809531311635</c:v>
                </c:pt>
                <c:pt idx="1">
                  <c:v>38.464356958772321</c:v>
                </c:pt>
                <c:pt idx="2">
                  <c:v>36.303781872347976</c:v>
                </c:pt>
                <c:pt idx="3">
                  <c:v>35.689750305051916</c:v>
                </c:pt>
                <c:pt idx="4">
                  <c:v>45.68239016514454</c:v>
                </c:pt>
                <c:pt idx="5">
                  <c:v>40.422269097814528</c:v>
                </c:pt>
                <c:pt idx="6">
                  <c:v>37.092559273026225</c:v>
                </c:pt>
                <c:pt idx="7">
                  <c:v>36.269968356949647</c:v>
                </c:pt>
                <c:pt idx="8">
                  <c:v>47.052511938323597</c:v>
                </c:pt>
                <c:pt idx="9">
                  <c:v>40.912933359889735</c:v>
                </c:pt>
                <c:pt idx="10">
                  <c:v>38.649615193686941</c:v>
                </c:pt>
                <c:pt idx="11">
                  <c:v>37.701773197529889</c:v>
                </c:pt>
                <c:pt idx="12">
                  <c:v>48.624776166980062</c:v>
                </c:pt>
                <c:pt idx="13">
                  <c:v>42.127114249954182</c:v>
                </c:pt>
                <c:pt idx="14">
                  <c:v>39.445410851665834</c:v>
                </c:pt>
                <c:pt idx="15">
                  <c:v>38.996119068638997</c:v>
                </c:pt>
              </c:numCache>
            </c:numRef>
          </c:xVal>
          <c:yVal>
            <c:numRef>
              <c:f>'03 Jin-et-al-2024'!$X$5:$X$20</c:f>
              <c:numCache>
                <c:formatCode>0.00</c:formatCode>
                <c:ptCount val="16"/>
                <c:pt idx="0">
                  <c:v>42.844049712982375</c:v>
                </c:pt>
                <c:pt idx="1">
                  <c:v>36.791798175827431</c:v>
                </c:pt>
                <c:pt idx="2">
                  <c:v>34.677493266020917</c:v>
                </c:pt>
                <c:pt idx="3">
                  <c:v>34.078122636632401</c:v>
                </c:pt>
                <c:pt idx="4">
                  <c:v>43.919801845783681</c:v>
                </c:pt>
                <c:pt idx="5">
                  <c:v>38.715196527200796</c:v>
                </c:pt>
                <c:pt idx="6">
                  <c:v>35.448408048860834</c:v>
                </c:pt>
                <c:pt idx="7">
                  <c:v>34.644470004990005</c:v>
                </c:pt>
                <c:pt idx="8">
                  <c:v>45.284816678275007</c:v>
                </c:pt>
                <c:pt idx="9">
                  <c:v>39.198353450088646</c:v>
                </c:pt>
                <c:pt idx="10">
                  <c:v>36.973483435045722</c:v>
                </c:pt>
                <c:pt idx="11">
                  <c:v>36.044585016395352</c:v>
                </c:pt>
                <c:pt idx="12">
                  <c:v>46.856174809807015</c:v>
                </c:pt>
                <c:pt idx="13">
                  <c:v>40.395973025504411</c:v>
                </c:pt>
                <c:pt idx="14">
                  <c:v>37.754656427748166</c:v>
                </c:pt>
                <c:pt idx="15">
                  <c:v>37.313475125864436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74-4E89-B2F3-BFD5F29FA9A9}"/>
            </c:ext>
          </c:extLst>
        </c:ser>
        <c:ser>
          <c:idx val="0"/>
          <c:order val="1"/>
          <c:spPr>
            <a:ln w="127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>
                    <a:lumMod val="95000"/>
                    <a:lumOff val="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574-4E89-B2F3-BFD5F29FA9A9}"/>
              </c:ext>
            </c:extLst>
          </c:dPt>
          <c:xVal>
            <c:numRef>
              <c:f>'03 Jin-et-al-2024'!$L$23:$L$24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'03 Jin-et-al-2024'!$M$23:$M$24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74-4E89-B2F3-BFD5F29FA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50"/>
          <c:min val="3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𝜑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Default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(°)</a:t>
                </a:r>
              </a:p>
            </c:rich>
          </c:tx>
          <c:layout>
            <c:manualLayout>
              <c:xMode val="edge"/>
              <c:yMode val="edge"/>
              <c:x val="0.4503736217435429"/>
              <c:y val="0.91401090071111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2"/>
      </c:valAx>
      <c:valAx>
        <c:axId val="1514460223"/>
        <c:scaling>
          <c:orientation val="minMax"/>
          <c:max val="50"/>
          <c:min val="3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𝜑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Solver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(°)</a:t>
                </a:r>
              </a:p>
            </c:rich>
          </c:tx>
          <c:layout>
            <c:manualLayout>
              <c:xMode val="edge"/>
              <c:yMode val="edge"/>
              <c:x val="4.2369152385363595E-2"/>
              <c:y val="0.30792924715345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xVal>
            <c:numRef>
              <c:f>'03 Jin-et-al-2024'!$V$5:$V$20</c:f>
              <c:numCache>
                <c:formatCode>0.00</c:formatCode>
                <c:ptCount val="16"/>
                <c:pt idx="0">
                  <c:v>47.349254478221688</c:v>
                </c:pt>
                <c:pt idx="1">
                  <c:v>44.140774990910394</c:v>
                </c:pt>
                <c:pt idx="2">
                  <c:v>43.301563073353236</c:v>
                </c:pt>
                <c:pt idx="3">
                  <c:v>43.600779087495781</c:v>
                </c:pt>
                <c:pt idx="4">
                  <c:v>48.453105972155143</c:v>
                </c:pt>
                <c:pt idx="5">
                  <c:v>46.191318873870379</c:v>
                </c:pt>
                <c:pt idx="6">
                  <c:v>44.14737759737951</c:v>
                </c:pt>
                <c:pt idx="7">
                  <c:v>44.22812428471947</c:v>
                </c:pt>
                <c:pt idx="8">
                  <c:v>49.84321149833</c:v>
                </c:pt>
                <c:pt idx="9">
                  <c:v>46.700493812307847</c:v>
                </c:pt>
                <c:pt idx="10">
                  <c:v>45.799321718803057</c:v>
                </c:pt>
                <c:pt idx="11">
                  <c:v>45.760352933821636</c:v>
                </c:pt>
                <c:pt idx="12">
                  <c:v>51.428713759256318</c:v>
                </c:pt>
                <c:pt idx="13">
                  <c:v>47.952329193422528</c:v>
                </c:pt>
                <c:pt idx="14">
                  <c:v>46.634505532976711</c:v>
                </c:pt>
                <c:pt idx="15">
                  <c:v>47.126022185712117</c:v>
                </c:pt>
              </c:numCache>
            </c:numRef>
          </c:xVal>
          <c:yVal>
            <c:numRef>
              <c:f>'03 Jin-et-al-2024'!$AA$5:$AA$20</c:f>
              <c:numCache>
                <c:formatCode>0.00</c:formatCode>
                <c:ptCount val="16"/>
                <c:pt idx="0">
                  <c:v>47.240159029916668</c:v>
                </c:pt>
                <c:pt idx="1">
                  <c:v>45.516547760360289</c:v>
                </c:pt>
                <c:pt idx="2">
                  <c:v>45.374551738623744</c:v>
                </c:pt>
                <c:pt idx="3">
                  <c:v>46.146068748345037</c:v>
                </c:pt>
                <c:pt idx="4">
                  <c:v>48.358795207148255</c:v>
                </c:pt>
                <c:pt idx="5">
                  <c:v>47.593374153232887</c:v>
                </c:pt>
                <c:pt idx="6">
                  <c:v>46.233301174280903</c:v>
                </c:pt>
                <c:pt idx="7">
                  <c:v>46.782299098283879</c:v>
                </c:pt>
                <c:pt idx="8">
                  <c:v>49.767143260126829</c:v>
                </c:pt>
                <c:pt idx="9">
                  <c:v>48.10782017052334</c:v>
                </c:pt>
                <c:pt idx="10">
                  <c:v>47.904890240413934</c:v>
                </c:pt>
                <c:pt idx="11">
                  <c:v>48.330786717261098</c:v>
                </c:pt>
                <c:pt idx="12">
                  <c:v>51.372792214322821</c:v>
                </c:pt>
                <c:pt idx="13">
                  <c:v>49.37042971984102</c:v>
                </c:pt>
                <c:pt idx="14">
                  <c:v>48.747129673362046</c:v>
                </c:pt>
                <c:pt idx="15">
                  <c:v>49.704358639784374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B8-44A8-BCDD-570FC281B478}"/>
            </c:ext>
          </c:extLst>
        </c:ser>
        <c:ser>
          <c:idx val="0"/>
          <c:order val="1"/>
          <c:spPr>
            <a:ln w="127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>
                    <a:lumMod val="95000"/>
                    <a:lumOff val="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B8-44A8-BCDD-570FC281B478}"/>
              </c:ext>
            </c:extLst>
          </c:dPt>
          <c:xVal>
            <c:numRef>
              <c:f>'03 Jin-et-al-2024'!$L$23:$L$24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'03 Jin-et-al-2024'!$M$23:$M$24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B8-44A8-BCDD-570FC281B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53"/>
          <c:min val="43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Ø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1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'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Default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(°)</a:t>
                </a:r>
              </a:p>
            </c:rich>
          </c:tx>
          <c:layout>
            <c:manualLayout>
              <c:xMode val="edge"/>
              <c:yMode val="edge"/>
              <c:x val="0.4503736217435429"/>
              <c:y val="0.91401090071111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2"/>
      </c:valAx>
      <c:valAx>
        <c:axId val="1514460223"/>
        <c:scaling>
          <c:orientation val="minMax"/>
          <c:max val="53"/>
          <c:min val="43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Ø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1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'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Solver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(°)</a:t>
                </a:r>
              </a:p>
            </c:rich>
          </c:tx>
          <c:layout>
            <c:manualLayout>
              <c:xMode val="edge"/>
              <c:yMode val="edge"/>
              <c:x val="4.2369152385363595E-2"/>
              <c:y val="0.30792924715345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2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All data</a:t>
            </a:r>
          </a:p>
        </c:rich>
      </c:tx>
      <c:layout>
        <c:manualLayout>
          <c:xMode val="edge"/>
          <c:yMode val="edge"/>
          <c:x val="0.18776037646029539"/>
          <c:y val="0.116906474820143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9526143790849674"/>
                  <c:y val="2.756873241564229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sz="1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'03 Jin-et-al-2024'!$T$5:$T$20</c:f>
              <c:numCache>
                <c:formatCode>0.000</c:formatCode>
                <c:ptCount val="16"/>
                <c:pt idx="0">
                  <c:v>0.92309197204525872</c:v>
                </c:pt>
                <c:pt idx="1">
                  <c:v>2.6136841466772478</c:v>
                </c:pt>
                <c:pt idx="2">
                  <c:v>4.2604396039141594</c:v>
                </c:pt>
                <c:pt idx="3">
                  <c:v>5.9260209096348477</c:v>
                </c:pt>
                <c:pt idx="4">
                  <c:v>0.93181613006410591</c:v>
                </c:pt>
                <c:pt idx="5">
                  <c:v>2.6645979240970235</c:v>
                </c:pt>
                <c:pt idx="6">
                  <c:v>4.2956171938771757</c:v>
                </c:pt>
                <c:pt idx="7">
                  <c:v>5.9624958910326038</c:v>
                </c:pt>
                <c:pt idx="8">
                  <c:v>0.94265635115450985</c:v>
                </c:pt>
                <c:pt idx="9">
                  <c:v>2.6771799825733544</c:v>
                </c:pt>
                <c:pt idx="10">
                  <c:v>4.3642478179996678</c:v>
                </c:pt>
                <c:pt idx="11">
                  <c:v>6.0516403308492359</c:v>
                </c:pt>
                <c:pt idx="12">
                  <c:v>0.95480792517729696</c:v>
                </c:pt>
                <c:pt idx="13">
                  <c:v>2.7079957374308488</c:v>
                </c:pt>
                <c:pt idx="14">
                  <c:v>4.398890594101994</c:v>
                </c:pt>
                <c:pt idx="15">
                  <c:v>6.131116439661989</c:v>
                </c:pt>
              </c:numCache>
            </c:numRef>
          </c:xVal>
          <c:yVal>
            <c:numRef>
              <c:f>'03 Jin-et-al-2024'!$U$5:$U$20</c:f>
              <c:numCache>
                <c:formatCode>0.000</c:formatCode>
                <c:ptCount val="16"/>
                <c:pt idx="0">
                  <c:v>1.0114291937313227</c:v>
                </c:pt>
                <c:pt idx="1">
                  <c:v>2.3070720571234857</c:v>
                </c:pt>
                <c:pt idx="2">
                  <c:v>3.4778188892968109</c:v>
                </c:pt>
                <c:pt idx="3">
                  <c:v>4.7296341267811819</c:v>
                </c:pt>
                <c:pt idx="4">
                  <c:v>1.0603116875194976</c:v>
                </c:pt>
                <c:pt idx="5">
                  <c:v>2.521707730610808</c:v>
                </c:pt>
                <c:pt idx="6">
                  <c:v>3.6087476920094383</c:v>
                </c:pt>
                <c:pt idx="7">
                  <c:v>4.8611987654048958</c:v>
                </c:pt>
                <c:pt idx="8">
                  <c:v>1.1252605274046907</c:v>
                </c:pt>
                <c:pt idx="9">
                  <c:v>2.5778933601170659</c:v>
                </c:pt>
                <c:pt idx="10">
                  <c:v>3.877916802724934</c:v>
                </c:pt>
                <c:pt idx="11">
                  <c:v>5.1972648222453044</c:v>
                </c:pt>
                <c:pt idx="12">
                  <c:v>1.2044017321987237</c:v>
                </c:pt>
                <c:pt idx="13">
                  <c:v>2.721322997655816</c:v>
                </c:pt>
                <c:pt idx="14">
                  <c:v>4.0212578164551021</c:v>
                </c:pt>
                <c:pt idx="15">
                  <c:v>5.5157695749671261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BD-4D11-97F8-8E08C34F8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7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σ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n_Default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503736217435429"/>
              <c:y val="0.91401090071111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1"/>
      </c:valAx>
      <c:valAx>
        <c:axId val="1514460223"/>
        <c:scaling>
          <c:orientation val="minMax"/>
          <c:max val="7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Default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(MPa)</a:t>
                </a:r>
              </a:p>
            </c:rich>
          </c:tx>
          <c:layout>
            <c:manualLayout>
              <c:xMode val="edge"/>
              <c:yMode val="edge"/>
              <c:x val="3.8284185065102158E-2"/>
              <c:y val="0.34090286825657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1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All data</a:t>
            </a:r>
          </a:p>
        </c:rich>
      </c:tx>
      <c:layout>
        <c:manualLayout>
          <c:xMode val="edge"/>
          <c:yMode val="edge"/>
          <c:x val="0.18776037646029539"/>
          <c:y val="0.110911270983213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9174781154716239"/>
                  <c:y val="2.756873241564229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sz="1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'03 Jin-et-al-2024'!$Y$5:$Y$20</c:f>
              <c:numCache>
                <c:formatCode>0.000</c:formatCode>
                <c:ptCount val="16"/>
                <c:pt idx="0">
                  <c:v>0.95454940760390428</c:v>
                </c:pt>
                <c:pt idx="1">
                  <c:v>2.6818026912466717</c:v>
                </c:pt>
                <c:pt idx="2">
                  <c:v>4.3601702600090171</c:v>
                </c:pt>
                <c:pt idx="3">
                  <c:v>6.0603833835563865</c:v>
                </c:pt>
                <c:pt idx="4">
                  <c:v>0.96494309509776843</c:v>
                </c:pt>
                <c:pt idx="5">
                  <c:v>2.7406718905224867</c:v>
                </c:pt>
                <c:pt idx="6">
                  <c:v>4.4002824056240444</c:v>
                </c:pt>
                <c:pt idx="7">
                  <c:v>6.1018264397649364</c:v>
                </c:pt>
                <c:pt idx="8">
                  <c:v>0.97794280491920715</c:v>
                </c:pt>
                <c:pt idx="9">
                  <c:v>2.7553123312451895</c:v>
                </c:pt>
                <c:pt idx="10">
                  <c:v>4.4790031912551331</c:v>
                </c:pt>
                <c:pt idx="11">
                  <c:v>6.2036220759488874</c:v>
                </c:pt>
                <c:pt idx="12">
                  <c:v>0.9926307514987649</c:v>
                </c:pt>
                <c:pt idx="13">
                  <c:v>2.7913289322447956</c:v>
                </c:pt>
                <c:pt idx="14">
                  <c:v>4.5189779821072822</c:v>
                </c:pt>
                <c:pt idx="15">
                  <c:v>6.2950042153530124</c:v>
                </c:pt>
              </c:numCache>
            </c:numRef>
          </c:xVal>
          <c:yVal>
            <c:numRef>
              <c:f>'03 Jin-et-al-2024'!$AC$5:$AC$20</c:f>
              <c:numCache>
                <c:formatCode>0.000</c:formatCode>
                <c:ptCount val="16"/>
                <c:pt idx="0">
                  <c:v>1.0253552082378392</c:v>
                </c:pt>
                <c:pt idx="1">
                  <c:v>2.467223483447321</c:v>
                </c:pt>
                <c:pt idx="2">
                  <c:v>3.7292682372739461</c:v>
                </c:pt>
                <c:pt idx="3">
                  <c:v>4.9336776997138045</c:v>
                </c:pt>
                <c:pt idx="4">
                  <c:v>1.060641018939037</c:v>
                </c:pt>
                <c:pt idx="5">
                  <c:v>2.575849354502874</c:v>
                </c:pt>
                <c:pt idx="6">
                  <c:v>3.8521255999290696</c:v>
                </c:pt>
                <c:pt idx="7">
                  <c:v>5.0860759877864083</c:v>
                </c:pt>
                <c:pt idx="8">
                  <c:v>1.0997064553612512</c:v>
                </c:pt>
                <c:pt idx="9">
                  <c:v>2.6525009461519025</c:v>
                </c:pt>
                <c:pt idx="10">
                  <c:v>4.0088010463378811</c:v>
                </c:pt>
                <c:pt idx="11">
                  <c:v>5.2876033595719063</c:v>
                </c:pt>
                <c:pt idx="12">
                  <c:v>1.1412210127324132</c:v>
                </c:pt>
                <c:pt idx="13">
                  <c:v>2.7481444545657427</c:v>
                </c:pt>
                <c:pt idx="14">
                  <c:v>4.1388947667891456</c:v>
                </c:pt>
                <c:pt idx="15">
                  <c:v>5.4858864535531415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85-440D-B015-A5247DA16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7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σ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n_Solver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503736217435429"/>
              <c:y val="0.91401090071111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1"/>
      </c:valAx>
      <c:valAx>
        <c:axId val="1514460223"/>
        <c:scaling>
          <c:orientation val="minMax"/>
          <c:max val="7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Solver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3.8284185065102158E-2"/>
              <c:y val="0.310926849071923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1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xVal>
            <c:numRef>
              <c:f>'03 Jin-et-al-2024'!$Z$5:$Z$20</c:f>
              <c:numCache>
                <c:formatCode>0.000</c:formatCode>
                <c:ptCount val="16"/>
                <c:pt idx="0">
                  <c:v>1.0415136158790628</c:v>
                </c:pt>
                <c:pt idx="1">
                  <c:v>2.3595835968062855</c:v>
                </c:pt>
                <c:pt idx="2">
                  <c:v>3.5489314898456987</c:v>
                </c:pt>
                <c:pt idx="3">
                  <c:v>4.8233106952906661</c:v>
                </c:pt>
                <c:pt idx="4">
                  <c:v>1.0932094448543572</c:v>
                </c:pt>
                <c:pt idx="5">
                  <c:v>2.5845716938622849</c:v>
                </c:pt>
                <c:pt idx="6">
                  <c:v>3.6855489513107531</c:v>
                </c:pt>
                <c:pt idx="7">
                  <c:v>4.960425399238245</c:v>
                </c:pt>
                <c:pt idx="8">
                  <c:v>1.1620166400989231</c:v>
                </c:pt>
                <c:pt idx="9">
                  <c:v>2.6435835951786064</c:v>
                </c:pt>
                <c:pt idx="10">
                  <c:v>3.9669672498065323</c:v>
                </c:pt>
                <c:pt idx="11">
                  <c:v>5.3112647321921296</c:v>
                </c:pt>
                <c:pt idx="12">
                  <c:v>1.2460275112641517</c:v>
                </c:pt>
                <c:pt idx="13">
                  <c:v>2.7944339554634863</c:v>
                </c:pt>
                <c:pt idx="14">
                  <c:v>4.1171224342858004</c:v>
                </c:pt>
                <c:pt idx="15">
                  <c:v>5.6445273025784903</c:v>
                </c:pt>
              </c:numCache>
            </c:numRef>
          </c:xVal>
          <c:yVal>
            <c:numRef>
              <c:f>'03 Jin-et-al-2024'!$AC$5:$AC$20</c:f>
              <c:numCache>
                <c:formatCode>0.000</c:formatCode>
                <c:ptCount val="16"/>
                <c:pt idx="0">
                  <c:v>1.0253552082378392</c:v>
                </c:pt>
                <c:pt idx="1">
                  <c:v>2.467223483447321</c:v>
                </c:pt>
                <c:pt idx="2">
                  <c:v>3.7292682372739461</c:v>
                </c:pt>
                <c:pt idx="3">
                  <c:v>4.9336776997138045</c:v>
                </c:pt>
                <c:pt idx="4">
                  <c:v>1.060641018939037</c:v>
                </c:pt>
                <c:pt idx="5">
                  <c:v>2.575849354502874</c:v>
                </c:pt>
                <c:pt idx="6">
                  <c:v>3.8521255999290696</c:v>
                </c:pt>
                <c:pt idx="7">
                  <c:v>5.0860759877864083</c:v>
                </c:pt>
                <c:pt idx="8">
                  <c:v>1.0997064553612512</c:v>
                </c:pt>
                <c:pt idx="9">
                  <c:v>2.6525009461519025</c:v>
                </c:pt>
                <c:pt idx="10">
                  <c:v>4.0088010463378811</c:v>
                </c:pt>
                <c:pt idx="11">
                  <c:v>5.2876033595719063</c:v>
                </c:pt>
                <c:pt idx="12">
                  <c:v>1.1412210127324132</c:v>
                </c:pt>
                <c:pt idx="13">
                  <c:v>2.7481444545657427</c:v>
                </c:pt>
                <c:pt idx="14">
                  <c:v>4.1388947667891456</c:v>
                </c:pt>
                <c:pt idx="15">
                  <c:v>5.4858864535531415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12-4138-97F0-BD197FD0D669}"/>
            </c:ext>
          </c:extLst>
        </c:ser>
        <c:ser>
          <c:idx val="0"/>
          <c:order val="1"/>
          <c:spPr>
            <a:ln w="127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>
                    <a:lumMod val="95000"/>
                    <a:lumOff val="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412-4138-97F0-BD197FD0D669}"/>
              </c:ext>
            </c:extLst>
          </c:dPt>
          <c:xVal>
            <c:numRef>
              <c:f>'03 Jin-et-al-2024'!$L$23:$L$24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'03 Jin-et-al-2024'!$M$23:$M$24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12-4138-97F0-BD197FD0D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6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Solver</a:t>
                </a:r>
                <a:endParaRPr lang="en-US" sz="1800" b="0" i="0" u="none" strike="noStrike" kern="12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48208178097587989"/>
              <c:y val="0.914010988382337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1"/>
      </c:valAx>
      <c:valAx>
        <c:axId val="1514460223"/>
        <c:scaling>
          <c:orientation val="minMax"/>
          <c:max val="6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Leps 2.0</a:t>
                </a:r>
                <a:endParaRPr lang="en-US" sz="1800" b="0" i="0" u="none" strike="noStrike" kern="120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endParaRPr>
              </a:p>
            </c:rich>
          </c:tx>
          <c:layout>
            <c:manualLayout>
              <c:xMode val="edge"/>
              <c:yMode val="edge"/>
              <c:x val="2.2044131187721385E-2"/>
              <c:y val="0.383488594004215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1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xVal>
            <c:numRef>
              <c:f>'03 Jin-et-al-2024'!$U$5:$U$20</c:f>
              <c:numCache>
                <c:formatCode>0.000</c:formatCode>
                <c:ptCount val="16"/>
                <c:pt idx="0">
                  <c:v>1.0114291937313227</c:v>
                </c:pt>
                <c:pt idx="1">
                  <c:v>2.3070720571234857</c:v>
                </c:pt>
                <c:pt idx="2">
                  <c:v>3.4778188892968109</c:v>
                </c:pt>
                <c:pt idx="3">
                  <c:v>4.7296341267811819</c:v>
                </c:pt>
                <c:pt idx="4">
                  <c:v>1.0603116875194976</c:v>
                </c:pt>
                <c:pt idx="5">
                  <c:v>2.521707730610808</c:v>
                </c:pt>
                <c:pt idx="6">
                  <c:v>3.6087476920094383</c:v>
                </c:pt>
                <c:pt idx="7">
                  <c:v>4.8611987654048958</c:v>
                </c:pt>
                <c:pt idx="8">
                  <c:v>1.1252605274046907</c:v>
                </c:pt>
                <c:pt idx="9">
                  <c:v>2.5778933601170659</c:v>
                </c:pt>
                <c:pt idx="10">
                  <c:v>3.877916802724934</c:v>
                </c:pt>
                <c:pt idx="11">
                  <c:v>5.1972648222453044</c:v>
                </c:pt>
                <c:pt idx="12">
                  <c:v>1.2044017321987237</c:v>
                </c:pt>
                <c:pt idx="13">
                  <c:v>2.721322997655816</c:v>
                </c:pt>
                <c:pt idx="14">
                  <c:v>4.0212578164551021</c:v>
                </c:pt>
                <c:pt idx="15">
                  <c:v>5.5157695749671261</c:v>
                </c:pt>
              </c:numCache>
            </c:numRef>
          </c:xVal>
          <c:yVal>
            <c:numRef>
              <c:f>'03 Jin-et-al-2024'!$AC$5:$AC$20</c:f>
              <c:numCache>
                <c:formatCode>0.000</c:formatCode>
                <c:ptCount val="16"/>
                <c:pt idx="0">
                  <c:v>1.0253552082378392</c:v>
                </c:pt>
                <c:pt idx="1">
                  <c:v>2.467223483447321</c:v>
                </c:pt>
                <c:pt idx="2">
                  <c:v>3.7292682372739461</c:v>
                </c:pt>
                <c:pt idx="3">
                  <c:v>4.9336776997138045</c:v>
                </c:pt>
                <c:pt idx="4">
                  <c:v>1.060641018939037</c:v>
                </c:pt>
                <c:pt idx="5">
                  <c:v>2.575849354502874</c:v>
                </c:pt>
                <c:pt idx="6">
                  <c:v>3.8521255999290696</c:v>
                </c:pt>
                <c:pt idx="7">
                  <c:v>5.0860759877864083</c:v>
                </c:pt>
                <c:pt idx="8">
                  <c:v>1.0997064553612512</c:v>
                </c:pt>
                <c:pt idx="9">
                  <c:v>2.6525009461519025</c:v>
                </c:pt>
                <c:pt idx="10">
                  <c:v>4.0088010463378811</c:v>
                </c:pt>
                <c:pt idx="11">
                  <c:v>5.2876033595719063</c:v>
                </c:pt>
                <c:pt idx="12">
                  <c:v>1.1412210127324132</c:v>
                </c:pt>
                <c:pt idx="13">
                  <c:v>2.7481444545657427</c:v>
                </c:pt>
                <c:pt idx="14">
                  <c:v>4.1388947667891456</c:v>
                </c:pt>
                <c:pt idx="15">
                  <c:v>5.4858864535531415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4B-4CCF-925C-091FEF171E2A}"/>
            </c:ext>
          </c:extLst>
        </c:ser>
        <c:ser>
          <c:idx val="0"/>
          <c:order val="1"/>
          <c:spPr>
            <a:ln w="127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>
                    <a:lumMod val="95000"/>
                    <a:lumOff val="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F4B-4CCF-925C-091FEF171E2A}"/>
              </c:ext>
            </c:extLst>
          </c:dPt>
          <c:xVal>
            <c:numRef>
              <c:f>'03 Jin-et-al-2024'!$L$23:$L$24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'03 Jin-et-al-2024'!$M$23:$M$24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4B-4CCF-925C-091FEF171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6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Default</a:t>
                </a:r>
                <a:endParaRPr lang="en-US" sz="1800" b="0" i="0" u="none" strike="noStrike" kern="12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47284091786320825"/>
              <c:y val="0.911104856443947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1"/>
      </c:valAx>
      <c:valAx>
        <c:axId val="1514460223"/>
        <c:scaling>
          <c:orientation val="minMax"/>
          <c:max val="6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Leps 2.0</a:t>
                </a:r>
                <a:endParaRPr lang="en-US" sz="1800" b="0" i="0" u="none" strike="noStrike" kern="120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endParaRPr>
              </a:p>
            </c:rich>
          </c:tx>
          <c:layout>
            <c:manualLayout>
              <c:xMode val="edge"/>
              <c:yMode val="edge"/>
              <c:x val="3.6241701404971439E-2"/>
              <c:y val="0.368957934312265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1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111781759792"/>
          <c:y val="8.9337760146909473E-2"/>
          <c:w val="0.72966144158415036"/>
          <c:h val="0.713284862765296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'04 Ning-et-al-2025'!$AH$3</c:f>
              <c:strCache>
                <c:ptCount val="1"/>
                <c:pt idx="0">
                  <c:v>Residuals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'04 Ning-et-al-2025'!$AL$5:$AL$16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6.3</c:v>
                </c:pt>
                <c:pt idx="3">
                  <c:v>6.3</c:v>
                </c:pt>
                <c:pt idx="4">
                  <c:v>6.3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30</c:v>
                </c:pt>
                <c:pt idx="9">
                  <c:v>30</c:v>
                </c:pt>
                <c:pt idx="10">
                  <c:v>60</c:v>
                </c:pt>
                <c:pt idx="11">
                  <c:v>100</c:v>
                </c:pt>
              </c:numCache>
            </c:numRef>
          </c:xVal>
          <c:yVal>
            <c:numRef>
              <c:f>'04 Ning-et-al-2025'!$AM$5:$AM$16</c:f>
              <c:numCache>
                <c:formatCode>General</c:formatCode>
                <c:ptCount val="12"/>
                <c:pt idx="0">
                  <c:v>-2.4880439052412037E-2</c:v>
                </c:pt>
                <c:pt idx="1">
                  <c:v>-1.8442016461616102E-2</c:v>
                </c:pt>
                <c:pt idx="2">
                  <c:v>6.0858236896929069E-2</c:v>
                </c:pt>
                <c:pt idx="3">
                  <c:v>-2.5918329860951481E-2</c:v>
                </c:pt>
                <c:pt idx="4">
                  <c:v>-2.5988714756240688E-3</c:v>
                </c:pt>
                <c:pt idx="5">
                  <c:v>4.3610433730917463E-2</c:v>
                </c:pt>
                <c:pt idx="6">
                  <c:v>-7.2304173696284392E-3</c:v>
                </c:pt>
                <c:pt idx="7">
                  <c:v>3.0507233874841042E-2</c:v>
                </c:pt>
                <c:pt idx="8">
                  <c:v>-5.2045072237944551E-2</c:v>
                </c:pt>
                <c:pt idx="9">
                  <c:v>-6.2168607250181251E-2</c:v>
                </c:pt>
                <c:pt idx="10">
                  <c:v>-3.3838487268380631E-2</c:v>
                </c:pt>
                <c:pt idx="11">
                  <c:v>-1.5372684220704914E-2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7E-49FF-9D33-63A72079EA75}"/>
            </c:ext>
          </c:extLst>
        </c:ser>
        <c:ser>
          <c:idx val="0"/>
          <c:order val="1"/>
          <c:tx>
            <c:strRef>
              <c:f>'04 Ning-et-al-2025'!$AN$4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'04 Ning-et-al-2025'!$AL$6:$AL$15</c:f>
              <c:numCache>
                <c:formatCode>General</c:formatCode>
                <c:ptCount val="10"/>
                <c:pt idx="0">
                  <c:v>4</c:v>
                </c:pt>
                <c:pt idx="1">
                  <c:v>6.3</c:v>
                </c:pt>
                <c:pt idx="2">
                  <c:v>6.3</c:v>
                </c:pt>
                <c:pt idx="3">
                  <c:v>6.3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30</c:v>
                </c:pt>
                <c:pt idx="8">
                  <c:v>30</c:v>
                </c:pt>
                <c:pt idx="9">
                  <c:v>60</c:v>
                </c:pt>
              </c:numCache>
            </c:numRef>
          </c:xVal>
          <c:yVal>
            <c:numRef>
              <c:f>'04 Ning-et-al-2025'!$AN$6:$AN$15</c:f>
              <c:numCache>
                <c:formatCode>General</c:formatCode>
                <c:ptCount val="10"/>
                <c:pt idx="0">
                  <c:v>-2.0956371195126368E-3</c:v>
                </c:pt>
                <c:pt idx="1">
                  <c:v>-2.0956371195126368E-3</c:v>
                </c:pt>
                <c:pt idx="2">
                  <c:v>5.4992968581204964E-3</c:v>
                </c:pt>
                <c:pt idx="3">
                  <c:v>1.1260381628554984E-2</c:v>
                </c:pt>
                <c:pt idx="4">
                  <c:v>1.60720946901265E-2</c:v>
                </c:pt>
                <c:pt idx="5">
                  <c:v>1.60720946901265E-2</c:v>
                </c:pt>
                <c:pt idx="6">
                  <c:v>2.2295750078710024E-2</c:v>
                </c:pt>
                <c:pt idx="7">
                  <c:v>-4.9350722252168806E-2</c:v>
                </c:pt>
                <c:pt idx="8">
                  <c:v>-4.9350722252168806E-2</c:v>
                </c:pt>
                <c:pt idx="9">
                  <c:v>-4.9350722252168806E-2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7E-49FF-9D33-63A72079E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scatterChart>
        <c:scatterStyle val="lineMarker"/>
        <c:varyColors val="0"/>
        <c:ser>
          <c:idx val="1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1.1000000000000001</c:v>
              </c:pt>
              <c:pt idx="1">
                <c:v>1.1000000000000001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97E-49FF-9D33-63A72079E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6207"/>
        <c:axId val="621996447"/>
      </c:scatterChart>
      <c:valAx>
        <c:axId val="1514459807"/>
        <c:scaling>
          <c:logBase val="10"/>
          <c:orientation val="minMax"/>
          <c:max val="2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Cambria Math" panose="02040503050406030204" pitchFamily="18" charset="0"/>
                    <a:cs typeface="Arial" panose="020B0604020202020204" pitchFamily="34" charset="0"/>
                  </a:rPr>
                  <a:t>Dmax (mm)</a:t>
                </a:r>
                <a:endParaRPr lang="en-US" sz="900" b="0" i="0" u="none" strike="noStrike" kern="1200" baseline="-25000">
                  <a:solidFill>
                    <a:sysClr val="windowText" lastClr="000000"/>
                  </a:solidFill>
                  <a:latin typeface="Arial Narrow" panose="020B0606020202030204" pitchFamily="34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567491936708958"/>
              <c:y val="0.90459302537885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60223"/>
        <c:crossesAt val="-0.8"/>
        <c:crossBetween val="midCat"/>
      </c:valAx>
      <c:valAx>
        <c:axId val="1514460223"/>
        <c:scaling>
          <c:orientation val="minMax"/>
          <c:max val="0.60000000000000009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90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ε</a:t>
                </a:r>
                <a:endParaRPr lang="en-US" sz="9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58157467262809E-2"/>
              <c:y val="0.4292689087108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59807"/>
        <c:crossesAt val="0"/>
        <c:crossBetween val="midCat"/>
      </c:valAx>
      <c:valAx>
        <c:axId val="621996447"/>
        <c:scaling>
          <c:orientation val="minMax"/>
          <c:max val="0.60000000000000009"/>
          <c:min val="-0.60000000000000009"/>
        </c:scaling>
        <c:delete val="0"/>
        <c:axPos val="r"/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36207"/>
        <c:crosses val="max"/>
        <c:crossBetween val="midCat"/>
      </c:valAx>
      <c:valAx>
        <c:axId val="621736207"/>
        <c:scaling>
          <c:logBase val="10"/>
          <c:orientation val="minMax"/>
          <c:max val="200"/>
          <c:min val="1"/>
        </c:scaling>
        <c:delete val="0"/>
        <c:axPos val="t"/>
        <c:numFmt formatCode="General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6447"/>
        <c:crosses val="max"/>
        <c:crossBetween val="midCat"/>
        <c:min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85504319844418"/>
          <c:y val="0.14359976186119391"/>
          <c:w val="0.30001216263474817"/>
          <c:h val="0.14916448379559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111781759792"/>
          <c:y val="8.9337760146909473E-2"/>
          <c:w val="0.72966144158415036"/>
          <c:h val="0.713284862765296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'04 Ning-et-al-2025'!$AH$3</c:f>
              <c:strCache>
                <c:ptCount val="1"/>
                <c:pt idx="0">
                  <c:v>Residuals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'04 Ning-et-al-2025'!$BD$5:$BD$16</c:f>
              <c:numCache>
                <c:formatCode>General</c:formatCode>
                <c:ptCount val="1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8</c:v>
                </c:pt>
                <c:pt idx="4">
                  <c:v>9.0909090909090917</c:v>
                </c:pt>
                <c:pt idx="5">
                  <c:v>13.333333333333334</c:v>
                </c:pt>
                <c:pt idx="6">
                  <c:v>13.333333333333334</c:v>
                </c:pt>
                <c:pt idx="7">
                  <c:v>13.636363636363637</c:v>
                </c:pt>
                <c:pt idx="8">
                  <c:v>23.80952380952381</c:v>
                </c:pt>
                <c:pt idx="9">
                  <c:v>23.80952380952381</c:v>
                </c:pt>
                <c:pt idx="10">
                  <c:v>25</c:v>
                </c:pt>
                <c:pt idx="11">
                  <c:v>26.666666666666668</c:v>
                </c:pt>
              </c:numCache>
            </c:numRef>
          </c:xVal>
          <c:yVal>
            <c:numRef>
              <c:f>'04 Ning-et-al-2025'!$BE$5:$BE$16</c:f>
              <c:numCache>
                <c:formatCode>General</c:formatCode>
                <c:ptCount val="12"/>
                <c:pt idx="0">
                  <c:v>0.11334024542131316</c:v>
                </c:pt>
                <c:pt idx="1">
                  <c:v>5.7982088457193263E-2</c:v>
                </c:pt>
                <c:pt idx="2">
                  <c:v>5.277281240920207E-2</c:v>
                </c:pt>
                <c:pt idx="3">
                  <c:v>-7.2681371379854268E-2</c:v>
                </c:pt>
                <c:pt idx="4">
                  <c:v>-3.550381415814035E-2</c:v>
                </c:pt>
                <c:pt idx="5">
                  <c:v>-3.3838487268380631E-2</c:v>
                </c:pt>
                <c:pt idx="6">
                  <c:v>-4.8252294509255455E-3</c:v>
                </c:pt>
                <c:pt idx="7">
                  <c:v>-7.2304173696284392E-3</c:v>
                </c:pt>
                <c:pt idx="8">
                  <c:v>-1.8557178493755428E-3</c:v>
                </c:pt>
                <c:pt idx="9">
                  <c:v>2.2097269902615541E-2</c:v>
                </c:pt>
                <c:pt idx="10">
                  <c:v>-2.4880439052412037E-2</c:v>
                </c:pt>
                <c:pt idx="11">
                  <c:v>-6.2168607250181251E-2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57-4104-A848-9A65A93D803D}"/>
            </c:ext>
          </c:extLst>
        </c:ser>
        <c:ser>
          <c:idx val="0"/>
          <c:order val="1"/>
          <c:tx>
            <c:strRef>
              <c:f>'04 Ning-et-al-2025'!$AN$4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'04 Ning-et-al-2025'!$BD$6:$BD$15</c:f>
              <c:numCache>
                <c:formatCode>General</c:formatCode>
                <c:ptCount val="10"/>
                <c:pt idx="0">
                  <c:v>7.5</c:v>
                </c:pt>
                <c:pt idx="1">
                  <c:v>7.5</c:v>
                </c:pt>
                <c:pt idx="2">
                  <c:v>8</c:v>
                </c:pt>
                <c:pt idx="3">
                  <c:v>9.0909090909090917</c:v>
                </c:pt>
                <c:pt idx="4">
                  <c:v>13.333333333333334</c:v>
                </c:pt>
                <c:pt idx="5">
                  <c:v>13.333333333333334</c:v>
                </c:pt>
                <c:pt idx="6">
                  <c:v>13.636363636363637</c:v>
                </c:pt>
                <c:pt idx="7">
                  <c:v>23.80952380952381</c:v>
                </c:pt>
                <c:pt idx="8">
                  <c:v>23.80952380952381</c:v>
                </c:pt>
                <c:pt idx="9">
                  <c:v>25</c:v>
                </c:pt>
              </c:numCache>
            </c:numRef>
          </c:xVal>
          <c:yVal>
            <c:numRef>
              <c:f>'04 Ning-et-al-2025'!$BF$6:$BF$15</c:f>
              <c:numCache>
                <c:formatCode>General</c:formatCode>
                <c:ptCount val="10"/>
                <c:pt idx="0">
                  <c:v>3.7853443726963559E-2</c:v>
                </c:pt>
                <c:pt idx="1">
                  <c:v>3.7853443726963559E-2</c:v>
                </c:pt>
                <c:pt idx="2">
                  <c:v>1.2691176495513689E-2</c:v>
                </c:pt>
                <c:pt idx="3">
                  <c:v>-2.4722510292482177E-2</c:v>
                </c:pt>
                <c:pt idx="4">
                  <c:v>-2.0349487061768742E-2</c:v>
                </c:pt>
                <c:pt idx="5">
                  <c:v>-2.0349487061768742E-2</c:v>
                </c:pt>
                <c:pt idx="6">
                  <c:v>-1.529804469631154E-2</c:v>
                </c:pt>
                <c:pt idx="7">
                  <c:v>-1.5462956663906794E-3</c:v>
                </c:pt>
                <c:pt idx="8">
                  <c:v>-1.5462956663906794E-3</c:v>
                </c:pt>
                <c:pt idx="9">
                  <c:v>-1.5462956663906794E-3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57-4104-A848-9A65A93D8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scatterChart>
        <c:scatterStyle val="lineMarker"/>
        <c:varyColors val="0"/>
        <c:ser>
          <c:idx val="1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1.1000000000000001</c:v>
              </c:pt>
              <c:pt idx="1">
                <c:v>1.1000000000000001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157-4104-A848-9A65A93D8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6207"/>
        <c:axId val="621996447"/>
      </c:scatterChart>
      <c:valAx>
        <c:axId val="1514459807"/>
        <c:scaling>
          <c:logBase val="10"/>
          <c:orientation val="minMax"/>
          <c:max val="50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Cambria Math" panose="02040503050406030204" pitchFamily="18" charset="0"/>
                    <a:cs typeface="Arial" panose="020B0604020202020204" pitchFamily="34" charset="0"/>
                  </a:rPr>
                  <a:t>Ds/Dmax</a:t>
                </a:r>
                <a:endParaRPr lang="en-US" sz="900" b="0" i="0" u="none" strike="noStrike" kern="1200" baseline="-25000">
                  <a:solidFill>
                    <a:sysClr val="windowText" lastClr="000000"/>
                  </a:solidFill>
                  <a:latin typeface="Arial Narrow" panose="020B0606020202030204" pitchFamily="34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567491936708958"/>
              <c:y val="0.90459302537885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60223"/>
        <c:crossesAt val="-0.8"/>
        <c:crossBetween val="midCat"/>
      </c:valAx>
      <c:valAx>
        <c:axId val="1514460223"/>
        <c:scaling>
          <c:orientation val="minMax"/>
          <c:max val="0.60000000000000009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90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ε</a:t>
                </a:r>
                <a:endParaRPr lang="en-US" sz="9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58157467262809E-2"/>
              <c:y val="0.4292689087108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59807"/>
        <c:crossesAt val="0"/>
        <c:crossBetween val="midCat"/>
      </c:valAx>
      <c:valAx>
        <c:axId val="621996447"/>
        <c:scaling>
          <c:orientation val="minMax"/>
          <c:max val="0.60000000000000009"/>
          <c:min val="-0.60000000000000009"/>
        </c:scaling>
        <c:delete val="0"/>
        <c:axPos val="r"/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36207"/>
        <c:crosses val="max"/>
        <c:crossBetween val="midCat"/>
      </c:valAx>
      <c:valAx>
        <c:axId val="621736207"/>
        <c:scaling>
          <c:logBase val="10"/>
          <c:orientation val="minMax"/>
          <c:max val="50"/>
          <c:min val="5"/>
        </c:scaling>
        <c:delete val="0"/>
        <c:axPos val="t"/>
        <c:numFmt formatCode="General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6447"/>
        <c:crosses val="max"/>
        <c:crossBetween val="midCat"/>
        <c:min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85504319844418"/>
          <c:y val="0.14359976186119391"/>
          <c:w val="0.30001216263474817"/>
          <c:h val="0.14916448379559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111781759792"/>
          <c:y val="8.9337760146909473E-2"/>
          <c:w val="0.72966144158415036"/>
          <c:h val="0.713284862765296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'04 Ning-et-al-2025'!$AH$3</c:f>
              <c:strCache>
                <c:ptCount val="1"/>
                <c:pt idx="0">
                  <c:v>Residuals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'04 Ning-et-al-2025'!$BU$5:$BU$16</c:f>
              <c:numCache>
                <c:formatCode>General</c:formatCode>
                <c:ptCount val="12"/>
                <c:pt idx="0">
                  <c:v>1.8</c:v>
                </c:pt>
                <c:pt idx="1">
                  <c:v>1.8</c:v>
                </c:pt>
                <c:pt idx="2">
                  <c:v>2.9</c:v>
                </c:pt>
                <c:pt idx="3">
                  <c:v>2.9</c:v>
                </c:pt>
                <c:pt idx="4">
                  <c:v>8.6999999999999993</c:v>
                </c:pt>
                <c:pt idx="5">
                  <c:v>8.6999999999999993</c:v>
                </c:pt>
                <c:pt idx="6">
                  <c:v>8.6999999999999993</c:v>
                </c:pt>
                <c:pt idx="7">
                  <c:v>8.6999999999999993</c:v>
                </c:pt>
                <c:pt idx="8">
                  <c:v>31.7</c:v>
                </c:pt>
                <c:pt idx="9">
                  <c:v>49.3</c:v>
                </c:pt>
                <c:pt idx="10">
                  <c:v>49.3</c:v>
                </c:pt>
                <c:pt idx="11">
                  <c:v>57.3</c:v>
                </c:pt>
              </c:numCache>
            </c:numRef>
          </c:xVal>
          <c:yVal>
            <c:numRef>
              <c:f>'04 Ning-et-al-2025'!$BV$5:$BV$16</c:f>
              <c:numCache>
                <c:formatCode>General</c:formatCode>
                <c:ptCount val="12"/>
                <c:pt idx="0">
                  <c:v>-2.4880439052412037E-2</c:v>
                </c:pt>
                <c:pt idx="1">
                  <c:v>-1.8442016461616102E-2</c:v>
                </c:pt>
                <c:pt idx="2">
                  <c:v>6.0858236896929069E-2</c:v>
                </c:pt>
                <c:pt idx="3">
                  <c:v>-2.5918329860951481E-2</c:v>
                </c:pt>
                <c:pt idx="4">
                  <c:v>4.3610433730917463E-2</c:v>
                </c:pt>
                <c:pt idx="5">
                  <c:v>-7.2304173696284392E-3</c:v>
                </c:pt>
                <c:pt idx="6">
                  <c:v>7.2014443614454263E-2</c:v>
                </c:pt>
                <c:pt idx="7">
                  <c:v>-3.550381415814035E-2</c:v>
                </c:pt>
                <c:pt idx="8">
                  <c:v>-6.2168607250181251E-2</c:v>
                </c:pt>
                <c:pt idx="9">
                  <c:v>-3.3838487268380631E-2</c:v>
                </c:pt>
                <c:pt idx="10">
                  <c:v>-4.8252294509255455E-3</c:v>
                </c:pt>
                <c:pt idx="11">
                  <c:v>-1.5372684220704914E-2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05-4DD0-AEEB-63A80F8FFAE5}"/>
            </c:ext>
          </c:extLst>
        </c:ser>
        <c:ser>
          <c:idx val="0"/>
          <c:order val="1"/>
          <c:tx>
            <c:strRef>
              <c:f>'04 Ning-et-al-2025'!$AN$4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'04 Ning-et-al-2025'!$BU$6:$BU$15</c:f>
              <c:numCache>
                <c:formatCode>General</c:formatCode>
                <c:ptCount val="10"/>
                <c:pt idx="0">
                  <c:v>1.8</c:v>
                </c:pt>
                <c:pt idx="1">
                  <c:v>2.9</c:v>
                </c:pt>
                <c:pt idx="2">
                  <c:v>2.9</c:v>
                </c:pt>
                <c:pt idx="3">
                  <c:v>8.6999999999999993</c:v>
                </c:pt>
                <c:pt idx="4">
                  <c:v>8.6999999999999993</c:v>
                </c:pt>
                <c:pt idx="5">
                  <c:v>8.6999999999999993</c:v>
                </c:pt>
                <c:pt idx="6">
                  <c:v>8.6999999999999993</c:v>
                </c:pt>
                <c:pt idx="7">
                  <c:v>31.7</c:v>
                </c:pt>
                <c:pt idx="8">
                  <c:v>49.3</c:v>
                </c:pt>
                <c:pt idx="9">
                  <c:v>49.3</c:v>
                </c:pt>
              </c:numCache>
            </c:numRef>
          </c:xVal>
          <c:yVal>
            <c:numRef>
              <c:f>'04 Ning-et-al-2025'!$BW$6:$BW$15</c:f>
              <c:numCache>
                <c:formatCode>General</c:formatCode>
                <c:ptCount val="10"/>
                <c:pt idx="0">
                  <c:v>-2.0956371195126368E-3</c:v>
                </c:pt>
                <c:pt idx="1">
                  <c:v>-2.0956371195126368E-3</c:v>
                </c:pt>
                <c:pt idx="2">
                  <c:v>5.4992968581204964E-3</c:v>
                </c:pt>
                <c:pt idx="3">
                  <c:v>3.6131486658581097E-2</c:v>
                </c:pt>
                <c:pt idx="4">
                  <c:v>1.8222661454400733E-2</c:v>
                </c:pt>
                <c:pt idx="5">
                  <c:v>1.8222661454400733E-2</c:v>
                </c:pt>
                <c:pt idx="6">
                  <c:v>9.7600706955618243E-3</c:v>
                </c:pt>
                <c:pt idx="7">
                  <c:v>-3.3610774656495805E-2</c:v>
                </c:pt>
                <c:pt idx="8">
                  <c:v>-3.3610774656495805E-2</c:v>
                </c:pt>
                <c:pt idx="9">
                  <c:v>-3.3610774656495805E-2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05-4DD0-AEEB-63A80F8FF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scatterChart>
        <c:scatterStyle val="lineMarker"/>
        <c:varyColors val="0"/>
        <c:ser>
          <c:idx val="1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1.1000000000000001</c:v>
              </c:pt>
              <c:pt idx="1">
                <c:v>1.1000000000000001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205-4DD0-AEEB-63A80F8FF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6207"/>
        <c:axId val="621996447"/>
      </c:scatterChart>
      <c:valAx>
        <c:axId val="1514459807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Cambria Math" panose="02040503050406030204" pitchFamily="18" charset="0"/>
                    <a:cs typeface="Arial" panose="020B0604020202020204" pitchFamily="34" charset="0"/>
                  </a:rPr>
                  <a:t>Cu</a:t>
                </a:r>
              </a:p>
            </c:rich>
          </c:tx>
          <c:layout>
            <c:manualLayout>
              <c:xMode val="edge"/>
              <c:yMode val="edge"/>
              <c:x val="0.49727942593161334"/>
              <c:y val="0.90459298885558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60223"/>
        <c:crossesAt val="-0.8"/>
        <c:crossBetween val="midCat"/>
      </c:valAx>
      <c:valAx>
        <c:axId val="1514460223"/>
        <c:scaling>
          <c:orientation val="minMax"/>
          <c:max val="0.60000000000000009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90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ε</a:t>
                </a:r>
                <a:endParaRPr lang="en-US" sz="9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58157467262809E-2"/>
              <c:y val="0.4292689087108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59807"/>
        <c:crossesAt val="0"/>
        <c:crossBetween val="midCat"/>
      </c:valAx>
      <c:valAx>
        <c:axId val="621996447"/>
        <c:scaling>
          <c:orientation val="minMax"/>
          <c:max val="0.60000000000000009"/>
          <c:min val="-0.60000000000000009"/>
        </c:scaling>
        <c:delete val="0"/>
        <c:axPos val="r"/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36207"/>
        <c:crosses val="max"/>
        <c:crossBetween val="midCat"/>
      </c:valAx>
      <c:valAx>
        <c:axId val="621736207"/>
        <c:scaling>
          <c:logBase val="10"/>
          <c:orientation val="minMax"/>
          <c:max val="100"/>
          <c:min val="1"/>
        </c:scaling>
        <c:delete val="0"/>
        <c:axPos val="t"/>
        <c:numFmt formatCode="General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6447"/>
        <c:crosses val="max"/>
        <c:crossBetween val="midCat"/>
        <c:min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85504319844418"/>
          <c:y val="0.14359976186119391"/>
          <c:w val="0.30001216263474817"/>
          <c:h val="0.14916448379559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111781759792"/>
          <c:y val="8.9337760146909473E-2"/>
          <c:w val="0.72966144158415036"/>
          <c:h val="0.713284862765296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'04 Ning-et-al-2025'!$AH$3</c:f>
              <c:strCache>
                <c:ptCount val="1"/>
                <c:pt idx="0">
                  <c:v>Residuals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'04 Ning-et-al-2025'!$AU$5:$AU$16</c:f>
              <c:numCache>
                <c:formatCode>General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12</c:v>
                </c:pt>
                <c:pt idx="9">
                  <c:v>12</c:v>
                </c:pt>
                <c:pt idx="10">
                  <c:v>15</c:v>
                </c:pt>
                <c:pt idx="11">
                  <c:v>17</c:v>
                </c:pt>
              </c:numCache>
            </c:numRef>
          </c:xVal>
          <c:yVal>
            <c:numRef>
              <c:f>'04 Ning-et-al-2025'!$AV$5:$AV$16</c:f>
              <c:numCache>
                <c:formatCode>General</c:formatCode>
                <c:ptCount val="12"/>
                <c:pt idx="0">
                  <c:v>6.0858236896929069E-2</c:v>
                </c:pt>
                <c:pt idx="1">
                  <c:v>-2.4880439052412037E-2</c:v>
                </c:pt>
                <c:pt idx="2">
                  <c:v>-1.8442016461616102E-2</c:v>
                </c:pt>
                <c:pt idx="3">
                  <c:v>-2.5988714756240688E-3</c:v>
                </c:pt>
                <c:pt idx="4">
                  <c:v>0.11334024542131316</c:v>
                </c:pt>
                <c:pt idx="5">
                  <c:v>-2.5918329860951481E-2</c:v>
                </c:pt>
                <c:pt idx="6">
                  <c:v>-1.8557178493755428E-3</c:v>
                </c:pt>
                <c:pt idx="7">
                  <c:v>2.2097269902615541E-2</c:v>
                </c:pt>
                <c:pt idx="8">
                  <c:v>5.7982088457193263E-2</c:v>
                </c:pt>
                <c:pt idx="9">
                  <c:v>5.277281240920207E-2</c:v>
                </c:pt>
                <c:pt idx="10">
                  <c:v>-3.3838487268380631E-2</c:v>
                </c:pt>
                <c:pt idx="11">
                  <c:v>-1.5372684220704914E-2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0D-4998-9124-AAD4DFA2F9CA}"/>
            </c:ext>
          </c:extLst>
        </c:ser>
        <c:ser>
          <c:idx val="0"/>
          <c:order val="1"/>
          <c:tx>
            <c:strRef>
              <c:f>'04 Ning-et-al-2025'!$AN$4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'04 Ning-et-al-2025'!$AU$6:$AU$15</c:f>
              <c:numCache>
                <c:formatCode>General</c:formatCode>
                <c:ptCount val="10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3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12</c:v>
                </c:pt>
                <c:pt idx="8">
                  <c:v>12</c:v>
                </c:pt>
                <c:pt idx="9">
                  <c:v>15</c:v>
                </c:pt>
              </c:numCache>
            </c:numRef>
          </c:xVal>
          <c:yVal>
            <c:numRef>
              <c:f>'04 Ning-et-al-2025'!$AW$6:$AW$15</c:f>
              <c:numCache>
                <c:formatCode>General</c:formatCode>
                <c:ptCount val="10"/>
                <c:pt idx="0">
                  <c:v>3.7342274768192153E-3</c:v>
                </c:pt>
                <c:pt idx="1">
                  <c:v>3.7342274768192153E-3</c:v>
                </c:pt>
                <c:pt idx="2">
                  <c:v>-1.5307108996550736E-2</c:v>
                </c:pt>
                <c:pt idx="3">
                  <c:v>2.8522065903662044E-2</c:v>
                </c:pt>
                <c:pt idx="4">
                  <c:v>2.6915866903400417E-2</c:v>
                </c:pt>
                <c:pt idx="5">
                  <c:v>2.6915866903400417E-2</c:v>
                </c:pt>
                <c:pt idx="6">
                  <c:v>-1.8922592692371606E-3</c:v>
                </c:pt>
                <c:pt idx="7">
                  <c:v>2.5638804532671571E-2</c:v>
                </c:pt>
                <c:pt idx="8">
                  <c:v>2.5638804532671571E-2</c:v>
                </c:pt>
                <c:pt idx="9">
                  <c:v>2.5638804532671571E-2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0D-4998-9124-AAD4DFA2F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scatterChart>
        <c:scatterStyle val="lineMarker"/>
        <c:varyColors val="0"/>
        <c:ser>
          <c:idx val="1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1.1000000000000001</c:v>
              </c:pt>
              <c:pt idx="1">
                <c:v>1.1000000000000001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50D-4998-9124-AAD4DFA2F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6207"/>
        <c:axId val="621996447"/>
      </c:scatterChart>
      <c:valAx>
        <c:axId val="1514459807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Cambria Math" panose="02040503050406030204" pitchFamily="18" charset="0"/>
                    <a:cs typeface="Arial" panose="020B0604020202020204" pitchFamily="34" charset="0"/>
                  </a:rPr>
                  <a:t>D50 (mm)</a:t>
                </a:r>
                <a:endParaRPr lang="en-US" sz="900" b="0" i="0" u="none" strike="noStrike" kern="1200" baseline="-25000">
                  <a:solidFill>
                    <a:sysClr val="windowText" lastClr="000000"/>
                  </a:solidFill>
                  <a:latin typeface="Arial Narrow" panose="020B0606020202030204" pitchFamily="34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567491936708958"/>
              <c:y val="0.90459302537885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60223"/>
        <c:crossesAt val="-0.8"/>
        <c:crossBetween val="midCat"/>
      </c:valAx>
      <c:valAx>
        <c:axId val="1514460223"/>
        <c:scaling>
          <c:orientation val="minMax"/>
          <c:max val="0.60000000000000009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90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ε</a:t>
                </a:r>
                <a:endParaRPr lang="en-US" sz="9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58157467262809E-2"/>
              <c:y val="0.4292689087108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59807"/>
        <c:crossesAt val="0"/>
        <c:crossBetween val="midCat"/>
      </c:valAx>
      <c:valAx>
        <c:axId val="621996447"/>
        <c:scaling>
          <c:orientation val="minMax"/>
          <c:max val="0.60000000000000009"/>
          <c:min val="-0.60000000000000009"/>
        </c:scaling>
        <c:delete val="0"/>
        <c:axPos val="r"/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36207"/>
        <c:crosses val="max"/>
        <c:crossBetween val="midCat"/>
      </c:valAx>
      <c:valAx>
        <c:axId val="621736207"/>
        <c:scaling>
          <c:logBase val="10"/>
          <c:orientation val="minMax"/>
          <c:max val="100"/>
          <c:min val="0.1"/>
        </c:scaling>
        <c:delete val="0"/>
        <c:axPos val="t"/>
        <c:numFmt formatCode="General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6447"/>
        <c:crosses val="max"/>
        <c:crossBetween val="midCat"/>
        <c:min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85504319844418"/>
          <c:y val="0.14359976186119391"/>
          <c:w val="0.30001216263474817"/>
          <c:h val="0.14916448379559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111781759792"/>
          <c:y val="8.9337760146909473E-2"/>
          <c:w val="0.72966144158415036"/>
          <c:h val="0.71328486276529623"/>
        </c:manualLayout>
      </c:layout>
      <c:scatterChart>
        <c:scatterStyle val="lineMarker"/>
        <c:varyColors val="0"/>
        <c:ser>
          <c:idx val="1"/>
          <c:order val="0"/>
          <c:tx>
            <c:strRef>
              <c:f>'04 Ning-et-al-2025'!$AH$3</c:f>
              <c:strCache>
                <c:ptCount val="1"/>
                <c:pt idx="0">
                  <c:v>Residuals</c:v>
                </c:pt>
              </c:strCache>
            </c:strRef>
          </c:tx>
          <c:spPr>
            <a:ln w="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'04 Ning-et-al-2025'!$BM$5:$BM$16</c:f>
              <c:numCache>
                <c:formatCode>General</c:formatCode>
                <c:ptCount val="12"/>
                <c:pt idx="0">
                  <c:v>12.5</c:v>
                </c:pt>
                <c:pt idx="1">
                  <c:v>12.5</c:v>
                </c:pt>
                <c:pt idx="2">
                  <c:v>15</c:v>
                </c:pt>
                <c:pt idx="3">
                  <c:v>15</c:v>
                </c:pt>
                <c:pt idx="4">
                  <c:v>25</c:v>
                </c:pt>
                <c:pt idx="5">
                  <c:v>25</c:v>
                </c:pt>
                <c:pt idx="6">
                  <c:v>47.058823529411768</c:v>
                </c:pt>
                <c:pt idx="7">
                  <c:v>47.058823529411768</c:v>
                </c:pt>
                <c:pt idx="8">
                  <c:v>125</c:v>
                </c:pt>
                <c:pt idx="9">
                  <c:v>125</c:v>
                </c:pt>
                <c:pt idx="10">
                  <c:v>250</c:v>
                </c:pt>
                <c:pt idx="11">
                  <c:v>250</c:v>
                </c:pt>
              </c:numCache>
            </c:numRef>
          </c:xVal>
          <c:yVal>
            <c:numRef>
              <c:f>'04 Ning-et-al-2025'!$BN$5:$BN$16</c:f>
              <c:numCache>
                <c:formatCode>General</c:formatCode>
                <c:ptCount val="12"/>
                <c:pt idx="0">
                  <c:v>5.7982088457193263E-2</c:v>
                </c:pt>
                <c:pt idx="1">
                  <c:v>5.277281240920207E-2</c:v>
                </c:pt>
                <c:pt idx="2">
                  <c:v>-7.2304173696284392E-3</c:v>
                </c:pt>
                <c:pt idx="3">
                  <c:v>3.0507233874841042E-2</c:v>
                </c:pt>
                <c:pt idx="4">
                  <c:v>-1.8557178493755428E-3</c:v>
                </c:pt>
                <c:pt idx="5">
                  <c:v>2.2097269902615541E-2</c:v>
                </c:pt>
                <c:pt idx="6">
                  <c:v>-7.2681371379854268E-2</c:v>
                </c:pt>
                <c:pt idx="7">
                  <c:v>-1.5372684220704914E-2</c:v>
                </c:pt>
                <c:pt idx="8">
                  <c:v>4.3610433730917463E-2</c:v>
                </c:pt>
                <c:pt idx="9">
                  <c:v>-3.550381415814035E-2</c:v>
                </c:pt>
                <c:pt idx="10">
                  <c:v>6.0858236896929069E-2</c:v>
                </c:pt>
                <c:pt idx="11">
                  <c:v>-2.5988714756240688E-3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5A-45C5-AA3A-4C0A244CF3D2}"/>
            </c:ext>
          </c:extLst>
        </c:ser>
        <c:ser>
          <c:idx val="0"/>
          <c:order val="1"/>
          <c:tx>
            <c:strRef>
              <c:f>'04 Ning-et-al-2025'!$AN$4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'04 Ning-et-al-2025'!$BM$6:$BM$15</c:f>
              <c:numCache>
                <c:formatCode>General</c:formatCode>
                <c:ptCount val="10"/>
                <c:pt idx="0">
                  <c:v>12.5</c:v>
                </c:pt>
                <c:pt idx="1">
                  <c:v>15</c:v>
                </c:pt>
                <c:pt idx="2">
                  <c:v>15</c:v>
                </c:pt>
                <c:pt idx="3">
                  <c:v>25</c:v>
                </c:pt>
                <c:pt idx="4">
                  <c:v>25</c:v>
                </c:pt>
                <c:pt idx="5">
                  <c:v>47.058823529411768</c:v>
                </c:pt>
                <c:pt idx="6">
                  <c:v>47.058823529411768</c:v>
                </c:pt>
                <c:pt idx="7">
                  <c:v>125</c:v>
                </c:pt>
                <c:pt idx="8">
                  <c:v>125</c:v>
                </c:pt>
                <c:pt idx="9">
                  <c:v>250</c:v>
                </c:pt>
              </c:numCache>
            </c:numRef>
          </c:xVal>
          <c:yVal>
            <c:numRef>
              <c:f>'04 Ning-et-al-2025'!$BO$6:$BO$15</c:f>
              <c:numCache>
                <c:formatCode>General</c:formatCode>
                <c:ptCount val="10"/>
                <c:pt idx="0">
                  <c:v>3.3507929342901983E-2</c:v>
                </c:pt>
                <c:pt idx="1">
                  <c:v>3.3507929342901983E-2</c:v>
                </c:pt>
                <c:pt idx="2">
                  <c:v>2.5349876304804887E-2</c:v>
                </c:pt>
                <c:pt idx="3">
                  <c:v>-1.7479939775538089E-2</c:v>
                </c:pt>
                <c:pt idx="4">
                  <c:v>-1.6953125886829797E-2</c:v>
                </c:pt>
                <c:pt idx="5">
                  <c:v>-1.6953125886829797E-2</c:v>
                </c:pt>
                <c:pt idx="6">
                  <c:v>-2.198559523264788E-2</c:v>
                </c:pt>
                <c:pt idx="7">
                  <c:v>2.2988285489902061E-2</c:v>
                </c:pt>
                <c:pt idx="8">
                  <c:v>2.2988285489902061E-2</c:v>
                </c:pt>
                <c:pt idx="9">
                  <c:v>2.2988285489902061E-2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5A-45C5-AA3A-4C0A244CF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scatterChart>
        <c:scatterStyle val="lineMarker"/>
        <c:varyColors val="0"/>
        <c:ser>
          <c:idx val="17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1.1000000000000001</c:v>
              </c:pt>
              <c:pt idx="1">
                <c:v>1.1000000000000001</c:v>
              </c:pt>
            </c:numLit>
          </c:xVal>
          <c:yVal>
            <c:numLit>
              <c:formatCode>General</c:formatCode>
              <c:ptCount val="2"/>
              <c:pt idx="0">
                <c:v>23</c:v>
              </c:pt>
              <c:pt idx="1">
                <c:v>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E5A-45C5-AA3A-4C0A244CF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6207"/>
        <c:axId val="621996447"/>
      </c:scatterChart>
      <c:valAx>
        <c:axId val="1514459807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Cambria Math" panose="02040503050406030204" pitchFamily="18" charset="0"/>
                    <a:cs typeface="Arial" panose="020B0604020202020204" pitchFamily="34" charset="0"/>
                  </a:rPr>
                  <a:t>Ds/D50</a:t>
                </a:r>
                <a:endParaRPr lang="en-US" sz="900" b="0" i="0" u="none" strike="noStrike" kern="1200" baseline="-25000">
                  <a:solidFill>
                    <a:sysClr val="windowText" lastClr="000000"/>
                  </a:solidFill>
                  <a:latin typeface="Arial Narrow" panose="020B0606020202030204" pitchFamily="34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4567491936708958"/>
              <c:y val="0.90459302537885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60223"/>
        <c:crossesAt val="-0.8"/>
        <c:crossBetween val="midCat"/>
      </c:valAx>
      <c:valAx>
        <c:axId val="1514460223"/>
        <c:scaling>
          <c:orientation val="minMax"/>
          <c:max val="0.60000000000000009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90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ε</a:t>
                </a:r>
                <a:endParaRPr lang="en-US" sz="9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58157467262809E-2"/>
              <c:y val="0.4292689087108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14459807"/>
        <c:crossesAt val="0"/>
        <c:crossBetween val="midCat"/>
      </c:valAx>
      <c:valAx>
        <c:axId val="621996447"/>
        <c:scaling>
          <c:orientation val="minMax"/>
          <c:max val="0.60000000000000009"/>
          <c:min val="-0.60000000000000009"/>
        </c:scaling>
        <c:delete val="0"/>
        <c:axPos val="r"/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36207"/>
        <c:crosses val="max"/>
        <c:crossBetween val="midCat"/>
      </c:valAx>
      <c:valAx>
        <c:axId val="621736207"/>
        <c:scaling>
          <c:logBase val="10"/>
          <c:orientation val="minMax"/>
          <c:max val="50"/>
          <c:min val="5"/>
        </c:scaling>
        <c:delete val="0"/>
        <c:axPos val="t"/>
        <c:numFmt formatCode="General" sourceLinked="1"/>
        <c:majorTickMark val="in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96447"/>
        <c:crosses val="max"/>
        <c:crossBetween val="midCat"/>
        <c:minorUnit val="1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85504319844418"/>
          <c:y val="0.14359976186119391"/>
          <c:w val="0.30001216263474817"/>
          <c:h val="0.14916448379559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xVal>
            <c:numRef>
              <c:f>'04 Ning-et-al-2025'!$Q$5:$Q$16</c:f>
              <c:numCache>
                <c:formatCode>0.00</c:formatCode>
                <c:ptCount val="12"/>
                <c:pt idx="0">
                  <c:v>46.130979926194662</c:v>
                </c:pt>
                <c:pt idx="1">
                  <c:v>42.579471272929659</c:v>
                </c:pt>
                <c:pt idx="2">
                  <c:v>41.746311229895113</c:v>
                </c:pt>
                <c:pt idx="3">
                  <c:v>40.12961555003232</c:v>
                </c:pt>
                <c:pt idx="4">
                  <c:v>44.51663521272279</c:v>
                </c:pt>
                <c:pt idx="5">
                  <c:v>42.030338322213332</c:v>
                </c:pt>
                <c:pt idx="6">
                  <c:v>40.773705055463275</c:v>
                </c:pt>
                <c:pt idx="7">
                  <c:v>39.460063516467038</c:v>
                </c:pt>
                <c:pt idx="8">
                  <c:v>44.240136588706577</c:v>
                </c:pt>
                <c:pt idx="9">
                  <c:v>41.514863396572323</c:v>
                </c:pt>
                <c:pt idx="10">
                  <c:v>40.439755852488418</c:v>
                </c:pt>
                <c:pt idx="11">
                  <c:v>39.17969114297096</c:v>
                </c:pt>
              </c:numCache>
            </c:numRef>
          </c:xVal>
          <c:yVal>
            <c:numRef>
              <c:f>'04 Ning-et-al-2025'!$V$5:$V$16</c:f>
              <c:numCache>
                <c:formatCode>0.00</c:formatCode>
                <c:ptCount val="12"/>
                <c:pt idx="0">
                  <c:v>45.558069157676719</c:v>
                </c:pt>
                <c:pt idx="1">
                  <c:v>42.013404787248284</c:v>
                </c:pt>
                <c:pt idx="2">
                  <c:v>41.183084770552369</c:v>
                </c:pt>
                <c:pt idx="3">
                  <c:v>39.573203385149078</c:v>
                </c:pt>
                <c:pt idx="4">
                  <c:v>43.945767162699759</c:v>
                </c:pt>
                <c:pt idx="5">
                  <c:v>41.466091892172905</c:v>
                </c:pt>
                <c:pt idx="6">
                  <c:v>40.214373757411288</c:v>
                </c:pt>
                <c:pt idx="7">
                  <c:v>38.90696936053515</c:v>
                </c:pt>
                <c:pt idx="8">
                  <c:v>43.669798121485101</c:v>
                </c:pt>
                <c:pt idx="9">
                  <c:v>40.952507514532861</c:v>
                </c:pt>
                <c:pt idx="10">
                  <c:v>39.881904518539166</c:v>
                </c:pt>
                <c:pt idx="11">
                  <c:v>38.628071482243854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E5-4F74-812D-B797A97BC44E}"/>
            </c:ext>
          </c:extLst>
        </c:ser>
        <c:ser>
          <c:idx val="0"/>
          <c:order val="1"/>
          <c:spPr>
            <a:ln w="127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>
                    <a:lumMod val="95000"/>
                    <a:lumOff val="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4E5-4F74-812D-B797A97BC44E}"/>
              </c:ext>
            </c:extLst>
          </c:dPt>
          <c:xVal>
            <c:numRef>
              <c:f>'04 Ning-et-al-2025'!$L$19:$L$20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'04 Ning-et-al-2025'!$M$19:$M$20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E5-4F74-812D-B797A97BC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48"/>
          <c:min val="38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𝜑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Default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(°)</a:t>
                </a:r>
              </a:p>
            </c:rich>
          </c:tx>
          <c:layout>
            <c:manualLayout>
              <c:xMode val="edge"/>
              <c:yMode val="edge"/>
              <c:x val="0.4503736217435429"/>
              <c:y val="0.91401090071111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2"/>
      </c:valAx>
      <c:valAx>
        <c:axId val="1514460223"/>
        <c:scaling>
          <c:orientation val="minMax"/>
          <c:max val="48"/>
          <c:min val="38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𝜑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Solver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(°)</a:t>
                </a:r>
              </a:p>
            </c:rich>
          </c:tx>
          <c:layout>
            <c:manualLayout>
              <c:xMode val="edge"/>
              <c:yMode val="edge"/>
              <c:x val="4.2369152385363595E-2"/>
              <c:y val="0.30792924715345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2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xVal>
            <c:numRef>
              <c:f>'04 Ning-et-al-2025'!$T$5:$T$16</c:f>
              <c:numCache>
                <c:formatCode>0.00</c:formatCode>
                <c:ptCount val="12"/>
                <c:pt idx="0">
                  <c:v>48.274869994480198</c:v>
                </c:pt>
                <c:pt idx="1">
                  <c:v>47.259942749016034</c:v>
                </c:pt>
                <c:pt idx="2">
                  <c:v>47.560968048102779</c:v>
                </c:pt>
                <c:pt idx="3">
                  <c:v>46.709998119391983</c:v>
                </c:pt>
                <c:pt idx="4">
                  <c:v>46.626475515648529</c:v>
                </c:pt>
                <c:pt idx="5">
                  <c:v>46.695144076292927</c:v>
                </c:pt>
                <c:pt idx="6">
                  <c:v>46.556205380637067</c:v>
                </c:pt>
                <c:pt idx="7">
                  <c:v>46.011269032201966</c:v>
                </c:pt>
                <c:pt idx="8">
                  <c:v>46.343287749114879</c:v>
                </c:pt>
                <c:pt idx="9">
                  <c:v>46.163200715187926</c:v>
                </c:pt>
                <c:pt idx="10">
                  <c:v>46.209497843290471</c:v>
                </c:pt>
                <c:pt idx="11">
                  <c:v>45.717492845036446</c:v>
                </c:pt>
              </c:numCache>
            </c:numRef>
          </c:xVal>
          <c:yVal>
            <c:numRef>
              <c:f>'04 Ning-et-al-2025'!$Y$5:$Y$16</c:f>
              <c:numCache>
                <c:formatCode>0.00</c:formatCode>
                <c:ptCount val="12"/>
                <c:pt idx="0">
                  <c:v>48.133428439663049</c:v>
                </c:pt>
                <c:pt idx="1">
                  <c:v>47.540181642014907</c:v>
                </c:pt>
                <c:pt idx="2">
                  <c:v>48.030397839573077</c:v>
                </c:pt>
                <c:pt idx="3">
                  <c:v>47.31045521047961</c:v>
                </c:pt>
                <c:pt idx="4">
                  <c:v>46.477512787602684</c:v>
                </c:pt>
                <c:pt idx="5">
                  <c:v>46.973307614078109</c:v>
                </c:pt>
                <c:pt idx="6">
                  <c:v>47.022458470809333</c:v>
                </c:pt>
                <c:pt idx="7">
                  <c:v>46.609380884300855</c:v>
                </c:pt>
                <c:pt idx="8">
                  <c:v>46.193054913117685</c:v>
                </c:pt>
                <c:pt idx="9">
                  <c:v>46.439285750471953</c:v>
                </c:pt>
                <c:pt idx="10">
                  <c:v>46.674502406348992</c:v>
                </c:pt>
                <c:pt idx="11">
                  <c:v>46.314502048295616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78-4B1D-9C7C-0FF7E91DC941}"/>
            </c:ext>
          </c:extLst>
        </c:ser>
        <c:ser>
          <c:idx val="0"/>
          <c:order val="1"/>
          <c:spPr>
            <a:ln w="127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>
                    <a:lumMod val="95000"/>
                    <a:lumOff val="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C78-4B1D-9C7C-0FF7E91DC941}"/>
              </c:ext>
            </c:extLst>
          </c:dPt>
          <c:xVal>
            <c:numRef>
              <c:f>'04 Ning-et-al-2025'!$L$19:$L$20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'04 Ning-et-al-2025'!$M$19:$M$20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78-4B1D-9C7C-0FF7E91DC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49"/>
          <c:min val="45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Ø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1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'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Default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(°)</a:t>
                </a:r>
              </a:p>
            </c:rich>
          </c:tx>
          <c:layout>
            <c:manualLayout>
              <c:xMode val="edge"/>
              <c:yMode val="edge"/>
              <c:x val="0.4503736217435429"/>
              <c:y val="0.91401090071111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1"/>
      </c:valAx>
      <c:valAx>
        <c:axId val="1514460223"/>
        <c:scaling>
          <c:orientation val="minMax"/>
          <c:max val="49"/>
          <c:min val="45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Ø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1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'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Solver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(°)</a:t>
                </a:r>
              </a:p>
            </c:rich>
          </c:tx>
          <c:layout>
            <c:manualLayout>
              <c:xMode val="edge"/>
              <c:yMode val="edge"/>
              <c:x val="4.2369152385363595E-2"/>
              <c:y val="0.30792924715345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1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All data</a:t>
            </a:r>
          </a:p>
        </c:rich>
      </c:tx>
      <c:layout>
        <c:manualLayout>
          <c:xMode val="edge"/>
          <c:yMode val="edge"/>
          <c:x val="0.18776037646029539"/>
          <c:y val="0.116906474820143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9142526761360712"/>
                  <c:y val="6.3539955437225029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sz="1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'04 Ning-et-al-2025'!$R$5:$R$16</c:f>
              <c:numCache>
                <c:formatCode>0.000</c:formatCode>
                <c:ptCount val="12"/>
                <c:pt idx="0">
                  <c:v>0.74831234690476101</c:v>
                </c:pt>
                <c:pt idx="1">
                  <c:v>1.8129047959503097</c:v>
                </c:pt>
                <c:pt idx="2">
                  <c:v>2.6983807435718155</c:v>
                </c:pt>
                <c:pt idx="3">
                  <c:v>3.5427452162490516</c:v>
                </c:pt>
                <c:pt idx="4">
                  <c:v>0.73793283353414141</c:v>
                </c:pt>
                <c:pt idx="5">
                  <c:v>1.8037043876518601</c:v>
                </c:pt>
                <c:pt idx="6">
                  <c:v>2.6736171911172173</c:v>
                </c:pt>
                <c:pt idx="7">
                  <c:v>3.519620496161382</c:v>
                </c:pt>
                <c:pt idx="8">
                  <c:v>0.73613065171174741</c:v>
                </c:pt>
                <c:pt idx="9">
                  <c:v>1.7950096610267969</c:v>
                </c:pt>
                <c:pt idx="10">
                  <c:v>2.6650475862055849</c:v>
                </c:pt>
                <c:pt idx="11">
                  <c:v>3.5098853992113916</c:v>
                </c:pt>
              </c:numCache>
            </c:numRef>
          </c:xVal>
          <c:yVal>
            <c:numRef>
              <c:f>'04 Ning-et-al-2025'!$S$5:$S$16</c:f>
              <c:numCache>
                <c:formatCode>0.000</c:formatCode>
                <c:ptCount val="12"/>
                <c:pt idx="0">
                  <c:v>0.86494843160581658</c:v>
                </c:pt>
                <c:pt idx="1">
                  <c:v>1.8509477980282021</c:v>
                </c:pt>
                <c:pt idx="2">
                  <c:v>2.675649772186377</c:v>
                </c:pt>
                <c:pt idx="3">
                  <c:v>3.3182217249500576</c:v>
                </c:pt>
                <c:pt idx="4">
                  <c:v>0.80620649742503325</c:v>
                </c:pt>
                <c:pt idx="5">
                  <c:v>1.8064365758190306</c:v>
                </c:pt>
                <c:pt idx="6">
                  <c:v>2.5618489698268885</c:v>
                </c:pt>
                <c:pt idx="7">
                  <c:v>3.2191480944111412</c:v>
                </c:pt>
                <c:pt idx="8">
                  <c:v>0.79651087846497326</c:v>
                </c:pt>
                <c:pt idx="9">
                  <c:v>1.7654674723782309</c:v>
                </c:pt>
                <c:pt idx="10">
                  <c:v>2.5236930685158088</c:v>
                </c:pt>
                <c:pt idx="11">
                  <c:v>3.1783573753596888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21-49DB-A4E3-A45A12EF4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4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σ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n_Default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503736217435429"/>
              <c:y val="0.91401090071111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0.5"/>
      </c:valAx>
      <c:valAx>
        <c:axId val="1514460223"/>
        <c:scaling>
          <c:orientation val="minMax"/>
          <c:max val="3.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Default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(MPa)</a:t>
                </a:r>
              </a:p>
            </c:rich>
          </c:tx>
          <c:layout>
            <c:manualLayout>
              <c:xMode val="edge"/>
              <c:yMode val="edge"/>
              <c:x val="3.8284185065102158E-2"/>
              <c:y val="0.34090286825657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0.5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All data</a:t>
            </a:r>
          </a:p>
        </c:rich>
      </c:tx>
      <c:layout>
        <c:manualLayout>
          <c:xMode val="edge"/>
          <c:yMode val="edge"/>
          <c:x val="0.18776037646029539"/>
          <c:y val="0.110911270983213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9142526761360712"/>
                  <c:y val="6.3539955437225029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sz="1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'04 Ning-et-al-2025'!$W$5:$W$16</c:f>
              <c:numCache>
                <c:formatCode>0.000</c:formatCode>
                <c:ptCount val="12"/>
                <c:pt idx="0">
                  <c:v>0.75700595879889254</c:v>
                </c:pt>
                <c:pt idx="1">
                  <c:v>1.8312743582379551</c:v>
                </c:pt>
                <c:pt idx="2">
                  <c:v>2.7247977429775658</c:v>
                </c:pt>
                <c:pt idx="3">
                  <c:v>3.5751006000066115</c:v>
                </c:pt>
                <c:pt idx="4">
                  <c:v>0.74600470782377792</c:v>
                </c:pt>
                <c:pt idx="5">
                  <c:v>1.8215727669581336</c:v>
                </c:pt>
                <c:pt idx="6">
                  <c:v>2.6987312773893879</c:v>
                </c:pt>
                <c:pt idx="7">
                  <c:v>3.550818927403169</c:v>
                </c:pt>
                <c:pt idx="8">
                  <c:v>0.74409764520994759</c:v>
                </c:pt>
                <c:pt idx="9">
                  <c:v>1.8124126514011063</c:v>
                </c:pt>
                <c:pt idx="10">
                  <c:v>2.6897206837978844</c:v>
                </c:pt>
                <c:pt idx="11">
                  <c:v>3.5406048624296647</c:v>
                </c:pt>
              </c:numCache>
            </c:numRef>
          </c:xVal>
          <c:yVal>
            <c:numRef>
              <c:f>'04 Ning-et-al-2025'!$AA$5:$AA$16</c:f>
              <c:numCache>
                <c:formatCode>0.000</c:formatCode>
                <c:ptCount val="12"/>
                <c:pt idx="0">
                  <c:v>0.83919105095210178</c:v>
                </c:pt>
                <c:pt idx="1">
                  <c:v>1.8311921249706054</c:v>
                </c:pt>
                <c:pt idx="2">
                  <c:v>2.6011818088697254</c:v>
                </c:pt>
                <c:pt idx="3">
                  <c:v>3.3064109066304508</c:v>
                </c:pt>
                <c:pt idx="4">
                  <c:v>0.82840975412088957</c:v>
                </c:pt>
                <c:pt idx="5">
                  <c:v>1.8226206574290926</c:v>
                </c:pt>
                <c:pt idx="6">
                  <c:v>2.5791900964981758</c:v>
                </c:pt>
                <c:pt idx="7">
                  <c:v>3.2865674695351279</c:v>
                </c:pt>
                <c:pt idx="8">
                  <c:v>0.82653894003623296</c:v>
                </c:pt>
                <c:pt idx="9">
                  <c:v>1.8145226982064793</c:v>
                </c:pt>
                <c:pt idx="10">
                  <c:v>2.5715822975428058</c:v>
                </c:pt>
                <c:pt idx="11">
                  <c:v>3.2782156170432493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A1-4171-A2DC-6A46BD60D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4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σ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n_Solver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  <a:ea typeface="+mn-ea"/>
                    <a:cs typeface="+mn-cs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503736217435429"/>
              <c:y val="0.91401090071111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0.5"/>
      </c:valAx>
      <c:valAx>
        <c:axId val="1514460223"/>
        <c:scaling>
          <c:orientation val="minMax"/>
          <c:max val="3.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Solver 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3.8284185065102158E-2"/>
              <c:y val="0.310926849071923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0.5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xVal>
            <c:numRef>
              <c:f>'04 Ning-et-al-2025'!$X$5:$X$16</c:f>
              <c:numCache>
                <c:formatCode>0.000</c:formatCode>
                <c:ptCount val="12"/>
                <c:pt idx="0">
                  <c:v>0.87390217972944717</c:v>
                </c:pt>
                <c:pt idx="1">
                  <c:v>1.86766072619529</c:v>
                </c:pt>
                <c:pt idx="2">
                  <c:v>2.6989925580889689</c:v>
                </c:pt>
                <c:pt idx="3">
                  <c:v>3.3452284352151795</c:v>
                </c:pt>
                <c:pt idx="4">
                  <c:v>0.8140646092084407</c:v>
                </c:pt>
                <c:pt idx="5">
                  <c:v>1.8223837140557864</c:v>
                </c:pt>
                <c:pt idx="6">
                  <c:v>2.5832939077574495</c:v>
                </c:pt>
                <c:pt idx="7">
                  <c:v>3.2445779717231225</c:v>
                </c:pt>
                <c:pt idx="8">
                  <c:v>0.804192422556259</c:v>
                </c:pt>
                <c:pt idx="9">
                  <c:v>1.7807207210240537</c:v>
                </c:pt>
                <c:pt idx="10">
                  <c:v>2.5445145559328806</c:v>
                </c:pt>
                <c:pt idx="11">
                  <c:v>3.2031482934563256</c:v>
                </c:pt>
              </c:numCache>
            </c:numRef>
          </c:xVal>
          <c:yVal>
            <c:numRef>
              <c:f>'04 Ning-et-al-2025'!$AA$5:$AA$16</c:f>
              <c:numCache>
                <c:formatCode>0.000</c:formatCode>
                <c:ptCount val="12"/>
                <c:pt idx="0">
                  <c:v>0.83919105095210178</c:v>
                </c:pt>
                <c:pt idx="1">
                  <c:v>1.8311921249706054</c:v>
                </c:pt>
                <c:pt idx="2">
                  <c:v>2.6011818088697254</c:v>
                </c:pt>
                <c:pt idx="3">
                  <c:v>3.3064109066304508</c:v>
                </c:pt>
                <c:pt idx="4">
                  <c:v>0.82840975412088957</c:v>
                </c:pt>
                <c:pt idx="5">
                  <c:v>1.8226206574290926</c:v>
                </c:pt>
                <c:pt idx="6">
                  <c:v>2.5791900964981758</c:v>
                </c:pt>
                <c:pt idx="7">
                  <c:v>3.2865674695351279</c:v>
                </c:pt>
                <c:pt idx="8">
                  <c:v>0.82653894003623296</c:v>
                </c:pt>
                <c:pt idx="9">
                  <c:v>1.8145226982064793</c:v>
                </c:pt>
                <c:pt idx="10">
                  <c:v>2.5715822975428058</c:v>
                </c:pt>
                <c:pt idx="11">
                  <c:v>3.2782156170432493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B-4348-B3E8-1A3B5A828EC2}"/>
            </c:ext>
          </c:extLst>
        </c:ser>
        <c:ser>
          <c:idx val="0"/>
          <c:order val="1"/>
          <c:spPr>
            <a:ln w="127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>
                    <a:lumMod val="95000"/>
                    <a:lumOff val="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8AB-4348-B3E8-1A3B5A828EC2}"/>
              </c:ext>
            </c:extLst>
          </c:dPt>
          <c:xVal>
            <c:numRef>
              <c:f>'04 Ning-et-al-2025'!$L$19:$L$20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'04 Ning-et-al-2025'!$M$19:$M$20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AB-4348-B3E8-1A3B5A828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4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Solver</a:t>
                </a:r>
                <a:endParaRPr lang="en-US" sz="1800" b="0" i="0" u="none" strike="noStrike" kern="12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42382131002007095"/>
              <c:y val="0.914010988382337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0.5"/>
      </c:valAx>
      <c:valAx>
        <c:axId val="1514460223"/>
        <c:scaling>
          <c:orientation val="minMax"/>
          <c:max val="4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Leps 2.0</a:t>
                </a:r>
                <a:endParaRPr lang="en-US" sz="1800" b="0" i="0" u="none" strike="noStrike" kern="120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endParaRPr>
              </a:p>
            </c:rich>
          </c:tx>
          <c:layout>
            <c:manualLayout>
              <c:xMode val="edge"/>
              <c:yMode val="edge"/>
              <c:x val="3.8690010602979261E-2"/>
              <c:y val="0.354427274620314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0.5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06978561611478"/>
          <c:y val="8.9337760146909473E-2"/>
          <c:w val="0.74014886841210603"/>
          <c:h val="0.73669701462379933"/>
        </c:manualLayout>
      </c:layout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rgbClr val="002060"/>
                </a:solidFill>
              </a:ln>
              <a:effectLst/>
            </c:spPr>
          </c:marker>
          <c:xVal>
            <c:numRef>
              <c:f>'04 Ning-et-al-2025'!$S$5:$S$16</c:f>
              <c:numCache>
                <c:formatCode>0.000</c:formatCode>
                <c:ptCount val="12"/>
                <c:pt idx="0">
                  <c:v>0.86494843160581658</c:v>
                </c:pt>
                <c:pt idx="1">
                  <c:v>1.8509477980282021</c:v>
                </c:pt>
                <c:pt idx="2">
                  <c:v>2.675649772186377</c:v>
                </c:pt>
                <c:pt idx="3">
                  <c:v>3.3182217249500576</c:v>
                </c:pt>
                <c:pt idx="4">
                  <c:v>0.80620649742503325</c:v>
                </c:pt>
                <c:pt idx="5">
                  <c:v>1.8064365758190306</c:v>
                </c:pt>
                <c:pt idx="6">
                  <c:v>2.5618489698268885</c:v>
                </c:pt>
                <c:pt idx="7">
                  <c:v>3.2191480944111412</c:v>
                </c:pt>
                <c:pt idx="8">
                  <c:v>0.79651087846497326</c:v>
                </c:pt>
                <c:pt idx="9">
                  <c:v>1.7654674723782309</c:v>
                </c:pt>
                <c:pt idx="10">
                  <c:v>2.5236930685158088</c:v>
                </c:pt>
                <c:pt idx="11">
                  <c:v>3.1783573753596888</c:v>
                </c:pt>
              </c:numCache>
            </c:numRef>
          </c:xVal>
          <c:yVal>
            <c:numRef>
              <c:f>'04 Ning-et-al-2025'!$AA$5:$AA$16</c:f>
              <c:numCache>
                <c:formatCode>0.000</c:formatCode>
                <c:ptCount val="12"/>
                <c:pt idx="0">
                  <c:v>0.83919105095210178</c:v>
                </c:pt>
                <c:pt idx="1">
                  <c:v>1.8311921249706054</c:v>
                </c:pt>
                <c:pt idx="2">
                  <c:v>2.6011818088697254</c:v>
                </c:pt>
                <c:pt idx="3">
                  <c:v>3.3064109066304508</c:v>
                </c:pt>
                <c:pt idx="4">
                  <c:v>0.82840975412088957</c:v>
                </c:pt>
                <c:pt idx="5">
                  <c:v>1.8226206574290926</c:v>
                </c:pt>
                <c:pt idx="6">
                  <c:v>2.5791900964981758</c:v>
                </c:pt>
                <c:pt idx="7">
                  <c:v>3.2865674695351279</c:v>
                </c:pt>
                <c:pt idx="8">
                  <c:v>0.82653894003623296</c:v>
                </c:pt>
                <c:pt idx="9">
                  <c:v>1.8145226982064793</c:v>
                </c:pt>
                <c:pt idx="10">
                  <c:v>2.5715822975428058</c:v>
                </c:pt>
                <c:pt idx="11">
                  <c:v>3.2782156170432493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7C-43FA-A828-CAE1492D0FC6}"/>
            </c:ext>
          </c:extLst>
        </c:ser>
        <c:ser>
          <c:idx val="0"/>
          <c:order val="1"/>
          <c:spPr>
            <a:ln w="1270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>
                    <a:lumMod val="95000"/>
                    <a:lumOff val="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27C-43FA-A828-CAE1492D0FC6}"/>
              </c:ext>
            </c:extLst>
          </c:dPt>
          <c:xVal>
            <c:numRef>
              <c:f>'04 Ning-et-al-2025'!$L$19:$L$20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'04 Ning-et-al-2025'!$M$19:$M$20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7C-43FA-A828-CAE1492D0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59807"/>
        <c:axId val="1514460223"/>
      </c:scatterChart>
      <c:valAx>
        <c:axId val="1514459807"/>
        <c:scaling>
          <c:orientation val="minMax"/>
          <c:max val="4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Default</a:t>
                </a:r>
                <a:endParaRPr lang="en-US" sz="1800" b="0" i="0" u="none" strike="noStrike" kern="120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44424614662137824"/>
              <c:y val="0.9052925925671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223"/>
        <c:crosses val="autoZero"/>
        <c:crossBetween val="midCat"/>
        <c:majorUnit val="0.5"/>
      </c:valAx>
      <c:valAx>
        <c:axId val="1514460223"/>
        <c:scaling>
          <c:orientation val="minMax"/>
          <c:max val="4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τ</a:t>
                </a: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en-US" sz="1800" b="0" i="0" u="none" strike="noStrike" kern="1200" baseline="-25000">
                    <a:solidFill>
                      <a:sysClr val="windowText" lastClr="000000"/>
                    </a:solidFill>
                    <a:latin typeface="Cambria Math" panose="02040503050406030204" pitchFamily="18" charset="0"/>
                  </a:rPr>
                  <a:t>Leps 2.0</a:t>
                </a:r>
                <a:endParaRPr lang="en-US" sz="1800" b="0" i="0" u="none" strike="noStrike" kern="120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endParaRPr>
              </a:p>
            </c:rich>
          </c:tx>
          <c:layout>
            <c:manualLayout>
              <c:xMode val="edge"/>
              <c:yMode val="edge"/>
              <c:x val="3.6241701404971439E-2"/>
              <c:y val="0.368957934312265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807"/>
        <c:crossesAt val="0"/>
        <c:crossBetween val="midCat"/>
        <c:majorUnit val="0.5"/>
      </c:valAx>
      <c:spPr>
        <a:noFill/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7.xml"/><Relationship Id="rId18" Type="http://schemas.openxmlformats.org/officeDocument/2006/relationships/chart" Target="../charts/chart12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12" Type="http://schemas.openxmlformats.org/officeDocument/2006/relationships/chart" Target="../charts/chart6.xml"/><Relationship Id="rId17" Type="http://schemas.openxmlformats.org/officeDocument/2006/relationships/chart" Target="../charts/chart11.xml"/><Relationship Id="rId2" Type="http://schemas.openxmlformats.org/officeDocument/2006/relationships/image" Target="../media/image2.png"/><Relationship Id="rId16" Type="http://schemas.openxmlformats.org/officeDocument/2006/relationships/chart" Target="../charts/chart10.xml"/><Relationship Id="rId20" Type="http://schemas.openxmlformats.org/officeDocument/2006/relationships/chart" Target="../charts/chart14.xml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image" Target="../media/image6.png"/><Relationship Id="rId5" Type="http://schemas.openxmlformats.org/officeDocument/2006/relationships/chart" Target="../charts/chart1.xml"/><Relationship Id="rId15" Type="http://schemas.openxmlformats.org/officeDocument/2006/relationships/chart" Target="../charts/chart9.xml"/><Relationship Id="rId10" Type="http://schemas.openxmlformats.org/officeDocument/2006/relationships/image" Target="../media/image5.png"/><Relationship Id="rId19" Type="http://schemas.openxmlformats.org/officeDocument/2006/relationships/chart" Target="../charts/chart13.xml"/><Relationship Id="rId4" Type="http://schemas.openxmlformats.org/officeDocument/2006/relationships/image" Target="../media/image4.png"/><Relationship Id="rId9" Type="http://schemas.openxmlformats.org/officeDocument/2006/relationships/chart" Target="../charts/chart5.xml"/><Relationship Id="rId14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1.xml"/><Relationship Id="rId3" Type="http://schemas.openxmlformats.org/officeDocument/2006/relationships/image" Target="../media/image3.png"/><Relationship Id="rId7" Type="http://schemas.openxmlformats.org/officeDocument/2006/relationships/chart" Target="../charts/chart17.xml"/><Relationship Id="rId12" Type="http://schemas.openxmlformats.org/officeDocument/2006/relationships/chart" Target="../charts/chart20.xml"/><Relationship Id="rId17" Type="http://schemas.openxmlformats.org/officeDocument/2006/relationships/chart" Target="../charts/chart25.xml"/><Relationship Id="rId2" Type="http://schemas.openxmlformats.org/officeDocument/2006/relationships/image" Target="../media/image2.png"/><Relationship Id="rId16" Type="http://schemas.openxmlformats.org/officeDocument/2006/relationships/chart" Target="../charts/chart24.xml"/><Relationship Id="rId1" Type="http://schemas.openxmlformats.org/officeDocument/2006/relationships/image" Target="../media/image1.png"/><Relationship Id="rId6" Type="http://schemas.openxmlformats.org/officeDocument/2006/relationships/chart" Target="../charts/chart16.xml"/><Relationship Id="rId11" Type="http://schemas.openxmlformats.org/officeDocument/2006/relationships/image" Target="../media/image6.png"/><Relationship Id="rId5" Type="http://schemas.openxmlformats.org/officeDocument/2006/relationships/chart" Target="../charts/chart15.xml"/><Relationship Id="rId15" Type="http://schemas.openxmlformats.org/officeDocument/2006/relationships/chart" Target="../charts/chart23.xml"/><Relationship Id="rId10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19.xml"/><Relationship Id="rId14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13" Type="http://schemas.openxmlformats.org/officeDocument/2006/relationships/chart" Target="../charts/chart32.xml"/><Relationship Id="rId3" Type="http://schemas.openxmlformats.org/officeDocument/2006/relationships/image" Target="../media/image3.png"/><Relationship Id="rId7" Type="http://schemas.openxmlformats.org/officeDocument/2006/relationships/chart" Target="../charts/chart28.xml"/><Relationship Id="rId12" Type="http://schemas.openxmlformats.org/officeDocument/2006/relationships/chart" Target="../charts/chart31.xml"/><Relationship Id="rId17" Type="http://schemas.openxmlformats.org/officeDocument/2006/relationships/chart" Target="../charts/chart36.xml"/><Relationship Id="rId2" Type="http://schemas.openxmlformats.org/officeDocument/2006/relationships/image" Target="../media/image2.png"/><Relationship Id="rId16" Type="http://schemas.openxmlformats.org/officeDocument/2006/relationships/chart" Target="../charts/chart35.xml"/><Relationship Id="rId1" Type="http://schemas.openxmlformats.org/officeDocument/2006/relationships/image" Target="../media/image1.png"/><Relationship Id="rId6" Type="http://schemas.openxmlformats.org/officeDocument/2006/relationships/chart" Target="../charts/chart27.xml"/><Relationship Id="rId11" Type="http://schemas.openxmlformats.org/officeDocument/2006/relationships/image" Target="../media/image6.png"/><Relationship Id="rId5" Type="http://schemas.openxmlformats.org/officeDocument/2006/relationships/chart" Target="../charts/chart26.xml"/><Relationship Id="rId15" Type="http://schemas.openxmlformats.org/officeDocument/2006/relationships/chart" Target="../charts/chart34.xml"/><Relationship Id="rId10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30.xml"/><Relationship Id="rId1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80</xdr:col>
      <xdr:colOff>414612</xdr:colOff>
      <xdr:row>8</xdr:row>
      <xdr:rowOff>1493</xdr:rowOff>
    </xdr:from>
    <xdr:to>
      <xdr:col>97</xdr:col>
      <xdr:colOff>134969</xdr:colOff>
      <xdr:row>31</xdr:row>
      <xdr:rowOff>195803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624891-9602-0397-E5D9-1DD681B30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70612" y="1495611"/>
          <a:ext cx="10134357" cy="4946725"/>
        </a:xfrm>
        <a:prstGeom prst="rect">
          <a:avLst/>
        </a:prstGeom>
      </xdr:spPr>
    </xdr:pic>
    <xdr:clientData/>
  </xdr:twoCellAnchor>
  <xdr:twoCellAnchor editAs="oneCell">
    <xdr:from>
      <xdr:col>81</xdr:col>
      <xdr:colOff>261926</xdr:colOff>
      <xdr:row>3</xdr:row>
      <xdr:rowOff>32871</xdr:rowOff>
    </xdr:from>
    <xdr:to>
      <xdr:col>87</xdr:col>
      <xdr:colOff>400251</xdr:colOff>
      <xdr:row>6</xdr:row>
      <xdr:rowOff>4255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8F5A5C-F438-0601-3238-21E5E8ED4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530514" y="593165"/>
          <a:ext cx="3813854" cy="592190"/>
        </a:xfrm>
        <a:prstGeom prst="rect">
          <a:avLst/>
        </a:prstGeom>
      </xdr:spPr>
    </xdr:pic>
    <xdr:clientData/>
  </xdr:twoCellAnchor>
  <xdr:twoCellAnchor editAs="oneCell">
    <xdr:from>
      <xdr:col>82</xdr:col>
      <xdr:colOff>7098</xdr:colOff>
      <xdr:row>7</xdr:row>
      <xdr:rowOff>26584</xdr:rowOff>
    </xdr:from>
    <xdr:to>
      <xdr:col>85</xdr:col>
      <xdr:colOff>442385</xdr:colOff>
      <xdr:row>12</xdr:row>
      <xdr:rowOff>105390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B7AF5B-6491-0993-B973-A34ADCE06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88274" y="1333937"/>
          <a:ext cx="2273052" cy="1104144"/>
        </a:xfrm>
        <a:prstGeom prst="rect">
          <a:avLst/>
        </a:prstGeom>
      </xdr:spPr>
    </xdr:pic>
    <xdr:clientData/>
  </xdr:twoCellAnchor>
  <xdr:twoCellAnchor editAs="oneCell">
    <xdr:from>
      <xdr:col>82</xdr:col>
      <xdr:colOff>80683</xdr:colOff>
      <xdr:row>13</xdr:row>
      <xdr:rowOff>168272</xdr:rowOff>
    </xdr:from>
    <xdr:to>
      <xdr:col>91</xdr:col>
      <xdr:colOff>532465</xdr:colOff>
      <xdr:row>16</xdr:row>
      <xdr:rowOff>55938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A01C790-3E2E-18A8-53F3-A35A11537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961859" y="2596213"/>
          <a:ext cx="5965076" cy="505110"/>
        </a:xfrm>
        <a:prstGeom prst="rect">
          <a:avLst/>
        </a:prstGeom>
      </xdr:spPr>
    </xdr:pic>
    <xdr:clientData/>
  </xdr:twoCellAnchor>
  <xdr:twoCellAnchor>
    <xdr:from>
      <xdr:col>40</xdr:col>
      <xdr:colOff>219319</xdr:colOff>
      <xdr:row>3</xdr:row>
      <xdr:rowOff>105125</xdr:rowOff>
    </xdr:from>
    <xdr:to>
      <xdr:col>45</xdr:col>
      <xdr:colOff>138042</xdr:colOff>
      <xdr:row>14</xdr:row>
      <xdr:rowOff>154608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75D71DD-09BE-4C69-9651-671C00DA8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209550</xdr:colOff>
      <xdr:row>3</xdr:row>
      <xdr:rowOff>177800</xdr:rowOff>
    </xdr:from>
    <xdr:to>
      <xdr:col>63</xdr:col>
      <xdr:colOff>128273</xdr:colOff>
      <xdr:row>15</xdr:row>
      <xdr:rowOff>43133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0912BF9-67EC-4F1E-9B51-DBA2B1D44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75</xdr:col>
      <xdr:colOff>174203</xdr:colOff>
      <xdr:row>4</xdr:row>
      <xdr:rowOff>50575</xdr:rowOff>
    </xdr:from>
    <xdr:to>
      <xdr:col>80</xdr:col>
      <xdr:colOff>92927</xdr:colOff>
      <xdr:row>15</xdr:row>
      <xdr:rowOff>101351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0D7B646-744A-460B-B0B6-CF2C29BEA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49</xdr:col>
      <xdr:colOff>292213</xdr:colOff>
      <xdr:row>4</xdr:row>
      <xdr:rowOff>78672</xdr:rowOff>
    </xdr:from>
    <xdr:to>
      <xdr:col>54</xdr:col>
      <xdr:colOff>210936</xdr:colOff>
      <xdr:row>15</xdr:row>
      <xdr:rowOff>128156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79DF718-4242-4CBA-94EE-1599ADE447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67</xdr:col>
      <xdr:colOff>84292</xdr:colOff>
      <xdr:row>3</xdr:row>
      <xdr:rowOff>174204</xdr:rowOff>
    </xdr:from>
    <xdr:to>
      <xdr:col>72</xdr:col>
      <xdr:colOff>3015</xdr:colOff>
      <xdr:row>15</xdr:row>
      <xdr:rowOff>39537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C50851-6267-46E0-9B96-8E30E0C7B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82</xdr:col>
      <xdr:colOff>22412</xdr:colOff>
      <xdr:row>21</xdr:row>
      <xdr:rowOff>82177</xdr:rowOff>
    </xdr:from>
    <xdr:to>
      <xdr:col>92</xdr:col>
      <xdr:colOff>2906</xdr:colOff>
      <xdr:row>34</xdr:row>
      <xdr:rowOff>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7C8313-2583-B226-F459-1E44B2D83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903588" y="4004236"/>
          <a:ext cx="6106377" cy="2638793"/>
        </a:xfrm>
        <a:prstGeom prst="rect">
          <a:avLst/>
        </a:prstGeom>
      </xdr:spPr>
    </xdr:pic>
    <xdr:clientData/>
  </xdr:twoCellAnchor>
  <xdr:twoCellAnchor editAs="oneCell">
    <xdr:from>
      <xdr:col>82</xdr:col>
      <xdr:colOff>246531</xdr:colOff>
      <xdr:row>17</xdr:row>
      <xdr:rowOff>97118</xdr:rowOff>
    </xdr:from>
    <xdr:to>
      <xdr:col>85</xdr:col>
      <xdr:colOff>237821</xdr:colOff>
      <xdr:row>19</xdr:row>
      <xdr:rowOff>114174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4F2A3D-6855-64A4-85D0-2A96EDC48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127707" y="3272118"/>
          <a:ext cx="1829055" cy="42868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209548</xdr:rowOff>
    </xdr:from>
    <xdr:to>
      <xdr:col>9</xdr:col>
      <xdr:colOff>140970</xdr:colOff>
      <xdr:row>46</xdr:row>
      <xdr:rowOff>26668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D820204-B0EF-4AD3-853D-6C376814C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9</xdr:col>
      <xdr:colOff>140970</xdr:colOff>
      <xdr:row>68</xdr:row>
      <xdr:rowOff>160020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1339741-48F1-4129-8371-04A24377F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38100</xdr:colOff>
      <xdr:row>93</xdr:row>
      <xdr:rowOff>9525</xdr:rowOff>
    </xdr:from>
    <xdr:to>
      <xdr:col>9</xdr:col>
      <xdr:colOff>179070</xdr:colOff>
      <xdr:row>115</xdr:row>
      <xdr:rowOff>52197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C63533A-F955-45D7-A513-5704D95E1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19050</xdr:colOff>
      <xdr:row>70</xdr:row>
      <xdr:rowOff>38100</xdr:rowOff>
    </xdr:from>
    <xdr:to>
      <xdr:col>9</xdr:col>
      <xdr:colOff>160020</xdr:colOff>
      <xdr:row>92</xdr:row>
      <xdr:rowOff>83820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96AC0D99-F56D-48BC-AD94-CE7D0683E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285750</xdr:colOff>
      <xdr:row>70</xdr:row>
      <xdr:rowOff>47625</xdr:rowOff>
    </xdr:from>
    <xdr:to>
      <xdr:col>17</xdr:col>
      <xdr:colOff>1122045</xdr:colOff>
      <xdr:row>92</xdr:row>
      <xdr:rowOff>93345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40DABAD-0AD6-4761-B5A5-6E7F67B2C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19050</xdr:colOff>
      <xdr:row>92</xdr:row>
      <xdr:rowOff>180975</xdr:rowOff>
    </xdr:from>
    <xdr:to>
      <xdr:col>17</xdr:col>
      <xdr:colOff>1150620</xdr:colOff>
      <xdr:row>115</xdr:row>
      <xdr:rowOff>33147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0D9CCFE-B90B-4526-8AB7-6CC2574E4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1857375</xdr:colOff>
      <xdr:row>142</xdr:row>
      <xdr:rowOff>19050</xdr:rowOff>
    </xdr:from>
    <xdr:to>
      <xdr:col>38</xdr:col>
      <xdr:colOff>64770</xdr:colOff>
      <xdr:row>164</xdr:row>
      <xdr:rowOff>64770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74170E3-8B3B-4F18-A284-4E1135250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28575</xdr:colOff>
      <xdr:row>116</xdr:row>
      <xdr:rowOff>76200</xdr:rowOff>
    </xdr:from>
    <xdr:to>
      <xdr:col>17</xdr:col>
      <xdr:colOff>1160145</xdr:colOff>
      <xdr:row>139</xdr:row>
      <xdr:rowOff>64770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10D505D-BB23-401C-8AA5-EBC973E495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19050</xdr:colOff>
      <xdr:row>116</xdr:row>
      <xdr:rowOff>66675</xdr:rowOff>
    </xdr:from>
    <xdr:to>
      <xdr:col>9</xdr:col>
      <xdr:colOff>160020</xdr:colOff>
      <xdr:row>139</xdr:row>
      <xdr:rowOff>55245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5864385C-E01B-49DD-B283-BFD841EB3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82</xdr:col>
      <xdr:colOff>414612</xdr:colOff>
      <xdr:row>8</xdr:row>
      <xdr:rowOff>0</xdr:rowOff>
    </xdr:from>
    <xdr:to>
      <xdr:col>99</xdr:col>
      <xdr:colOff>134969</xdr:colOff>
      <xdr:row>31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60C8C5-28E4-4F31-9069-B092FA0E4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9537" y="1676400"/>
          <a:ext cx="10083557" cy="5061585"/>
        </a:xfrm>
        <a:prstGeom prst="rect">
          <a:avLst/>
        </a:prstGeom>
      </xdr:spPr>
    </xdr:pic>
    <xdr:clientData/>
  </xdr:twoCellAnchor>
  <xdr:twoCellAnchor editAs="oneCell">
    <xdr:from>
      <xdr:col>83</xdr:col>
      <xdr:colOff>261926</xdr:colOff>
      <xdr:row>3</xdr:row>
      <xdr:rowOff>32871</xdr:rowOff>
    </xdr:from>
    <xdr:to>
      <xdr:col>89</xdr:col>
      <xdr:colOff>400251</xdr:colOff>
      <xdr:row>6</xdr:row>
      <xdr:rowOff>4255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1CD6DE-3367-4692-9B19-B78FBA83B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16451" y="642471"/>
          <a:ext cx="3795925" cy="619084"/>
        </a:xfrm>
        <a:prstGeom prst="rect">
          <a:avLst/>
        </a:prstGeom>
      </xdr:spPr>
    </xdr:pic>
    <xdr:clientData/>
  </xdr:twoCellAnchor>
  <xdr:twoCellAnchor editAs="oneCell">
    <xdr:from>
      <xdr:col>84</xdr:col>
      <xdr:colOff>7098</xdr:colOff>
      <xdr:row>7</xdr:row>
      <xdr:rowOff>26584</xdr:rowOff>
    </xdr:from>
    <xdr:to>
      <xdr:col>87</xdr:col>
      <xdr:colOff>442385</xdr:colOff>
      <xdr:row>12</xdr:row>
      <xdr:rowOff>105390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B983A7-904F-4DC5-ACA3-9BF7ED362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871223" y="1493434"/>
          <a:ext cx="2264087" cy="1126556"/>
        </a:xfrm>
        <a:prstGeom prst="rect">
          <a:avLst/>
        </a:prstGeom>
      </xdr:spPr>
    </xdr:pic>
    <xdr:clientData/>
  </xdr:twoCellAnchor>
  <xdr:twoCellAnchor editAs="oneCell">
    <xdr:from>
      <xdr:col>84</xdr:col>
      <xdr:colOff>80683</xdr:colOff>
      <xdr:row>11</xdr:row>
      <xdr:rowOff>168272</xdr:rowOff>
    </xdr:from>
    <xdr:to>
      <xdr:col>93</xdr:col>
      <xdr:colOff>532465</xdr:colOff>
      <xdr:row>14</xdr:row>
      <xdr:rowOff>55938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2B69B4-AB20-44BA-BDDD-19C4735B0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944808" y="2473322"/>
          <a:ext cx="5938182" cy="516316"/>
        </a:xfrm>
        <a:prstGeom prst="rect">
          <a:avLst/>
        </a:prstGeom>
      </xdr:spPr>
    </xdr:pic>
    <xdr:clientData/>
  </xdr:twoCellAnchor>
  <xdr:twoCellAnchor>
    <xdr:from>
      <xdr:col>42</xdr:col>
      <xdr:colOff>219319</xdr:colOff>
      <xdr:row>3</xdr:row>
      <xdr:rowOff>105125</xdr:rowOff>
    </xdr:from>
    <xdr:to>
      <xdr:col>47</xdr:col>
      <xdr:colOff>138042</xdr:colOff>
      <xdr:row>12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DA8E31-FFA5-459C-B035-9CC4C7D9A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60</xdr:col>
      <xdr:colOff>209550</xdr:colOff>
      <xdr:row>3</xdr:row>
      <xdr:rowOff>177800</xdr:rowOff>
    </xdr:from>
    <xdr:to>
      <xdr:col>65</xdr:col>
      <xdr:colOff>128273</xdr:colOff>
      <xdr:row>12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D53AC9-3F5C-498D-8608-9063069E0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77</xdr:col>
      <xdr:colOff>174203</xdr:colOff>
      <xdr:row>4</xdr:row>
      <xdr:rowOff>50575</xdr:rowOff>
    </xdr:from>
    <xdr:to>
      <xdr:col>82</xdr:col>
      <xdr:colOff>92927</xdr:colOff>
      <xdr:row>12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1C7A0A-BFED-4047-BA57-A291EC2A2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51</xdr:col>
      <xdr:colOff>292213</xdr:colOff>
      <xdr:row>4</xdr:row>
      <xdr:rowOff>78672</xdr:rowOff>
    </xdr:from>
    <xdr:to>
      <xdr:col>56</xdr:col>
      <xdr:colOff>210936</xdr:colOff>
      <xdr:row>12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661FA9-6ACA-4608-9687-2F2BDCED1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69</xdr:col>
      <xdr:colOff>84292</xdr:colOff>
      <xdr:row>3</xdr:row>
      <xdr:rowOff>174204</xdr:rowOff>
    </xdr:from>
    <xdr:to>
      <xdr:col>74</xdr:col>
      <xdr:colOff>3015</xdr:colOff>
      <xdr:row>12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283DE56-BA4F-476B-B03B-E4AEA9E39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84</xdr:col>
      <xdr:colOff>22412</xdr:colOff>
      <xdr:row>18</xdr:row>
      <xdr:rowOff>82177</xdr:rowOff>
    </xdr:from>
    <xdr:to>
      <xdr:col>94</xdr:col>
      <xdr:colOff>2906</xdr:colOff>
      <xdr:row>31</xdr:row>
      <xdr:rowOff>182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05C656-32A9-422A-9E16-4D7D5EF4C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886537" y="3015877"/>
          <a:ext cx="6076494" cy="2708830"/>
        </a:xfrm>
        <a:prstGeom prst="rect">
          <a:avLst/>
        </a:prstGeom>
      </xdr:spPr>
    </xdr:pic>
    <xdr:clientData/>
  </xdr:twoCellAnchor>
  <xdr:twoCellAnchor editAs="oneCell">
    <xdr:from>
      <xdr:col>84</xdr:col>
      <xdr:colOff>246531</xdr:colOff>
      <xdr:row>16</xdr:row>
      <xdr:rowOff>0</xdr:rowOff>
    </xdr:from>
    <xdr:to>
      <xdr:col>87</xdr:col>
      <xdr:colOff>237821</xdr:colOff>
      <xdr:row>18</xdr:row>
      <xdr:rowOff>17056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C0C11DC-6300-49E9-836A-DBC123F74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110656" y="2514600"/>
          <a:ext cx="1820090" cy="43615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209548</xdr:rowOff>
    </xdr:from>
    <xdr:to>
      <xdr:col>9</xdr:col>
      <xdr:colOff>140970</xdr:colOff>
      <xdr:row>41</xdr:row>
      <xdr:rowOff>26668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1A7B5C2-4B95-4460-B85C-C95F447C0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9</xdr:col>
      <xdr:colOff>140970</xdr:colOff>
      <xdr:row>63</xdr:row>
      <xdr:rowOff>160020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D085D99-9839-4909-AEDE-F8EE13C63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19050</xdr:colOff>
      <xdr:row>65</xdr:row>
      <xdr:rowOff>9525</xdr:rowOff>
    </xdr:from>
    <xdr:to>
      <xdr:col>9</xdr:col>
      <xdr:colOff>160020</xdr:colOff>
      <xdr:row>87</xdr:row>
      <xdr:rowOff>55245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8D2528-9A59-49E8-8CDE-9D112E587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285750</xdr:colOff>
      <xdr:row>65</xdr:row>
      <xdr:rowOff>19050</xdr:rowOff>
    </xdr:from>
    <xdr:to>
      <xdr:col>17</xdr:col>
      <xdr:colOff>1122045</xdr:colOff>
      <xdr:row>87</xdr:row>
      <xdr:rowOff>64770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26B91E7-02B8-4F53-A8E1-EE5EC61CD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314325</xdr:colOff>
      <xdr:row>88</xdr:row>
      <xdr:rowOff>9525</xdr:rowOff>
    </xdr:from>
    <xdr:to>
      <xdr:col>17</xdr:col>
      <xdr:colOff>674370</xdr:colOff>
      <xdr:row>110</xdr:row>
      <xdr:rowOff>188595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581BC7F-1E1A-4128-B6E5-4382FE457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19050</xdr:colOff>
      <xdr:row>88</xdr:row>
      <xdr:rowOff>19050</xdr:rowOff>
    </xdr:from>
    <xdr:to>
      <xdr:col>9</xdr:col>
      <xdr:colOff>160020</xdr:colOff>
      <xdr:row>111</xdr:row>
      <xdr:rowOff>7620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7441889-C1D4-42E6-829F-D88FE645E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80</xdr:col>
      <xdr:colOff>414612</xdr:colOff>
      <xdr:row>8</xdr:row>
      <xdr:rowOff>0</xdr:rowOff>
    </xdr:from>
    <xdr:to>
      <xdr:col>97</xdr:col>
      <xdr:colOff>134969</xdr:colOff>
      <xdr:row>31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22DE09-5CE8-4AB0-818C-53B424B18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11362" y="1677893"/>
          <a:ext cx="10083557" cy="5061585"/>
        </a:xfrm>
        <a:prstGeom prst="rect">
          <a:avLst/>
        </a:prstGeom>
      </xdr:spPr>
    </xdr:pic>
    <xdr:clientData/>
  </xdr:twoCellAnchor>
  <xdr:twoCellAnchor editAs="oneCell">
    <xdr:from>
      <xdr:col>81</xdr:col>
      <xdr:colOff>261926</xdr:colOff>
      <xdr:row>3</xdr:row>
      <xdr:rowOff>32871</xdr:rowOff>
    </xdr:from>
    <xdr:to>
      <xdr:col>87</xdr:col>
      <xdr:colOff>400251</xdr:colOff>
      <xdr:row>6</xdr:row>
      <xdr:rowOff>4255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0ED67C-02A8-4AA7-9CDA-419678468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68276" y="642471"/>
          <a:ext cx="3795925" cy="619084"/>
        </a:xfrm>
        <a:prstGeom prst="rect">
          <a:avLst/>
        </a:prstGeom>
      </xdr:spPr>
    </xdr:pic>
    <xdr:clientData/>
  </xdr:twoCellAnchor>
  <xdr:twoCellAnchor editAs="oneCell">
    <xdr:from>
      <xdr:col>82</xdr:col>
      <xdr:colOff>7098</xdr:colOff>
      <xdr:row>7</xdr:row>
      <xdr:rowOff>26584</xdr:rowOff>
    </xdr:from>
    <xdr:to>
      <xdr:col>85</xdr:col>
      <xdr:colOff>442385</xdr:colOff>
      <xdr:row>12</xdr:row>
      <xdr:rowOff>105390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267EE8-388B-4B8C-93A7-6B955D4DA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23048" y="1493434"/>
          <a:ext cx="2264087" cy="1126556"/>
        </a:xfrm>
        <a:prstGeom prst="rect">
          <a:avLst/>
        </a:prstGeom>
      </xdr:spPr>
    </xdr:pic>
    <xdr:clientData/>
  </xdr:twoCellAnchor>
  <xdr:twoCellAnchor editAs="oneCell">
    <xdr:from>
      <xdr:col>82</xdr:col>
      <xdr:colOff>80683</xdr:colOff>
      <xdr:row>11</xdr:row>
      <xdr:rowOff>168272</xdr:rowOff>
    </xdr:from>
    <xdr:to>
      <xdr:col>91</xdr:col>
      <xdr:colOff>532465</xdr:colOff>
      <xdr:row>14</xdr:row>
      <xdr:rowOff>55938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F136D0-E83F-431B-BC9F-38460D447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496633" y="2892422"/>
          <a:ext cx="5938182" cy="516316"/>
        </a:xfrm>
        <a:prstGeom prst="rect">
          <a:avLst/>
        </a:prstGeom>
      </xdr:spPr>
    </xdr:pic>
    <xdr:clientData/>
  </xdr:twoCellAnchor>
  <xdr:twoCellAnchor>
    <xdr:from>
      <xdr:col>40</xdr:col>
      <xdr:colOff>219319</xdr:colOff>
      <xdr:row>3</xdr:row>
      <xdr:rowOff>105125</xdr:rowOff>
    </xdr:from>
    <xdr:to>
      <xdr:col>45</xdr:col>
      <xdr:colOff>138042</xdr:colOff>
      <xdr:row>12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E80DB7-6BFA-476D-94F7-9D213B39D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209550</xdr:colOff>
      <xdr:row>3</xdr:row>
      <xdr:rowOff>177800</xdr:rowOff>
    </xdr:from>
    <xdr:to>
      <xdr:col>63</xdr:col>
      <xdr:colOff>128273</xdr:colOff>
      <xdr:row>12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5D1C00-04D4-41E0-BF42-F5C8E17C3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75</xdr:col>
      <xdr:colOff>174203</xdr:colOff>
      <xdr:row>4</xdr:row>
      <xdr:rowOff>50575</xdr:rowOff>
    </xdr:from>
    <xdr:to>
      <xdr:col>80</xdr:col>
      <xdr:colOff>92927</xdr:colOff>
      <xdr:row>12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5B75A0-AA89-4B73-AADA-36B713DAB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49</xdr:col>
      <xdr:colOff>292213</xdr:colOff>
      <xdr:row>4</xdr:row>
      <xdr:rowOff>78672</xdr:rowOff>
    </xdr:from>
    <xdr:to>
      <xdr:col>54</xdr:col>
      <xdr:colOff>210936</xdr:colOff>
      <xdr:row>12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6DA9C25-F36B-43F3-A3E0-CABC9F6A6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67</xdr:col>
      <xdr:colOff>84292</xdr:colOff>
      <xdr:row>3</xdr:row>
      <xdr:rowOff>174204</xdr:rowOff>
    </xdr:from>
    <xdr:to>
      <xdr:col>72</xdr:col>
      <xdr:colOff>3015</xdr:colOff>
      <xdr:row>12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7EEF550-86B6-4FF1-8962-C53941B71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82</xdr:col>
      <xdr:colOff>22412</xdr:colOff>
      <xdr:row>14</xdr:row>
      <xdr:rowOff>82177</xdr:rowOff>
    </xdr:from>
    <xdr:to>
      <xdr:col>92</xdr:col>
      <xdr:colOff>2906</xdr:colOff>
      <xdr:row>27</xdr:row>
      <xdr:rowOff>182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9FBF09C-989E-4C2A-974F-64B0B33B9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438362" y="4482727"/>
          <a:ext cx="6076494" cy="2708830"/>
        </a:xfrm>
        <a:prstGeom prst="rect">
          <a:avLst/>
        </a:prstGeom>
      </xdr:spPr>
    </xdr:pic>
    <xdr:clientData/>
  </xdr:twoCellAnchor>
  <xdr:twoCellAnchor editAs="oneCell">
    <xdr:from>
      <xdr:col>82</xdr:col>
      <xdr:colOff>246531</xdr:colOff>
      <xdr:row>12</xdr:row>
      <xdr:rowOff>0</xdr:rowOff>
    </xdr:from>
    <xdr:to>
      <xdr:col>85</xdr:col>
      <xdr:colOff>237821</xdr:colOff>
      <xdr:row>14</xdr:row>
      <xdr:rowOff>17056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84E4D24-FB40-481C-987F-E8A0BF953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662481" y="3659468"/>
          <a:ext cx="1820090" cy="43615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209548</xdr:rowOff>
    </xdr:from>
    <xdr:to>
      <xdr:col>9</xdr:col>
      <xdr:colOff>140970</xdr:colOff>
      <xdr:row>37</xdr:row>
      <xdr:rowOff>26668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97B9876-F4EE-4735-A60A-EFA06DC0E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9</xdr:col>
      <xdr:colOff>140970</xdr:colOff>
      <xdr:row>59</xdr:row>
      <xdr:rowOff>160020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FBF4002-303D-4503-992D-8FAD62CAC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19050</xdr:colOff>
      <xdr:row>61</xdr:row>
      <xdr:rowOff>9525</xdr:rowOff>
    </xdr:from>
    <xdr:to>
      <xdr:col>9</xdr:col>
      <xdr:colOff>160020</xdr:colOff>
      <xdr:row>83</xdr:row>
      <xdr:rowOff>55245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47EC92A-54DD-4499-B1F1-95B9B89E5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285750</xdr:colOff>
      <xdr:row>61</xdr:row>
      <xdr:rowOff>19050</xdr:rowOff>
    </xdr:from>
    <xdr:to>
      <xdr:col>17</xdr:col>
      <xdr:colOff>1122045</xdr:colOff>
      <xdr:row>83</xdr:row>
      <xdr:rowOff>64770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8C0C4E6-3460-4F4B-AED5-024EF3569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28575</xdr:colOff>
      <xdr:row>84</xdr:row>
      <xdr:rowOff>28575</xdr:rowOff>
    </xdr:from>
    <xdr:to>
      <xdr:col>17</xdr:col>
      <xdr:colOff>1160145</xdr:colOff>
      <xdr:row>107</xdr:row>
      <xdr:rowOff>17145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7D1CB3D-BCD4-4A2A-AD80-92135EC9A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19050</xdr:colOff>
      <xdr:row>84</xdr:row>
      <xdr:rowOff>19050</xdr:rowOff>
    </xdr:from>
    <xdr:to>
      <xdr:col>9</xdr:col>
      <xdr:colOff>160020</xdr:colOff>
      <xdr:row>107</xdr:row>
      <xdr:rowOff>7620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81E47DF-9350-4903-B6F4-0138DF116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2B86-CA89-41EE-8A42-6CFA4481F6A9}">
  <dimension ref="B1:CB66"/>
  <sheetViews>
    <sheetView tabSelected="1" zoomScaleNormal="100" workbookViewId="0">
      <selection activeCell="K20" sqref="K20"/>
    </sheetView>
  </sheetViews>
  <sheetFormatPr defaultColWidth="9.1796875" defaultRowHeight="14.5" x14ac:dyDescent="0.35"/>
  <cols>
    <col min="1" max="1" width="2.26953125" style="7" customWidth="1"/>
    <col min="2" max="2" width="30.26953125" style="2" bestFit="1" customWidth="1"/>
    <col min="3" max="3" width="13.54296875" style="2" bestFit="1" customWidth="1"/>
    <col min="4" max="4" width="8" style="2" bestFit="1" customWidth="1"/>
    <col min="5" max="5" width="10.453125" style="2" bestFit="1" customWidth="1"/>
    <col min="6" max="6" width="9" style="2" bestFit="1" customWidth="1"/>
    <col min="7" max="7" width="8.453125" style="2" bestFit="1" customWidth="1"/>
    <col min="8" max="8" width="7" style="2" bestFit="1" customWidth="1"/>
    <col min="9" max="10" width="4.453125" style="2" bestFit="1" customWidth="1"/>
    <col min="11" max="11" width="7.54296875" style="2" bestFit="1" customWidth="1"/>
    <col min="12" max="12" width="5" style="2" bestFit="1" customWidth="1"/>
    <col min="13" max="13" width="8.1796875" style="2" bestFit="1" customWidth="1"/>
    <col min="14" max="14" width="17.26953125" style="2" bestFit="1" customWidth="1"/>
    <col min="15" max="15" width="20.1796875" style="2" bestFit="1" customWidth="1"/>
    <col min="16" max="16" width="18.81640625" style="2" bestFit="1" customWidth="1"/>
    <col min="17" max="17" width="15" style="2" bestFit="1" customWidth="1"/>
    <col min="18" max="18" width="14" style="2" bestFit="1" customWidth="1"/>
    <col min="19" max="19" width="28.453125" style="7" bestFit="1" customWidth="1"/>
    <col min="20" max="22" width="20.1796875" style="7" bestFit="1" customWidth="1"/>
    <col min="23" max="23" width="14" style="7" bestFit="1" customWidth="1"/>
    <col min="24" max="24" width="19" style="7" bestFit="1" customWidth="1"/>
    <col min="25" max="25" width="11.81640625" style="7" bestFit="1" customWidth="1"/>
    <col min="26" max="27" width="16.1796875" style="7" bestFit="1" customWidth="1"/>
    <col min="28" max="28" width="17.81640625" style="7" customWidth="1"/>
    <col min="29" max="31" width="15.1796875" style="7" customWidth="1"/>
    <col min="32" max="32" width="18.26953125" style="7" customWidth="1"/>
    <col min="33" max="35" width="15.1796875" style="7" customWidth="1"/>
    <col min="36" max="37" width="9.1796875" style="7"/>
    <col min="38" max="38" width="13.54296875" style="7" bestFit="1" customWidth="1"/>
    <col min="39" max="16384" width="9.1796875" style="7"/>
  </cols>
  <sheetData>
    <row r="1" spans="2:80" x14ac:dyDescent="0.35">
      <c r="S1" s="2"/>
      <c r="T1" s="2"/>
      <c r="U1" s="2"/>
      <c r="AF1" s="3"/>
    </row>
    <row r="2" spans="2:80" s="3" customFormat="1" ht="14" x14ac:dyDescent="0.35">
      <c r="B2" s="11" t="s">
        <v>0</v>
      </c>
      <c r="C2" s="168" t="s">
        <v>1</v>
      </c>
      <c r="D2" s="170"/>
      <c r="E2" s="1"/>
      <c r="F2" s="1"/>
      <c r="G2" s="1"/>
      <c r="H2" s="1"/>
      <c r="I2" s="1"/>
      <c r="L2" s="1"/>
      <c r="M2" s="1"/>
      <c r="N2" s="1"/>
      <c r="O2" s="1"/>
      <c r="P2" s="164" t="s">
        <v>2</v>
      </c>
      <c r="Q2" s="165"/>
      <c r="U2" s="171" t="s">
        <v>3</v>
      </c>
      <c r="V2" s="172"/>
      <c r="AA2" s="66" t="s">
        <v>4</v>
      </c>
      <c r="AB2" s="158" t="s">
        <v>5</v>
      </c>
      <c r="AC2" s="159"/>
      <c r="AD2" s="159"/>
      <c r="AE2" s="160"/>
      <c r="AF2" s="161" t="s">
        <v>6</v>
      </c>
      <c r="AG2" s="162"/>
      <c r="AH2" s="162"/>
      <c r="AI2" s="163"/>
    </row>
    <row r="3" spans="2:80" s="3" customFormat="1" ht="14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AL3" s="3" t="s">
        <v>7</v>
      </c>
    </row>
    <row r="4" spans="2:80" s="3" customFormat="1" ht="17" x14ac:dyDescent="0.35">
      <c r="B4" s="8" t="s">
        <v>8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9" t="s">
        <v>14</v>
      </c>
      <c r="I4" s="9" t="s">
        <v>15</v>
      </c>
      <c r="J4" s="9" t="s">
        <v>16</v>
      </c>
      <c r="K4" s="9" t="s">
        <v>17</v>
      </c>
      <c r="L4" s="63" t="s">
        <v>18</v>
      </c>
      <c r="M4" s="9" t="s">
        <v>19</v>
      </c>
      <c r="N4" s="9" t="s">
        <v>20</v>
      </c>
      <c r="O4" s="9" t="s">
        <v>21</v>
      </c>
      <c r="P4" s="36" t="s">
        <v>22</v>
      </c>
      <c r="Q4" s="37" t="s">
        <v>23</v>
      </c>
      <c r="R4" s="37" t="s">
        <v>24</v>
      </c>
      <c r="S4" s="38" t="s">
        <v>25</v>
      </c>
      <c r="T4" s="37" t="s">
        <v>26</v>
      </c>
      <c r="U4" s="32" t="s">
        <v>22</v>
      </c>
      <c r="V4" s="33" t="s">
        <v>27</v>
      </c>
      <c r="W4" s="33" t="s">
        <v>24</v>
      </c>
      <c r="X4" s="34" t="s">
        <v>25</v>
      </c>
      <c r="Y4" s="33" t="s">
        <v>26</v>
      </c>
      <c r="Z4" s="35" t="s">
        <v>28</v>
      </c>
      <c r="AA4" s="138" t="s">
        <v>29</v>
      </c>
      <c r="AB4" s="72" t="s">
        <v>30</v>
      </c>
      <c r="AC4" s="72" t="s">
        <v>31</v>
      </c>
      <c r="AD4" s="73" t="s">
        <v>32</v>
      </c>
      <c r="AE4" s="73" t="s">
        <v>33</v>
      </c>
      <c r="AF4" s="53" t="s">
        <v>30</v>
      </c>
      <c r="AG4" s="53" t="s">
        <v>31</v>
      </c>
      <c r="AH4" s="51" t="s">
        <v>32</v>
      </c>
      <c r="AI4" s="51" t="s">
        <v>33</v>
      </c>
      <c r="AJ4" s="1"/>
      <c r="AK4" s="1"/>
      <c r="AL4" s="1" t="s">
        <v>34</v>
      </c>
      <c r="AM4" s="3" t="s">
        <v>35</v>
      </c>
      <c r="AN4" s="1" t="s">
        <v>36</v>
      </c>
      <c r="AO4" s="1"/>
      <c r="AP4" s="1"/>
      <c r="AQ4" s="1"/>
      <c r="AR4" s="1"/>
      <c r="AS4" s="1"/>
      <c r="AT4" s="1"/>
      <c r="AU4" s="1" t="s">
        <v>37</v>
      </c>
      <c r="AV4" s="3" t="s">
        <v>35</v>
      </c>
      <c r="AW4" s="1" t="s">
        <v>36</v>
      </c>
      <c r="AX4" s="1"/>
      <c r="AY4" s="1"/>
      <c r="AZ4" s="1"/>
      <c r="BA4" s="1"/>
      <c r="BB4" s="1"/>
      <c r="BC4" s="1"/>
      <c r="BD4" s="1" t="s">
        <v>13</v>
      </c>
      <c r="BE4" s="3" t="s">
        <v>35</v>
      </c>
      <c r="BF4" s="1" t="s">
        <v>36</v>
      </c>
      <c r="BG4" s="1"/>
      <c r="BH4" s="1"/>
      <c r="BI4" s="1"/>
      <c r="BJ4" s="1"/>
      <c r="BK4" s="1"/>
      <c r="BL4" s="1"/>
      <c r="BM4" s="1" t="s">
        <v>14</v>
      </c>
      <c r="BN4" s="1" t="s">
        <v>35</v>
      </c>
      <c r="BO4" s="1" t="s">
        <v>36</v>
      </c>
      <c r="BP4" s="1"/>
      <c r="BQ4" s="1"/>
      <c r="BR4" s="1"/>
      <c r="BS4" s="1"/>
      <c r="BT4" s="1"/>
      <c r="BU4" s="1" t="s">
        <v>15</v>
      </c>
      <c r="BV4" s="1" t="s">
        <v>35</v>
      </c>
      <c r="BW4" s="1" t="s">
        <v>36</v>
      </c>
      <c r="BX4" s="1"/>
      <c r="BY4" s="1"/>
      <c r="BZ4" s="1"/>
      <c r="CA4" s="1"/>
      <c r="CB4" s="1"/>
    </row>
    <row r="5" spans="2:80" s="3" customFormat="1" ht="14" x14ac:dyDescent="0.35">
      <c r="B5" s="12" t="s">
        <v>38</v>
      </c>
      <c r="C5" s="13" t="s">
        <v>39</v>
      </c>
      <c r="D5" s="13">
        <v>800</v>
      </c>
      <c r="E5" s="13">
        <v>30</v>
      </c>
      <c r="F5" s="13">
        <v>7</v>
      </c>
      <c r="G5" s="14">
        <f t="shared" ref="G5:G25" si="0">D5/E5</f>
        <v>26.666666666666668</v>
      </c>
      <c r="H5" s="14">
        <f t="shared" ref="H5:H25" si="1">D5/F5</f>
        <v>114.28571428571429</v>
      </c>
      <c r="I5" s="15">
        <v>31.7</v>
      </c>
      <c r="J5" s="14">
        <v>0.25</v>
      </c>
      <c r="K5" s="13">
        <v>100</v>
      </c>
      <c r="L5" s="13">
        <v>44.9</v>
      </c>
      <c r="M5" s="15">
        <f t="shared" ref="M5:M25" si="2">K5/1000</f>
        <v>0.1</v>
      </c>
      <c r="N5" s="14">
        <v>2.06223</v>
      </c>
      <c r="O5" s="16">
        <f>M5*((3+2*N5)/(3-N5))</f>
        <v>0.75972359960331426</v>
      </c>
      <c r="P5" s="142">
        <f t="shared" ref="P5:P25" si="3">0.1013*((TAN(RADIANS($R$28-$R$29*J5))*10^(1-$R$30)*$R$30/TAN(RADIANS(Q5)))^(1/(1-$R$30)))*(($R$30*(1+SIN(RADIANS(Q5)))-SIN(RADIANS(Q5)))/( $R$30*(1+SIN(RADIANS(Q5)))))</f>
        <v>3.2287836392830734E-2</v>
      </c>
      <c r="Q5" s="69">
        <f t="shared" ref="Q5:Q25" si="4">DEGREES(ASIN((SQRT(4*$R$30*($R$30-1)*(O5-M5)^2+(O5+M5)^2)-(O5+M5))/(2*($R$30-1)*(O5-M5))))</f>
        <v>47.030432247992735</v>
      </c>
      <c r="R5" s="43">
        <f t="shared" ref="R5:R25" si="5">(O5+M5)/2-(O5-M5)/2*SIN(RADIANS(Q5))</f>
        <v>0.18849669685072176</v>
      </c>
      <c r="S5" s="43">
        <f t="shared" ref="S5:S25" si="6">(O5-M5)/2*COS(RADIANS(Q5))</f>
        <v>0.22483703886564799</v>
      </c>
      <c r="T5" s="69">
        <f t="shared" ref="T5:T25" si="7">DEGREES(ATAN((20*0.1013)^($R$30-1)*(O5-M5)*SQRT(1-SIN(RADIANS(Q5))^2)*(O5+M5-(O5-M5)*SIN(RADIANS(Q5)))^-$R$30))</f>
        <v>45.23308475539465</v>
      </c>
      <c r="U5" s="139">
        <f t="shared" ref="U5:U25" si="8">0.1013*((TAN(RADIANS($V$28-$V$29*J5))*10^(1-$V$30)*$V$30/TAN(RADIANS(V5)))^(1/(1-$V$30)))*(($V$30*(1+SIN(RADIANS(V5)))-SIN(RADIANS(V5)))/( $V$30*(1+SIN(RADIANS(V5)))))</f>
        <v>7.3307378158601735E-2</v>
      </c>
      <c r="V5" s="137">
        <f t="shared" ref="V5:V25" si="9">DEGREES(ASIN((SQRT(4*$V$30*($V$30-1)*(O5-M5)^2+(O5+M5)^2)-(O5+M5))/(2*($V$30-1)*(O5-M5))))</f>
        <v>47.269853979342585</v>
      </c>
      <c r="W5" s="27">
        <f t="shared" ref="W5:W25" si="10">(O5+M5)/2-(O5-M5)/2*SIN(RADIANS(V5))</f>
        <v>0.18755928090672916</v>
      </c>
      <c r="X5" s="27">
        <f t="shared" ref="X5:X25" si="11">(O5-M5)/2*COS(RADIANS(V5))</f>
        <v>0.22382648705093328</v>
      </c>
      <c r="Y5" s="137">
        <f t="shared" ref="Y5:Y25" si="12">DEGREES(ATAN((20*0.1013)^($V$30-1)*(O5-M5)*SQRT(1-SIN(RADIANS(V5))^2)*(O5+M5-(O5-M5)*SIN(RADIANS(V5)))^-$V$30))</f>
        <v>45.577442516620003</v>
      </c>
      <c r="Z5" s="28">
        <f>LN(X5/AA5)</f>
        <v>2.8834368914485875E-2</v>
      </c>
      <c r="AA5" s="56">
        <f t="shared" ref="AA5:AA25" si="13">TAN(RADIANS($V$28-$V$29*J5))*(10*0.1013)^(1-$V$30)*W5^$V$30</f>
        <v>0.21746475064494633</v>
      </c>
      <c r="AB5" s="74">
        <f t="shared" ref="AB5:AB25" si="14">ABS(AA5-S5)/S5</f>
        <v>3.2789473913624113E-2</v>
      </c>
      <c r="AC5" s="74">
        <f t="shared" ref="AC5:AC25" si="15">LN(MAX(AA5,0.000000000001)) - LN(MAX(S5,0.000000000001))</f>
        <v>-3.3339096690344183E-2</v>
      </c>
      <c r="AD5" s="74">
        <f t="shared" ref="AD5:AD25" si="16">(S5-$AE$27)^2</f>
        <v>0.11500523551556276</v>
      </c>
      <c r="AE5" s="75">
        <f t="shared" ref="AE5:AE25" si="17">(S5-AA5)^2</f>
        <v>5.4350633609096389E-5</v>
      </c>
      <c r="AF5" s="55">
        <f t="shared" ref="AF5:AF25" si="18">ABS(AA5-X5)/X5</f>
        <v>2.8422625444410821E-2</v>
      </c>
      <c r="AG5" s="55">
        <f t="shared" ref="AG5:AG25" si="19">LN(MAX(AA5,0.000000000001)) - LN(MAX(X5,0.000000000001))</f>
        <v>-2.8834368914486097E-2</v>
      </c>
      <c r="AH5" s="55">
        <f t="shared" ref="AH5:AH25" si="20">(X5-$AI$27)^2</f>
        <v>0.11426528772780507</v>
      </c>
      <c r="AI5" s="56">
        <f t="shared" ref="AI5:AI25" si="21">(X5-AA5)^2</f>
        <v>4.0471690099259692E-5</v>
      </c>
      <c r="AL5" s="3">
        <v>4</v>
      </c>
      <c r="AM5" s="3">
        <v>-2.4880439052412037E-2</v>
      </c>
      <c r="AU5" s="3">
        <v>0.4</v>
      </c>
      <c r="AV5" s="1">
        <v>6.0858236896929069E-2</v>
      </c>
      <c r="BD5" s="3">
        <v>7.5</v>
      </c>
      <c r="BE5" s="3">
        <v>0.11334024542131316</v>
      </c>
      <c r="BM5" s="3">
        <v>12.5</v>
      </c>
      <c r="BN5" s="3">
        <v>5.7982088457193263E-2</v>
      </c>
      <c r="BU5" s="3">
        <v>1.8</v>
      </c>
      <c r="BV5" s="3">
        <v>-2.4880439052412037E-2</v>
      </c>
    </row>
    <row r="6" spans="2:80" s="3" customFormat="1" ht="14" x14ac:dyDescent="0.35">
      <c r="B6" s="17" t="s">
        <v>40</v>
      </c>
      <c r="C6" s="18" t="s">
        <v>39</v>
      </c>
      <c r="D6" s="18">
        <v>800</v>
      </c>
      <c r="E6" s="18">
        <v>60</v>
      </c>
      <c r="F6" s="18">
        <v>15</v>
      </c>
      <c r="G6" s="19">
        <f t="shared" si="0"/>
        <v>13.333333333333334</v>
      </c>
      <c r="H6" s="19">
        <f t="shared" si="1"/>
        <v>53.333333333333336</v>
      </c>
      <c r="I6" s="20">
        <v>49.3</v>
      </c>
      <c r="J6" s="19">
        <v>0.23</v>
      </c>
      <c r="K6" s="18">
        <v>100</v>
      </c>
      <c r="L6" s="18">
        <v>44.9</v>
      </c>
      <c r="M6" s="20">
        <f t="shared" si="2"/>
        <v>0.1</v>
      </c>
      <c r="N6" s="19">
        <v>1.9625900000000001</v>
      </c>
      <c r="O6" s="21">
        <f t="shared" ref="O6:O25" si="22">M6*((3+2*N6)/(3-N6))</f>
        <v>0.66754513644557134</v>
      </c>
      <c r="P6" s="142">
        <f t="shared" si="3"/>
        <v>8.9260336297240811E-2</v>
      </c>
      <c r="Q6" s="69">
        <f t="shared" si="4"/>
        <v>44.580994352405419</v>
      </c>
      <c r="R6" s="43">
        <f t="shared" si="5"/>
        <v>0.18458782743054747</v>
      </c>
      <c r="S6" s="43">
        <f t="shared" si="6"/>
        <v>0.20211954262585408</v>
      </c>
      <c r="T6" s="69">
        <f t="shared" si="7"/>
        <v>42.724297634218466</v>
      </c>
      <c r="U6" s="140">
        <f t="shared" si="8"/>
        <v>0.20747068144110006</v>
      </c>
      <c r="V6" s="134">
        <f t="shared" si="9"/>
        <v>44.819923096794867</v>
      </c>
      <c r="W6" s="135">
        <f t="shared" si="10"/>
        <v>0.18374670440622606</v>
      </c>
      <c r="X6" s="135">
        <f t="shared" si="11"/>
        <v>0.20128716869238017</v>
      </c>
      <c r="Y6" s="134">
        <f t="shared" si="12"/>
        <v>43.071994191729026</v>
      </c>
      <c r="Z6" s="29">
        <f t="shared" ref="Z6:Z25" si="23">LN(X6/AA6)</f>
        <v>-6.7772270215465918E-2</v>
      </c>
      <c r="AA6" s="59">
        <f t="shared" si="13"/>
        <v>0.21540174343173535</v>
      </c>
      <c r="AB6" s="76">
        <f t="shared" si="14"/>
        <v>6.5714579764650047E-2</v>
      </c>
      <c r="AC6" s="76">
        <f t="shared" si="15"/>
        <v>6.3645541078890533E-2</v>
      </c>
      <c r="AD6" s="76">
        <f t="shared" si="16"/>
        <v>0.13092942646429798</v>
      </c>
      <c r="AE6" s="77">
        <f t="shared" si="17"/>
        <v>1.7641685824775313E-4</v>
      </c>
      <c r="AF6" s="58">
        <f t="shared" si="18"/>
        <v>7.0121582170624933E-2</v>
      </c>
      <c r="AG6" s="58">
        <f t="shared" si="19"/>
        <v>6.7772270215465946E-2</v>
      </c>
      <c r="AH6" s="58">
        <f t="shared" si="20"/>
        <v>0.13001130730293195</v>
      </c>
      <c r="AI6" s="59">
        <f t="shared" si="21"/>
        <v>1.9922122007284333E-4</v>
      </c>
      <c r="AL6" s="3">
        <v>4</v>
      </c>
      <c r="AM6" s="3">
        <v>-1.8442016461616102E-2</v>
      </c>
      <c r="AN6" s="3">
        <f>AVERAGE(AM5:AM8)</f>
        <v>-2.0956371195126368E-3</v>
      </c>
      <c r="AU6" s="3">
        <v>0.4</v>
      </c>
      <c r="AV6" s="3">
        <v>-2.4880439052412037E-2</v>
      </c>
      <c r="AW6" s="3">
        <f>AVERAGE(AV5:AV8)</f>
        <v>3.7342274768192153E-3</v>
      </c>
      <c r="BD6" s="3">
        <v>7.5</v>
      </c>
      <c r="BE6" s="3">
        <v>5.7982088457193263E-2</v>
      </c>
      <c r="BF6" s="3">
        <f>AVERAGE(BE5:BE8)</f>
        <v>3.7853443726963559E-2</v>
      </c>
      <c r="BM6" s="3">
        <v>12.5</v>
      </c>
      <c r="BN6" s="3">
        <v>5.277281240920207E-2</v>
      </c>
      <c r="BO6" s="3">
        <f>AVERAGE(BN5:BN8)</f>
        <v>3.3507929342901983E-2</v>
      </c>
      <c r="BU6" s="3">
        <v>1.8</v>
      </c>
      <c r="BV6" s="3">
        <v>-1.8442016461616102E-2</v>
      </c>
      <c r="BW6" s="3">
        <f>AVERAGE(BV5:BV8)</f>
        <v>-2.0956371195126368E-3</v>
      </c>
    </row>
    <row r="7" spans="2:80" s="3" customFormat="1" ht="14" x14ac:dyDescent="0.35">
      <c r="B7" s="17" t="s">
        <v>41</v>
      </c>
      <c r="C7" s="18" t="s">
        <v>39</v>
      </c>
      <c r="D7" s="18">
        <v>800</v>
      </c>
      <c r="E7" s="18">
        <v>100</v>
      </c>
      <c r="F7" s="18">
        <v>17</v>
      </c>
      <c r="G7" s="19">
        <f t="shared" si="0"/>
        <v>8</v>
      </c>
      <c r="H7" s="19">
        <f t="shared" si="1"/>
        <v>47.058823529411768</v>
      </c>
      <c r="I7" s="20">
        <v>57.3</v>
      </c>
      <c r="J7" s="19">
        <v>0.21</v>
      </c>
      <c r="K7" s="18">
        <v>100</v>
      </c>
      <c r="L7" s="18">
        <v>46.6</v>
      </c>
      <c r="M7" s="20">
        <f t="shared" si="2"/>
        <v>0.1</v>
      </c>
      <c r="N7" s="19">
        <v>2.04182</v>
      </c>
      <c r="O7" s="21">
        <f t="shared" si="22"/>
        <v>0.73928071969776044</v>
      </c>
      <c r="P7" s="142">
        <f t="shared" si="3"/>
        <v>5.1274570460234481E-2</v>
      </c>
      <c r="Q7" s="69">
        <f t="shared" si="4"/>
        <v>46.521950441467425</v>
      </c>
      <c r="R7" s="43">
        <f t="shared" si="5"/>
        <v>0.18769715832172679</v>
      </c>
      <c r="S7" s="43">
        <f t="shared" si="6"/>
        <v>0.2199370612462937</v>
      </c>
      <c r="T7" s="69">
        <f t="shared" si="7"/>
        <v>44.711447466799285</v>
      </c>
      <c r="U7" s="140">
        <f t="shared" si="8"/>
        <v>0.10845836063837563</v>
      </c>
      <c r="V7" s="134">
        <f t="shared" si="9"/>
        <v>46.761413877040617</v>
      </c>
      <c r="W7" s="135">
        <f t="shared" si="10"/>
        <v>0.1867799762022487</v>
      </c>
      <c r="X7" s="135">
        <f t="shared" si="11"/>
        <v>0.21896575388006509</v>
      </c>
      <c r="Y7" s="134">
        <f t="shared" si="12"/>
        <v>45.056697166434979</v>
      </c>
      <c r="Z7" s="29">
        <f t="shared" si="23"/>
        <v>-7.540006993302757E-3</v>
      </c>
      <c r="AA7" s="59">
        <f t="shared" si="13"/>
        <v>0.22062299715714587</v>
      </c>
      <c r="AB7" s="76">
        <f t="shared" si="14"/>
        <v>3.1187827415954856E-3</v>
      </c>
      <c r="AC7" s="76">
        <f t="shared" si="15"/>
        <v>3.1139294270383644E-3</v>
      </c>
      <c r="AD7" s="76">
        <f t="shared" si="16"/>
        <v>0.11835264745706164</v>
      </c>
      <c r="AE7" s="77">
        <f t="shared" si="17"/>
        <v>4.7050807379659626E-7</v>
      </c>
      <c r="AF7" s="58">
        <f t="shared" si="18"/>
        <v>7.5685044246165799E-3</v>
      </c>
      <c r="AG7" s="58">
        <f t="shared" si="19"/>
        <v>7.5400069933029279E-3</v>
      </c>
      <c r="AH7" s="58">
        <f t="shared" si="20"/>
        <v>0.11757507620000081</v>
      </c>
      <c r="AI7" s="59">
        <f t="shared" si="21"/>
        <v>2.7464552794294351E-6</v>
      </c>
      <c r="AL7" s="3">
        <v>6.3</v>
      </c>
      <c r="AM7" s="3">
        <v>6.0858236896929069E-2</v>
      </c>
      <c r="AN7" s="3">
        <f>AVERAGE(AM5:AM9)</f>
        <v>-2.047653265485218E-3</v>
      </c>
      <c r="AU7" s="3">
        <v>0.4</v>
      </c>
      <c r="AV7" s="3">
        <v>-1.8442016461616102E-2</v>
      </c>
      <c r="AW7" s="3">
        <f>AVERAGE(AV5:AV9)</f>
        <v>1.1709468727638865E-2</v>
      </c>
      <c r="BD7" s="3">
        <v>7.5</v>
      </c>
      <c r="BE7" s="3">
        <v>5.277281240920207E-2</v>
      </c>
      <c r="BF7" s="3">
        <f>AVERAGE(BE5:BE9)</f>
        <v>2.7208218137429862E-2</v>
      </c>
      <c r="BM7" s="3">
        <v>15</v>
      </c>
      <c r="BN7" s="3">
        <v>-7.2304173696284392E-3</v>
      </c>
      <c r="BO7" s="3">
        <f>AVERAGE(BN5:BN9)</f>
        <v>4.1209232197212439E-2</v>
      </c>
      <c r="BU7" s="3">
        <v>2.9</v>
      </c>
      <c r="BV7" s="3">
        <v>6.0858236896929069E-2</v>
      </c>
      <c r="BW7" s="3">
        <f>AVERAGE(BV5:BV9)</f>
        <v>2.7429442849129988E-3</v>
      </c>
    </row>
    <row r="8" spans="2:80" s="3" customFormat="1" ht="14" x14ac:dyDescent="0.35">
      <c r="B8" s="17" t="s">
        <v>42</v>
      </c>
      <c r="C8" s="18" t="s">
        <v>39</v>
      </c>
      <c r="D8" s="18">
        <v>800</v>
      </c>
      <c r="E8" s="18">
        <v>30</v>
      </c>
      <c r="F8" s="18">
        <v>7</v>
      </c>
      <c r="G8" s="19">
        <f t="shared" si="0"/>
        <v>26.666666666666668</v>
      </c>
      <c r="H8" s="19">
        <f t="shared" si="1"/>
        <v>114.28571428571429</v>
      </c>
      <c r="I8" s="20">
        <v>31.7</v>
      </c>
      <c r="J8" s="19">
        <v>0.26</v>
      </c>
      <c r="K8" s="18">
        <v>600</v>
      </c>
      <c r="L8" s="18">
        <v>42.4</v>
      </c>
      <c r="M8" s="20">
        <f t="shared" si="2"/>
        <v>0.6</v>
      </c>
      <c r="N8" s="19">
        <v>1.8692500000000001</v>
      </c>
      <c r="O8" s="21">
        <f t="shared" si="22"/>
        <v>3.5755914216228168</v>
      </c>
      <c r="P8" s="142">
        <f t="shared" si="3"/>
        <v>0.16079885824606668</v>
      </c>
      <c r="Q8" s="69">
        <f t="shared" si="4"/>
        <v>42.353073723655243</v>
      </c>
      <c r="R8" s="43">
        <f t="shared" si="5"/>
        <v>1.0854716782510314</v>
      </c>
      <c r="S8" s="43">
        <f t="shared" si="6"/>
        <v>1.0994919785340538</v>
      </c>
      <c r="T8" s="69">
        <f t="shared" si="7"/>
        <v>45.565571602082727</v>
      </c>
      <c r="U8" s="140">
        <f t="shared" si="8"/>
        <v>0.42286213361599662</v>
      </c>
      <c r="V8" s="134">
        <f t="shared" si="9"/>
        <v>42.590048166902811</v>
      </c>
      <c r="W8" s="135">
        <f t="shared" si="10"/>
        <v>1.0809327827280653</v>
      </c>
      <c r="X8" s="135">
        <f t="shared" si="11"/>
        <v>1.0953369897708471</v>
      </c>
      <c r="Y8" s="134">
        <f t="shared" si="12"/>
        <v>45.551872865851614</v>
      </c>
      <c r="Z8" s="29">
        <f t="shared" si="23"/>
        <v>3.2490752401523181E-2</v>
      </c>
      <c r="AA8" s="59">
        <f t="shared" si="13"/>
        <v>1.0603206016026658</v>
      </c>
      <c r="AB8" s="76">
        <f t="shared" si="14"/>
        <v>3.5626796462503448E-2</v>
      </c>
      <c r="AC8" s="76">
        <f t="shared" si="15"/>
        <v>-3.6276918692114697E-2</v>
      </c>
      <c r="AD8" s="76">
        <f t="shared" si="16"/>
        <v>0.28679315340622757</v>
      </c>
      <c r="AE8" s="77">
        <f t="shared" si="17"/>
        <v>1.5343967707008718E-3</v>
      </c>
      <c r="AF8" s="58">
        <f t="shared" si="18"/>
        <v>3.1968598244369532E-2</v>
      </c>
      <c r="AG8" s="58">
        <f t="shared" si="19"/>
        <v>-3.2490752401523181E-2</v>
      </c>
      <c r="AH8" s="58">
        <f t="shared" si="20"/>
        <v>0.2845998578077315</v>
      </c>
      <c r="AI8" s="59">
        <f t="shared" si="21"/>
        <v>1.2261474403447482E-3</v>
      </c>
      <c r="AL8" s="3">
        <v>6.3</v>
      </c>
      <c r="AM8" s="3">
        <v>-2.5918329860951481E-2</v>
      </c>
      <c r="AN8" s="3">
        <f>AVERAGE(AM6:AM10)</f>
        <v>7.3478885255202978E-3</v>
      </c>
      <c r="AU8" s="3">
        <v>0.4</v>
      </c>
      <c r="AV8" s="3">
        <v>-2.5988714756240688E-3</v>
      </c>
      <c r="AW8" s="3">
        <f>AVERAGE(AV6:AV10)</f>
        <v>-7.5629414833750189E-3</v>
      </c>
      <c r="BD8" s="3">
        <v>8</v>
      </c>
      <c r="BE8" s="3">
        <v>-7.2681371379854268E-2</v>
      </c>
      <c r="BF8" s="3">
        <f>AVERAGE(BE6:BE10)</f>
        <v>1.3262255799350722E-2</v>
      </c>
      <c r="BM8" s="3">
        <v>15</v>
      </c>
      <c r="BN8" s="3">
        <v>3.0507233874841042E-2</v>
      </c>
      <c r="BO8" s="3">
        <f>AVERAGE(BN6:BN10)</f>
        <v>2.4429148533583491E-2</v>
      </c>
      <c r="BU8" s="3">
        <v>2.9</v>
      </c>
      <c r="BV8" s="3">
        <v>-2.5918329860951481E-2</v>
      </c>
      <c r="BW8" s="3">
        <f>AVERAGE(BV6:BV10)</f>
        <v>7.1992578002705917E-3</v>
      </c>
    </row>
    <row r="9" spans="2:80" s="3" customFormat="1" ht="14" x14ac:dyDescent="0.35">
      <c r="B9" s="17" t="s">
        <v>43</v>
      </c>
      <c r="C9" s="18" t="s">
        <v>39</v>
      </c>
      <c r="D9" s="18">
        <v>800</v>
      </c>
      <c r="E9" s="18">
        <v>60</v>
      </c>
      <c r="F9" s="18">
        <v>15</v>
      </c>
      <c r="G9" s="19">
        <f t="shared" si="0"/>
        <v>13.333333333333334</v>
      </c>
      <c r="H9" s="19">
        <f t="shared" si="1"/>
        <v>53.333333333333336</v>
      </c>
      <c r="I9" s="20">
        <v>49.3</v>
      </c>
      <c r="J9" s="19">
        <v>0.22</v>
      </c>
      <c r="K9" s="18">
        <v>600</v>
      </c>
      <c r="L9" s="18">
        <v>41.8</v>
      </c>
      <c r="M9" s="20">
        <f t="shared" si="2"/>
        <v>0.6</v>
      </c>
      <c r="N9" s="19">
        <v>1.90069</v>
      </c>
      <c r="O9" s="21">
        <f t="shared" si="22"/>
        <v>3.7121721807315495</v>
      </c>
      <c r="P9" s="142">
        <f t="shared" si="3"/>
        <v>0.16293982912282781</v>
      </c>
      <c r="Q9" s="69">
        <f t="shared" si="4"/>
        <v>43.097105533727138</v>
      </c>
      <c r="R9" s="43">
        <f t="shared" si="5"/>
        <v>1.0929106748653552</v>
      </c>
      <c r="S9" s="43">
        <f t="shared" si="6"/>
        <v>1.136249073269304</v>
      </c>
      <c r="T9" s="69">
        <f t="shared" si="7"/>
        <v>46.331100351387114</v>
      </c>
      <c r="U9" s="140">
        <f t="shared" si="8"/>
        <v>0.38590187654520841</v>
      </c>
      <c r="V9" s="134">
        <f t="shared" si="9"/>
        <v>43.334890470034132</v>
      </c>
      <c r="W9" s="135">
        <f t="shared" si="10"/>
        <v>1.088204262808355</v>
      </c>
      <c r="X9" s="135">
        <f t="shared" si="11"/>
        <v>1.1318269845707285</v>
      </c>
      <c r="Y9" s="134">
        <f t="shared" si="12"/>
        <v>46.316031270389594</v>
      </c>
      <c r="Z9" s="29">
        <f t="shared" si="23"/>
        <v>4.0984163283498201E-2</v>
      </c>
      <c r="AA9" s="59">
        <f t="shared" si="13"/>
        <v>1.0863777143716076</v>
      </c>
      <c r="AB9" s="76">
        <f t="shared" si="14"/>
        <v>4.3891220746348075E-2</v>
      </c>
      <c r="AC9" s="76">
        <f t="shared" si="15"/>
        <v>-4.4883586573672488E-2</v>
      </c>
      <c r="AD9" s="76">
        <f t="shared" si="16"/>
        <v>0.32751334432910273</v>
      </c>
      <c r="AE9" s="77">
        <f t="shared" si="17"/>
        <v>2.487152438302847E-3</v>
      </c>
      <c r="AF9" s="58">
        <f t="shared" si="18"/>
        <v>4.0155669390016011E-2</v>
      </c>
      <c r="AG9" s="58">
        <f t="shared" si="19"/>
        <v>-4.0984163283498257E-2</v>
      </c>
      <c r="AH9" s="58">
        <f t="shared" si="20"/>
        <v>0.32486467038260392</v>
      </c>
      <c r="AI9" s="59">
        <f t="shared" si="21"/>
        <v>2.0656361616327016E-3</v>
      </c>
      <c r="AL9" s="3">
        <v>6.3</v>
      </c>
      <c r="AM9" s="3">
        <v>-1.8557178493755428E-3</v>
      </c>
      <c r="AN9" s="3">
        <f>AVERAGE(AM7:AM11)</f>
        <v>1.0516517522718703E-2</v>
      </c>
      <c r="AU9" s="3">
        <v>0.8</v>
      </c>
      <c r="AV9" s="3">
        <v>4.3610433730917463E-2</v>
      </c>
      <c r="AW9" s="3">
        <f>AVERAGE(AV7:AV11)</f>
        <v>2.0081195411370021E-2</v>
      </c>
      <c r="BD9" s="3">
        <v>8</v>
      </c>
      <c r="BE9" s="3">
        <v>-1.5372684220704914E-2</v>
      </c>
      <c r="BF9" s="3">
        <f>AVERAGE(BE7:BE11)</f>
        <v>-5.4349247237160002E-3</v>
      </c>
      <c r="BM9" s="3">
        <v>15</v>
      </c>
      <c r="BN9" s="3">
        <v>7.2014443614454263E-2</v>
      </c>
      <c r="BO9" s="3">
        <f>AVERAGE(BN7:BN11)</f>
        <v>1.3503442481867967E-2</v>
      </c>
      <c r="BU9" s="3">
        <v>2.9</v>
      </c>
      <c r="BV9" s="3">
        <v>2.2097269902615541E-2</v>
      </c>
      <c r="BW9" s="3">
        <f>AVERAGE(BV7:BV11)</f>
        <v>1.9609747838777301E-2</v>
      </c>
    </row>
    <row r="10" spans="2:80" s="3" customFormat="1" ht="14" x14ac:dyDescent="0.35">
      <c r="B10" s="22" t="s">
        <v>44</v>
      </c>
      <c r="C10" s="23" t="s">
        <v>39</v>
      </c>
      <c r="D10" s="23">
        <v>800</v>
      </c>
      <c r="E10" s="23">
        <v>100</v>
      </c>
      <c r="F10" s="23">
        <v>17</v>
      </c>
      <c r="G10" s="24">
        <f t="shared" si="0"/>
        <v>8</v>
      </c>
      <c r="H10" s="24">
        <f t="shared" si="1"/>
        <v>47.058823529411768</v>
      </c>
      <c r="I10" s="25">
        <v>57.3</v>
      </c>
      <c r="J10" s="24">
        <v>0.22</v>
      </c>
      <c r="K10" s="23">
        <v>600</v>
      </c>
      <c r="L10" s="23">
        <v>42.1</v>
      </c>
      <c r="M10" s="25">
        <f t="shared" si="2"/>
        <v>0.6</v>
      </c>
      <c r="N10" s="24">
        <v>1.8267599999999999</v>
      </c>
      <c r="O10" s="26">
        <f t="shared" si="22"/>
        <v>3.4026388462718624</v>
      </c>
      <c r="P10" s="143">
        <f t="shared" si="3"/>
        <v>0.30488094381571151</v>
      </c>
      <c r="Q10" s="70">
        <f t="shared" si="4"/>
        <v>41.35692717285977</v>
      </c>
      <c r="R10" s="46">
        <f t="shared" si="5"/>
        <v>1.0754007350081638</v>
      </c>
      <c r="S10" s="46">
        <f t="shared" si="6"/>
        <v>1.0518415796277372</v>
      </c>
      <c r="T10" s="70">
        <f t="shared" si="7"/>
        <v>44.536693830197279</v>
      </c>
      <c r="U10" s="141">
        <f t="shared" si="8"/>
        <v>0.75676739289346762</v>
      </c>
      <c r="V10" s="136">
        <f t="shared" si="9"/>
        <v>41.592571293161718</v>
      </c>
      <c r="W10" s="30">
        <f t="shared" si="10"/>
        <v>1.0710826000409237</v>
      </c>
      <c r="X10" s="30">
        <f t="shared" si="11"/>
        <v>1.0480246078294759</v>
      </c>
      <c r="Y10" s="136">
        <f t="shared" si="12"/>
        <v>44.524883142378066</v>
      </c>
      <c r="Z10" s="31">
        <f t="shared" si="23"/>
        <v>-2.155562735045621E-2</v>
      </c>
      <c r="AA10" s="62">
        <f t="shared" si="13"/>
        <v>1.0708606743850686</v>
      </c>
      <c r="AB10" s="78">
        <f t="shared" si="14"/>
        <v>1.8081710331381444E-2</v>
      </c>
      <c r="AC10" s="78">
        <f t="shared" si="15"/>
        <v>1.7920180458679241E-2</v>
      </c>
      <c r="AD10" s="78">
        <f t="shared" si="16"/>
        <v>0.2380272089335311</v>
      </c>
      <c r="AE10" s="79">
        <f t="shared" si="17"/>
        <v>3.6172596538835202E-4</v>
      </c>
      <c r="AF10" s="61">
        <f t="shared" si="18"/>
        <v>2.1789628206238004E-2</v>
      </c>
      <c r="AG10" s="61">
        <f t="shared" si="19"/>
        <v>2.1555627350456165E-2</v>
      </c>
      <c r="AH10" s="61">
        <f t="shared" si="20"/>
        <v>0.23635799360716109</v>
      </c>
      <c r="AI10" s="62">
        <f t="shared" si="21"/>
        <v>5.2148593573145816E-4</v>
      </c>
      <c r="AL10" s="3">
        <v>6.3</v>
      </c>
      <c r="AM10" s="3">
        <v>2.2097269902615541E-2</v>
      </c>
      <c r="AN10" s="3">
        <f t="shared" ref="AN10:AN24" si="24">AVERAGE(AM8:AM12)</f>
        <v>7.0669568895163817E-3</v>
      </c>
      <c r="AU10" s="3">
        <v>0.8</v>
      </c>
      <c r="AV10" s="3">
        <v>-3.550381415814035E-2</v>
      </c>
      <c r="AW10" s="3">
        <f t="shared" ref="AW10:AW24" si="25">AVERAGE(AV8:AV12)</f>
        <v>1.8585932731502944E-2</v>
      </c>
      <c r="BD10" s="3">
        <v>9.0909090909090917</v>
      </c>
      <c r="BE10" s="3">
        <v>4.3610433730917463E-2</v>
      </c>
      <c r="BF10" s="3">
        <f t="shared" ref="BF10:BF24" si="26">AVERAGE(BE8:BE12)</f>
        <v>-2.2757184659232536E-2</v>
      </c>
      <c r="BM10" s="3">
        <v>25</v>
      </c>
      <c r="BN10" s="3">
        <v>-2.5918329860951481E-2</v>
      </c>
      <c r="BO10" s="3">
        <f t="shared" ref="BO10:BO24" si="27">AVERAGE(BN8:BN12)</f>
        <v>1.9368979936316762E-2</v>
      </c>
      <c r="BU10" s="3">
        <v>2.9</v>
      </c>
      <c r="BV10" s="3">
        <v>-2.5988714756240688E-3</v>
      </c>
      <c r="BW10" s="3">
        <f t="shared" ref="BW10:BW24" si="28">AVERAGE(BV8:BV12)</f>
        <v>5.9920169854658029E-3</v>
      </c>
    </row>
    <row r="11" spans="2:80" s="3" customFormat="1" ht="14" x14ac:dyDescent="0.35">
      <c r="B11" s="12" t="s">
        <v>45</v>
      </c>
      <c r="C11" s="13" t="s">
        <v>46</v>
      </c>
      <c r="D11" s="13">
        <v>150</v>
      </c>
      <c r="E11" s="13">
        <v>6.3</v>
      </c>
      <c r="F11" s="13">
        <v>6</v>
      </c>
      <c r="G11" s="14">
        <f t="shared" si="0"/>
        <v>23.80952380952381</v>
      </c>
      <c r="H11" s="14">
        <f t="shared" si="1"/>
        <v>25</v>
      </c>
      <c r="I11" s="15">
        <v>2.9</v>
      </c>
      <c r="J11" s="14">
        <v>0.38</v>
      </c>
      <c r="K11" s="13">
        <v>100</v>
      </c>
      <c r="L11" s="13">
        <v>40.6</v>
      </c>
      <c r="M11" s="15">
        <f t="shared" si="2"/>
        <v>0.1</v>
      </c>
      <c r="N11" s="14">
        <v>1.9984500000000001</v>
      </c>
      <c r="O11" s="16">
        <f t="shared" si="22"/>
        <v>0.6986071589036994</v>
      </c>
      <c r="P11" s="144">
        <f t="shared" si="3"/>
        <v>2.2667639542753491E-2</v>
      </c>
      <c r="Q11" s="68">
        <f t="shared" si="4"/>
        <v>45.453286710085244</v>
      </c>
      <c r="R11" s="40">
        <f t="shared" si="5"/>
        <v>0.18599627548277214</v>
      </c>
      <c r="S11" s="40">
        <f t="shared" si="6"/>
        <v>0.20995863103510001</v>
      </c>
      <c r="T11" s="68">
        <f t="shared" si="7"/>
        <v>43.616540769100524</v>
      </c>
      <c r="U11" s="139">
        <f t="shared" si="8"/>
        <v>7.1103816634383699E-2</v>
      </c>
      <c r="V11" s="137">
        <f t="shared" si="9"/>
        <v>45.692591361008155</v>
      </c>
      <c r="W11" s="27">
        <f t="shared" si="10"/>
        <v>0.18512121397112299</v>
      </c>
      <c r="X11" s="27">
        <f t="shared" si="11"/>
        <v>0.20906589150258376</v>
      </c>
      <c r="Y11" s="137">
        <f t="shared" si="12"/>
        <v>43.963326500193865</v>
      </c>
      <c r="Z11" s="28">
        <f t="shared" si="23"/>
        <v>3.1668529066871301E-2</v>
      </c>
      <c r="AA11" s="56">
        <f t="shared" si="13"/>
        <v>0.20254881992876186</v>
      </c>
      <c r="AB11" s="74">
        <f t="shared" si="14"/>
        <v>3.5291767096249579E-2</v>
      </c>
      <c r="AC11" s="74">
        <f t="shared" si="15"/>
        <v>-3.5929572682461108E-2</v>
      </c>
      <c r="AD11" s="74">
        <f t="shared" si="16"/>
        <v>0.12531785938872228</v>
      </c>
      <c r="AE11" s="75">
        <f t="shared" si="17"/>
        <v>5.4905300631612185E-5</v>
      </c>
      <c r="AF11" s="55">
        <f t="shared" si="18"/>
        <v>3.117233292806804E-2</v>
      </c>
      <c r="AG11" s="55">
        <f t="shared" si="19"/>
        <v>-3.1668529066871232E-2</v>
      </c>
      <c r="AH11" s="55">
        <f t="shared" si="20"/>
        <v>0.1244622550997392</v>
      </c>
      <c r="AI11" s="56">
        <f t="shared" si="21"/>
        <v>4.247222189831735E-5</v>
      </c>
      <c r="AL11" s="3">
        <v>6.3</v>
      </c>
      <c r="AM11" s="3">
        <v>-2.5988714756240688E-3</v>
      </c>
      <c r="AN11" s="3">
        <f t="shared" si="24"/>
        <v>1.080453938778099E-2</v>
      </c>
      <c r="AU11" s="3">
        <v>3</v>
      </c>
      <c r="AV11" s="3">
        <v>0.11334024542131316</v>
      </c>
      <c r="AW11" s="3">
        <f t="shared" si="25"/>
        <v>1.8734563456752649E-2</v>
      </c>
      <c r="BD11" s="3">
        <v>9.0909090909090917</v>
      </c>
      <c r="BE11" s="3">
        <v>-3.550381415814035E-2</v>
      </c>
      <c r="BF11" s="3">
        <f t="shared" si="26"/>
        <v>-9.1859562734467968E-3</v>
      </c>
      <c r="BM11" s="3">
        <v>25</v>
      </c>
      <c r="BN11" s="3">
        <v>-1.8557178493755428E-3</v>
      </c>
      <c r="BO11" s="3">
        <f t="shared" si="27"/>
        <v>-1.2687411146222987E-3</v>
      </c>
      <c r="BU11" s="3">
        <v>8.6999999999999993</v>
      </c>
      <c r="BV11" s="3">
        <v>4.3610433730917463E-2</v>
      </c>
      <c r="BW11" s="3">
        <f t="shared" si="28"/>
        <v>2.5578571680546953E-2</v>
      </c>
    </row>
    <row r="12" spans="2:80" s="3" customFormat="1" ht="14" x14ac:dyDescent="0.35">
      <c r="B12" s="17" t="s">
        <v>47</v>
      </c>
      <c r="C12" s="18" t="s">
        <v>46</v>
      </c>
      <c r="D12" s="18">
        <v>150</v>
      </c>
      <c r="E12" s="18">
        <v>11</v>
      </c>
      <c r="F12" s="18">
        <v>10</v>
      </c>
      <c r="G12" s="19">
        <f t="shared" si="0"/>
        <v>13.636363636363637</v>
      </c>
      <c r="H12" s="19">
        <f t="shared" si="1"/>
        <v>15</v>
      </c>
      <c r="I12" s="20">
        <v>8.6999999999999993</v>
      </c>
      <c r="J12" s="19">
        <v>0.32</v>
      </c>
      <c r="K12" s="18">
        <v>100</v>
      </c>
      <c r="L12" s="18">
        <v>41.7</v>
      </c>
      <c r="M12" s="20">
        <f t="shared" si="2"/>
        <v>0.1</v>
      </c>
      <c r="N12" s="19">
        <v>2.0217700000000001</v>
      </c>
      <c r="O12" s="21">
        <f t="shared" si="22"/>
        <v>0.72002903202723301</v>
      </c>
      <c r="P12" s="142">
        <f t="shared" si="3"/>
        <v>2.8259605864814429E-2</v>
      </c>
      <c r="Q12" s="69">
        <f t="shared" si="4"/>
        <v>46.025963871360247</v>
      </c>
      <c r="R12" s="43">
        <f t="shared" si="5"/>
        <v>0.1869111700309336</v>
      </c>
      <c r="S12" s="43">
        <f t="shared" si="6"/>
        <v>0.21525310021109609</v>
      </c>
      <c r="T12" s="69">
        <f t="shared" si="7"/>
        <v>44.203040196967883</v>
      </c>
      <c r="U12" s="140">
        <f t="shared" si="8"/>
        <v>7.657244943608775E-2</v>
      </c>
      <c r="V12" s="134">
        <f t="shared" si="9"/>
        <v>46.265395062323293</v>
      </c>
      <c r="W12" s="135">
        <f t="shared" si="10"/>
        <v>0.18601360752793555</v>
      </c>
      <c r="X12" s="135">
        <f t="shared" si="11"/>
        <v>0.2143189052247759</v>
      </c>
      <c r="Y12" s="134">
        <f t="shared" si="12"/>
        <v>44.549060054816231</v>
      </c>
      <c r="Z12" s="29">
        <f t="shared" si="23"/>
        <v>2.4787822231381467E-2</v>
      </c>
      <c r="AA12" s="59">
        <f t="shared" si="13"/>
        <v>0.2090717082635162</v>
      </c>
      <c r="AB12" s="76">
        <f t="shared" si="14"/>
        <v>2.8716854444920274E-2</v>
      </c>
      <c r="AC12" s="76">
        <f t="shared" si="15"/>
        <v>-2.9137251184945701E-2</v>
      </c>
      <c r="AD12" s="76">
        <f t="shared" si="16"/>
        <v>0.12159737880682077</v>
      </c>
      <c r="AE12" s="77">
        <f t="shared" si="17"/>
        <v>3.8209606409605432E-5</v>
      </c>
      <c r="AF12" s="58">
        <f t="shared" si="18"/>
        <v>2.4483126935332538E-2</v>
      </c>
      <c r="AG12" s="58">
        <f t="shared" si="19"/>
        <v>-2.4787822231381318E-2</v>
      </c>
      <c r="AH12" s="58">
        <f t="shared" si="20"/>
        <v>0.12078340592780147</v>
      </c>
      <c r="AI12" s="59">
        <f t="shared" si="21"/>
        <v>2.7533075950252952E-5</v>
      </c>
      <c r="AL12" s="3">
        <v>11</v>
      </c>
      <c r="AM12" s="3">
        <v>4.3610433730917463E-2</v>
      </c>
      <c r="AN12" s="3">
        <f t="shared" si="24"/>
        <v>1.7277129732624307E-2</v>
      </c>
      <c r="AU12" s="3">
        <v>6</v>
      </c>
      <c r="AV12" s="3">
        <v>-2.5918329860951481E-2</v>
      </c>
      <c r="AW12" s="3">
        <f t="shared" si="25"/>
        <v>1.4431930691092266E-2</v>
      </c>
      <c r="BD12" s="3">
        <v>13.333333333333334</v>
      </c>
      <c r="BE12" s="3">
        <v>-3.3838487268380631E-2</v>
      </c>
      <c r="BF12" s="3">
        <f t="shared" si="26"/>
        <v>-7.5575029032315015E-3</v>
      </c>
      <c r="BM12" s="3">
        <v>25</v>
      </c>
      <c r="BN12" s="3">
        <v>2.2097269902615541E-2</v>
      </c>
      <c r="BO12" s="3">
        <f t="shared" si="27"/>
        <v>-1.8746166681654134E-2</v>
      </c>
      <c r="BU12" s="3">
        <v>8.6999999999999993</v>
      </c>
      <c r="BV12" s="3">
        <v>-7.2304173696284392E-3</v>
      </c>
      <c r="BW12" s="3">
        <f t="shared" si="28"/>
        <v>1.4058354868395772E-2</v>
      </c>
    </row>
    <row r="13" spans="2:80" s="3" customFormat="1" ht="14" x14ac:dyDescent="0.35">
      <c r="B13" s="17" t="s">
        <v>48</v>
      </c>
      <c r="C13" s="18" t="s">
        <v>46</v>
      </c>
      <c r="D13" s="18">
        <v>150</v>
      </c>
      <c r="E13" s="18">
        <v>20</v>
      </c>
      <c r="F13" s="18">
        <v>3</v>
      </c>
      <c r="G13" s="19">
        <f t="shared" si="0"/>
        <v>7.5</v>
      </c>
      <c r="H13" s="19">
        <f t="shared" si="1"/>
        <v>50</v>
      </c>
      <c r="I13" s="20">
        <v>21.2</v>
      </c>
      <c r="J13" s="19">
        <v>0.26</v>
      </c>
      <c r="K13" s="18">
        <v>100</v>
      </c>
      <c r="L13" s="18">
        <v>40.1</v>
      </c>
      <c r="M13" s="20">
        <f t="shared" si="2"/>
        <v>0.1</v>
      </c>
      <c r="N13" s="19">
        <v>2.0468299999999999</v>
      </c>
      <c r="O13" s="21">
        <f t="shared" si="22"/>
        <v>0.74421771562260663</v>
      </c>
      <c r="P13" s="142">
        <f t="shared" si="3"/>
        <v>3.453568594217412E-2</v>
      </c>
      <c r="Q13" s="69">
        <f t="shared" si="4"/>
        <v>46.646424982416939</v>
      </c>
      <c r="R13" s="43">
        <f t="shared" si="5"/>
        <v>0.18789347103832699</v>
      </c>
      <c r="S13" s="43">
        <f t="shared" si="6"/>
        <v>0.2211272685113429</v>
      </c>
      <c r="T13" s="69">
        <f t="shared" si="7"/>
        <v>44.839103354219851</v>
      </c>
      <c r="U13" s="140">
        <f t="shared" si="8"/>
        <v>8.092540822335835E-2</v>
      </c>
      <c r="V13" s="134">
        <f t="shared" si="9"/>
        <v>46.885885213315873</v>
      </c>
      <c r="W13" s="135">
        <f t="shared" si="10"/>
        <v>0.18697134670890542</v>
      </c>
      <c r="X13" s="135">
        <f t="shared" si="11"/>
        <v>0.22014646750078037</v>
      </c>
      <c r="Y13" s="134">
        <f t="shared" si="12"/>
        <v>45.184144269530137</v>
      </c>
      <c r="Z13" s="29">
        <f t="shared" si="23"/>
        <v>1.9653455552493856E-2</v>
      </c>
      <c r="AA13" s="59">
        <f t="shared" si="13"/>
        <v>0.21586206821833154</v>
      </c>
      <c r="AB13" s="76">
        <f t="shared" si="14"/>
        <v>2.3810723699783234E-2</v>
      </c>
      <c r="AC13" s="76">
        <f t="shared" si="15"/>
        <v>-2.4098780735691383E-2</v>
      </c>
      <c r="AD13" s="76">
        <f t="shared" si="16"/>
        <v>0.1175351438554499</v>
      </c>
      <c r="AE13" s="77">
        <f t="shared" si="17"/>
        <v>2.7722334125526942E-5</v>
      </c>
      <c r="AF13" s="58">
        <f t="shared" si="18"/>
        <v>1.9461585421231657E-2</v>
      </c>
      <c r="AG13" s="58">
        <f t="shared" si="19"/>
        <v>-1.965345555249387E-2</v>
      </c>
      <c r="AH13" s="58">
        <f t="shared" si="20"/>
        <v>0.11676675524974438</v>
      </c>
      <c r="AI13" s="59">
        <f t="shared" si="21"/>
        <v>1.8356077211448103E-5</v>
      </c>
      <c r="AL13" s="3">
        <v>11</v>
      </c>
      <c r="AM13" s="3">
        <v>-7.2304173696284392E-3</v>
      </c>
      <c r="AN13" s="3">
        <f t="shared" si="24"/>
        <v>2.7260564474992054E-2</v>
      </c>
      <c r="AU13" s="3">
        <v>6</v>
      </c>
      <c r="AV13" s="3">
        <v>-1.8557178493755428E-3</v>
      </c>
      <c r="AW13" s="3">
        <f t="shared" si="25"/>
        <v>1.1123679075131423E-2</v>
      </c>
      <c r="BD13" s="3">
        <v>13.333333333333334</v>
      </c>
      <c r="BE13" s="3">
        <v>-4.8252294509255455E-3</v>
      </c>
      <c r="BF13" s="3">
        <f t="shared" si="26"/>
        <v>-1.0178142874446785E-2</v>
      </c>
      <c r="BM13" s="3">
        <v>47.058823529411768</v>
      </c>
      <c r="BN13" s="3">
        <v>-7.2681371379854268E-2</v>
      </c>
      <c r="BO13" s="3">
        <f t="shared" si="27"/>
        <v>9.1055483747987942E-3</v>
      </c>
      <c r="BU13" s="3">
        <v>8.6999999999999993</v>
      </c>
      <c r="BV13" s="3">
        <v>7.2014443614454263E-2</v>
      </c>
      <c r="BW13" s="3">
        <f t="shared" si="28"/>
        <v>1.4206985593645477E-2</v>
      </c>
    </row>
    <row r="14" spans="2:80" s="3" customFormat="1" ht="14" x14ac:dyDescent="0.35">
      <c r="B14" s="17" t="s">
        <v>49</v>
      </c>
      <c r="C14" s="18" t="s">
        <v>46</v>
      </c>
      <c r="D14" s="18">
        <v>150</v>
      </c>
      <c r="E14" s="18">
        <v>6.3</v>
      </c>
      <c r="F14" s="18">
        <v>6</v>
      </c>
      <c r="G14" s="19">
        <f t="shared" si="0"/>
        <v>23.80952380952381</v>
      </c>
      <c r="H14" s="19">
        <f t="shared" si="1"/>
        <v>25</v>
      </c>
      <c r="I14" s="20">
        <v>2.9</v>
      </c>
      <c r="J14" s="19">
        <v>0.38</v>
      </c>
      <c r="K14" s="18">
        <v>600</v>
      </c>
      <c r="L14" s="18">
        <v>36.799999999999997</v>
      </c>
      <c r="M14" s="20">
        <f t="shared" si="2"/>
        <v>0.6</v>
      </c>
      <c r="N14" s="19">
        <v>1.74969</v>
      </c>
      <c r="O14" s="21">
        <f t="shared" si="22"/>
        <v>3.1189289056314036</v>
      </c>
      <c r="P14" s="142">
        <f t="shared" si="3"/>
        <v>0.18840050878568401</v>
      </c>
      <c r="Q14" s="69">
        <f t="shared" si="4"/>
        <v>39.574792723960037</v>
      </c>
      <c r="R14" s="43">
        <f t="shared" si="5"/>
        <v>1.0570786164553385</v>
      </c>
      <c r="S14" s="43">
        <f t="shared" si="6"/>
        <v>0.97078714325779736</v>
      </c>
      <c r="T14" s="69">
        <f t="shared" si="7"/>
        <v>42.684971205899075</v>
      </c>
      <c r="U14" s="140">
        <f t="shared" si="8"/>
        <v>0.69258223841447497</v>
      </c>
      <c r="V14" s="134">
        <f t="shared" si="9"/>
        <v>39.807365829624295</v>
      </c>
      <c r="W14" s="135">
        <f t="shared" si="10"/>
        <v>1.053144651058489</v>
      </c>
      <c r="X14" s="135">
        <f t="shared" si="11"/>
        <v>0.96752213680130539</v>
      </c>
      <c r="Y14" s="134">
        <f t="shared" si="12"/>
        <v>42.676670117542223</v>
      </c>
      <c r="Z14" s="29">
        <f t="shared" si="23"/>
        <v>-1.3325397961877225E-2</v>
      </c>
      <c r="AA14" s="59">
        <f t="shared" si="13"/>
        <v>0.98050103676403677</v>
      </c>
      <c r="AB14" s="76">
        <f t="shared" si="14"/>
        <v>1.0006203289467998E-2</v>
      </c>
      <c r="AC14" s="76">
        <f t="shared" si="15"/>
        <v>9.9564727050672659E-3</v>
      </c>
      <c r="AD14" s="76">
        <f t="shared" si="16"/>
        <v>0.16550730150111878</v>
      </c>
      <c r="AE14" s="77">
        <f t="shared" si="17"/>
        <v>9.4359727050560228E-5</v>
      </c>
      <c r="AF14" s="58">
        <f t="shared" si="18"/>
        <v>1.3414576751329449E-2</v>
      </c>
      <c r="AG14" s="58">
        <f t="shared" si="19"/>
        <v>1.3325397961877213E-2</v>
      </c>
      <c r="AH14" s="58">
        <f t="shared" si="20"/>
        <v>0.16456341111059275</v>
      </c>
      <c r="AI14" s="59">
        <f t="shared" si="21"/>
        <v>1.684518442425887E-4</v>
      </c>
      <c r="AL14" s="3">
        <v>11</v>
      </c>
      <c r="AM14" s="3">
        <v>3.0507233874841042E-2</v>
      </c>
      <c r="AN14" s="3">
        <f t="shared" si="24"/>
        <v>2.0679575938488792E-2</v>
      </c>
      <c r="AU14" s="3">
        <v>6</v>
      </c>
      <c r="AV14" s="3">
        <v>2.2097269902615541E-2</v>
      </c>
      <c r="AW14" s="3">
        <f t="shared" si="25"/>
        <v>-2.3978091459167454E-2</v>
      </c>
      <c r="BD14" s="3">
        <v>13.636363636363637</v>
      </c>
      <c r="BE14" s="3">
        <v>-7.2304173696284392E-3</v>
      </c>
      <c r="BF14" s="3">
        <f t="shared" si="26"/>
        <v>1.1325508680072137E-2</v>
      </c>
      <c r="BM14" s="3">
        <v>47.058823529411768</v>
      </c>
      <c r="BN14" s="3">
        <v>-1.5372684220704914E-2</v>
      </c>
      <c r="BO14" s="3">
        <f t="shared" si="27"/>
        <v>2.7089944909977778E-3</v>
      </c>
      <c r="BU14" s="3">
        <v>8.6999999999999993</v>
      </c>
      <c r="BV14" s="3">
        <v>-3.550381415814035E-2</v>
      </c>
      <c r="BW14" s="3">
        <f t="shared" si="28"/>
        <v>2.8152947931724615E-2</v>
      </c>
    </row>
    <row r="15" spans="2:80" s="3" customFormat="1" ht="14" x14ac:dyDescent="0.35">
      <c r="B15" s="17" t="s">
        <v>50</v>
      </c>
      <c r="C15" s="18" t="s">
        <v>46</v>
      </c>
      <c r="D15" s="18">
        <v>150</v>
      </c>
      <c r="E15" s="18">
        <v>11</v>
      </c>
      <c r="F15" s="18">
        <v>10</v>
      </c>
      <c r="G15" s="19">
        <f t="shared" si="0"/>
        <v>13.636363636363637</v>
      </c>
      <c r="H15" s="19">
        <f t="shared" si="1"/>
        <v>15</v>
      </c>
      <c r="I15" s="20">
        <v>8.6999999999999993</v>
      </c>
      <c r="J15" s="19">
        <v>0.27</v>
      </c>
      <c r="K15" s="18">
        <v>600</v>
      </c>
      <c r="L15" s="18">
        <v>38.4</v>
      </c>
      <c r="M15" s="20">
        <f t="shared" si="2"/>
        <v>0.6</v>
      </c>
      <c r="N15" s="19">
        <v>1.78596</v>
      </c>
      <c r="O15" s="21">
        <f t="shared" si="22"/>
        <v>3.247958881091233</v>
      </c>
      <c r="P15" s="142">
        <f t="shared" si="3"/>
        <v>0.302529330312857</v>
      </c>
      <c r="Q15" s="69">
        <f t="shared" si="4"/>
        <v>40.409752694979659</v>
      </c>
      <c r="R15" s="43">
        <f t="shared" si="5"/>
        <v>1.0657104061529283</v>
      </c>
      <c r="S15" s="43">
        <f t="shared" si="6"/>
        <v>1.0081149853018385</v>
      </c>
      <c r="T15" s="69">
        <f t="shared" si="7"/>
        <v>43.554272359886589</v>
      </c>
      <c r="U15" s="140">
        <f t="shared" si="8"/>
        <v>0.85657777219961451</v>
      </c>
      <c r="V15" s="134">
        <f t="shared" si="9"/>
        <v>40.643874126614065</v>
      </c>
      <c r="W15" s="135">
        <f t="shared" si="10"/>
        <v>1.0615982336408838</v>
      </c>
      <c r="X15" s="135">
        <f t="shared" si="11"/>
        <v>1.0045995286506062</v>
      </c>
      <c r="Y15" s="134">
        <f t="shared" si="12"/>
        <v>43.544307804198013</v>
      </c>
      <c r="Z15" s="29">
        <f t="shared" si="23"/>
        <v>-3.3060180572029023E-2</v>
      </c>
      <c r="AA15" s="59">
        <f t="shared" si="13"/>
        <v>1.0383668721904502</v>
      </c>
      <c r="AB15" s="76">
        <f t="shared" si="14"/>
        <v>3.0008369411901964E-2</v>
      </c>
      <c r="AC15" s="76">
        <f t="shared" si="15"/>
        <v>2.9566927851154813E-2</v>
      </c>
      <c r="AD15" s="76">
        <f t="shared" si="16"/>
        <v>0.19727253411515033</v>
      </c>
      <c r="AE15" s="77">
        <f t="shared" si="17"/>
        <v>9.1517666032135583E-4</v>
      </c>
      <c r="AF15" s="58">
        <f t="shared" si="18"/>
        <v>3.3612740775621139E-2</v>
      </c>
      <c r="AG15" s="58">
        <f t="shared" si="19"/>
        <v>3.3060180572029058E-2</v>
      </c>
      <c r="AH15" s="58">
        <f t="shared" si="20"/>
        <v>0.19602008217276473</v>
      </c>
      <c r="AI15" s="59">
        <f t="shared" si="21"/>
        <v>1.1402334897378449E-3</v>
      </c>
      <c r="AL15" s="3">
        <v>11</v>
      </c>
      <c r="AM15" s="3">
        <v>7.2014443614454263E-2</v>
      </c>
      <c r="AN15" s="3">
        <f t="shared" si="24"/>
        <v>3.4625538276567933E-2</v>
      </c>
      <c r="AU15" s="3">
        <v>7</v>
      </c>
      <c r="AV15" s="3">
        <v>-5.2045072237944551E-2</v>
      </c>
      <c r="AW15" s="3">
        <f t="shared" si="25"/>
        <v>-2.0240508960902851E-2</v>
      </c>
      <c r="BD15" s="3">
        <v>13.636363636363637</v>
      </c>
      <c r="BE15" s="3">
        <v>3.0507233874841042E-2</v>
      </c>
      <c r="BF15" s="3">
        <f t="shared" si="26"/>
        <v>3.0264853513134078E-2</v>
      </c>
      <c r="BM15" s="3">
        <v>50</v>
      </c>
      <c r="BN15" s="3">
        <v>0.11334024542131316</v>
      </c>
      <c r="BO15" s="3">
        <f t="shared" si="27"/>
        <v>-2.6755053797104392E-3</v>
      </c>
      <c r="BU15" s="3">
        <v>15.9</v>
      </c>
      <c r="BV15" s="3">
        <v>-1.8557178493755428E-3</v>
      </c>
      <c r="BW15" s="3">
        <f t="shared" si="28"/>
        <v>4.0153593887490721E-2</v>
      </c>
    </row>
    <row r="16" spans="2:80" s="3" customFormat="1" ht="14" x14ac:dyDescent="0.35">
      <c r="B16" s="17" t="s">
        <v>51</v>
      </c>
      <c r="C16" s="18" t="s">
        <v>46</v>
      </c>
      <c r="D16" s="18">
        <v>150</v>
      </c>
      <c r="E16" s="18">
        <v>20</v>
      </c>
      <c r="F16" s="18">
        <v>12</v>
      </c>
      <c r="G16" s="19">
        <f t="shared" si="0"/>
        <v>7.5</v>
      </c>
      <c r="H16" s="19">
        <f t="shared" si="1"/>
        <v>12.5</v>
      </c>
      <c r="I16" s="20">
        <v>21.2</v>
      </c>
      <c r="J16" s="19">
        <v>0.27</v>
      </c>
      <c r="K16" s="18">
        <v>600</v>
      </c>
      <c r="L16" s="18">
        <v>38.9</v>
      </c>
      <c r="M16" s="20">
        <f t="shared" si="2"/>
        <v>0.6</v>
      </c>
      <c r="N16" s="19">
        <v>1.8055399999999999</v>
      </c>
      <c r="O16" s="21">
        <f t="shared" si="22"/>
        <v>3.3208713560939667</v>
      </c>
      <c r="P16" s="142">
        <f t="shared" si="3"/>
        <v>0.25664110578163252</v>
      </c>
      <c r="Q16" s="69">
        <f t="shared" si="4"/>
        <v>40.863212324868414</v>
      </c>
      <c r="R16" s="43">
        <f t="shared" si="5"/>
        <v>1.0703633288699255</v>
      </c>
      <c r="S16" s="43">
        <f t="shared" si="6"/>
        <v>1.0288617241075637</v>
      </c>
      <c r="T16" s="69">
        <f t="shared" si="7"/>
        <v>44.025103173627258</v>
      </c>
      <c r="U16" s="140">
        <f t="shared" si="8"/>
        <v>0.71775786523828189</v>
      </c>
      <c r="V16" s="134">
        <f t="shared" si="9"/>
        <v>41.098093911522561</v>
      </c>
      <c r="W16" s="135">
        <f t="shared" si="10"/>
        <v>1.0661530453124257</v>
      </c>
      <c r="X16" s="135">
        <f t="shared" si="11"/>
        <v>1.0252042756897297</v>
      </c>
      <c r="Y16" s="134">
        <f t="shared" si="12"/>
        <v>44.014248994190162</v>
      </c>
      <c r="Z16" s="29">
        <f t="shared" si="23"/>
        <v>-1.6641049876650018E-2</v>
      </c>
      <c r="AA16" s="59">
        <f t="shared" si="13"/>
        <v>1.0424074939844663</v>
      </c>
      <c r="AB16" s="76">
        <f t="shared" si="14"/>
        <v>1.3165782689264889E-2</v>
      </c>
      <c r="AC16" s="76">
        <f t="shared" si="15"/>
        <v>1.3079867048528059E-2</v>
      </c>
      <c r="AD16" s="76">
        <f t="shared" si="16"/>
        <v>0.21613244405591414</v>
      </c>
      <c r="AE16" s="77">
        <f t="shared" si="17"/>
        <v>1.8348788155800165E-4</v>
      </c>
      <c r="AF16" s="58">
        <f t="shared" si="18"/>
        <v>1.6780283405629311E-2</v>
      </c>
      <c r="AG16" s="58">
        <f t="shared" si="19"/>
        <v>1.6641049876650011E-2</v>
      </c>
      <c r="AH16" s="58">
        <f t="shared" si="20"/>
        <v>0.21468979315286171</v>
      </c>
      <c r="AI16" s="59">
        <f t="shared" si="21"/>
        <v>2.9595071969635965E-4</v>
      </c>
      <c r="AL16" s="3">
        <v>11</v>
      </c>
      <c r="AM16" s="3">
        <v>-3.550381415814035E-2</v>
      </c>
      <c r="AN16" s="3">
        <f t="shared" si="24"/>
        <v>4.7668039441932278E-2</v>
      </c>
      <c r="AU16" s="3">
        <v>7</v>
      </c>
      <c r="AV16" s="3">
        <v>-6.2168607250181251E-2</v>
      </c>
      <c r="AW16" s="3">
        <f t="shared" si="25"/>
        <v>-1.3767918616059532E-2</v>
      </c>
      <c r="BD16" s="3">
        <v>13.636363636363637</v>
      </c>
      <c r="BE16" s="3">
        <v>7.2014443614454263E-2</v>
      </c>
      <c r="BF16" s="3">
        <f t="shared" si="26"/>
        <v>3.0710125108194368E-2</v>
      </c>
      <c r="BM16" s="3">
        <v>53.333333333333336</v>
      </c>
      <c r="BN16" s="3">
        <v>-3.3838487268380631E-2</v>
      </c>
      <c r="BO16" s="3">
        <f t="shared" si="27"/>
        <v>1.4517544486715023E-3</v>
      </c>
      <c r="BU16" s="3">
        <v>21.2</v>
      </c>
      <c r="BV16" s="3">
        <v>0.11334024542131316</v>
      </c>
      <c r="BW16" s="3">
        <f t="shared" si="28"/>
        <v>3.1852151939568071E-2</v>
      </c>
    </row>
    <row r="17" spans="2:75" s="3" customFormat="1" ht="14" x14ac:dyDescent="0.35">
      <c r="B17" s="17" t="s">
        <v>52</v>
      </c>
      <c r="C17" s="18" t="s">
        <v>46</v>
      </c>
      <c r="D17" s="18">
        <v>150</v>
      </c>
      <c r="E17" s="18">
        <v>6.3</v>
      </c>
      <c r="F17" s="18">
        <v>6</v>
      </c>
      <c r="G17" s="19">
        <f t="shared" si="0"/>
        <v>23.80952380952381</v>
      </c>
      <c r="H17" s="19">
        <f t="shared" si="1"/>
        <v>25</v>
      </c>
      <c r="I17" s="20">
        <v>15.9</v>
      </c>
      <c r="J17" s="19">
        <v>0.27</v>
      </c>
      <c r="K17" s="18">
        <v>100</v>
      </c>
      <c r="L17" s="18">
        <v>42.9</v>
      </c>
      <c r="M17" s="20">
        <f t="shared" si="2"/>
        <v>0.1</v>
      </c>
      <c r="N17" s="19">
        <v>1.94774</v>
      </c>
      <c r="O17" s="21">
        <f t="shared" si="22"/>
        <v>0.65530192157831724</v>
      </c>
      <c r="P17" s="142">
        <f t="shared" si="3"/>
        <v>7.6635854570137871E-2</v>
      </c>
      <c r="Q17" s="69">
        <f t="shared" si="4"/>
        <v>44.222574946980806</v>
      </c>
      <c r="R17" s="43">
        <f t="shared" si="5"/>
        <v>0.18400398769393711</v>
      </c>
      <c r="S17" s="43">
        <f t="shared" si="6"/>
        <v>0.1989746361680339</v>
      </c>
      <c r="T17" s="69">
        <f t="shared" si="7"/>
        <v>42.358077807959603</v>
      </c>
      <c r="U17" s="140">
        <f t="shared" si="8"/>
        <v>0.19577575170833911</v>
      </c>
      <c r="V17" s="134">
        <f t="shared" si="9"/>
        <v>44.461285410421368</v>
      </c>
      <c r="W17" s="135">
        <f t="shared" si="10"/>
        <v>0.18317668599120421</v>
      </c>
      <c r="X17" s="135">
        <f t="shared" si="11"/>
        <v>0.19816612341405029</v>
      </c>
      <c r="Y17" s="134">
        <f t="shared" si="12"/>
        <v>42.706058613138111</v>
      </c>
      <c r="Z17" s="29">
        <f t="shared" si="23"/>
        <v>-6.2384423289431674E-2</v>
      </c>
      <c r="AA17" s="59">
        <f t="shared" si="13"/>
        <v>0.21092236119799446</v>
      </c>
      <c r="AB17" s="76">
        <f t="shared" si="14"/>
        <v>6.0046472555781986E-2</v>
      </c>
      <c r="AC17" s="76">
        <f t="shared" si="15"/>
        <v>5.8312749196698377E-2</v>
      </c>
      <c r="AD17" s="76">
        <f t="shared" si="16"/>
        <v>0.13321523359117937</v>
      </c>
      <c r="AE17" s="77">
        <f t="shared" si="17"/>
        <v>1.4274813339154593E-4</v>
      </c>
      <c r="AF17" s="58">
        <f t="shared" si="18"/>
        <v>6.4371435259351323E-2</v>
      </c>
      <c r="AG17" s="58">
        <f t="shared" si="19"/>
        <v>6.2384423289431501E-2</v>
      </c>
      <c r="AH17" s="58">
        <f t="shared" si="20"/>
        <v>0.13227176385977174</v>
      </c>
      <c r="AI17" s="59">
        <f t="shared" si="21"/>
        <v>1.627216024005247E-4</v>
      </c>
      <c r="AL17" s="3">
        <v>20</v>
      </c>
      <c r="AM17" s="3">
        <v>0.11334024542131316</v>
      </c>
      <c r="AN17" s="3">
        <f t="shared" si="24"/>
        <v>5.2121155148804485E-2</v>
      </c>
      <c r="AU17" s="3">
        <v>10</v>
      </c>
      <c r="AV17" s="3">
        <v>-7.2304173696284392E-3</v>
      </c>
      <c r="AW17" s="3">
        <f t="shared" si="25"/>
        <v>-3.7844838736917881E-3</v>
      </c>
      <c r="BD17" s="3">
        <v>15.873015873015873</v>
      </c>
      <c r="BE17" s="3">
        <v>6.0858236896929069E-2</v>
      </c>
      <c r="BF17" s="3">
        <f t="shared" si="26"/>
        <v>2.6972542609929762E-2</v>
      </c>
      <c r="BM17" s="3">
        <v>53.333333333333336</v>
      </c>
      <c r="BN17" s="3">
        <v>-4.8252294509255455E-3</v>
      </c>
      <c r="BO17" s="3">
        <f t="shared" si="27"/>
        <v>-7.9074301572237635E-3</v>
      </c>
      <c r="BU17" s="3">
        <v>21.2</v>
      </c>
      <c r="BV17" s="3">
        <v>5.277281240920207E-2</v>
      </c>
      <c r="BW17" s="3">
        <f t="shared" si="28"/>
        <v>2.8543900323607235E-2</v>
      </c>
    </row>
    <row r="18" spans="2:75" s="3" customFormat="1" ht="14" x14ac:dyDescent="0.35">
      <c r="B18" s="17" t="s">
        <v>53</v>
      </c>
      <c r="C18" s="18" t="s">
        <v>46</v>
      </c>
      <c r="D18" s="18">
        <v>150</v>
      </c>
      <c r="E18" s="18">
        <v>11</v>
      </c>
      <c r="F18" s="18">
        <v>10</v>
      </c>
      <c r="G18" s="19">
        <f t="shared" si="0"/>
        <v>13.636363636363637</v>
      </c>
      <c r="H18" s="19">
        <f t="shared" si="1"/>
        <v>15</v>
      </c>
      <c r="I18" s="20">
        <v>28.7</v>
      </c>
      <c r="J18" s="19">
        <v>0.27</v>
      </c>
      <c r="K18" s="18">
        <v>100</v>
      </c>
      <c r="L18" s="18">
        <v>42</v>
      </c>
      <c r="M18" s="20">
        <f t="shared" si="2"/>
        <v>0.1</v>
      </c>
      <c r="N18" s="19">
        <v>2.0270100000000002</v>
      </c>
      <c r="O18" s="21">
        <f t="shared" si="22"/>
        <v>0.72498381278327662</v>
      </c>
      <c r="P18" s="142">
        <f t="shared" si="3"/>
        <v>3.8379118491337648E-2</v>
      </c>
      <c r="Q18" s="69">
        <f t="shared" si="4"/>
        <v>46.155259368301273</v>
      </c>
      <c r="R18" s="43">
        <f t="shared" si="5"/>
        <v>0.18711663949117083</v>
      </c>
      <c r="S18" s="43">
        <f t="shared" si="6"/>
        <v>0.21646519496173858</v>
      </c>
      <c r="T18" s="69">
        <f t="shared" si="7"/>
        <v>44.335533826689364</v>
      </c>
      <c r="U18" s="140">
        <f t="shared" si="8"/>
        <v>9.3087038445603926E-2</v>
      </c>
      <c r="V18" s="134">
        <f t="shared" si="9"/>
        <v>46.394705893485934</v>
      </c>
      <c r="W18" s="135">
        <f t="shared" si="10"/>
        <v>0.18621397398202122</v>
      </c>
      <c r="X18" s="135">
        <f t="shared" si="11"/>
        <v>0.21552143481498354</v>
      </c>
      <c r="Y18" s="134">
        <f t="shared" si="12"/>
        <v>44.681362450881444</v>
      </c>
      <c r="Z18" s="29">
        <f t="shared" si="23"/>
        <v>6.6521654466218504E-3</v>
      </c>
      <c r="AA18" s="59">
        <f t="shared" si="13"/>
        <v>0.21409250856951592</v>
      </c>
      <c r="AB18" s="76">
        <f t="shared" si="14"/>
        <v>1.0961052619300029E-2</v>
      </c>
      <c r="AC18" s="76">
        <f t="shared" si="15"/>
        <v>-1.1021567567882862E-2</v>
      </c>
      <c r="AD18" s="76">
        <f t="shared" si="16"/>
        <v>0.12075351332712499</v>
      </c>
      <c r="AE18" s="77">
        <f t="shared" si="17"/>
        <v>5.6296407158385633E-6</v>
      </c>
      <c r="AF18" s="58">
        <f t="shared" si="18"/>
        <v>6.6300887737421156E-3</v>
      </c>
      <c r="AG18" s="58">
        <f t="shared" si="19"/>
        <v>-6.6521654466218383E-3</v>
      </c>
      <c r="AH18" s="58">
        <f t="shared" si="20"/>
        <v>0.11994899997176062</v>
      </c>
      <c r="AI18" s="59">
        <f t="shared" si="21"/>
        <v>2.0418302149861761E-6</v>
      </c>
      <c r="AL18" s="3">
        <v>20</v>
      </c>
      <c r="AM18" s="3">
        <v>5.7982088457193263E-2</v>
      </c>
      <c r="AN18" s="3">
        <f t="shared" si="24"/>
        <v>2.7309251978324716E-2</v>
      </c>
      <c r="AU18" s="3">
        <v>10</v>
      </c>
      <c r="AV18" s="3">
        <v>3.0507233874841042E-2</v>
      </c>
      <c r="AW18" s="3">
        <f t="shared" si="25"/>
        <v>1.8220948265335775E-2</v>
      </c>
      <c r="BD18" s="3">
        <v>15.873015873015873</v>
      </c>
      <c r="BE18" s="3">
        <v>-2.5988714756240688E-3</v>
      </c>
      <c r="BF18" s="3">
        <f t="shared" si="26"/>
        <v>2.0499952265086448E-2</v>
      </c>
      <c r="BM18" s="3">
        <v>114.28571428571429</v>
      </c>
      <c r="BN18" s="3">
        <v>-5.2045072237944551E-2</v>
      </c>
      <c r="BO18" s="3">
        <f t="shared" si="27"/>
        <v>-2.1853392495302902E-2</v>
      </c>
      <c r="BU18" s="3">
        <v>28.7</v>
      </c>
      <c r="BV18" s="3">
        <v>3.0507233874841042E-2</v>
      </c>
      <c r="BW18" s="3">
        <f t="shared" si="28"/>
        <v>1.6481322443446095E-2</v>
      </c>
    </row>
    <row r="19" spans="2:75" s="3" customFormat="1" ht="14" x14ac:dyDescent="0.35">
      <c r="B19" s="22" t="s">
        <v>54</v>
      </c>
      <c r="C19" s="23" t="s">
        <v>46</v>
      </c>
      <c r="D19" s="23">
        <v>150</v>
      </c>
      <c r="E19" s="23">
        <v>20</v>
      </c>
      <c r="F19" s="23">
        <v>12</v>
      </c>
      <c r="G19" s="24">
        <f t="shared" si="0"/>
        <v>7.5</v>
      </c>
      <c r="H19" s="24">
        <f t="shared" si="1"/>
        <v>12.5</v>
      </c>
      <c r="I19" s="25">
        <v>52.5</v>
      </c>
      <c r="J19" s="24">
        <v>0.22</v>
      </c>
      <c r="K19" s="23">
        <v>100</v>
      </c>
      <c r="L19" s="23">
        <v>42.6</v>
      </c>
      <c r="M19" s="25">
        <f t="shared" si="2"/>
        <v>0.1</v>
      </c>
      <c r="N19" s="19">
        <v>2.0753900000000001</v>
      </c>
      <c r="O19" s="26">
        <f t="shared" si="22"/>
        <v>0.77338337244892452</v>
      </c>
      <c r="P19" s="143">
        <f t="shared" si="3"/>
        <v>3.5405143212906803E-2</v>
      </c>
      <c r="Q19" s="70">
        <f t="shared" si="4"/>
        <v>47.360287802327775</v>
      </c>
      <c r="R19" s="46">
        <f t="shared" si="5"/>
        <v>0.18901193467403299</v>
      </c>
      <c r="S19" s="46">
        <f t="shared" si="6"/>
        <v>0.22807023533242865</v>
      </c>
      <c r="T19" s="70">
        <f t="shared" si="7"/>
        <v>45.571697648030138</v>
      </c>
      <c r="U19" s="141">
        <f t="shared" si="8"/>
        <v>7.4778309924732486E-2</v>
      </c>
      <c r="V19" s="136">
        <f t="shared" si="9"/>
        <v>47.599641909649662</v>
      </c>
      <c r="W19" s="30">
        <f t="shared" si="10"/>
        <v>0.18806133130980307</v>
      </c>
      <c r="X19" s="30">
        <f t="shared" si="11"/>
        <v>0.22703356180900297</v>
      </c>
      <c r="Y19" s="136">
        <f t="shared" si="12"/>
        <v>45.915421652817599</v>
      </c>
      <c r="Z19" s="31">
        <f t="shared" si="23"/>
        <v>2.6989523073432255E-2</v>
      </c>
      <c r="AA19" s="62">
        <f t="shared" si="13"/>
        <v>0.22098798485286461</v>
      </c>
      <c r="AB19" s="78">
        <f t="shared" si="14"/>
        <v>3.1052936255540554E-2</v>
      </c>
      <c r="AC19" s="78">
        <f t="shared" si="15"/>
        <v>-3.1545298362311014E-2</v>
      </c>
      <c r="AD19" s="78">
        <f t="shared" si="16"/>
        <v>0.11282277862539751</v>
      </c>
      <c r="AE19" s="79">
        <f t="shared" si="17"/>
        <v>5.0158271855285065E-5</v>
      </c>
      <c r="AF19" s="61">
        <f t="shared" si="18"/>
        <v>2.6628560587990669E-2</v>
      </c>
      <c r="AG19" s="61">
        <f t="shared" si="19"/>
        <v>-2.6989523073432053E-2</v>
      </c>
      <c r="AH19" s="61">
        <f t="shared" si="20"/>
        <v>0.1121073885430655</v>
      </c>
      <c r="AI19" s="62">
        <f t="shared" si="21"/>
        <v>3.6549000732591158E-5</v>
      </c>
      <c r="AL19" s="3">
        <v>20</v>
      </c>
      <c r="AM19" s="3">
        <v>5.277281240920207E-2</v>
      </c>
      <c r="AN19" s="3">
        <f t="shared" si="24"/>
        <v>2.1976293359916538E-2</v>
      </c>
      <c r="AU19" s="3">
        <v>10</v>
      </c>
      <c r="AV19" s="3">
        <v>7.2014443614454263E-2</v>
      </c>
      <c r="AW19" s="3">
        <f t="shared" si="25"/>
        <v>4.1209232197212439E-2</v>
      </c>
      <c r="BD19" s="3">
        <v>23.80952380952381</v>
      </c>
      <c r="BE19" s="3">
        <v>-2.5918329860951481E-2</v>
      </c>
      <c r="BF19" s="3">
        <f t="shared" si="26"/>
        <v>1.0516517522718703E-2</v>
      </c>
      <c r="BM19" s="3">
        <v>114.28571428571429</v>
      </c>
      <c r="BN19" s="3">
        <v>-6.2168607250181251E-2</v>
      </c>
      <c r="BO19" s="3">
        <f t="shared" si="27"/>
        <v>-2.218645787325485E-2</v>
      </c>
      <c r="BU19" s="3">
        <v>31.7</v>
      </c>
      <c r="BV19" s="3">
        <v>-5.2045072237944551E-2</v>
      </c>
      <c r="BW19" s="3">
        <f t="shared" si="28"/>
        <v>-1.2954424094492661E-2</v>
      </c>
    </row>
    <row r="20" spans="2:75" s="3" customFormat="1" ht="14" x14ac:dyDescent="0.35">
      <c r="B20" s="12" t="s">
        <v>55</v>
      </c>
      <c r="C20" s="13" t="s">
        <v>39</v>
      </c>
      <c r="D20" s="13">
        <v>100</v>
      </c>
      <c r="E20" s="13">
        <v>4</v>
      </c>
      <c r="F20" s="13">
        <v>0.4</v>
      </c>
      <c r="G20" s="14">
        <f t="shared" si="0"/>
        <v>25</v>
      </c>
      <c r="H20" s="14">
        <f t="shared" si="1"/>
        <v>250</v>
      </c>
      <c r="I20" s="15">
        <v>1.8</v>
      </c>
      <c r="J20" s="14">
        <v>0.43</v>
      </c>
      <c r="K20" s="13">
        <v>100</v>
      </c>
      <c r="L20" s="13">
        <v>39.200000000000003</v>
      </c>
      <c r="M20" s="15">
        <f t="shared" si="2"/>
        <v>0.1</v>
      </c>
      <c r="N20" s="14">
        <v>1.92818</v>
      </c>
      <c r="O20" s="16">
        <f t="shared" si="22"/>
        <v>0.63969323207254958</v>
      </c>
      <c r="P20" s="144">
        <f t="shared" si="3"/>
        <v>2.9149919814556134E-2</v>
      </c>
      <c r="Q20" s="68">
        <f t="shared" si="4"/>
        <v>43.752861087521353</v>
      </c>
      <c r="R20" s="40">
        <f t="shared" si="5"/>
        <v>0.18323442444045954</v>
      </c>
      <c r="S20" s="40">
        <f t="shared" si="6"/>
        <v>0.19491815239744978</v>
      </c>
      <c r="T20" s="68">
        <f t="shared" si="7"/>
        <v>41.878501004444942</v>
      </c>
      <c r="U20" s="139">
        <f t="shared" si="8"/>
        <v>0.10699215028421803</v>
      </c>
      <c r="V20" s="137">
        <f t="shared" si="9"/>
        <v>43.991229460991399</v>
      </c>
      <c r="W20" s="27">
        <f t="shared" si="10"/>
        <v>0.18242512122477061</v>
      </c>
      <c r="X20" s="27">
        <f t="shared" si="11"/>
        <v>0.19414010268064152</v>
      </c>
      <c r="Y20" s="137">
        <f t="shared" si="12"/>
        <v>42.226774559207279</v>
      </c>
      <c r="Z20" s="28">
        <f t="shared" si="23"/>
        <v>-6.2760805014607261E-3</v>
      </c>
      <c r="AA20" s="56">
        <f t="shared" si="13"/>
        <v>0.19536237311543153</v>
      </c>
      <c r="AB20" s="74">
        <f t="shared" si="14"/>
        <v>2.2790115364728059E-3</v>
      </c>
      <c r="AC20" s="74">
        <f t="shared" si="15"/>
        <v>2.2764185285970573E-3</v>
      </c>
      <c r="AD20" s="74">
        <f t="shared" si="16"/>
        <v>0.1361928132618074</v>
      </c>
      <c r="AE20" s="75">
        <f t="shared" si="17"/>
        <v>1.9733204628422375E-7</v>
      </c>
      <c r="AF20" s="55">
        <f t="shared" si="18"/>
        <v>6.2958163610360779E-3</v>
      </c>
      <c r="AG20" s="55">
        <f t="shared" si="19"/>
        <v>6.276080501460779E-3</v>
      </c>
      <c r="AH20" s="55">
        <f t="shared" si="20"/>
        <v>0.13521643458334492</v>
      </c>
      <c r="AI20" s="56">
        <f t="shared" si="21"/>
        <v>1.493945015761753E-6</v>
      </c>
      <c r="AL20" s="3">
        <v>30</v>
      </c>
      <c r="AM20" s="3">
        <v>-5.2045072237944551E-2</v>
      </c>
      <c r="AN20" s="3">
        <f t="shared" si="24"/>
        <v>-7.4594531780222198E-3</v>
      </c>
      <c r="AU20" s="3">
        <v>12</v>
      </c>
      <c r="AV20" s="3">
        <v>5.7982088457193263E-2</v>
      </c>
      <c r="AW20" s="3">
        <f t="shared" si="25"/>
        <v>3.5887618217462003E-2</v>
      </c>
      <c r="BD20" s="3">
        <v>23.80952380952381</v>
      </c>
      <c r="BE20" s="3">
        <v>-1.8557178493755428E-3</v>
      </c>
      <c r="BF20" s="3">
        <f t="shared" si="26"/>
        <v>-6.6312176671495179E-3</v>
      </c>
      <c r="BM20" s="3">
        <v>125</v>
      </c>
      <c r="BN20" s="3">
        <v>4.3610433730917463E-2</v>
      </c>
      <c r="BO20" s="3">
        <f t="shared" si="27"/>
        <v>-9.0497646036839241E-3</v>
      </c>
      <c r="BU20" s="3">
        <v>31.7</v>
      </c>
      <c r="BV20" s="3">
        <v>-6.2168607250181251E-2</v>
      </c>
      <c r="BW20" s="3">
        <f t="shared" si="28"/>
        <v>-2.4474032466518188E-2</v>
      </c>
    </row>
    <row r="21" spans="2:75" s="3" customFormat="1" ht="14" x14ac:dyDescent="0.35">
      <c r="B21" s="17" t="s">
        <v>56</v>
      </c>
      <c r="C21" s="18" t="s">
        <v>39</v>
      </c>
      <c r="D21" s="18">
        <v>100</v>
      </c>
      <c r="E21" s="18">
        <v>6.3</v>
      </c>
      <c r="F21" s="18">
        <v>0.4</v>
      </c>
      <c r="G21" s="19">
        <f t="shared" si="0"/>
        <v>15.873015873015873</v>
      </c>
      <c r="H21" s="19">
        <f t="shared" si="1"/>
        <v>250</v>
      </c>
      <c r="I21" s="20">
        <v>2.9</v>
      </c>
      <c r="J21" s="19">
        <v>0.37</v>
      </c>
      <c r="K21" s="18">
        <v>100</v>
      </c>
      <c r="L21" s="18">
        <v>38.5</v>
      </c>
      <c r="M21" s="20">
        <f t="shared" si="2"/>
        <v>0.1</v>
      </c>
      <c r="N21" s="19">
        <v>1.9113800000000001</v>
      </c>
      <c r="O21" s="21">
        <f t="shared" si="22"/>
        <v>0.62673476511546744</v>
      </c>
      <c r="P21" s="142">
        <f t="shared" si="3"/>
        <v>5.1656528069077959E-2</v>
      </c>
      <c r="Q21" s="69">
        <f t="shared" si="4"/>
        <v>43.351514417971863</v>
      </c>
      <c r="R21" s="43">
        <f t="shared" si="5"/>
        <v>0.18257293985156753</v>
      </c>
      <c r="S21" s="43">
        <f t="shared" si="6"/>
        <v>0.19150913211092174</v>
      </c>
      <c r="T21" s="69">
        <f t="shared" si="7"/>
        <v>41.469056235126438</v>
      </c>
      <c r="U21" s="140">
        <f t="shared" si="8"/>
        <v>0.1677081541390823</v>
      </c>
      <c r="V21" s="134">
        <f t="shared" si="9"/>
        <v>43.589540312897576</v>
      </c>
      <c r="W21" s="135">
        <f t="shared" si="10"/>
        <v>0.18177890905880204</v>
      </c>
      <c r="X21" s="135">
        <f t="shared" si="11"/>
        <v>0.19075640090869678</v>
      </c>
      <c r="Y21" s="134">
        <f t="shared" si="12"/>
        <v>41.817508007483958</v>
      </c>
      <c r="Z21" s="29">
        <f t="shared" si="23"/>
        <v>-4.8014586505386987E-2</v>
      </c>
      <c r="AA21" s="59">
        <f t="shared" si="13"/>
        <v>0.20013893745511285</v>
      </c>
      <c r="AB21" s="76">
        <f t="shared" si="14"/>
        <v>4.5062108783369886E-2</v>
      </c>
      <c r="AC21" s="76">
        <f t="shared" si="15"/>
        <v>4.4076317893088968E-2</v>
      </c>
      <c r="AD21" s="76">
        <f t="shared" si="16"/>
        <v>0.1387205855434214</v>
      </c>
      <c r="AE21" s="77">
        <f t="shared" si="17"/>
        <v>7.4473540278629456E-5</v>
      </c>
      <c r="AF21" s="58">
        <f t="shared" si="18"/>
        <v>4.9185959169500755E-2</v>
      </c>
      <c r="AG21" s="58">
        <f t="shared" si="19"/>
        <v>4.8014586505386925E-2</v>
      </c>
      <c r="AH21" s="58">
        <f t="shared" si="20"/>
        <v>0.13771637926214822</v>
      </c>
      <c r="AI21" s="59">
        <f t="shared" si="21"/>
        <v>8.803199204483331E-5</v>
      </c>
      <c r="AL21" s="3">
        <v>30</v>
      </c>
      <c r="AM21" s="3">
        <v>-6.2168607250181251E-2</v>
      </c>
      <c r="AN21" s="3">
        <f t="shared" si="24"/>
        <v>-2.0020916759645981E-2</v>
      </c>
      <c r="AU21" s="3">
        <v>12</v>
      </c>
      <c r="AV21" s="3">
        <v>5.277281240920207E-2</v>
      </c>
      <c r="AW21" s="3">
        <f t="shared" si="25"/>
        <v>2.8821125552308684E-2</v>
      </c>
      <c r="BD21" s="3">
        <v>23.80952380952381</v>
      </c>
      <c r="BE21" s="3">
        <v>2.2097269902615541E-2</v>
      </c>
      <c r="BF21" s="3">
        <f t="shared" si="26"/>
        <v>-9.7998466643479248E-3</v>
      </c>
      <c r="BM21" s="3">
        <v>125</v>
      </c>
      <c r="BN21" s="3">
        <v>-3.550381415814035E-2</v>
      </c>
      <c r="BO21" s="3">
        <f t="shared" si="27"/>
        <v>-3.6168379665774213E-3</v>
      </c>
      <c r="BU21" s="3">
        <v>49.3</v>
      </c>
      <c r="BV21" s="3">
        <v>-3.3838487268380631E-2</v>
      </c>
      <c r="BW21" s="3">
        <f t="shared" si="28"/>
        <v>-1.8979061550047738E-2</v>
      </c>
    </row>
    <row r="22" spans="2:75" s="3" customFormat="1" ht="14" x14ac:dyDescent="0.35">
      <c r="B22" s="17" t="s">
        <v>57</v>
      </c>
      <c r="C22" s="18" t="s">
        <v>39</v>
      </c>
      <c r="D22" s="18">
        <v>100</v>
      </c>
      <c r="E22" s="18">
        <v>11</v>
      </c>
      <c r="F22" s="18">
        <v>0.8</v>
      </c>
      <c r="G22" s="19">
        <f t="shared" si="0"/>
        <v>9.0909090909090917</v>
      </c>
      <c r="H22" s="19">
        <f t="shared" si="1"/>
        <v>125</v>
      </c>
      <c r="I22" s="20">
        <v>8.6999999999999993</v>
      </c>
      <c r="J22" s="19">
        <v>0.32</v>
      </c>
      <c r="K22" s="18">
        <v>100</v>
      </c>
      <c r="L22" s="18">
        <v>40.299999999999997</v>
      </c>
      <c r="M22" s="20">
        <f t="shared" si="2"/>
        <v>0.1</v>
      </c>
      <c r="N22" s="19">
        <v>2.0579299999999998</v>
      </c>
      <c r="O22" s="21">
        <f t="shared" si="22"/>
        <v>0.7553430212192298</v>
      </c>
      <c r="P22" s="142">
        <f t="shared" si="3"/>
        <v>2.0498033109264176E-2</v>
      </c>
      <c r="Q22" s="69">
        <f t="shared" si="4"/>
        <v>46.922995771881162</v>
      </c>
      <c r="R22" s="43">
        <f t="shared" si="5"/>
        <v>0.18832829528810599</v>
      </c>
      <c r="S22" s="43">
        <f t="shared" si="6"/>
        <v>0.22379330674698203</v>
      </c>
      <c r="T22" s="69">
        <f t="shared" si="7"/>
        <v>45.122833622139773</v>
      </c>
      <c r="U22" s="140">
        <f t="shared" si="8"/>
        <v>5.4218596565330533E-2</v>
      </c>
      <c r="V22" s="134">
        <f t="shared" si="9"/>
        <v>47.162432631698636</v>
      </c>
      <c r="W22" s="135">
        <f t="shared" si="10"/>
        <v>0.18739516429351263</v>
      </c>
      <c r="X22" s="135">
        <f t="shared" si="11"/>
        <v>0.22279114943410896</v>
      </c>
      <c r="Y22" s="134">
        <f t="shared" si="12"/>
        <v>45.467388447514857</v>
      </c>
      <c r="Z22" s="29">
        <f t="shared" si="23"/>
        <v>5.6844904251427159E-2</v>
      </c>
      <c r="AA22" s="59">
        <f t="shared" si="13"/>
        <v>0.21047984045984289</v>
      </c>
      <c r="AB22" s="76">
        <f t="shared" si="14"/>
        <v>5.9490011031434392E-2</v>
      </c>
      <c r="AC22" s="76">
        <f t="shared" si="15"/>
        <v>-6.1333009384571424E-2</v>
      </c>
      <c r="AD22" s="76">
        <f t="shared" si="16"/>
        <v>0.11571423457025265</v>
      </c>
      <c r="AE22" s="77">
        <f t="shared" si="17"/>
        <v>1.7724838457879049E-4</v>
      </c>
      <c r="AF22" s="58">
        <f t="shared" si="18"/>
        <v>5.5259416747644084E-2</v>
      </c>
      <c r="AG22" s="58">
        <f t="shared" si="19"/>
        <v>-5.6844904251427186E-2</v>
      </c>
      <c r="AH22" s="58">
        <f t="shared" si="20"/>
        <v>0.11496631308477914</v>
      </c>
      <c r="AI22" s="59">
        <f t="shared" si="21"/>
        <v>1.5156832865984447E-4</v>
      </c>
      <c r="AL22" s="3">
        <v>60</v>
      </c>
      <c r="AM22" s="3">
        <v>-3.3838487268380631E-2</v>
      </c>
      <c r="AN22" s="3">
        <f t="shared" si="24"/>
        <v>-4.5111753517457241E-2</v>
      </c>
      <c r="AU22" s="3">
        <v>15</v>
      </c>
      <c r="AV22" s="3">
        <v>-3.3838487268380631E-2</v>
      </c>
      <c r="AW22" s="3">
        <f t="shared" si="25"/>
        <v>-1.1803744655302096E-4</v>
      </c>
      <c r="BD22" s="3">
        <v>25</v>
      </c>
      <c r="BE22" s="3">
        <v>-2.4880439052412037E-2</v>
      </c>
      <c r="BF22" s="3">
        <f t="shared" si="26"/>
        <v>-1.5025195139746539E-2</v>
      </c>
      <c r="BM22" s="3">
        <v>250</v>
      </c>
      <c r="BN22" s="3">
        <v>6.0858236896929069E-2</v>
      </c>
      <c r="BO22" s="3">
        <f t="shared" si="27"/>
        <v>5.1284801911356086E-3</v>
      </c>
      <c r="BU22" s="3">
        <v>49.3</v>
      </c>
      <c r="BV22" s="3">
        <v>-4.8252294509255455E-3</v>
      </c>
      <c r="BW22" s="3">
        <f t="shared" si="28"/>
        <v>-2.3106321378429683E-2</v>
      </c>
    </row>
    <row r="23" spans="2:75" s="3" customFormat="1" ht="14" x14ac:dyDescent="0.35">
      <c r="B23" s="17" t="s">
        <v>58</v>
      </c>
      <c r="C23" s="18" t="s">
        <v>39</v>
      </c>
      <c r="D23" s="18">
        <v>100</v>
      </c>
      <c r="E23" s="18">
        <v>4</v>
      </c>
      <c r="F23" s="18">
        <v>0.4</v>
      </c>
      <c r="G23" s="19">
        <f t="shared" si="0"/>
        <v>25</v>
      </c>
      <c r="H23" s="19">
        <f t="shared" si="1"/>
        <v>250</v>
      </c>
      <c r="I23" s="20">
        <v>1.8</v>
      </c>
      <c r="J23" s="19">
        <v>0.41</v>
      </c>
      <c r="K23" s="18">
        <v>600</v>
      </c>
      <c r="L23" s="18">
        <v>37.1</v>
      </c>
      <c r="M23" s="20">
        <f t="shared" si="2"/>
        <v>0.6</v>
      </c>
      <c r="N23" s="19">
        <v>1.7615000000000001</v>
      </c>
      <c r="O23" s="21">
        <f t="shared" si="22"/>
        <v>3.1601130399677029</v>
      </c>
      <c r="P23" s="142">
        <f t="shared" si="3"/>
        <v>0.13777896386349037</v>
      </c>
      <c r="Q23" s="69">
        <f t="shared" si="4"/>
        <v>39.845972892732881</v>
      </c>
      <c r="R23" s="43">
        <f t="shared" si="5"/>
        <v>1.0598910934583383</v>
      </c>
      <c r="S23" s="43">
        <f t="shared" si="6"/>
        <v>0.98278856703025963</v>
      </c>
      <c r="T23" s="69">
        <f t="shared" si="7"/>
        <v>42.967636887187737</v>
      </c>
      <c r="U23" s="140">
        <f t="shared" si="8"/>
        <v>0.53737830259262609</v>
      </c>
      <c r="V23" s="134">
        <f t="shared" si="9"/>
        <v>40.079069898084491</v>
      </c>
      <c r="W23" s="135">
        <f t="shared" si="10"/>
        <v>1.0558996030467698</v>
      </c>
      <c r="X23" s="135">
        <f t="shared" si="11"/>
        <v>0.97944375571950648</v>
      </c>
      <c r="Y23" s="134">
        <f t="shared" si="12"/>
        <v>42.958792126109188</v>
      </c>
      <c r="Z23" s="29">
        <f t="shared" si="23"/>
        <v>1.0235891382611077E-2</v>
      </c>
      <c r="AA23" s="59">
        <f t="shared" si="13"/>
        <v>0.96946941106192375</v>
      </c>
      <c r="AB23" s="76">
        <f t="shared" si="14"/>
        <v>1.355241240604073E-2</v>
      </c>
      <c r="AC23" s="76">
        <f t="shared" si="15"/>
        <v>-1.3645084587299364E-2</v>
      </c>
      <c r="AD23" s="76">
        <f t="shared" si="16"/>
        <v>0.17541631539212416</v>
      </c>
      <c r="AE23" s="77">
        <f t="shared" si="17"/>
        <v>1.7739991570885736E-4</v>
      </c>
      <c r="AF23" s="58">
        <f t="shared" si="18"/>
        <v>1.0183682931599792E-2</v>
      </c>
      <c r="AG23" s="58">
        <f t="shared" si="19"/>
        <v>-1.0235891382611141E-2</v>
      </c>
      <c r="AH23" s="58">
        <f t="shared" si="20"/>
        <v>0.17437788316862438</v>
      </c>
      <c r="AI23" s="59">
        <f t="shared" si="21"/>
        <v>9.9487551348249233E-5</v>
      </c>
      <c r="AL23" s="3">
        <v>60</v>
      </c>
      <c r="AM23" s="3">
        <v>-4.8252294509255455E-3</v>
      </c>
      <c r="AN23" s="3">
        <f t="shared" si="24"/>
        <v>-3.7777275914009326E-2</v>
      </c>
      <c r="AU23" s="3">
        <v>15</v>
      </c>
      <c r="AV23" s="3">
        <v>-4.8252294509255455E-3</v>
      </c>
      <c r="AW23" s="3">
        <f t="shared" si="25"/>
        <v>-1.4788991982132658E-2</v>
      </c>
      <c r="BD23" s="3">
        <v>25</v>
      </c>
      <c r="BE23" s="3">
        <v>-1.8442016461616102E-2</v>
      </c>
      <c r="BF23" s="3">
        <f t="shared" si="26"/>
        <v>-2.7087773019907679E-2</v>
      </c>
      <c r="BM23" s="3">
        <v>250</v>
      </c>
      <c r="BN23" s="3">
        <v>-2.4880439052412037E-2</v>
      </c>
      <c r="BO23" s="3">
        <f t="shared" si="27"/>
        <v>-4.1133808501726977E-3</v>
      </c>
      <c r="BU23" s="3">
        <v>52.5</v>
      </c>
      <c r="BV23" s="3">
        <v>5.7982088457193263E-2</v>
      </c>
      <c r="BW23" s="3">
        <f t="shared" si="28"/>
        <v>-1.3747136772534418E-2</v>
      </c>
    </row>
    <row r="24" spans="2:75" s="3" customFormat="1" ht="14" x14ac:dyDescent="0.35">
      <c r="B24" s="17" t="s">
        <v>59</v>
      </c>
      <c r="C24" s="18" t="s">
        <v>39</v>
      </c>
      <c r="D24" s="18">
        <v>100</v>
      </c>
      <c r="E24" s="18">
        <v>6.3</v>
      </c>
      <c r="F24" s="18">
        <v>0.4</v>
      </c>
      <c r="G24" s="19">
        <f t="shared" si="0"/>
        <v>15.873015873015873</v>
      </c>
      <c r="H24" s="19">
        <f t="shared" si="1"/>
        <v>250</v>
      </c>
      <c r="I24" s="20">
        <v>2.9</v>
      </c>
      <c r="J24" s="19">
        <v>0.36</v>
      </c>
      <c r="K24" s="18">
        <v>600</v>
      </c>
      <c r="L24" s="18">
        <v>38</v>
      </c>
      <c r="M24" s="20">
        <f t="shared" si="2"/>
        <v>0.6</v>
      </c>
      <c r="N24" s="19">
        <v>1.75579</v>
      </c>
      <c r="O24" s="21">
        <f t="shared" si="22"/>
        <v>3.140103358757766</v>
      </c>
      <c r="P24" s="142">
        <f t="shared" si="3"/>
        <v>0.20635772846574837</v>
      </c>
      <c r="Q24" s="69">
        <f t="shared" si="4"/>
        <v>39.714778567150361</v>
      </c>
      <c r="R24" s="43">
        <f t="shared" si="5"/>
        <v>1.0585315191360882</v>
      </c>
      <c r="S24" s="43">
        <f t="shared" si="6"/>
        <v>0.97696791032900843</v>
      </c>
      <c r="T24" s="69">
        <f t="shared" si="7"/>
        <v>42.83092565325537</v>
      </c>
      <c r="U24" s="140">
        <f t="shared" si="8"/>
        <v>0.72318554030390536</v>
      </c>
      <c r="V24" s="134">
        <f t="shared" si="9"/>
        <v>39.947624633379313</v>
      </c>
      <c r="W24" s="135">
        <f t="shared" si="10"/>
        <v>1.054567901704605</v>
      </c>
      <c r="X24" s="135">
        <f t="shared" si="11"/>
        <v>0.97366189031059946</v>
      </c>
      <c r="Y24" s="134">
        <f t="shared" si="12"/>
        <v>42.822343523110597</v>
      </c>
      <c r="Z24" s="29">
        <f t="shared" si="23"/>
        <v>-1.7340626564229092E-2</v>
      </c>
      <c r="AA24" s="59">
        <f t="shared" si="13"/>
        <v>0.99069303615411275</v>
      </c>
      <c r="AB24" s="76">
        <f t="shared" si="14"/>
        <v>1.4048696666487422E-2</v>
      </c>
      <c r="AC24" s="76">
        <f t="shared" si="15"/>
        <v>1.3950928341784878E-2</v>
      </c>
      <c r="AD24" s="76">
        <f t="shared" si="16"/>
        <v>0.17057449546223541</v>
      </c>
      <c r="AE24" s="77">
        <f t="shared" si="17"/>
        <v>1.8837907891494562E-4</v>
      </c>
      <c r="AF24" s="58">
        <f t="shared" si="18"/>
        <v>1.7491848056290182E-2</v>
      </c>
      <c r="AG24" s="58">
        <f t="shared" si="19"/>
        <v>1.7340626564229106E-2</v>
      </c>
      <c r="AH24" s="58">
        <f t="shared" si="20"/>
        <v>0.16958246358974294</v>
      </c>
      <c r="AI24" s="59">
        <f t="shared" si="21"/>
        <v>2.9005992874301984E-4</v>
      </c>
      <c r="AL24" s="3">
        <v>100</v>
      </c>
      <c r="AM24" s="3">
        <v>-7.2681371379854268E-2</v>
      </c>
      <c r="AN24" s="3">
        <f t="shared" si="24"/>
        <v>-3.1679443079966341E-2</v>
      </c>
      <c r="AU24" s="3">
        <v>17</v>
      </c>
      <c r="AV24" s="3">
        <v>-7.2681371379854268E-2</v>
      </c>
      <c r="AW24" s="3">
        <f t="shared" si="25"/>
        <v>-3.1679443079966341E-2</v>
      </c>
      <c r="BD24" s="3">
        <v>26.666666666666668</v>
      </c>
      <c r="BE24" s="3">
        <v>-5.2045072237944551E-2</v>
      </c>
      <c r="BF24" s="3">
        <f t="shared" si="26"/>
        <v>-3.9384033750538484E-2</v>
      </c>
      <c r="BM24" s="3">
        <v>250</v>
      </c>
      <c r="BN24" s="3">
        <v>-1.8442016461616102E-2</v>
      </c>
      <c r="BO24" s="3">
        <f t="shared" si="27"/>
        <v>3.7342274768192153E-3</v>
      </c>
      <c r="BU24" s="3">
        <v>57.3</v>
      </c>
      <c r="BV24" s="3">
        <v>-7.2681371379854268E-2</v>
      </c>
      <c r="BW24" s="3">
        <f t="shared" si="28"/>
        <v>-8.7242991485728671E-3</v>
      </c>
    </row>
    <row r="25" spans="2:75" s="3" customFormat="1" ht="14" x14ac:dyDescent="0.35">
      <c r="B25" s="22" t="s">
        <v>60</v>
      </c>
      <c r="C25" s="23" t="s">
        <v>39</v>
      </c>
      <c r="D25" s="23">
        <v>100</v>
      </c>
      <c r="E25" s="23">
        <v>11</v>
      </c>
      <c r="F25" s="23">
        <v>0.8</v>
      </c>
      <c r="G25" s="24">
        <f t="shared" si="0"/>
        <v>9.0909090909090917</v>
      </c>
      <c r="H25" s="24">
        <f t="shared" si="1"/>
        <v>125</v>
      </c>
      <c r="I25" s="25">
        <v>8.6999999999999993</v>
      </c>
      <c r="J25" s="24">
        <v>0.32</v>
      </c>
      <c r="K25" s="23">
        <v>600</v>
      </c>
      <c r="L25" s="23">
        <v>40</v>
      </c>
      <c r="M25" s="25">
        <f t="shared" si="2"/>
        <v>0.6</v>
      </c>
      <c r="N25" s="24">
        <v>1.8169200000000001</v>
      </c>
      <c r="O25" s="26">
        <f t="shared" si="22"/>
        <v>3.3643574399026277</v>
      </c>
      <c r="P25" s="143">
        <f t="shared" si="3"/>
        <v>0.16395390546205441</v>
      </c>
      <c r="Q25" s="70">
        <f t="shared" si="4"/>
        <v>41.127684172798752</v>
      </c>
      <c r="R25" s="46">
        <f t="shared" si="5"/>
        <v>1.0730654896949616</v>
      </c>
      <c r="S25" s="46">
        <f t="shared" si="6"/>
        <v>1.0411201412224782</v>
      </c>
      <c r="T25" s="70">
        <f t="shared" si="7"/>
        <v>44.299285873606713</v>
      </c>
      <c r="U25" s="141">
        <f t="shared" si="8"/>
        <v>0.50683245953073541</v>
      </c>
      <c r="V25" s="136">
        <f t="shared" si="9"/>
        <v>41.362982696658655</v>
      </c>
      <c r="W25" s="30">
        <f t="shared" si="10"/>
        <v>1.0687975644725318</v>
      </c>
      <c r="X25" s="30">
        <f t="shared" si="11"/>
        <v>1.0373778861641967</v>
      </c>
      <c r="Y25" s="136">
        <f t="shared" si="12"/>
        <v>44.287917693172254</v>
      </c>
      <c r="Z25" s="31">
        <f t="shared" si="23"/>
        <v>1.5670324305282163E-2</v>
      </c>
      <c r="AA25" s="62">
        <f t="shared" si="13"/>
        <v>1.0212485443270742</v>
      </c>
      <c r="AB25" s="78">
        <f t="shared" si="14"/>
        <v>1.908674715683709E-2</v>
      </c>
      <c r="AC25" s="78">
        <f t="shared" si="15"/>
        <v>-1.9271250601759247E-2</v>
      </c>
      <c r="AD25" s="78">
        <f t="shared" si="16"/>
        <v>0.22768060052464376</v>
      </c>
      <c r="AE25" s="79">
        <f t="shared" si="17"/>
        <v>3.9488036317342846E-4</v>
      </c>
      <c r="AF25" s="61">
        <f t="shared" si="18"/>
        <v>1.5548183600444984E-2</v>
      </c>
      <c r="AG25" s="61">
        <f t="shared" si="19"/>
        <v>-1.5670324305282136E-2</v>
      </c>
      <c r="AH25" s="61">
        <f t="shared" si="20"/>
        <v>0.2261191846718193</v>
      </c>
      <c r="AI25" s="62">
        <f t="shared" si="21"/>
        <v>2.601556680987485E-4</v>
      </c>
      <c r="AL25" s="3">
        <v>100</v>
      </c>
      <c r="AM25" s="3">
        <v>-1.5372684220704914E-2</v>
      </c>
      <c r="AU25" s="3">
        <v>17</v>
      </c>
      <c r="AV25" s="3">
        <v>-1.5372684220704914E-2</v>
      </c>
      <c r="BD25" s="3">
        <v>26.666666666666668</v>
      </c>
      <c r="BE25" s="3">
        <v>-6.2168607250181251E-2</v>
      </c>
      <c r="BM25" s="3">
        <v>250</v>
      </c>
      <c r="BN25" s="3">
        <v>-2.5988714756240688E-3</v>
      </c>
      <c r="BU25" s="3">
        <v>57.3</v>
      </c>
      <c r="BV25" s="3">
        <v>-1.5372684220704914E-2</v>
      </c>
    </row>
    <row r="26" spans="2:75" s="3" customFormat="1" ht="14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2:75" s="3" customFormat="1" ht="14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64" t="s">
        <v>61</v>
      </c>
      <c r="R27" s="165"/>
      <c r="U27" s="166" t="s">
        <v>62</v>
      </c>
      <c r="V27" s="167"/>
      <c r="AA27" s="80" t="s">
        <v>63</v>
      </c>
      <c r="AB27" s="83">
        <f>AVERAGE(AB5:AB25)</f>
        <v>2.837151017156931E-2</v>
      </c>
      <c r="AC27" s="5"/>
      <c r="AD27" s="81" t="s">
        <v>64</v>
      </c>
      <c r="AE27" s="82">
        <f>AVERAGE(S5:S25)</f>
        <v>0.56396125728061575</v>
      </c>
      <c r="AF27" s="84">
        <f>AVERAGE(AF5:AF25)</f>
        <v>2.8121249789766097E-2</v>
      </c>
      <c r="AG27" s="5"/>
      <c r="AH27" s="6" t="s">
        <v>64</v>
      </c>
      <c r="AI27" s="4">
        <f>AVERAGE(X5:X25)</f>
        <v>0.56185797630571421</v>
      </c>
    </row>
    <row r="28" spans="2:75" s="3" customFormat="1" ht="17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12">
        <v>0</v>
      </c>
      <c r="M28" s="113">
        <v>0</v>
      </c>
      <c r="N28" s="129"/>
      <c r="Q28" s="123" t="s">
        <v>65</v>
      </c>
      <c r="R28" s="44">
        <v>47</v>
      </c>
      <c r="U28" s="120" t="s">
        <v>65</v>
      </c>
      <c r="V28" s="28">
        <v>48.009300016759447</v>
      </c>
      <c r="AB28" s="5"/>
      <c r="AD28" s="81" t="s">
        <v>66</v>
      </c>
      <c r="AE28" s="82">
        <f>SUM(AD5:AD25)</f>
        <v>3.4910742481271471</v>
      </c>
      <c r="AF28" s="5"/>
      <c r="AH28" s="6" t="s">
        <v>66</v>
      </c>
      <c r="AI28" s="4">
        <f>SUM(AH5:AH25)</f>
        <v>3.4672667064767952</v>
      </c>
    </row>
    <row r="29" spans="2:75" s="3" customFormat="1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14">
        <v>60</v>
      </c>
      <c r="M29" s="115">
        <v>60</v>
      </c>
      <c r="N29" s="129"/>
      <c r="Q29" s="123" t="s">
        <v>67</v>
      </c>
      <c r="R29" s="44">
        <v>20</v>
      </c>
      <c r="U29" s="121" t="s">
        <v>67</v>
      </c>
      <c r="V29" s="29">
        <v>13.031436393012337</v>
      </c>
      <c r="AD29" s="81" t="s">
        <v>68</v>
      </c>
      <c r="AE29" s="82">
        <f>SUM(AE5:AE25)</f>
        <v>7.1394893450829845E-3</v>
      </c>
      <c r="AH29" s="6" t="s">
        <v>68</v>
      </c>
      <c r="AI29" s="4">
        <f>SUM(AI5:AI25)</f>
        <v>6.8408161791558113E-3</v>
      </c>
    </row>
    <row r="30" spans="2:75" s="3" customFormat="1" ht="18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24" t="s">
        <v>69</v>
      </c>
      <c r="R30" s="47">
        <v>0.9</v>
      </c>
      <c r="U30" s="122" t="s">
        <v>69</v>
      </c>
      <c r="V30" s="31">
        <v>0.90713835713364799</v>
      </c>
      <c r="AD30" s="86" t="s">
        <v>70</v>
      </c>
      <c r="AE30" s="109">
        <f>1-(AE29/AE28)</f>
        <v>0.99795493053494544</v>
      </c>
      <c r="AH30" s="85" t="s">
        <v>70</v>
      </c>
      <c r="AI30" s="110">
        <f>1-(AI29/AI28)</f>
        <v>0.99802702913901109</v>
      </c>
    </row>
    <row r="31" spans="2:75" x14ac:dyDescent="0.35">
      <c r="O31" s="1"/>
      <c r="P31" s="1"/>
      <c r="Q31" s="1"/>
      <c r="S31" s="2"/>
      <c r="T31" s="2"/>
      <c r="U31" s="2"/>
    </row>
    <row r="32" spans="2:75" ht="17" x14ac:dyDescent="0.35">
      <c r="N32" s="89" t="s">
        <v>10</v>
      </c>
      <c r="O32" s="87" t="s">
        <v>19</v>
      </c>
      <c r="P32" s="105" t="s">
        <v>71</v>
      </c>
      <c r="Q32" s="88" t="s">
        <v>72</v>
      </c>
    </row>
    <row r="33" spans="14:31" ht="16.5" x14ac:dyDescent="0.35">
      <c r="N33" s="99">
        <v>800</v>
      </c>
      <c r="O33" s="97">
        <v>100</v>
      </c>
      <c r="P33" s="98">
        <f t="shared" ref="P33:P53" si="29">+T5-Y5</f>
        <v>-0.34435776122535344</v>
      </c>
      <c r="Q33" s="48">
        <f t="shared" ref="Q33:Q53" si="30">ABS(T5-Y5)/T5</f>
        <v>7.6129621291036132E-3</v>
      </c>
      <c r="S33" s="64" t="s">
        <v>73</v>
      </c>
      <c r="T33" s="65" cm="1">
        <f t="array" ref="T33">SUMPRODUCT(1/COUNTIF($M$5:$M$25,$M$5:$M$25),(Z5:Z25)^2 )</f>
        <v>2.0769639392680776E-3</v>
      </c>
    </row>
    <row r="34" spans="14:31" x14ac:dyDescent="0.35">
      <c r="N34" s="90">
        <v>800</v>
      </c>
      <c r="O34" s="91">
        <v>100</v>
      </c>
      <c r="P34" s="92">
        <f t="shared" si="29"/>
        <v>-0.3476965575105595</v>
      </c>
      <c r="Q34" s="49">
        <f t="shared" si="30"/>
        <v>8.1381456633258884E-3</v>
      </c>
    </row>
    <row r="35" spans="14:31" x14ac:dyDescent="0.35">
      <c r="N35" s="90">
        <v>800</v>
      </c>
      <c r="O35" s="91">
        <v>100</v>
      </c>
      <c r="P35" s="92">
        <f t="shared" si="29"/>
        <v>-0.34524969963569418</v>
      </c>
      <c r="Q35" s="49">
        <f t="shared" si="30"/>
        <v>7.7217294271687605E-3</v>
      </c>
      <c r="S35" s="154">
        <f t="shared" ref="S35:S55" si="31">U5+U5*(2*SIN(RADIANS(V5)))/((1-$V$30)*SIN(RADIANS(V5))^2-SIN(RADIANS(V5))+$V$30)</f>
        <v>0.55693345212134271</v>
      </c>
      <c r="T35" s="153">
        <f t="shared" ref="T35:T55" si="32">+O5-S35</f>
        <v>0.20279014748197155</v>
      </c>
      <c r="U35" s="149">
        <f>+(O5-S35)/O5</f>
        <v>0.2669262184139829</v>
      </c>
    </row>
    <row r="36" spans="14:31" x14ac:dyDescent="0.35">
      <c r="N36" s="17">
        <v>800</v>
      </c>
      <c r="O36" s="93">
        <v>600</v>
      </c>
      <c r="P36" s="20">
        <f t="shared" si="29"/>
        <v>1.3698736231113173E-2</v>
      </c>
      <c r="Q36" s="94">
        <f t="shared" si="30"/>
        <v>3.0063786647388459E-4</v>
      </c>
      <c r="S36" s="154">
        <f t="shared" si="31"/>
        <v>1.3849604435105496</v>
      </c>
      <c r="T36" s="153">
        <f t="shared" si="32"/>
        <v>-0.71741530706497825</v>
      </c>
      <c r="U36" s="149">
        <f t="shared" ref="U36:U55" si="33">+(O6-S36)/O6</f>
        <v>-1.0747068144110028</v>
      </c>
      <c r="AA36" s="7" t="s">
        <v>74</v>
      </c>
      <c r="AB36" s="156">
        <f>AB27</f>
        <v>2.837151017156931E-2</v>
      </c>
      <c r="AD36" s="7" t="s">
        <v>74</v>
      </c>
      <c r="AE36" s="156">
        <f>AF27</f>
        <v>2.8121249789766097E-2</v>
      </c>
    </row>
    <row r="37" spans="14:31" ht="16.5" x14ac:dyDescent="0.35">
      <c r="N37" s="17">
        <v>800</v>
      </c>
      <c r="O37" s="93">
        <v>600</v>
      </c>
      <c r="P37" s="20">
        <f t="shared" si="29"/>
        <v>1.5069080997520246E-2</v>
      </c>
      <c r="Q37" s="94">
        <f t="shared" si="30"/>
        <v>3.2524763891279113E-4</v>
      </c>
      <c r="S37" s="154">
        <f t="shared" si="31"/>
        <v>0.80181174909977659</v>
      </c>
      <c r="T37" s="153">
        <f t="shared" si="32"/>
        <v>-6.2531029402016158E-2</v>
      </c>
      <c r="U37" s="149">
        <f t="shared" si="33"/>
        <v>-8.4583606383757268E-2</v>
      </c>
      <c r="AA37" s="7" t="s">
        <v>75</v>
      </c>
      <c r="AB37" s="157">
        <f>AE30</f>
        <v>0.99795493053494544</v>
      </c>
      <c r="AD37" s="7" t="s">
        <v>75</v>
      </c>
      <c r="AE37" s="157">
        <f>AI30</f>
        <v>0.99802702913901109</v>
      </c>
    </row>
    <row r="38" spans="14:31" x14ac:dyDescent="0.35">
      <c r="N38" s="22">
        <v>800</v>
      </c>
      <c r="O38" s="95">
        <v>600</v>
      </c>
      <c r="P38" s="25">
        <f t="shared" si="29"/>
        <v>1.1810687819213683E-2</v>
      </c>
      <c r="Q38" s="96">
        <f t="shared" si="30"/>
        <v>2.6519004451124446E-4</v>
      </c>
      <c r="S38" s="154">
        <f t="shared" si="31"/>
        <v>2.5199703624774612</v>
      </c>
      <c r="T38" s="153">
        <f t="shared" si="32"/>
        <v>1.0556210591453556</v>
      </c>
      <c r="U38" s="149">
        <f t="shared" si="33"/>
        <v>0.29522977730667332</v>
      </c>
    </row>
    <row r="39" spans="14:31" x14ac:dyDescent="0.35">
      <c r="N39" s="99">
        <v>150</v>
      </c>
      <c r="O39" s="97">
        <v>100</v>
      </c>
      <c r="P39" s="98">
        <f t="shared" si="29"/>
        <v>-0.3467857310933411</v>
      </c>
      <c r="Q39" s="48">
        <f t="shared" si="30"/>
        <v>7.9507848393840577E-3</v>
      </c>
      <c r="S39" s="154">
        <f t="shared" si="31"/>
        <v>2.3875570176720435</v>
      </c>
      <c r="T39" s="153">
        <f t="shared" si="32"/>
        <v>1.324615163059506</v>
      </c>
      <c r="U39" s="149">
        <f t="shared" si="33"/>
        <v>0.3568302057579848</v>
      </c>
    </row>
    <row r="40" spans="14:31" x14ac:dyDescent="0.35">
      <c r="N40" s="90">
        <v>150</v>
      </c>
      <c r="O40" s="91">
        <v>100</v>
      </c>
      <c r="P40" s="92">
        <f t="shared" si="29"/>
        <v>-0.3460198578483471</v>
      </c>
      <c r="Q40" s="49">
        <f t="shared" si="30"/>
        <v>7.8279651423632714E-3</v>
      </c>
      <c r="S40" s="154">
        <f t="shared" si="31"/>
        <v>4.2916768810853156</v>
      </c>
      <c r="T40" s="153">
        <f t="shared" si="32"/>
        <v>-0.88903803481345323</v>
      </c>
      <c r="U40" s="149">
        <f t="shared" si="33"/>
        <v>-0.26127898815577716</v>
      </c>
    </row>
    <row r="41" spans="14:31" x14ac:dyDescent="0.35">
      <c r="N41" s="90">
        <v>150</v>
      </c>
      <c r="O41" s="91">
        <v>100</v>
      </c>
      <c r="P41" s="92">
        <f t="shared" si="29"/>
        <v>-0.34504091531028536</v>
      </c>
      <c r="Q41" s="49">
        <f t="shared" si="30"/>
        <v>7.6950895423695672E-3</v>
      </c>
      <c r="S41" s="154">
        <f t="shared" si="31"/>
        <v>0.49673635326156307</v>
      </c>
      <c r="T41" s="153">
        <f t="shared" si="32"/>
        <v>0.20187080564213633</v>
      </c>
      <c r="U41" s="149">
        <f t="shared" si="33"/>
        <v>0.28896183365616429</v>
      </c>
    </row>
    <row r="42" spans="14:31" x14ac:dyDescent="0.35">
      <c r="N42" s="17">
        <v>150</v>
      </c>
      <c r="O42" s="93">
        <v>600</v>
      </c>
      <c r="P42" s="20">
        <f t="shared" si="29"/>
        <v>8.3010883568519489E-3</v>
      </c>
      <c r="Q42" s="94">
        <f t="shared" si="30"/>
        <v>1.9447332684869507E-4</v>
      </c>
      <c r="S42" s="154">
        <f t="shared" si="31"/>
        <v>0.55134386647420475</v>
      </c>
      <c r="T42" s="153">
        <f t="shared" si="32"/>
        <v>0.16868516555302826</v>
      </c>
      <c r="U42" s="149">
        <f t="shared" si="33"/>
        <v>0.23427550563912294</v>
      </c>
    </row>
    <row r="43" spans="14:31" x14ac:dyDescent="0.35">
      <c r="N43" s="17">
        <v>150</v>
      </c>
      <c r="O43" s="93">
        <v>600</v>
      </c>
      <c r="P43" s="20">
        <f t="shared" si="29"/>
        <v>9.9645556885761266E-3</v>
      </c>
      <c r="Q43" s="94">
        <f t="shared" si="30"/>
        <v>2.2878480453627015E-4</v>
      </c>
      <c r="S43" s="154">
        <f t="shared" si="31"/>
        <v>0.60226122443814745</v>
      </c>
      <c r="T43" s="153">
        <f t="shared" si="32"/>
        <v>0.14195649118445919</v>
      </c>
      <c r="U43" s="149">
        <f t="shared" si="33"/>
        <v>0.19074591776641533</v>
      </c>
    </row>
    <row r="44" spans="14:31" x14ac:dyDescent="0.35">
      <c r="N44" s="17">
        <v>150</v>
      </c>
      <c r="O44" s="93">
        <v>600</v>
      </c>
      <c r="P44" s="20">
        <f t="shared" si="29"/>
        <v>1.0854179437096434E-2</v>
      </c>
      <c r="Q44" s="94">
        <f t="shared" si="30"/>
        <v>2.4654523566451306E-4</v>
      </c>
      <c r="S44" s="154">
        <f t="shared" si="31"/>
        <v>3.600191271529674</v>
      </c>
      <c r="T44" s="153">
        <f t="shared" si="32"/>
        <v>-0.48126236589827043</v>
      </c>
      <c r="U44" s="149">
        <f t="shared" si="33"/>
        <v>-0.15430373069079062</v>
      </c>
      <c r="Y44" s="2"/>
      <c r="Z44" s="2"/>
      <c r="AA44" s="2"/>
      <c r="AB44" s="2"/>
      <c r="AC44" s="2"/>
      <c r="AD44" s="2"/>
    </row>
    <row r="45" spans="14:31" x14ac:dyDescent="0.35">
      <c r="N45" s="90">
        <v>150</v>
      </c>
      <c r="O45" s="91">
        <v>100</v>
      </c>
      <c r="P45" s="92">
        <f t="shared" si="29"/>
        <v>-0.34798080517850849</v>
      </c>
      <c r="Q45" s="49">
        <f t="shared" si="30"/>
        <v>8.215217101119698E-3</v>
      </c>
      <c r="S45" s="154">
        <f t="shared" si="31"/>
        <v>4.636882304268461</v>
      </c>
      <c r="T45" s="153">
        <f t="shared" si="32"/>
        <v>-1.3889234231772281</v>
      </c>
      <c r="U45" s="149">
        <f t="shared" si="33"/>
        <v>-0.42762962033268859</v>
      </c>
      <c r="Y45" s="2"/>
      <c r="Z45" s="2"/>
      <c r="AA45" s="2"/>
      <c r="AB45" s="2"/>
      <c r="AC45" s="2"/>
      <c r="AD45" s="2"/>
    </row>
    <row r="46" spans="14:31" x14ac:dyDescent="0.35">
      <c r="N46" s="90">
        <v>150</v>
      </c>
      <c r="O46" s="91">
        <v>100</v>
      </c>
      <c r="P46" s="92">
        <f t="shared" si="29"/>
        <v>-0.34582862419208027</v>
      </c>
      <c r="Q46" s="49">
        <f t="shared" si="30"/>
        <v>7.8002584911675598E-3</v>
      </c>
      <c r="S46" s="154">
        <f t="shared" si="31"/>
        <v>3.9726358921349485</v>
      </c>
      <c r="T46" s="153">
        <f t="shared" si="32"/>
        <v>-0.65176453604098183</v>
      </c>
      <c r="U46" s="149">
        <f t="shared" si="33"/>
        <v>-0.19626310873047251</v>
      </c>
      <c r="Y46" s="2"/>
      <c r="Z46" s="2"/>
      <c r="AA46" s="2"/>
      <c r="AB46" s="2"/>
      <c r="AC46" s="2"/>
      <c r="AD46" s="2"/>
    </row>
    <row r="47" spans="14:31" x14ac:dyDescent="0.35">
      <c r="N47" s="100">
        <v>150</v>
      </c>
      <c r="O47" s="101">
        <v>100</v>
      </c>
      <c r="P47" s="102">
        <f t="shared" si="29"/>
        <v>-0.34372400478746101</v>
      </c>
      <c r="Q47" s="50">
        <f t="shared" si="30"/>
        <v>7.5424884857744302E-3</v>
      </c>
      <c r="S47" s="154">
        <f t="shared" si="31"/>
        <v>1.2829222629291375</v>
      </c>
      <c r="T47" s="153">
        <f t="shared" si="32"/>
        <v>-0.62762034135082023</v>
      </c>
      <c r="U47" s="149">
        <f t="shared" si="33"/>
        <v>-0.95775751708338508</v>
      </c>
      <c r="Y47" s="2"/>
      <c r="Z47" s="2"/>
      <c r="AA47" s="2"/>
      <c r="AB47" s="2"/>
      <c r="AC47" s="2"/>
      <c r="AD47" s="2"/>
    </row>
    <row r="48" spans="14:31" x14ac:dyDescent="0.35">
      <c r="N48" s="90">
        <v>100</v>
      </c>
      <c r="O48" s="91">
        <v>100</v>
      </c>
      <c r="P48" s="92">
        <f t="shared" si="29"/>
        <v>-0.34827355476233635</v>
      </c>
      <c r="Q48" s="49">
        <f t="shared" si="30"/>
        <v>8.3162851202666244E-3</v>
      </c>
      <c r="S48" s="154">
        <f t="shared" si="31"/>
        <v>0.67486596052997405</v>
      </c>
      <c r="T48" s="153">
        <f t="shared" si="32"/>
        <v>5.0117852253302564E-2</v>
      </c>
      <c r="U48" s="149">
        <f t="shared" si="33"/>
        <v>6.9129615543960521E-2</v>
      </c>
      <c r="Y48" s="2"/>
      <c r="Z48" s="2"/>
      <c r="AA48" s="2"/>
      <c r="AB48" s="2"/>
      <c r="AC48" s="2"/>
      <c r="AD48" s="2"/>
    </row>
    <row r="49" spans="14:30" x14ac:dyDescent="0.35">
      <c r="N49" s="90">
        <v>100</v>
      </c>
      <c r="O49" s="91">
        <v>100</v>
      </c>
      <c r="P49" s="92">
        <f t="shared" si="29"/>
        <v>-0.34845177235752089</v>
      </c>
      <c r="Q49" s="49">
        <f t="shared" si="30"/>
        <v>8.4026935742599375E-3</v>
      </c>
      <c r="S49" s="154">
        <f t="shared" si="31"/>
        <v>0.57832301515620554</v>
      </c>
      <c r="T49" s="153">
        <f t="shared" si="32"/>
        <v>0.19506035729271898</v>
      </c>
      <c r="U49" s="149">
        <f t="shared" si="33"/>
        <v>0.25221690075267433</v>
      </c>
      <c r="Y49" s="2"/>
      <c r="Z49" s="2"/>
      <c r="AA49" s="2"/>
      <c r="AB49" s="2"/>
      <c r="AC49" s="2"/>
      <c r="AD49" s="2"/>
    </row>
    <row r="50" spans="14:30" x14ac:dyDescent="0.35">
      <c r="N50" s="90">
        <v>100</v>
      </c>
      <c r="O50" s="91">
        <v>100</v>
      </c>
      <c r="P50" s="92">
        <f t="shared" si="29"/>
        <v>-0.34455482537508431</v>
      </c>
      <c r="Q50" s="49">
        <f t="shared" si="30"/>
        <v>7.6359305858403927E-3</v>
      </c>
      <c r="S50" s="154">
        <f t="shared" si="31"/>
        <v>0.68442154421703283</v>
      </c>
      <c r="T50" s="153">
        <f t="shared" si="32"/>
        <v>-4.4728312144483251E-2</v>
      </c>
      <c r="U50" s="149">
        <f t="shared" si="33"/>
        <v>-6.9921502842178698E-2</v>
      </c>
      <c r="Y50" s="2"/>
      <c r="Z50" s="2"/>
      <c r="AA50" s="2"/>
      <c r="AB50" s="2"/>
      <c r="AC50" s="2"/>
      <c r="AD50" s="2"/>
    </row>
    <row r="51" spans="14:30" x14ac:dyDescent="0.35">
      <c r="N51" s="17">
        <v>100</v>
      </c>
      <c r="O51" s="93">
        <v>600</v>
      </c>
      <c r="P51" s="20">
        <f t="shared" si="29"/>
        <v>8.844761078549368E-3</v>
      </c>
      <c r="Q51" s="94">
        <f t="shared" si="30"/>
        <v>2.0584704487639009E-4</v>
      </c>
      <c r="S51" s="154">
        <f t="shared" si="31"/>
        <v>1.0510853059230596</v>
      </c>
      <c r="T51" s="153">
        <f t="shared" si="32"/>
        <v>-0.42435054080759216</v>
      </c>
      <c r="U51" s="149">
        <f t="shared" si="33"/>
        <v>-0.67708154139081667</v>
      </c>
      <c r="Y51" s="2"/>
      <c r="Z51" s="2"/>
      <c r="AA51" s="2"/>
      <c r="AB51" s="2"/>
      <c r="AC51" s="2"/>
      <c r="AD51" s="2"/>
    </row>
    <row r="52" spans="14:30" x14ac:dyDescent="0.35">
      <c r="N52" s="17">
        <v>100</v>
      </c>
      <c r="O52" s="93">
        <v>600</v>
      </c>
      <c r="P52" s="20">
        <f t="shared" si="29"/>
        <v>8.5821301447737142E-3</v>
      </c>
      <c r="Q52" s="94">
        <f t="shared" si="30"/>
        <v>2.0037227806496001E-4</v>
      </c>
      <c r="S52" s="154">
        <f t="shared" si="31"/>
        <v>0.40953638535923276</v>
      </c>
      <c r="T52" s="153">
        <f t="shared" si="32"/>
        <v>0.34580663585999705</v>
      </c>
      <c r="U52" s="149">
        <f t="shared" si="33"/>
        <v>0.45781403434669526</v>
      </c>
      <c r="Y52" s="2"/>
      <c r="Z52" s="2"/>
      <c r="AA52" s="2"/>
      <c r="AB52" s="2"/>
      <c r="AC52" s="2"/>
      <c r="AD52" s="2"/>
    </row>
    <row r="53" spans="14:30" x14ac:dyDescent="0.35">
      <c r="N53" s="22">
        <v>100</v>
      </c>
      <c r="O53" s="95">
        <v>600</v>
      </c>
      <c r="P53" s="25">
        <f t="shared" si="29"/>
        <v>1.1368180434459418E-2</v>
      </c>
      <c r="Q53" s="96">
        <f t="shared" si="30"/>
        <v>2.5662220530811136E-4</v>
      </c>
      <c r="S53" s="154">
        <f t="shared" si="31"/>
        <v>2.8302936356977755</v>
      </c>
      <c r="T53" s="153">
        <f t="shared" si="32"/>
        <v>0.3298194042699274</v>
      </c>
      <c r="U53" s="149">
        <f t="shared" si="33"/>
        <v>0.10436949567895781</v>
      </c>
      <c r="Y53" s="2"/>
      <c r="Z53" s="2"/>
      <c r="AA53" s="2"/>
      <c r="AB53" s="2"/>
      <c r="AC53" s="2"/>
      <c r="AD53" s="2"/>
    </row>
    <row r="54" spans="14:30" x14ac:dyDescent="0.35">
      <c r="S54" s="154">
        <f t="shared" si="31"/>
        <v>3.7847955735222394</v>
      </c>
      <c r="T54" s="153">
        <f t="shared" si="32"/>
        <v>-0.64469221476447336</v>
      </c>
      <c r="U54" s="149">
        <f t="shared" si="33"/>
        <v>-0.20530923383984259</v>
      </c>
      <c r="Y54" s="2"/>
      <c r="Z54" s="2"/>
      <c r="AA54" s="2"/>
      <c r="AB54" s="2"/>
      <c r="AC54" s="2"/>
      <c r="AD54" s="2"/>
    </row>
    <row r="55" spans="14:30" x14ac:dyDescent="0.35">
      <c r="S55" s="154">
        <f t="shared" si="31"/>
        <v>2.8419425933439619</v>
      </c>
      <c r="T55" s="153">
        <f t="shared" si="32"/>
        <v>0.52241484655866577</v>
      </c>
      <c r="U55" s="149">
        <f t="shared" si="33"/>
        <v>0.15527923411544098</v>
      </c>
      <c r="Y55" s="2"/>
      <c r="Z55" s="2"/>
      <c r="AA55" s="2"/>
      <c r="AB55" s="2"/>
      <c r="AC55" s="2"/>
      <c r="AD55" s="2"/>
    </row>
    <row r="56" spans="14:30" x14ac:dyDescent="0.35">
      <c r="S56" s="154"/>
      <c r="Y56" s="2"/>
      <c r="Z56" s="2"/>
      <c r="AA56" s="2"/>
      <c r="AB56" s="2"/>
      <c r="AC56" s="2"/>
      <c r="AD56" s="2"/>
    </row>
    <row r="57" spans="14:30" x14ac:dyDescent="0.35">
      <c r="S57" s="154"/>
      <c r="Y57" s="2"/>
      <c r="Z57" s="2"/>
      <c r="AA57" s="2"/>
      <c r="AB57" s="2"/>
      <c r="AC57" s="2"/>
      <c r="AD57" s="2"/>
    </row>
    <row r="58" spans="14:30" x14ac:dyDescent="0.35">
      <c r="S58" s="154"/>
      <c r="W58" s="2"/>
      <c r="X58" s="2"/>
      <c r="Y58" s="2"/>
      <c r="Z58" s="2"/>
      <c r="AA58" s="2"/>
      <c r="AB58" s="2"/>
      <c r="AC58" s="2"/>
      <c r="AD58" s="2"/>
    </row>
    <row r="59" spans="14:30" x14ac:dyDescent="0.35">
      <c r="S59" s="154"/>
      <c r="W59" s="2"/>
      <c r="X59" s="2"/>
      <c r="Y59" s="2"/>
      <c r="Z59" s="2"/>
      <c r="AA59" s="2"/>
      <c r="AB59" s="2"/>
      <c r="AC59" s="2"/>
      <c r="AD59" s="2"/>
    </row>
    <row r="60" spans="14:30" x14ac:dyDescent="0.35">
      <c r="W60" s="2"/>
      <c r="X60" s="2"/>
      <c r="Y60" s="2"/>
      <c r="Z60" s="2"/>
      <c r="AA60" s="2"/>
      <c r="AB60" s="2"/>
      <c r="AC60" s="2"/>
      <c r="AD60" s="2"/>
    </row>
    <row r="61" spans="14:30" x14ac:dyDescent="0.35">
      <c r="W61" s="2"/>
      <c r="X61" s="2"/>
      <c r="Y61" s="2"/>
      <c r="Z61" s="2"/>
      <c r="AA61" s="2"/>
      <c r="AB61" s="2"/>
      <c r="AC61" s="2"/>
      <c r="AD61" s="2"/>
    </row>
    <row r="62" spans="14:30" x14ac:dyDescent="0.35">
      <c r="W62" s="2"/>
      <c r="X62" s="2"/>
      <c r="Y62" s="2"/>
      <c r="Z62" s="2"/>
      <c r="AA62" s="2"/>
      <c r="AB62" s="2"/>
      <c r="AC62" s="2"/>
      <c r="AD62" s="2"/>
    </row>
    <row r="63" spans="14:30" x14ac:dyDescent="0.35">
      <c r="W63" s="2"/>
      <c r="X63" s="2"/>
      <c r="Y63" s="2"/>
      <c r="Z63" s="2"/>
      <c r="AA63" s="2"/>
      <c r="AB63" s="2"/>
      <c r="AC63" s="2"/>
      <c r="AD63" s="2"/>
    </row>
    <row r="64" spans="14:30" x14ac:dyDescent="0.35">
      <c r="W64" s="2"/>
      <c r="X64" s="2"/>
      <c r="Y64" s="2"/>
      <c r="Z64" s="2"/>
      <c r="AA64" s="2"/>
      <c r="AB64" s="2"/>
      <c r="AC64" s="2"/>
      <c r="AD64" s="2"/>
    </row>
    <row r="65" spans="23:30" x14ac:dyDescent="0.35">
      <c r="W65" s="2"/>
      <c r="X65" s="2"/>
      <c r="Y65" s="2"/>
      <c r="Z65" s="2"/>
      <c r="AA65" s="2"/>
      <c r="AB65" s="2"/>
      <c r="AC65" s="2"/>
      <c r="AD65" s="2"/>
    </row>
    <row r="66" spans="23:30" x14ac:dyDescent="0.35">
      <c r="W66" s="2"/>
      <c r="X66" s="2"/>
      <c r="Y66" s="2"/>
      <c r="Z66" s="2"/>
      <c r="AA66" s="2"/>
      <c r="AB66" s="2"/>
      <c r="AC66" s="2"/>
      <c r="AD66" s="2"/>
    </row>
  </sheetData>
  <sortState xmlns:xlrd2="http://schemas.microsoft.com/office/spreadsheetml/2017/richdata2" ref="O53:P57">
    <sortCondition descending="1" ref="P53"/>
  </sortState>
  <mergeCells count="7">
    <mergeCell ref="AF2:AI2"/>
    <mergeCell ref="U2:V2"/>
    <mergeCell ref="C2:D2"/>
    <mergeCell ref="AB2:AE2"/>
    <mergeCell ref="U27:V27"/>
    <mergeCell ref="P2:Q2"/>
    <mergeCell ref="Q27:R27"/>
  </mergeCells>
  <phoneticPr fontId="2" type="noConversion"/>
  <conditionalFormatting sqref="AD27">
    <cfRule type="expression" dxfId="41" priority="4">
      <formula>$I34=2</formula>
    </cfRule>
  </conditionalFormatting>
  <conditionalFormatting sqref="AD27:AD30">
    <cfRule type="expression" dxfId="40" priority="6">
      <formula>$I80=2</formula>
    </cfRule>
  </conditionalFormatting>
  <conditionalFormatting sqref="AD28">
    <cfRule type="expression" dxfId="39" priority="3">
      <formula>$I37=2</formula>
    </cfRule>
  </conditionalFormatting>
  <conditionalFormatting sqref="AD29">
    <cfRule type="expression" dxfId="38" priority="5">
      <formula>$I37=2</formula>
    </cfRule>
  </conditionalFormatting>
  <conditionalFormatting sqref="AD4:AE4">
    <cfRule type="expression" dxfId="37" priority="7">
      <formula>#REF!=2</formula>
    </cfRule>
  </conditionalFormatting>
  <conditionalFormatting sqref="AD30:AE30">
    <cfRule type="expression" dxfId="36" priority="1">
      <formula>$I37=2</formula>
    </cfRule>
  </conditionalFormatting>
  <conditionalFormatting sqref="AE30">
    <cfRule type="expression" dxfId="35" priority="2">
      <formula>$I83=2</formula>
    </cfRule>
  </conditionalFormatting>
  <conditionalFormatting sqref="AH27">
    <cfRule type="expression" dxfId="34" priority="11">
      <formula>$I34=2</formula>
    </cfRule>
  </conditionalFormatting>
  <conditionalFormatting sqref="AH27:AH30">
    <cfRule type="expression" dxfId="33" priority="13">
      <formula>$I80=2</formula>
    </cfRule>
  </conditionalFormatting>
  <conditionalFormatting sqref="AH28">
    <cfRule type="expression" dxfId="32" priority="10">
      <formula>$I37=2</formula>
    </cfRule>
  </conditionalFormatting>
  <conditionalFormatting sqref="AH29">
    <cfRule type="expression" dxfId="31" priority="12">
      <formula>$I37=2</formula>
    </cfRule>
  </conditionalFormatting>
  <conditionalFormatting sqref="AH30:AI30">
    <cfRule type="expression" dxfId="30" priority="8">
      <formula>$I37=2</formula>
    </cfRule>
  </conditionalFormatting>
  <conditionalFormatting sqref="AH4:AL4 AN4:AU4 AW4:BD4 BF4:CB4 AV5">
    <cfRule type="expression" dxfId="29" priority="14">
      <formula>#REF!=2</formula>
    </cfRule>
  </conditionalFormatting>
  <conditionalFormatting sqref="AI30">
    <cfRule type="expression" dxfId="28" priority="9">
      <formula>$I83=2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BC68F-8AEB-4FF2-B33C-F3798030221C}">
  <dimension ref="B1:CD55"/>
  <sheetViews>
    <sheetView zoomScaleNormal="100" workbookViewId="0">
      <selection activeCell="R16" sqref="R16"/>
    </sheetView>
  </sheetViews>
  <sheetFormatPr defaultColWidth="9.1796875" defaultRowHeight="14.5" x14ac:dyDescent="0.35"/>
  <cols>
    <col min="1" max="1" width="2.26953125" style="7" customWidth="1"/>
    <col min="2" max="2" width="30.26953125" style="2" bestFit="1" customWidth="1"/>
    <col min="3" max="3" width="13.54296875" style="2" bestFit="1" customWidth="1"/>
    <col min="4" max="4" width="8" style="2" bestFit="1" customWidth="1"/>
    <col min="5" max="5" width="10.453125" style="2" bestFit="1" customWidth="1"/>
    <col min="6" max="6" width="9" style="2" bestFit="1" customWidth="1"/>
    <col min="7" max="7" width="8.453125" style="2" bestFit="1" customWidth="1"/>
    <col min="8" max="8" width="7" style="2" bestFit="1" customWidth="1"/>
    <col min="9" max="9" width="4.453125" style="2" bestFit="1" customWidth="1"/>
    <col min="10" max="10" width="9.1796875" style="2" bestFit="1" customWidth="1"/>
    <col min="11" max="11" width="7.54296875" style="2" bestFit="1" customWidth="1"/>
    <col min="12" max="12" width="5" style="2" bestFit="1" customWidth="1"/>
    <col min="13" max="13" width="8.1796875" style="2" bestFit="1" customWidth="1"/>
    <col min="14" max="14" width="10.453125" style="2" bestFit="1" customWidth="1"/>
    <col min="15" max="15" width="9.26953125" style="2" bestFit="1" customWidth="1"/>
    <col min="16" max="16" width="18.81640625" style="2" bestFit="1" customWidth="1"/>
    <col min="17" max="18" width="20.1796875" style="2" bestFit="1" customWidth="1"/>
    <col min="19" max="19" width="28.453125" style="7" bestFit="1" customWidth="1"/>
    <col min="20" max="20" width="15" style="7" bestFit="1" customWidth="1"/>
    <col min="21" max="21" width="14" style="7" bestFit="1" customWidth="1"/>
    <col min="22" max="22" width="19" style="7" bestFit="1" customWidth="1"/>
    <col min="23" max="23" width="20.1796875" style="7" bestFit="1" customWidth="1"/>
    <col min="24" max="24" width="16.1796875" style="7" bestFit="1" customWidth="1"/>
    <col min="25" max="25" width="15" style="7" bestFit="1" customWidth="1"/>
    <col min="26" max="26" width="14" style="7" bestFit="1" customWidth="1"/>
    <col min="27" max="27" width="19" style="7" bestFit="1" customWidth="1"/>
    <col min="28" max="28" width="11.81640625" style="7" bestFit="1" customWidth="1"/>
    <col min="29" max="29" width="24.453125" style="7" bestFit="1" customWidth="1"/>
    <col min="30" max="30" width="16.1796875" style="7" bestFit="1" customWidth="1"/>
    <col min="31" max="31" width="12" style="7" bestFit="1" customWidth="1"/>
    <col min="32" max="32" width="8.54296875" style="7" bestFit="1" customWidth="1"/>
    <col min="33" max="33" width="7.26953125" style="7" bestFit="1" customWidth="1"/>
    <col min="34" max="34" width="16.1796875" style="7" bestFit="1" customWidth="1"/>
    <col min="35" max="35" width="12" style="7" bestFit="1" customWidth="1"/>
    <col min="36" max="36" width="8.54296875" style="7" bestFit="1" customWidth="1"/>
    <col min="37" max="37" width="7.26953125" style="7" bestFit="1" customWidth="1"/>
    <col min="38" max="16384" width="9.1796875" style="7"/>
  </cols>
  <sheetData>
    <row r="1" spans="2:82" x14ac:dyDescent="0.35">
      <c r="S1" s="2"/>
      <c r="T1" s="2"/>
    </row>
    <row r="2" spans="2:82" s="3" customFormat="1" ht="14" x14ac:dyDescent="0.35">
      <c r="B2" s="11" t="s">
        <v>76</v>
      </c>
      <c r="C2" s="168" t="s">
        <v>77</v>
      </c>
      <c r="D2" s="169"/>
      <c r="E2" s="170"/>
      <c r="F2" s="1"/>
      <c r="G2" s="1"/>
      <c r="H2" s="1"/>
      <c r="I2" s="1"/>
      <c r="J2" s="1"/>
      <c r="K2" s="1"/>
      <c r="N2" s="1"/>
      <c r="R2" s="164" t="s">
        <v>2</v>
      </c>
      <c r="S2" s="165"/>
      <c r="T2" s="1"/>
      <c r="W2" s="166" t="s">
        <v>4</v>
      </c>
      <c r="X2" s="167"/>
      <c r="AC2" s="66" t="s">
        <v>4</v>
      </c>
      <c r="AD2" s="175" t="s">
        <v>5</v>
      </c>
      <c r="AE2" s="176"/>
      <c r="AF2" s="176"/>
      <c r="AG2" s="71"/>
      <c r="AH2" s="173" t="s">
        <v>6</v>
      </c>
      <c r="AI2" s="174"/>
      <c r="AJ2" s="174"/>
      <c r="AK2" s="67"/>
    </row>
    <row r="3" spans="2:82" s="3" customFormat="1" ht="14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R3" s="1"/>
      <c r="S3" s="1"/>
      <c r="T3" s="1"/>
      <c r="AH3" s="3" t="s">
        <v>7</v>
      </c>
    </row>
    <row r="4" spans="2:82" s="3" customFormat="1" ht="17" x14ac:dyDescent="0.35">
      <c r="B4" s="8" t="s">
        <v>8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9" t="s">
        <v>14</v>
      </c>
      <c r="I4" s="9" t="s">
        <v>15</v>
      </c>
      <c r="J4" s="9" t="s">
        <v>78</v>
      </c>
      <c r="K4" s="9" t="s">
        <v>79</v>
      </c>
      <c r="L4" s="9" t="s">
        <v>80</v>
      </c>
      <c r="M4" s="9" t="s">
        <v>17</v>
      </c>
      <c r="N4" s="63" t="s">
        <v>18</v>
      </c>
      <c r="O4" s="9" t="s">
        <v>19</v>
      </c>
      <c r="P4" s="9" t="s">
        <v>81</v>
      </c>
      <c r="Q4" s="10" t="s">
        <v>21</v>
      </c>
      <c r="R4" s="36" t="s">
        <v>22</v>
      </c>
      <c r="S4" s="37" t="s">
        <v>23</v>
      </c>
      <c r="T4" s="37" t="s">
        <v>24</v>
      </c>
      <c r="U4" s="38" t="s">
        <v>25</v>
      </c>
      <c r="V4" s="37" t="s">
        <v>26</v>
      </c>
      <c r="W4" s="32" t="s">
        <v>22</v>
      </c>
      <c r="X4" s="33" t="s">
        <v>27</v>
      </c>
      <c r="Y4" s="33" t="s">
        <v>24</v>
      </c>
      <c r="Z4" s="34" t="s">
        <v>25</v>
      </c>
      <c r="AA4" s="33" t="s">
        <v>26</v>
      </c>
      <c r="AB4" s="35" t="s">
        <v>28</v>
      </c>
      <c r="AC4" s="52" t="s">
        <v>29</v>
      </c>
      <c r="AD4" s="116" t="s">
        <v>30</v>
      </c>
      <c r="AE4" s="72" t="s">
        <v>31</v>
      </c>
      <c r="AF4" s="73" t="s">
        <v>32</v>
      </c>
      <c r="AG4" s="73" t="s">
        <v>33</v>
      </c>
      <c r="AH4" s="53" t="s">
        <v>30</v>
      </c>
      <c r="AI4" s="53" t="s">
        <v>31</v>
      </c>
      <c r="AJ4" s="51" t="s">
        <v>32</v>
      </c>
      <c r="AK4" s="51" t="s">
        <v>33</v>
      </c>
      <c r="AL4" s="1"/>
      <c r="AM4" s="1"/>
      <c r="AN4" s="1" t="s">
        <v>34</v>
      </c>
      <c r="AO4" s="3" t="s">
        <v>35</v>
      </c>
      <c r="AP4" s="1" t="s">
        <v>36</v>
      </c>
      <c r="AQ4" s="1"/>
      <c r="AR4" s="1"/>
      <c r="AS4" s="1"/>
      <c r="AT4" s="1"/>
      <c r="AU4" s="1"/>
      <c r="AV4" s="1"/>
      <c r="AW4" s="1" t="s">
        <v>37</v>
      </c>
      <c r="AX4" s="3" t="s">
        <v>35</v>
      </c>
      <c r="AY4" s="1" t="s">
        <v>36</v>
      </c>
      <c r="AZ4" s="1"/>
      <c r="BA4" s="1"/>
      <c r="BB4" s="1"/>
      <c r="BC4" s="1"/>
      <c r="BD4" s="1"/>
      <c r="BE4" s="1"/>
      <c r="BF4" s="1" t="s">
        <v>13</v>
      </c>
      <c r="BG4" s="3" t="s">
        <v>35</v>
      </c>
      <c r="BH4" s="1" t="s">
        <v>36</v>
      </c>
      <c r="BI4" s="1"/>
      <c r="BJ4" s="1"/>
      <c r="BK4" s="1"/>
      <c r="BL4" s="1"/>
      <c r="BM4" s="1"/>
      <c r="BN4" s="1"/>
      <c r="BO4" s="1" t="s">
        <v>14</v>
      </c>
      <c r="BP4" s="1" t="s">
        <v>35</v>
      </c>
      <c r="BQ4" s="1" t="s">
        <v>36</v>
      </c>
      <c r="BR4" s="1"/>
      <c r="BS4" s="1"/>
      <c r="BT4" s="1"/>
      <c r="BU4" s="1"/>
      <c r="BV4" s="1"/>
      <c r="BW4" s="1" t="s">
        <v>15</v>
      </c>
      <c r="BX4" s="1" t="s">
        <v>35</v>
      </c>
      <c r="BY4" s="1" t="s">
        <v>36</v>
      </c>
      <c r="BZ4" s="1"/>
      <c r="CA4" s="1"/>
      <c r="CB4" s="1"/>
      <c r="CC4" s="1"/>
      <c r="CD4" s="1"/>
    </row>
    <row r="5" spans="2:82" s="3" customFormat="1" ht="14" x14ac:dyDescent="0.35">
      <c r="B5" s="12" t="s">
        <v>82</v>
      </c>
      <c r="C5" s="13" t="s">
        <v>83</v>
      </c>
      <c r="D5" s="13">
        <v>300</v>
      </c>
      <c r="E5" s="13">
        <v>60</v>
      </c>
      <c r="F5" s="126">
        <v>7.1749999999999998</v>
      </c>
      <c r="G5" s="15">
        <f t="shared" ref="G5:G20" si="0">D5/E5</f>
        <v>5</v>
      </c>
      <c r="H5" s="15">
        <f t="shared" ref="H5:H20" si="1">D5/F5</f>
        <v>41.811846689895468</v>
      </c>
      <c r="I5" s="15">
        <v>19.975000000000001</v>
      </c>
      <c r="J5" s="126">
        <v>2.1080000000000001</v>
      </c>
      <c r="K5" s="14">
        <v>2.7490000000000001</v>
      </c>
      <c r="L5" s="14">
        <f>+(K5/J5)-1</f>
        <v>0.30407969639468679</v>
      </c>
      <c r="M5" s="13">
        <v>500</v>
      </c>
      <c r="N5" s="15">
        <v>47.578830000000004</v>
      </c>
      <c r="O5" s="15">
        <f>M5/1000</f>
        <v>0.5</v>
      </c>
      <c r="P5" s="14">
        <v>2.8409800000000001</v>
      </c>
      <c r="Q5" s="16">
        <f>+O5+P5</f>
        <v>3.3409800000000001</v>
      </c>
      <c r="R5" s="130">
        <f t="shared" ref="R5:R20" si="2">0.1013*((TAN(RADIANS($S$23-$S$24*L5))*10^(1-$S$25)*$S$25/TAN(RADIANS(S5)))^(1/(1-$S$25)))*(($S$25*(1+SIN(RADIANS(S5)))-SIN(RADIANS(S5)))/( $S$25*(1+SIN(RADIANS(S5)))))</f>
        <v>5.2670373969266847E-2</v>
      </c>
      <c r="S5" s="68">
        <f t="shared" ref="S5:S20" si="3">DEGREES(ASIN((SQRT(4*$S$25*($S$25-1)*(Q5-O5)^2+(Q5+O5)^2)-(Q5+O5))/(2*($S$25-1)*(Q5-O5))))</f>
        <v>44.599809531311635</v>
      </c>
      <c r="T5" s="40">
        <f t="shared" ref="T5:T20" si="4">(Q5+O5)/2-(Q5-O5)/2*SIN(RADIANS(S5))</f>
        <v>0.92309197204525872</v>
      </c>
      <c r="U5" s="40">
        <f t="shared" ref="U5:U20" si="5">(Q5-O5)/2*COS(RADIANS(S5))</f>
        <v>1.0114291937313227</v>
      </c>
      <c r="V5" s="68">
        <f t="shared" ref="V5:V20" si="6">DEGREES(ATAN((20*0.1013)^($S$25-1)*(Q5-O5)*SQRT(1-SIN(RADIANS(S5))^2)*(Q5+O5-(Q5-O5)*SIN(RADIANS(S5)))^-$S$25))</f>
        <v>47.349254478221688</v>
      </c>
      <c r="W5" s="139">
        <f t="shared" ref="W5:W20" si="7">0.1013*((TAN(RADIANS($Y$23-$Y$24*L5))*10^(1-$Y$25)*$Y$25/TAN(RADIANS(X5)))^(1/(1-$Y$25)))*(($Y$25*(1+SIN(RADIANS(X5)))-SIN(RADIANS(X5)))/( $Y$25*(1+SIN(RADIANS(X5)))))</f>
        <v>0.45050464142611052</v>
      </c>
      <c r="X5" s="137">
        <f t="shared" ref="X5:X20" si="8">DEGREES(ASIN((SQRT(4*$Y$25*($Y$25-1)*(Q5-O5)^2+(Q5+O5)^2)-(Q5+O5))/(2*($Y$25-1)*(Q5-O5))))</f>
        <v>42.844049712982375</v>
      </c>
      <c r="Y5" s="27">
        <f t="shared" ref="Y5:Y20" si="9">(Q5+O5)/2-(Q5-O5)/2*SIN(RADIANS(X5))</f>
        <v>0.95454940760390428</v>
      </c>
      <c r="Z5" s="27">
        <f t="shared" ref="Z5:Z20" si="10">(Q5-O5)/2*COS(RADIANS(X5))</f>
        <v>1.0415136158790628</v>
      </c>
      <c r="AA5" s="137">
        <f t="shared" ref="AA5:AA20" si="11">DEGREES(ATAN((20*0.1013)^($Y$25-1)*(Q5-O5)*SQRT(1-SIN(RADIANS(X5))^2)*(Q5+O5-(Q5-O5)*SIN(RADIANS(X5)))^-$Y$25))</f>
        <v>47.240159029916668</v>
      </c>
      <c r="AB5" s="137">
        <f>LN(Z5/AC5)</f>
        <v>1.5635957789133244E-2</v>
      </c>
      <c r="AC5" s="54">
        <f t="shared" ref="AC5:AC20" si="12">TAN(RADIANS($Y$23-$Y$24*L5))*(10*0.1013)^(1-$Y$25)*Y5^$Y$25</f>
        <v>1.0253552082378392</v>
      </c>
      <c r="AD5" s="74">
        <f t="shared" ref="AD5:AD20" si="13">ABS(AC5-U5)/Z5</f>
        <v>1.3370938501617805E-2</v>
      </c>
      <c r="AE5" s="74">
        <f t="shared" ref="AE5:AE20" si="14">LN(MAX(AC5,0.000000000001)) - LN(MAX(U5,0.000000000001))</f>
        <v>1.3674723258727435E-2</v>
      </c>
      <c r="AF5" s="74">
        <f t="shared" ref="AF5:AF20" si="15">(U5-$AG$22)^2</f>
        <v>4.4194920297356575</v>
      </c>
      <c r="AG5" s="75">
        <f t="shared" ref="AG5:AG20" si="16">(U5-AC5)^2</f>
        <v>1.9393388003570905E-4</v>
      </c>
      <c r="AH5" s="55">
        <f>ABS(AC5-Z5)/Z5</f>
        <v>1.551435083984521E-2</v>
      </c>
      <c r="AI5" s="55">
        <f>LN(MAX(AC5,0.000000000001)) - LN(MAX(Z5,0.000000000001))</f>
        <v>-1.5635957789133303E-2</v>
      </c>
      <c r="AJ5" s="55">
        <f t="shared" ref="AJ5:AJ20" si="17">(Z5-$AK$22)^2</f>
        <v>4.6007087396342605</v>
      </c>
      <c r="AK5" s="56">
        <f>(Z5-AC5)^2</f>
        <v>2.6109413749995193E-4</v>
      </c>
      <c r="AN5" s="3">
        <v>4</v>
      </c>
      <c r="AO5" s="3">
        <v>-2.4880439052412037E-2</v>
      </c>
      <c r="AW5" s="3">
        <v>0.4</v>
      </c>
      <c r="AX5" s="1">
        <v>6.0858236896929069E-2</v>
      </c>
      <c r="BF5" s="3">
        <v>7.5</v>
      </c>
      <c r="BG5" s="3">
        <v>0.11334024542131316</v>
      </c>
      <c r="BO5" s="3">
        <v>12.5</v>
      </c>
      <c r="BP5" s="3">
        <v>5.7982088457193263E-2</v>
      </c>
      <c r="BW5" s="3">
        <v>1.8</v>
      </c>
      <c r="BX5" s="3">
        <v>-2.4880439052412037E-2</v>
      </c>
    </row>
    <row r="6" spans="2:82" s="3" customFormat="1" ht="14" x14ac:dyDescent="0.35">
      <c r="B6" s="17" t="s">
        <v>82</v>
      </c>
      <c r="C6" s="18" t="s">
        <v>83</v>
      </c>
      <c r="D6" s="18">
        <v>300</v>
      </c>
      <c r="E6" s="18">
        <v>60</v>
      </c>
      <c r="F6" s="18">
        <v>7.1749999999999998</v>
      </c>
      <c r="G6" s="20">
        <f t="shared" si="0"/>
        <v>5</v>
      </c>
      <c r="H6" s="20">
        <f t="shared" si="1"/>
        <v>41.811846689895468</v>
      </c>
      <c r="I6" s="20">
        <v>19.975000000000001</v>
      </c>
      <c r="J6" s="128">
        <v>2.1080000000000001</v>
      </c>
      <c r="K6" s="19">
        <v>2.7490000000000001</v>
      </c>
      <c r="L6" s="19">
        <f t="shared" ref="L6:L20" si="18">+(K6/J6)-1</f>
        <v>0.30407969639468679</v>
      </c>
      <c r="M6" s="18">
        <v>1500</v>
      </c>
      <c r="N6" s="20">
        <v>41.549819999999997</v>
      </c>
      <c r="O6" s="20">
        <f>M6/1000</f>
        <v>1.5</v>
      </c>
      <c r="P6" s="19">
        <v>5.8929400000000003</v>
      </c>
      <c r="Q6" s="21">
        <f t="shared" ref="Q6:Q20" si="19">+O6+P6</f>
        <v>7.3929400000000003</v>
      </c>
      <c r="R6" s="131">
        <f t="shared" si="2"/>
        <v>0.48473466777664614</v>
      </c>
      <c r="S6" s="69">
        <f t="shared" si="3"/>
        <v>38.464356958772321</v>
      </c>
      <c r="T6" s="43">
        <f t="shared" si="4"/>
        <v>2.6136841466772478</v>
      </c>
      <c r="U6" s="43">
        <f t="shared" si="5"/>
        <v>2.3070720571234857</v>
      </c>
      <c r="V6" s="69">
        <f t="shared" si="6"/>
        <v>44.140774990910394</v>
      </c>
      <c r="W6" s="140">
        <f t="shared" si="7"/>
        <v>2.0195071890897709</v>
      </c>
      <c r="X6" s="134">
        <f t="shared" si="8"/>
        <v>36.791798175827431</v>
      </c>
      <c r="Y6" s="135">
        <f t="shared" si="9"/>
        <v>2.6818026912466717</v>
      </c>
      <c r="Z6" s="135">
        <f t="shared" si="10"/>
        <v>2.3595835968062855</v>
      </c>
      <c r="AA6" s="134">
        <f t="shared" si="11"/>
        <v>45.516547760360289</v>
      </c>
      <c r="AB6" s="134">
        <f t="shared" ref="AB6:AB20" si="20">LN(Z6/AC6)</f>
        <v>-4.4608261161497326E-2</v>
      </c>
      <c r="AC6" s="57">
        <f t="shared" si="12"/>
        <v>2.467223483447321</v>
      </c>
      <c r="AD6" s="76">
        <f t="shared" si="13"/>
        <v>6.7872749471814209E-2</v>
      </c>
      <c r="AE6" s="76">
        <f t="shared" si="14"/>
        <v>6.7114209772465516E-2</v>
      </c>
      <c r="AF6" s="76">
        <f t="shared" si="15"/>
        <v>0.65062925674214644</v>
      </c>
      <c r="AG6" s="77">
        <f t="shared" si="16"/>
        <v>2.564847935355884E-2</v>
      </c>
      <c r="AH6" s="58">
        <f t="shared" ref="AH6:AH20" si="21">ABS(AC6-Z6)/Z6</f>
        <v>4.5618170420716149E-2</v>
      </c>
      <c r="AI6" s="58">
        <f t="shared" ref="AI6:AI20" si="22">LN(MAX(AC6,0.000000000001)) - LN(MAX(Z6,0.000000000001))</f>
        <v>4.4608261161497298E-2</v>
      </c>
      <c r="AJ6" s="58">
        <f t="shared" si="17"/>
        <v>0.68369133661772652</v>
      </c>
      <c r="AK6" s="59">
        <f t="shared" ref="AK6:AK20" si="23">(Z6-AC6)^2</f>
        <v>1.1586345196094977E-2</v>
      </c>
      <c r="AN6" s="3">
        <v>4</v>
      </c>
      <c r="AO6" s="3">
        <v>-1.8442016461616102E-2</v>
      </c>
      <c r="AP6" s="3">
        <f>AVERAGE(AO5:AO8)</f>
        <v>-2.0956371195126368E-3</v>
      </c>
      <c r="AW6" s="3">
        <v>0.4</v>
      </c>
      <c r="AX6" s="3">
        <v>-2.4880439052412037E-2</v>
      </c>
      <c r="AY6" s="3">
        <f>AVERAGE(AX5:AX8)</f>
        <v>3.7342274768192153E-3</v>
      </c>
      <c r="BF6" s="3">
        <v>7.5</v>
      </c>
      <c r="BG6" s="3">
        <v>5.7982088457193263E-2</v>
      </c>
      <c r="BH6" s="3">
        <f>AVERAGE(BG5:BG8)</f>
        <v>3.7853443726963559E-2</v>
      </c>
      <c r="BO6" s="3">
        <v>12.5</v>
      </c>
      <c r="BP6" s="3">
        <v>5.277281240920207E-2</v>
      </c>
      <c r="BQ6" s="3">
        <f>AVERAGE(BP5:BP8)</f>
        <v>3.3507929342901983E-2</v>
      </c>
      <c r="BW6" s="3">
        <v>1.8</v>
      </c>
      <c r="BX6" s="3">
        <v>-1.8442016461616102E-2</v>
      </c>
      <c r="BY6" s="3">
        <f>AVERAGE(BX5:BX8)</f>
        <v>-2.0956371195126368E-3</v>
      </c>
    </row>
    <row r="7" spans="2:82" s="3" customFormat="1" ht="14" x14ac:dyDescent="0.35">
      <c r="B7" s="17" t="s">
        <v>82</v>
      </c>
      <c r="C7" s="18" t="s">
        <v>83</v>
      </c>
      <c r="D7" s="18">
        <v>300</v>
      </c>
      <c r="E7" s="18">
        <v>60</v>
      </c>
      <c r="F7" s="18">
        <v>7.1749999999999998</v>
      </c>
      <c r="G7" s="20">
        <f t="shared" si="0"/>
        <v>5</v>
      </c>
      <c r="H7" s="20">
        <f t="shared" si="1"/>
        <v>41.811846689895468</v>
      </c>
      <c r="I7" s="20">
        <v>19.975000000000001</v>
      </c>
      <c r="J7" s="128">
        <v>2.1080000000000001</v>
      </c>
      <c r="K7" s="19">
        <v>2.7490000000000001</v>
      </c>
      <c r="L7" s="19">
        <f t="shared" si="18"/>
        <v>0.30407969639468679</v>
      </c>
      <c r="M7" s="18">
        <v>2500</v>
      </c>
      <c r="N7" s="20">
        <v>39.39472</v>
      </c>
      <c r="O7" s="20">
        <f>M7/1000</f>
        <v>2.5</v>
      </c>
      <c r="P7" s="19">
        <v>8.6310099999999998</v>
      </c>
      <c r="Q7" s="21">
        <f t="shared" si="19"/>
        <v>11.13101</v>
      </c>
      <c r="R7" s="131">
        <f t="shared" si="2"/>
        <v>1.083194852483977</v>
      </c>
      <c r="S7" s="69">
        <f t="shared" si="3"/>
        <v>36.303781872347976</v>
      </c>
      <c r="T7" s="43">
        <f t="shared" si="4"/>
        <v>4.2604396039141594</v>
      </c>
      <c r="U7" s="43">
        <f t="shared" si="5"/>
        <v>3.4778188892968109</v>
      </c>
      <c r="V7" s="69">
        <f t="shared" si="6"/>
        <v>43.301563073353236</v>
      </c>
      <c r="W7" s="140">
        <f t="shared" si="7"/>
        <v>3.4789382441984507</v>
      </c>
      <c r="X7" s="134">
        <f t="shared" si="8"/>
        <v>34.677493266020917</v>
      </c>
      <c r="Y7" s="135">
        <f t="shared" si="9"/>
        <v>4.3601702600090171</v>
      </c>
      <c r="Z7" s="135">
        <f t="shared" si="10"/>
        <v>3.5489314898456987</v>
      </c>
      <c r="AA7" s="134">
        <f t="shared" si="11"/>
        <v>45.374551738623744</v>
      </c>
      <c r="AB7" s="134">
        <f t="shared" si="20"/>
        <v>-4.9565461967587425E-2</v>
      </c>
      <c r="AC7" s="57">
        <f t="shared" si="12"/>
        <v>3.7292682372739461</v>
      </c>
      <c r="AD7" s="76">
        <f t="shared" si="13"/>
        <v>7.0852127942336723E-2</v>
      </c>
      <c r="AE7" s="76">
        <f t="shared" si="14"/>
        <v>6.9806690029265317E-2</v>
      </c>
      <c r="AF7" s="76">
        <f t="shared" si="15"/>
        <v>0.13259131472454491</v>
      </c>
      <c r="AG7" s="77">
        <f t="shared" si="16"/>
        <v>6.3226774598126395E-2</v>
      </c>
      <c r="AH7" s="58">
        <f t="shared" si="21"/>
        <v>5.0814378340137543E-2</v>
      </c>
      <c r="AI7" s="58">
        <f t="shared" si="22"/>
        <v>4.9565461967587376E-2</v>
      </c>
      <c r="AJ7" s="58">
        <f t="shared" si="17"/>
        <v>0.13140015687953308</v>
      </c>
      <c r="AK7" s="59">
        <f t="shared" si="23"/>
        <v>3.2521342472999475E-2</v>
      </c>
      <c r="AN7" s="3">
        <v>6.3</v>
      </c>
      <c r="AO7" s="3">
        <v>6.0858236896929069E-2</v>
      </c>
      <c r="AP7" s="3">
        <f>AVERAGE(AO5:AO8)</f>
        <v>-2.0956371195126368E-3</v>
      </c>
      <c r="AW7" s="3">
        <v>0.4</v>
      </c>
      <c r="AX7" s="3">
        <v>-1.8442016461616102E-2</v>
      </c>
      <c r="AY7" s="3">
        <f>AVERAGE(AX5:AX8)</f>
        <v>3.7342274768192153E-3</v>
      </c>
      <c r="BF7" s="3">
        <v>7.5</v>
      </c>
      <c r="BG7" s="3">
        <v>5.277281240920207E-2</v>
      </c>
      <c r="BH7" s="3">
        <f>AVERAGE(BG5:BG8)</f>
        <v>3.7853443726963559E-2</v>
      </c>
      <c r="BO7" s="3">
        <v>15</v>
      </c>
      <c r="BP7" s="3">
        <v>-7.2304173696284392E-3</v>
      </c>
      <c r="BQ7" s="3">
        <f>AVERAGE(BP5:BP8)</f>
        <v>3.3507929342901983E-2</v>
      </c>
      <c r="BW7" s="3">
        <v>2.9</v>
      </c>
      <c r="BX7" s="3">
        <v>6.0858236896929069E-2</v>
      </c>
      <c r="BY7" s="3">
        <f>AVERAGE(BX5:BX8)</f>
        <v>-2.0956371195126368E-3</v>
      </c>
    </row>
    <row r="8" spans="2:82" s="3" customFormat="1" ht="14" x14ac:dyDescent="0.35">
      <c r="B8" s="17" t="s">
        <v>82</v>
      </c>
      <c r="C8" s="18" t="s">
        <v>83</v>
      </c>
      <c r="D8" s="18">
        <v>300</v>
      </c>
      <c r="E8" s="18">
        <v>60</v>
      </c>
      <c r="F8" s="18">
        <v>7.1749999999999998</v>
      </c>
      <c r="G8" s="20">
        <f t="shared" si="0"/>
        <v>5</v>
      </c>
      <c r="H8" s="20">
        <f t="shared" si="1"/>
        <v>41.811846689895468</v>
      </c>
      <c r="I8" s="20">
        <v>19.975000000000001</v>
      </c>
      <c r="J8" s="128">
        <v>2.1080000000000001</v>
      </c>
      <c r="K8" s="19">
        <v>2.7490000000000001</v>
      </c>
      <c r="L8" s="19">
        <f t="shared" si="18"/>
        <v>0.30407969639468679</v>
      </c>
      <c r="M8" s="18">
        <v>3500</v>
      </c>
      <c r="N8" s="20">
        <v>38.621259999999999</v>
      </c>
      <c r="O8" s="20">
        <f>M8/1000</f>
        <v>3.5</v>
      </c>
      <c r="P8" s="19">
        <v>11.646649999999999</v>
      </c>
      <c r="Q8" s="21">
        <f t="shared" si="19"/>
        <v>15.146649999999999</v>
      </c>
      <c r="R8" s="132">
        <f t="shared" si="2"/>
        <v>1.3658646965768113</v>
      </c>
      <c r="S8" s="70">
        <f t="shared" si="3"/>
        <v>35.689750305051916</v>
      </c>
      <c r="T8" s="46">
        <f t="shared" si="4"/>
        <v>5.9260209096348477</v>
      </c>
      <c r="U8" s="46">
        <f t="shared" si="5"/>
        <v>4.7296341267811819</v>
      </c>
      <c r="V8" s="70">
        <f t="shared" si="6"/>
        <v>43.600779087495781</v>
      </c>
      <c r="W8" s="141">
        <f t="shared" si="7"/>
        <v>4.0697864797588696</v>
      </c>
      <c r="X8" s="136">
        <f t="shared" si="8"/>
        <v>34.078122636632401</v>
      </c>
      <c r="Y8" s="30">
        <f t="shared" si="9"/>
        <v>6.0603833835563865</v>
      </c>
      <c r="Z8" s="30">
        <f t="shared" si="10"/>
        <v>4.8233106952906661</v>
      </c>
      <c r="AA8" s="136">
        <f t="shared" si="11"/>
        <v>46.146068748345037</v>
      </c>
      <c r="AB8" s="136">
        <f t="shared" si="20"/>
        <v>-2.2624135141085484E-2</v>
      </c>
      <c r="AC8" s="60">
        <f t="shared" si="12"/>
        <v>4.9336776997138045</v>
      </c>
      <c r="AD8" s="78">
        <f t="shared" si="13"/>
        <v>4.2303634541279826E-2</v>
      </c>
      <c r="AE8" s="78">
        <f t="shared" si="14"/>
        <v>4.22368457816511E-2</v>
      </c>
      <c r="AF8" s="78">
        <f t="shared" si="15"/>
        <v>2.6112819298558625</v>
      </c>
      <c r="AG8" s="79">
        <f t="shared" si="16"/>
        <v>4.1633779655110496E-2</v>
      </c>
      <c r="AH8" s="61">
        <f t="shared" si="21"/>
        <v>2.2882001885322748E-2</v>
      </c>
      <c r="AI8" s="61">
        <f t="shared" si="22"/>
        <v>2.2624135141085411E-2</v>
      </c>
      <c r="AJ8" s="61">
        <f t="shared" si="17"/>
        <v>2.679346019308622</v>
      </c>
      <c r="AK8" s="62">
        <f t="shared" si="23"/>
        <v>1.2180875665337052E-2</v>
      </c>
      <c r="AN8" s="3">
        <v>6.3</v>
      </c>
      <c r="AO8" s="3">
        <v>-2.5918329860951481E-2</v>
      </c>
      <c r="AP8" s="3">
        <f>AVERAGE(AO6:AO8)</f>
        <v>5.4992968581204964E-3</v>
      </c>
      <c r="AW8" s="3">
        <v>0.4</v>
      </c>
      <c r="AX8" s="3">
        <v>-2.5988714756240688E-3</v>
      </c>
      <c r="AY8" s="3">
        <f>AVERAGE(AX6:AX8)</f>
        <v>-1.5307108996550736E-2</v>
      </c>
      <c r="BF8" s="3">
        <v>8</v>
      </c>
      <c r="BG8" s="3">
        <v>-7.2681371379854268E-2</v>
      </c>
      <c r="BH8" s="3">
        <f>AVERAGE(BG6:BG8)</f>
        <v>1.2691176495513689E-2</v>
      </c>
      <c r="BO8" s="3">
        <v>15</v>
      </c>
      <c r="BP8" s="3">
        <v>3.0507233874841042E-2</v>
      </c>
      <c r="BQ8" s="3">
        <f>AVERAGE(BP6:BP8)</f>
        <v>2.5349876304804887E-2</v>
      </c>
      <c r="BW8" s="3">
        <v>2.9</v>
      </c>
      <c r="BX8" s="3">
        <v>-2.5918329860951481E-2</v>
      </c>
      <c r="BY8" s="3">
        <f>AVERAGE(BX6:BX8)</f>
        <v>5.4992968581204964E-3</v>
      </c>
    </row>
    <row r="9" spans="2:82" s="3" customFormat="1" ht="14" x14ac:dyDescent="0.35">
      <c r="B9" s="12" t="s">
        <v>84</v>
      </c>
      <c r="C9" s="13" t="s">
        <v>83</v>
      </c>
      <c r="D9" s="13">
        <v>300</v>
      </c>
      <c r="E9" s="13">
        <v>60</v>
      </c>
      <c r="F9" s="13">
        <v>7.1749999999999998</v>
      </c>
      <c r="G9" s="15">
        <f t="shared" si="0"/>
        <v>5</v>
      </c>
      <c r="H9" s="15">
        <f t="shared" si="1"/>
        <v>41.811846689895468</v>
      </c>
      <c r="I9" s="15">
        <v>19.975000000000001</v>
      </c>
      <c r="J9" s="126">
        <v>2.1509999999999998</v>
      </c>
      <c r="K9" s="14">
        <v>2.7490000000000001</v>
      </c>
      <c r="L9" s="14">
        <f t="shared" si="18"/>
        <v>0.27801022780102302</v>
      </c>
      <c r="M9" s="13">
        <v>500</v>
      </c>
      <c r="N9" s="15">
        <v>48.094470000000001</v>
      </c>
      <c r="O9" s="15">
        <v>0.5</v>
      </c>
      <c r="P9" s="14">
        <v>3.03538</v>
      </c>
      <c r="Q9" s="16">
        <f t="shared" si="19"/>
        <v>3.53538</v>
      </c>
      <c r="R9" s="130">
        <f t="shared" si="2"/>
        <v>4.2963898939729038E-2</v>
      </c>
      <c r="S9" s="68">
        <f t="shared" si="3"/>
        <v>45.68239016514454</v>
      </c>
      <c r="T9" s="40">
        <f t="shared" si="4"/>
        <v>0.93181613006410591</v>
      </c>
      <c r="U9" s="40">
        <f t="shared" si="5"/>
        <v>1.0603116875194976</v>
      </c>
      <c r="V9" s="68">
        <f t="shared" si="6"/>
        <v>48.453105972155143</v>
      </c>
      <c r="W9" s="139">
        <f t="shared" si="7"/>
        <v>0.40869905099183773</v>
      </c>
      <c r="X9" s="137">
        <f t="shared" si="8"/>
        <v>43.919801845783681</v>
      </c>
      <c r="Y9" s="27">
        <f t="shared" si="9"/>
        <v>0.96494309509776843</v>
      </c>
      <c r="Z9" s="27">
        <f t="shared" si="10"/>
        <v>1.0932094448543572</v>
      </c>
      <c r="AA9" s="137">
        <f t="shared" si="11"/>
        <v>48.358795207148255</v>
      </c>
      <c r="AB9" s="137">
        <f t="shared" si="20"/>
        <v>3.0244354480681211E-2</v>
      </c>
      <c r="AC9" s="54">
        <f t="shared" si="12"/>
        <v>1.060641018939037</v>
      </c>
      <c r="AD9" s="74">
        <f t="shared" si="13"/>
        <v>3.0125189741958975E-4</v>
      </c>
      <c r="AE9" s="74">
        <f t="shared" si="14"/>
        <v>3.1055046270792031E-4</v>
      </c>
      <c r="AF9" s="74">
        <f t="shared" si="15"/>
        <v>4.216354223224684</v>
      </c>
      <c r="AG9" s="75">
        <f t="shared" si="16"/>
        <v>1.0845918389583069E-7</v>
      </c>
      <c r="AH9" s="55">
        <f t="shared" si="21"/>
        <v>2.979157019601052E-2</v>
      </c>
      <c r="AI9" s="55">
        <f t="shared" si="22"/>
        <v>-3.0244354480681211E-2</v>
      </c>
      <c r="AJ9" s="55">
        <f t="shared" si="17"/>
        <v>4.3816137142654341</v>
      </c>
      <c r="AK9" s="56">
        <f t="shared" si="23"/>
        <v>1.0607023666017053E-3</v>
      </c>
      <c r="AN9" s="3">
        <v>6.3</v>
      </c>
      <c r="AO9" s="3">
        <v>-2.5988714756240688E-3</v>
      </c>
      <c r="AP9" s="3">
        <f>AVERAGE(AO9:AO11)</f>
        <v>1.1260381628554984E-2</v>
      </c>
      <c r="AW9" s="3">
        <v>3</v>
      </c>
      <c r="AX9" s="3">
        <v>0.11334024542131316</v>
      </c>
      <c r="AY9" s="3">
        <f>AVERAGE(AX9:AX11)</f>
        <v>2.8522065903662044E-2</v>
      </c>
      <c r="BF9" s="3">
        <v>9.0909090909090917</v>
      </c>
      <c r="BG9" s="3">
        <v>-3.550381415814035E-2</v>
      </c>
      <c r="BH9" s="3">
        <f>AVERAGE(BG9:BG11)</f>
        <v>-2.4722510292482177E-2</v>
      </c>
      <c r="BO9" s="3">
        <v>25</v>
      </c>
      <c r="BP9" s="3">
        <v>-1.8557178493755428E-3</v>
      </c>
      <c r="BQ9" s="3">
        <f>AVERAGE(BP9:BP11)</f>
        <v>-1.7479939775538089E-2</v>
      </c>
      <c r="BW9" s="3">
        <v>8.6999999999999993</v>
      </c>
      <c r="BX9" s="3">
        <v>4.3610433730917463E-2</v>
      </c>
      <c r="BY9" s="3">
        <f>AVERAGE(BX9:BX11)</f>
        <v>3.6131486658581097E-2</v>
      </c>
    </row>
    <row r="10" spans="2:82" s="3" customFormat="1" ht="14" x14ac:dyDescent="0.35">
      <c r="B10" s="17" t="s">
        <v>84</v>
      </c>
      <c r="C10" s="18" t="s">
        <v>83</v>
      </c>
      <c r="D10" s="18">
        <v>300</v>
      </c>
      <c r="E10" s="18">
        <v>60</v>
      </c>
      <c r="F10" s="18">
        <v>7.1749999999999998</v>
      </c>
      <c r="G10" s="20">
        <f t="shared" si="0"/>
        <v>5</v>
      </c>
      <c r="H10" s="20">
        <f t="shared" si="1"/>
        <v>41.811846689895468</v>
      </c>
      <c r="I10" s="20">
        <v>19.975000000000001</v>
      </c>
      <c r="J10" s="128">
        <v>2.1509999999999998</v>
      </c>
      <c r="K10" s="19">
        <v>2.7490000000000001</v>
      </c>
      <c r="L10" s="19">
        <f t="shared" si="18"/>
        <v>0.27801022780102302</v>
      </c>
      <c r="M10" s="18">
        <v>1500</v>
      </c>
      <c r="N10" s="20">
        <v>43.420670000000001</v>
      </c>
      <c r="O10" s="20">
        <v>1.5</v>
      </c>
      <c r="P10" s="19">
        <v>6.62486</v>
      </c>
      <c r="Q10" s="21">
        <f t="shared" si="19"/>
        <v>8.12486</v>
      </c>
      <c r="R10" s="131">
        <f t="shared" si="2"/>
        <v>0.28465976036816587</v>
      </c>
      <c r="S10" s="69">
        <f t="shared" si="3"/>
        <v>40.422269097814528</v>
      </c>
      <c r="T10" s="43">
        <f t="shared" si="4"/>
        <v>2.6645979240970235</v>
      </c>
      <c r="U10" s="43">
        <f t="shared" si="5"/>
        <v>2.521707730610808</v>
      </c>
      <c r="V10" s="69">
        <f t="shared" si="6"/>
        <v>46.191318873870379</v>
      </c>
      <c r="W10" s="140">
        <f t="shared" si="7"/>
        <v>1.4665732851220186</v>
      </c>
      <c r="X10" s="134">
        <f t="shared" si="8"/>
        <v>38.715196527200796</v>
      </c>
      <c r="Y10" s="135">
        <f t="shared" si="9"/>
        <v>2.7406718905224867</v>
      </c>
      <c r="Z10" s="135">
        <f t="shared" si="10"/>
        <v>2.5845716938622849</v>
      </c>
      <c r="AA10" s="134">
        <f t="shared" si="11"/>
        <v>47.593374153232887</v>
      </c>
      <c r="AB10" s="134">
        <f t="shared" si="20"/>
        <v>3.3804790671041868E-3</v>
      </c>
      <c r="AC10" s="57">
        <f t="shared" si="12"/>
        <v>2.575849354502874</v>
      </c>
      <c r="AD10" s="76">
        <f t="shared" si="13"/>
        <v>2.0948006209554525E-2</v>
      </c>
      <c r="AE10" s="76">
        <f t="shared" si="14"/>
        <v>2.1242983251802849E-2</v>
      </c>
      <c r="AF10" s="76">
        <f t="shared" si="15"/>
        <v>0.35044062278887189</v>
      </c>
      <c r="AG10" s="77">
        <f t="shared" si="16"/>
        <v>2.9313154376699323E-3</v>
      </c>
      <c r="AH10" s="58">
        <f t="shared" si="21"/>
        <v>3.3747716807873045E-3</v>
      </c>
      <c r="AI10" s="58">
        <f t="shared" si="22"/>
        <v>-3.3804790671041474E-3</v>
      </c>
      <c r="AJ10" s="58">
        <f t="shared" si="17"/>
        <v>0.36224533063459696</v>
      </c>
      <c r="AK10" s="59">
        <f t="shared" si="23"/>
        <v>7.6079203900728781E-5</v>
      </c>
      <c r="AN10" s="3">
        <v>11</v>
      </c>
      <c r="AO10" s="3">
        <v>4.3610433730917463E-2</v>
      </c>
      <c r="AP10" s="3">
        <f>AVERAGE(AO9:AO12)</f>
        <v>1.60720946901265E-2</v>
      </c>
      <c r="AW10" s="3">
        <v>6</v>
      </c>
      <c r="AX10" s="3">
        <v>-2.5918329860951481E-2</v>
      </c>
      <c r="AY10" s="3">
        <f>AVERAGE(AX9:AX12)</f>
        <v>2.6915866903400417E-2</v>
      </c>
      <c r="BF10" s="3">
        <v>13.333333333333334</v>
      </c>
      <c r="BG10" s="3">
        <v>-3.3838487268380631E-2</v>
      </c>
      <c r="BH10" s="3">
        <f>AVERAGE(BG9:BG12)</f>
        <v>-2.0349487061768742E-2</v>
      </c>
      <c r="BO10" s="3">
        <v>25</v>
      </c>
      <c r="BP10" s="3">
        <v>2.2097269902615541E-2</v>
      </c>
      <c r="BQ10" s="3">
        <f>AVERAGE(BP9:BP12)</f>
        <v>-1.6953125886829797E-2</v>
      </c>
      <c r="BW10" s="3">
        <v>8.6999999999999993</v>
      </c>
      <c r="BX10" s="3">
        <v>-7.2304173696284392E-3</v>
      </c>
      <c r="BY10" s="3">
        <f>AVERAGE(BX9:BX12)</f>
        <v>1.8222661454400733E-2</v>
      </c>
    </row>
    <row r="11" spans="2:82" s="3" customFormat="1" ht="14" x14ac:dyDescent="0.35">
      <c r="B11" s="17" t="s">
        <v>84</v>
      </c>
      <c r="C11" s="18" t="s">
        <v>83</v>
      </c>
      <c r="D11" s="18">
        <v>300</v>
      </c>
      <c r="E11" s="18">
        <v>60</v>
      </c>
      <c r="F11" s="18">
        <v>7.1749999999999998</v>
      </c>
      <c r="G11" s="20">
        <f t="shared" si="0"/>
        <v>5</v>
      </c>
      <c r="H11" s="20">
        <f t="shared" si="1"/>
        <v>41.811846689895468</v>
      </c>
      <c r="I11" s="20">
        <v>19.975000000000001</v>
      </c>
      <c r="J11" s="128">
        <v>2.1509999999999998</v>
      </c>
      <c r="K11" s="19">
        <v>2.7490000000000001</v>
      </c>
      <c r="L11" s="19">
        <f t="shared" si="18"/>
        <v>0.27801022780102302</v>
      </c>
      <c r="M11" s="18">
        <v>2500</v>
      </c>
      <c r="N11" s="20">
        <v>40.201230000000002</v>
      </c>
      <c r="O11" s="20">
        <v>2.5</v>
      </c>
      <c r="P11" s="19">
        <v>9.0483100000000007</v>
      </c>
      <c r="Q11" s="21">
        <f t="shared" si="19"/>
        <v>11.548310000000001</v>
      </c>
      <c r="R11" s="131">
        <f t="shared" si="2"/>
        <v>0.96850555813566575</v>
      </c>
      <c r="S11" s="69">
        <f t="shared" si="3"/>
        <v>37.092559273026225</v>
      </c>
      <c r="T11" s="43">
        <f t="shared" si="4"/>
        <v>4.2956171938771757</v>
      </c>
      <c r="U11" s="43">
        <f t="shared" si="5"/>
        <v>3.6087476920094383</v>
      </c>
      <c r="V11" s="69">
        <f t="shared" si="6"/>
        <v>44.14737759737951</v>
      </c>
      <c r="W11" s="140">
        <f t="shared" si="7"/>
        <v>3.3568224912540763</v>
      </c>
      <c r="X11" s="134">
        <f t="shared" si="8"/>
        <v>35.448408048860834</v>
      </c>
      <c r="Y11" s="135">
        <f t="shared" si="9"/>
        <v>4.4002824056240444</v>
      </c>
      <c r="Z11" s="135">
        <f t="shared" si="10"/>
        <v>3.6855489513107531</v>
      </c>
      <c r="AA11" s="134">
        <f t="shared" si="11"/>
        <v>46.233301174280903</v>
      </c>
      <c r="AB11" s="134">
        <f t="shared" si="20"/>
        <v>-4.420561612950185E-2</v>
      </c>
      <c r="AC11" s="57">
        <f t="shared" si="12"/>
        <v>3.8521255999290696</v>
      </c>
      <c r="AD11" s="76">
        <f t="shared" si="13"/>
        <v>6.6035727956638507E-2</v>
      </c>
      <c r="AE11" s="76">
        <f t="shared" si="14"/>
        <v>6.52642873833158E-2</v>
      </c>
      <c r="AF11" s="76">
        <f t="shared" si="15"/>
        <v>0.24508411249891546</v>
      </c>
      <c r="AG11" s="77">
        <f t="shared" si="16"/>
        <v>5.9232806063336488E-2</v>
      </c>
      <c r="AH11" s="58">
        <f t="shared" si="21"/>
        <v>4.519724220704599E-2</v>
      </c>
      <c r="AI11" s="58">
        <f t="shared" si="22"/>
        <v>4.4205616129501912E-2</v>
      </c>
      <c r="AJ11" s="58">
        <f t="shared" si="17"/>
        <v>0.24910985084285195</v>
      </c>
      <c r="AK11" s="59">
        <f t="shared" si="23"/>
        <v>2.7747779864910067E-2</v>
      </c>
      <c r="AN11" s="3">
        <v>11</v>
      </c>
      <c r="AO11" s="3">
        <v>-7.2304173696284392E-3</v>
      </c>
      <c r="AP11" s="3">
        <f>AVERAGE(AO9:AO12)</f>
        <v>1.60720946901265E-2</v>
      </c>
      <c r="AW11" s="3">
        <v>6</v>
      </c>
      <c r="AX11" s="3">
        <v>-1.8557178493755428E-3</v>
      </c>
      <c r="AY11" s="3">
        <f>AVERAGE(AX9:AX12)</f>
        <v>2.6915866903400417E-2</v>
      </c>
      <c r="BF11" s="3">
        <v>13.333333333333334</v>
      </c>
      <c r="BG11" s="3">
        <v>-4.8252294509255455E-3</v>
      </c>
      <c r="BH11" s="3">
        <f>AVERAGE(BG9:BG12)</f>
        <v>-2.0349487061768742E-2</v>
      </c>
      <c r="BO11" s="3">
        <v>47.058823529411768</v>
      </c>
      <c r="BP11" s="3">
        <v>-7.2681371379854268E-2</v>
      </c>
      <c r="BQ11" s="3">
        <f>AVERAGE(BP9:BP12)</f>
        <v>-1.6953125886829797E-2</v>
      </c>
      <c r="BW11" s="3">
        <v>8.6999999999999993</v>
      </c>
      <c r="BX11" s="3">
        <v>7.2014443614454263E-2</v>
      </c>
      <c r="BY11" s="3">
        <f>AVERAGE(BX9:BX12)</f>
        <v>1.8222661454400733E-2</v>
      </c>
    </row>
    <row r="12" spans="2:82" s="3" customFormat="1" ht="14" x14ac:dyDescent="0.35">
      <c r="B12" s="17" t="s">
        <v>84</v>
      </c>
      <c r="C12" s="18" t="s">
        <v>83</v>
      </c>
      <c r="D12" s="18">
        <v>300</v>
      </c>
      <c r="E12" s="18">
        <v>60</v>
      </c>
      <c r="F12" s="18">
        <v>7.1749999999999998</v>
      </c>
      <c r="G12" s="20">
        <f t="shared" si="0"/>
        <v>5</v>
      </c>
      <c r="H12" s="20">
        <f t="shared" si="1"/>
        <v>41.811846689895468</v>
      </c>
      <c r="I12" s="20">
        <v>19.975000000000001</v>
      </c>
      <c r="J12" s="128">
        <v>2.1509999999999998</v>
      </c>
      <c r="K12" s="19">
        <v>2.7490000000000001</v>
      </c>
      <c r="L12" s="19">
        <f t="shared" si="18"/>
        <v>0.27801022780102302</v>
      </c>
      <c r="M12" s="18">
        <v>3500</v>
      </c>
      <c r="N12" s="20">
        <v>39.262500000000003</v>
      </c>
      <c r="O12" s="20">
        <v>3.5</v>
      </c>
      <c r="P12" s="19">
        <v>12.058960000000001</v>
      </c>
      <c r="Q12" s="21">
        <f t="shared" si="19"/>
        <v>15.558960000000001</v>
      </c>
      <c r="R12" s="132">
        <f t="shared" si="2"/>
        <v>1.3182089063441791</v>
      </c>
      <c r="S12" s="70">
        <f t="shared" si="3"/>
        <v>36.269968356949647</v>
      </c>
      <c r="T12" s="46">
        <f t="shared" si="4"/>
        <v>5.9624958910326038</v>
      </c>
      <c r="U12" s="46">
        <f t="shared" si="5"/>
        <v>4.8611987654048958</v>
      </c>
      <c r="V12" s="70">
        <f t="shared" si="6"/>
        <v>44.22812428471947</v>
      </c>
      <c r="W12" s="141">
        <f t="shared" si="7"/>
        <v>4.1351778208423058</v>
      </c>
      <c r="X12" s="136">
        <f t="shared" si="8"/>
        <v>34.644470004990005</v>
      </c>
      <c r="Y12" s="30">
        <f t="shared" si="9"/>
        <v>6.1018264397649364</v>
      </c>
      <c r="Z12" s="30">
        <f t="shared" si="10"/>
        <v>4.960425399238245</v>
      </c>
      <c r="AA12" s="136">
        <f t="shared" si="11"/>
        <v>46.782299098283879</v>
      </c>
      <c r="AB12" s="136">
        <f t="shared" si="20"/>
        <v>-2.5015104433038168E-2</v>
      </c>
      <c r="AC12" s="60">
        <f t="shared" si="12"/>
        <v>5.0860759877864083</v>
      </c>
      <c r="AD12" s="78">
        <f t="shared" si="13"/>
        <v>4.5334261536529939E-2</v>
      </c>
      <c r="AE12" s="78">
        <f t="shared" si="14"/>
        <v>4.5221540422366147E-2</v>
      </c>
      <c r="AF12" s="78">
        <f t="shared" si="15"/>
        <v>3.0537939240825249</v>
      </c>
      <c r="AG12" s="79">
        <f t="shared" si="16"/>
        <v>5.0569765146024244E-2</v>
      </c>
      <c r="AH12" s="61">
        <f t="shared" si="21"/>
        <v>2.5330607444970159E-2</v>
      </c>
      <c r="AI12" s="61">
        <f t="shared" si="22"/>
        <v>2.5015104433038227E-2</v>
      </c>
      <c r="AJ12" s="61">
        <f t="shared" si="17"/>
        <v>3.1470245719182719</v>
      </c>
      <c r="AK12" s="62">
        <f t="shared" si="23"/>
        <v>1.578807040249984E-2</v>
      </c>
      <c r="AN12" s="3">
        <v>11</v>
      </c>
      <c r="AO12" s="3">
        <v>3.0507233874841042E-2</v>
      </c>
      <c r="AP12" s="3">
        <f>AVERAGE(AO10:AO12)</f>
        <v>2.2295750078710024E-2</v>
      </c>
      <c r="AW12" s="3">
        <v>6</v>
      </c>
      <c r="AX12" s="3">
        <v>2.2097269902615541E-2</v>
      </c>
      <c r="AY12" s="3">
        <f>AVERAGE(AX10:AX12)</f>
        <v>-1.8922592692371606E-3</v>
      </c>
      <c r="BF12" s="3">
        <v>13.636363636363637</v>
      </c>
      <c r="BG12" s="3">
        <v>-7.2304173696284392E-3</v>
      </c>
      <c r="BH12" s="3">
        <f>AVERAGE(BG10:BG12)</f>
        <v>-1.529804469631154E-2</v>
      </c>
      <c r="BO12" s="3">
        <v>47.058823529411768</v>
      </c>
      <c r="BP12" s="3">
        <v>-1.5372684220704914E-2</v>
      </c>
      <c r="BQ12" s="3">
        <f>AVERAGE(BP10:BP12)</f>
        <v>-2.198559523264788E-2</v>
      </c>
      <c r="BW12" s="3">
        <v>8.6999999999999993</v>
      </c>
      <c r="BX12" s="3">
        <v>-3.550381415814035E-2</v>
      </c>
      <c r="BY12" s="3">
        <f>AVERAGE(BX10:BX12)</f>
        <v>9.7600706955618243E-3</v>
      </c>
    </row>
    <row r="13" spans="2:82" s="3" customFormat="1" ht="14" x14ac:dyDescent="0.35">
      <c r="B13" s="12" t="s">
        <v>85</v>
      </c>
      <c r="C13" s="13" t="s">
        <v>83</v>
      </c>
      <c r="D13" s="13">
        <v>300</v>
      </c>
      <c r="E13" s="13">
        <v>60</v>
      </c>
      <c r="F13" s="13">
        <v>7.1749999999999998</v>
      </c>
      <c r="G13" s="15">
        <f t="shared" si="0"/>
        <v>5</v>
      </c>
      <c r="H13" s="15">
        <f t="shared" si="1"/>
        <v>41.811846689895468</v>
      </c>
      <c r="I13" s="15">
        <v>19.975000000000001</v>
      </c>
      <c r="J13" s="126">
        <v>2.1960000000000002</v>
      </c>
      <c r="K13" s="14">
        <v>2.7490000000000001</v>
      </c>
      <c r="L13" s="14">
        <f>+(K13/J13)-1</f>
        <v>0.25182149362477224</v>
      </c>
      <c r="M13" s="13">
        <v>500</v>
      </c>
      <c r="N13" s="15">
        <v>48.967089999999999</v>
      </c>
      <c r="O13" s="15">
        <v>0.5</v>
      </c>
      <c r="P13" s="14">
        <v>3.30314</v>
      </c>
      <c r="Q13" s="16">
        <f t="shared" si="19"/>
        <v>3.80314</v>
      </c>
      <c r="R13" s="130">
        <f t="shared" si="2"/>
        <v>3.162642396877631E-2</v>
      </c>
      <c r="S13" s="68">
        <f t="shared" si="3"/>
        <v>47.052511938323597</v>
      </c>
      <c r="T13" s="40">
        <f t="shared" si="4"/>
        <v>0.94265635115450985</v>
      </c>
      <c r="U13" s="40">
        <f t="shared" si="5"/>
        <v>1.1252605274046907</v>
      </c>
      <c r="V13" s="68">
        <f t="shared" si="6"/>
        <v>49.84321149833</v>
      </c>
      <c r="W13" s="140">
        <f t="shared" si="7"/>
        <v>0.34625776305074707</v>
      </c>
      <c r="X13" s="134">
        <f t="shared" si="8"/>
        <v>45.284816678275007</v>
      </c>
      <c r="Y13" s="135">
        <f t="shared" si="9"/>
        <v>0.97794280491920715</v>
      </c>
      <c r="Z13" s="135">
        <f t="shared" si="10"/>
        <v>1.1620166400989231</v>
      </c>
      <c r="AA13" s="134">
        <f t="shared" si="11"/>
        <v>49.767143260126829</v>
      </c>
      <c r="AB13" s="134">
        <f t="shared" si="20"/>
        <v>5.5113693121321083E-2</v>
      </c>
      <c r="AC13" s="54">
        <f t="shared" si="12"/>
        <v>1.0997064553612512</v>
      </c>
      <c r="AD13" s="74">
        <f t="shared" si="13"/>
        <v>2.1991141229495716E-2</v>
      </c>
      <c r="AE13" s="74">
        <f t="shared" si="14"/>
        <v>-2.2971303332484136E-2</v>
      </c>
      <c r="AF13" s="74">
        <f t="shared" si="15"/>
        <v>3.9538437581569967</v>
      </c>
      <c r="AG13" s="75">
        <f t="shared" si="16"/>
        <v>6.530105980012969E-4</v>
      </c>
      <c r="AH13" s="55">
        <f t="shared" si="21"/>
        <v>5.3622454780309699E-2</v>
      </c>
      <c r="AI13" s="55">
        <f t="shared" si="22"/>
        <v>-5.5113693121321014E-2</v>
      </c>
      <c r="AJ13" s="55">
        <f t="shared" si="17"/>
        <v>4.0982895119363683</v>
      </c>
      <c r="AK13" s="56">
        <f t="shared" si="23"/>
        <v>3.8825591220428019E-3</v>
      </c>
    </row>
    <row r="14" spans="2:82" s="3" customFormat="1" ht="14" x14ac:dyDescent="0.35">
      <c r="B14" s="17" t="s">
        <v>85</v>
      </c>
      <c r="C14" s="18" t="s">
        <v>83</v>
      </c>
      <c r="D14" s="18">
        <v>300</v>
      </c>
      <c r="E14" s="18">
        <v>60</v>
      </c>
      <c r="F14" s="18">
        <v>7.1749999999999998</v>
      </c>
      <c r="G14" s="20">
        <f t="shared" si="0"/>
        <v>5</v>
      </c>
      <c r="H14" s="20">
        <f t="shared" si="1"/>
        <v>41.811846689895468</v>
      </c>
      <c r="I14" s="20">
        <v>19.975000000000001</v>
      </c>
      <c r="J14" s="128">
        <v>2.1960000000000002</v>
      </c>
      <c r="K14" s="19">
        <v>2.7490000000000001</v>
      </c>
      <c r="L14" s="19">
        <f t="shared" si="18"/>
        <v>0.25182149362477224</v>
      </c>
      <c r="M14" s="18">
        <v>1500</v>
      </c>
      <c r="N14" s="20">
        <v>44.002409999999998</v>
      </c>
      <c r="O14" s="20">
        <v>1.5</v>
      </c>
      <c r="P14" s="19">
        <v>6.8224799999999997</v>
      </c>
      <c r="Q14" s="21">
        <f t="shared" si="19"/>
        <v>8.3224799999999988</v>
      </c>
      <c r="R14" s="131">
        <f t="shared" si="2"/>
        <v>0.28639817854949945</v>
      </c>
      <c r="S14" s="69">
        <f t="shared" si="3"/>
        <v>40.912933359889735</v>
      </c>
      <c r="T14" s="43">
        <f t="shared" si="4"/>
        <v>2.6771799825733544</v>
      </c>
      <c r="U14" s="43">
        <f t="shared" si="5"/>
        <v>2.5778933601170659</v>
      </c>
      <c r="V14" s="69">
        <f t="shared" si="6"/>
        <v>46.700493812307847</v>
      </c>
      <c r="W14" s="140">
        <f t="shared" si="7"/>
        <v>1.5340561441277198</v>
      </c>
      <c r="X14" s="134">
        <f t="shared" si="8"/>
        <v>39.198353450088646</v>
      </c>
      <c r="Y14" s="135">
        <f t="shared" si="9"/>
        <v>2.7553123312451895</v>
      </c>
      <c r="Z14" s="135">
        <f t="shared" si="10"/>
        <v>2.6435835951786064</v>
      </c>
      <c r="AA14" s="134">
        <f t="shared" si="11"/>
        <v>48.10782017052334</v>
      </c>
      <c r="AB14" s="134">
        <f t="shared" si="20"/>
        <v>-3.3675290984453076E-3</v>
      </c>
      <c r="AC14" s="57">
        <f t="shared" si="12"/>
        <v>2.6525009461519025</v>
      </c>
      <c r="AD14" s="76">
        <f t="shared" si="13"/>
        <v>2.8222139890301395E-2</v>
      </c>
      <c r="AE14" s="76">
        <f t="shared" si="14"/>
        <v>2.853040990057909E-2</v>
      </c>
      <c r="AF14" s="76">
        <f t="shared" si="15"/>
        <v>0.28707588114152299</v>
      </c>
      <c r="AG14" s="77">
        <f t="shared" si="16"/>
        <v>5.566291893945534E-3</v>
      </c>
      <c r="AH14" s="58">
        <f t="shared" si="21"/>
        <v>3.3732055946933538E-3</v>
      </c>
      <c r="AI14" s="58">
        <f t="shared" si="22"/>
        <v>3.3675290984452877E-3</v>
      </c>
      <c r="AJ14" s="58">
        <f t="shared" si="17"/>
        <v>0.29469296143846896</v>
      </c>
      <c r="AK14" s="59">
        <f t="shared" si="23"/>
        <v>7.9519148380943934E-5</v>
      </c>
    </row>
    <row r="15" spans="2:82" s="3" customFormat="1" ht="14" x14ac:dyDescent="0.35">
      <c r="B15" s="17" t="s">
        <v>85</v>
      </c>
      <c r="C15" s="18" t="s">
        <v>83</v>
      </c>
      <c r="D15" s="18">
        <v>300</v>
      </c>
      <c r="E15" s="18">
        <v>60</v>
      </c>
      <c r="F15" s="18">
        <v>7.1749999999999998</v>
      </c>
      <c r="G15" s="20">
        <f t="shared" si="0"/>
        <v>5</v>
      </c>
      <c r="H15" s="20">
        <f t="shared" si="1"/>
        <v>41.811846689895468</v>
      </c>
      <c r="I15" s="20">
        <v>19.975000000000001</v>
      </c>
      <c r="J15" s="128">
        <v>2.1960000000000002</v>
      </c>
      <c r="K15" s="19">
        <v>2.7490000000000001</v>
      </c>
      <c r="L15" s="19">
        <f t="shared" si="18"/>
        <v>0.25182149362477224</v>
      </c>
      <c r="M15" s="18">
        <v>2500</v>
      </c>
      <c r="N15" s="20">
        <v>41.748150000000003</v>
      </c>
      <c r="O15" s="20">
        <v>2.5</v>
      </c>
      <c r="P15" s="19">
        <v>9.9308999999999994</v>
      </c>
      <c r="Q15" s="21">
        <f t="shared" si="19"/>
        <v>12.430899999999999</v>
      </c>
      <c r="R15" s="131">
        <f t="shared" si="2"/>
        <v>0.65398850513856466</v>
      </c>
      <c r="S15" s="69">
        <f t="shared" si="3"/>
        <v>38.649615193686941</v>
      </c>
      <c r="T15" s="43">
        <f t="shared" si="4"/>
        <v>4.3642478179996678</v>
      </c>
      <c r="U15" s="43">
        <f t="shared" si="5"/>
        <v>3.877916802724934</v>
      </c>
      <c r="V15" s="69">
        <f t="shared" si="6"/>
        <v>45.799321718803057</v>
      </c>
      <c r="W15" s="140">
        <f t="shared" si="7"/>
        <v>2.6810974244140251</v>
      </c>
      <c r="X15" s="134">
        <f t="shared" si="8"/>
        <v>36.973483435045722</v>
      </c>
      <c r="Y15" s="135">
        <f t="shared" si="9"/>
        <v>4.4790031912551331</v>
      </c>
      <c r="Z15" s="135">
        <f t="shared" si="10"/>
        <v>3.9669672498065323</v>
      </c>
      <c r="AA15" s="134">
        <f t="shared" si="11"/>
        <v>47.904890240413934</v>
      </c>
      <c r="AB15" s="134">
        <f t="shared" si="20"/>
        <v>-1.049031983301823E-2</v>
      </c>
      <c r="AC15" s="57">
        <f t="shared" si="12"/>
        <v>4.0088010463378811</v>
      </c>
      <c r="AD15" s="76">
        <f t="shared" si="13"/>
        <v>3.2993527642389872E-2</v>
      </c>
      <c r="AE15" s="76">
        <f t="shared" si="14"/>
        <v>3.3194102738516085E-2</v>
      </c>
      <c r="AF15" s="76">
        <f t="shared" si="15"/>
        <v>0.58404568428927273</v>
      </c>
      <c r="AG15" s="77">
        <f t="shared" si="16"/>
        <v>1.7130685226133296E-2</v>
      </c>
      <c r="AH15" s="58">
        <f t="shared" si="21"/>
        <v>1.0545536148146701E-2</v>
      </c>
      <c r="AI15" s="58">
        <f t="shared" si="22"/>
        <v>1.049031983301818E-2</v>
      </c>
      <c r="AJ15" s="58">
        <f t="shared" si="17"/>
        <v>0.60922295277641747</v>
      </c>
      <c r="AK15" s="59">
        <f t="shared" si="23"/>
        <v>1.7500665322262982E-3</v>
      </c>
    </row>
    <row r="16" spans="2:82" s="3" customFormat="1" ht="14" x14ac:dyDescent="0.35">
      <c r="B16" s="17" t="s">
        <v>85</v>
      </c>
      <c r="C16" s="18" t="s">
        <v>83</v>
      </c>
      <c r="D16" s="18">
        <v>300</v>
      </c>
      <c r="E16" s="18">
        <v>60</v>
      </c>
      <c r="F16" s="18">
        <v>7.1749999999999998</v>
      </c>
      <c r="G16" s="20">
        <f t="shared" si="0"/>
        <v>5</v>
      </c>
      <c r="H16" s="20">
        <f t="shared" si="1"/>
        <v>41.811846689895468</v>
      </c>
      <c r="I16" s="20">
        <v>19.975000000000001</v>
      </c>
      <c r="J16" s="128">
        <v>2.1960000000000002</v>
      </c>
      <c r="K16" s="19">
        <v>2.7490000000000001</v>
      </c>
      <c r="L16" s="19">
        <f t="shared" si="18"/>
        <v>0.25182149362477224</v>
      </c>
      <c r="M16" s="18">
        <v>3500</v>
      </c>
      <c r="N16" s="20">
        <v>40.584650000000003</v>
      </c>
      <c r="O16" s="20">
        <v>3.5</v>
      </c>
      <c r="P16" s="19">
        <v>13.137600000000001</v>
      </c>
      <c r="Q16" s="21">
        <f t="shared" si="19"/>
        <v>16.637599999999999</v>
      </c>
      <c r="R16" s="132">
        <f t="shared" si="2"/>
        <v>0.92812806672568438</v>
      </c>
      <c r="S16" s="70">
        <f t="shared" si="3"/>
        <v>37.701773197529889</v>
      </c>
      <c r="T16" s="46">
        <f t="shared" si="4"/>
        <v>6.0516403308492359</v>
      </c>
      <c r="U16" s="46">
        <f t="shared" si="5"/>
        <v>5.1972648222453044</v>
      </c>
      <c r="V16" s="70">
        <f t="shared" si="6"/>
        <v>45.760352933821636</v>
      </c>
      <c r="W16" s="141">
        <f t="shared" si="7"/>
        <v>3.3973543884117801</v>
      </c>
      <c r="X16" s="136">
        <f t="shared" si="8"/>
        <v>36.044585016395352</v>
      </c>
      <c r="Y16" s="30">
        <f t="shared" si="9"/>
        <v>6.2036220759488874</v>
      </c>
      <c r="Z16" s="30">
        <f t="shared" si="10"/>
        <v>5.3112647321921296</v>
      </c>
      <c r="AA16" s="136">
        <f t="shared" si="11"/>
        <v>48.330786717261098</v>
      </c>
      <c r="AB16" s="136">
        <f t="shared" si="20"/>
        <v>4.4648941232889646E-3</v>
      </c>
      <c r="AC16" s="60">
        <f t="shared" si="12"/>
        <v>5.2876033595719063</v>
      </c>
      <c r="AD16" s="78">
        <f t="shared" si="13"/>
        <v>1.7008856060036062E-2</v>
      </c>
      <c r="AE16" s="78">
        <f t="shared" si="14"/>
        <v>1.7232600609872417E-2</v>
      </c>
      <c r="AF16" s="78">
        <f t="shared" si="15"/>
        <v>4.3412924324738675</v>
      </c>
      <c r="AG16" s="79">
        <f t="shared" si="16"/>
        <v>8.1610513263098462E-3</v>
      </c>
      <c r="AH16" s="61">
        <f t="shared" si="21"/>
        <v>4.4549413017975223E-3</v>
      </c>
      <c r="AI16" s="61">
        <f t="shared" si="22"/>
        <v>-4.4648941232889872E-3</v>
      </c>
      <c r="AJ16" s="61">
        <f t="shared" si="17"/>
        <v>4.5148805919476231</v>
      </c>
      <c r="AK16" s="62">
        <f t="shared" si="23"/>
        <v>5.5986055427305163E-4</v>
      </c>
    </row>
    <row r="17" spans="2:77" s="3" customFormat="1" ht="14" x14ac:dyDescent="0.35">
      <c r="B17" s="12" t="s">
        <v>86</v>
      </c>
      <c r="C17" s="13" t="s">
        <v>83</v>
      </c>
      <c r="D17" s="13">
        <v>300</v>
      </c>
      <c r="E17" s="13">
        <v>60</v>
      </c>
      <c r="F17" s="13">
        <v>7.1749999999999998</v>
      </c>
      <c r="G17" s="15">
        <f t="shared" si="0"/>
        <v>5</v>
      </c>
      <c r="H17" s="15">
        <f t="shared" si="1"/>
        <v>41.811846689895468</v>
      </c>
      <c r="I17" s="15">
        <v>19.975000000000001</v>
      </c>
      <c r="J17" s="126">
        <v>2.242</v>
      </c>
      <c r="K17" s="14">
        <v>2.7490000000000001</v>
      </c>
      <c r="L17" s="14">
        <f t="shared" si="18"/>
        <v>0.22613737734165928</v>
      </c>
      <c r="M17" s="13">
        <v>500</v>
      </c>
      <c r="N17" s="15">
        <v>51.029640000000001</v>
      </c>
      <c r="O17" s="15">
        <v>0.5</v>
      </c>
      <c r="P17" s="14">
        <v>3.64425</v>
      </c>
      <c r="Q17" s="16">
        <f t="shared" si="19"/>
        <v>4.1442499999999995</v>
      </c>
      <c r="R17" s="130">
        <f t="shared" si="2"/>
        <v>2.1536381057523684E-2</v>
      </c>
      <c r="S17" s="68">
        <f t="shared" si="3"/>
        <v>48.624776166980062</v>
      </c>
      <c r="T17" s="40">
        <f t="shared" si="4"/>
        <v>0.95480792517729696</v>
      </c>
      <c r="U17" s="40">
        <f t="shared" si="5"/>
        <v>1.2044017321987237</v>
      </c>
      <c r="V17" s="68">
        <f t="shared" si="6"/>
        <v>51.428713759256318</v>
      </c>
      <c r="W17" s="140">
        <f t="shared" si="7"/>
        <v>0.2783454922664545</v>
      </c>
      <c r="X17" s="134">
        <f t="shared" si="8"/>
        <v>46.856174809807015</v>
      </c>
      <c r="Y17" s="135">
        <f t="shared" si="9"/>
        <v>0.9926307514987649</v>
      </c>
      <c r="Z17" s="135">
        <f t="shared" si="10"/>
        <v>1.2460275112641517</v>
      </c>
      <c r="AA17" s="134">
        <f t="shared" si="11"/>
        <v>51.372792214322821</v>
      </c>
      <c r="AB17" s="134">
        <f t="shared" si="20"/>
        <v>8.7861746760590137E-2</v>
      </c>
      <c r="AC17" s="54">
        <f t="shared" si="12"/>
        <v>1.1412210127324132</v>
      </c>
      <c r="AD17" s="74">
        <f t="shared" si="13"/>
        <v>5.0705717887569612E-2</v>
      </c>
      <c r="AE17" s="74">
        <f t="shared" si="14"/>
        <v>-5.3884202822678223E-2</v>
      </c>
      <c r="AF17" s="74">
        <f t="shared" si="15"/>
        <v>3.6453739990132723</v>
      </c>
      <c r="AG17" s="75">
        <f t="shared" si="16"/>
        <v>3.9918033122806323E-3</v>
      </c>
      <c r="AH17" s="55">
        <f t="shared" si="21"/>
        <v>8.4112507616631624E-2</v>
      </c>
      <c r="AI17" s="55">
        <f t="shared" si="22"/>
        <v>-8.7861746760590109E-2</v>
      </c>
      <c r="AJ17" s="55">
        <f t="shared" si="17"/>
        <v>3.7652002160340188</v>
      </c>
      <c r="AK17" s="56">
        <f t="shared" si="23"/>
        <v>1.0984402134483307E-2</v>
      </c>
      <c r="AN17" s="3">
        <v>30</v>
      </c>
      <c r="AO17" s="3">
        <v>-5.2045072237944551E-2</v>
      </c>
      <c r="AP17" s="3">
        <f>AVERAGE(AO17:AO19)</f>
        <v>-4.9350722252168806E-2</v>
      </c>
      <c r="AW17" s="3">
        <v>12</v>
      </c>
      <c r="AX17" s="3">
        <v>5.7982088457193263E-2</v>
      </c>
      <c r="AY17" s="3">
        <f>AVERAGE(AX17:AX19)</f>
        <v>2.5638804532671571E-2</v>
      </c>
      <c r="BF17" s="3">
        <v>23.80952380952381</v>
      </c>
      <c r="BG17" s="3">
        <v>-1.8557178493755428E-3</v>
      </c>
      <c r="BH17" s="3">
        <f>AVERAGE(BG17:BG19)</f>
        <v>-1.5462956663906794E-3</v>
      </c>
      <c r="BO17" s="3">
        <v>125</v>
      </c>
      <c r="BP17" s="3">
        <v>4.3610433730917463E-2</v>
      </c>
      <c r="BQ17" s="3">
        <f>AVERAGE(BP17:BP19)</f>
        <v>2.2988285489902061E-2</v>
      </c>
      <c r="BW17" s="3">
        <v>31.7</v>
      </c>
      <c r="BX17" s="3">
        <v>-6.2168607250181251E-2</v>
      </c>
      <c r="BY17" s="3">
        <f>AVERAGE(BX17:BX19)</f>
        <v>-3.3610774656495805E-2</v>
      </c>
    </row>
    <row r="18" spans="2:77" s="3" customFormat="1" ht="14" x14ac:dyDescent="0.35">
      <c r="B18" s="17" t="s">
        <v>86</v>
      </c>
      <c r="C18" s="18" t="s">
        <v>83</v>
      </c>
      <c r="D18" s="18">
        <v>300</v>
      </c>
      <c r="E18" s="18">
        <v>60</v>
      </c>
      <c r="F18" s="18">
        <v>7.1749999999999998</v>
      </c>
      <c r="G18" s="20">
        <f t="shared" si="0"/>
        <v>5</v>
      </c>
      <c r="H18" s="20">
        <f t="shared" si="1"/>
        <v>41.811846689895468</v>
      </c>
      <c r="I18" s="20">
        <v>19.975000000000001</v>
      </c>
      <c r="J18" s="128">
        <v>2.242</v>
      </c>
      <c r="K18" s="19">
        <v>2.7490000000000001</v>
      </c>
      <c r="L18" s="19">
        <f t="shared" si="18"/>
        <v>0.22613737734165928</v>
      </c>
      <c r="M18" s="18">
        <v>1500</v>
      </c>
      <c r="N18" s="20">
        <v>44.908090000000001</v>
      </c>
      <c r="O18" s="20">
        <v>1.5</v>
      </c>
      <c r="P18" s="19">
        <v>7.3384799999999997</v>
      </c>
      <c r="Q18" s="21">
        <f t="shared" si="19"/>
        <v>8.8384800000000006</v>
      </c>
      <c r="R18" s="131">
        <f t="shared" si="2"/>
        <v>0.22120474012675809</v>
      </c>
      <c r="S18" s="69">
        <f t="shared" si="3"/>
        <v>42.127114249954182</v>
      </c>
      <c r="T18" s="43">
        <f t="shared" si="4"/>
        <v>2.7079957374308488</v>
      </c>
      <c r="U18" s="43">
        <f t="shared" si="5"/>
        <v>2.721322997655816</v>
      </c>
      <c r="V18" s="69">
        <f t="shared" si="6"/>
        <v>47.952329193422528</v>
      </c>
      <c r="W18" s="140">
        <f t="shared" si="7"/>
        <v>1.3419282933585073</v>
      </c>
      <c r="X18" s="134">
        <f t="shared" si="8"/>
        <v>40.395973025504411</v>
      </c>
      <c r="Y18" s="135">
        <f t="shared" si="9"/>
        <v>2.7913289322447956</v>
      </c>
      <c r="Z18" s="135">
        <f t="shared" si="10"/>
        <v>2.7944339554634863</v>
      </c>
      <c r="AA18" s="134">
        <f t="shared" si="11"/>
        <v>49.37042971984102</v>
      </c>
      <c r="AB18" s="134">
        <f t="shared" si="20"/>
        <v>1.67036255482521E-2</v>
      </c>
      <c r="AC18" s="57">
        <f t="shared" si="12"/>
        <v>2.7481444545657427</v>
      </c>
      <c r="AD18" s="76">
        <f t="shared" si="13"/>
        <v>9.5981717003857919E-3</v>
      </c>
      <c r="AE18" s="76">
        <f t="shared" si="14"/>
        <v>9.8077818895494495E-3</v>
      </c>
      <c r="AF18" s="76">
        <f t="shared" si="15"/>
        <v>0.15395028409040717</v>
      </c>
      <c r="AG18" s="77">
        <f t="shared" si="16"/>
        <v>7.193905507710583E-4</v>
      </c>
      <c r="AH18" s="58">
        <f t="shared" si="21"/>
        <v>1.6564893511704388E-2</v>
      </c>
      <c r="AI18" s="58">
        <f t="shared" si="22"/>
        <v>-1.6703625548252221E-2</v>
      </c>
      <c r="AJ18" s="58">
        <f t="shared" si="17"/>
        <v>0.15366865604171417</v>
      </c>
      <c r="AK18" s="59">
        <f t="shared" si="23"/>
        <v>2.142717893362199E-3</v>
      </c>
      <c r="AN18" s="3">
        <v>30</v>
      </c>
      <c r="AO18" s="3">
        <v>-6.2168607250181251E-2</v>
      </c>
      <c r="AP18" s="3">
        <f>AVERAGE(AO17:AO19)</f>
        <v>-4.9350722252168806E-2</v>
      </c>
      <c r="AW18" s="3">
        <v>12</v>
      </c>
      <c r="AX18" s="3">
        <v>5.277281240920207E-2</v>
      </c>
      <c r="AY18" s="3">
        <f>AVERAGE(AX17:AX19)</f>
        <v>2.5638804532671571E-2</v>
      </c>
      <c r="BF18" s="3">
        <v>23.80952380952381</v>
      </c>
      <c r="BG18" s="3">
        <v>2.2097269902615541E-2</v>
      </c>
      <c r="BH18" s="3">
        <f>AVERAGE(BG17:BG19)</f>
        <v>-1.5462956663906794E-3</v>
      </c>
      <c r="BO18" s="3">
        <v>125</v>
      </c>
      <c r="BP18" s="3">
        <v>-3.550381415814035E-2</v>
      </c>
      <c r="BQ18" s="3">
        <f>AVERAGE(BP17:BP19)</f>
        <v>2.2988285489902061E-2</v>
      </c>
      <c r="BW18" s="3">
        <v>49.3</v>
      </c>
      <c r="BX18" s="3">
        <v>-3.3838487268380631E-2</v>
      </c>
      <c r="BY18" s="3">
        <f>AVERAGE(BX17:BX19)</f>
        <v>-3.3610774656495805E-2</v>
      </c>
    </row>
    <row r="19" spans="2:77" s="3" customFormat="1" ht="14" x14ac:dyDescent="0.35">
      <c r="B19" s="17" t="s">
        <v>86</v>
      </c>
      <c r="C19" s="18" t="s">
        <v>83</v>
      </c>
      <c r="D19" s="18">
        <v>300</v>
      </c>
      <c r="E19" s="18">
        <v>60</v>
      </c>
      <c r="F19" s="18">
        <v>7.1749999999999998</v>
      </c>
      <c r="G19" s="20">
        <f t="shared" si="0"/>
        <v>5</v>
      </c>
      <c r="H19" s="20">
        <f t="shared" si="1"/>
        <v>41.811846689895468</v>
      </c>
      <c r="I19" s="20">
        <v>19.975000000000001</v>
      </c>
      <c r="J19" s="128">
        <v>2.242</v>
      </c>
      <c r="K19" s="19">
        <v>2.7490000000000001</v>
      </c>
      <c r="L19" s="19">
        <f t="shared" si="18"/>
        <v>0.22613737734165928</v>
      </c>
      <c r="M19" s="18">
        <v>2500</v>
      </c>
      <c r="N19" s="20">
        <v>42.039020000000001</v>
      </c>
      <c r="O19" s="20">
        <v>2.5</v>
      </c>
      <c r="P19" s="19">
        <v>10.41466</v>
      </c>
      <c r="Q19" s="21">
        <f t="shared" si="19"/>
        <v>12.91466</v>
      </c>
      <c r="R19" s="131">
        <f t="shared" si="2"/>
        <v>0.5848999373234619</v>
      </c>
      <c r="S19" s="69">
        <f t="shared" si="3"/>
        <v>39.445410851665834</v>
      </c>
      <c r="T19" s="43">
        <f t="shared" si="4"/>
        <v>4.398890594101994</v>
      </c>
      <c r="U19" s="43">
        <f t="shared" si="5"/>
        <v>4.0212578164551021</v>
      </c>
      <c r="V19" s="69">
        <f t="shared" si="6"/>
        <v>46.634505532976711</v>
      </c>
      <c r="W19" s="140">
        <f t="shared" si="7"/>
        <v>2.5894688457639057</v>
      </c>
      <c r="X19" s="134">
        <f t="shared" si="8"/>
        <v>37.754656427748166</v>
      </c>
      <c r="Y19" s="135">
        <f t="shared" si="9"/>
        <v>4.5189779821072822</v>
      </c>
      <c r="Z19" s="135">
        <f t="shared" si="10"/>
        <v>4.1171224342858004</v>
      </c>
      <c r="AA19" s="134">
        <f t="shared" si="11"/>
        <v>48.747129673362046</v>
      </c>
      <c r="AB19" s="134">
        <f t="shared" si="20"/>
        <v>-5.2743065925165969E-3</v>
      </c>
      <c r="AC19" s="57">
        <f t="shared" si="12"/>
        <v>4.1388947667891456</v>
      </c>
      <c r="AD19" s="76">
        <f t="shared" si="13"/>
        <v>2.8572614055488995E-2</v>
      </c>
      <c r="AE19" s="76">
        <f t="shared" si="14"/>
        <v>2.8834044295546146E-2</v>
      </c>
      <c r="AF19" s="76">
        <f t="shared" si="15"/>
        <v>0.8236829971243711</v>
      </c>
      <c r="AG19" s="77">
        <f t="shared" si="16"/>
        <v>1.3838452083894224E-2</v>
      </c>
      <c r="AH19" s="58">
        <f t="shared" si="21"/>
        <v>5.2882402335266143E-3</v>
      </c>
      <c r="AI19" s="58">
        <f t="shared" si="22"/>
        <v>5.2743065925164867E-3</v>
      </c>
      <c r="AJ19" s="58">
        <f t="shared" si="17"/>
        <v>0.86616999033266906</v>
      </c>
      <c r="AK19" s="59">
        <f t="shared" si="23"/>
        <v>4.7403446263622205E-4</v>
      </c>
      <c r="AN19" s="3">
        <v>60</v>
      </c>
      <c r="AO19" s="3">
        <v>-3.3838487268380631E-2</v>
      </c>
      <c r="AP19" s="3">
        <f>AVERAGE(AO17:AO19)</f>
        <v>-4.9350722252168806E-2</v>
      </c>
      <c r="AW19" s="3">
        <v>15</v>
      </c>
      <c r="AX19" s="3">
        <v>-3.3838487268380631E-2</v>
      </c>
      <c r="AY19" s="3">
        <f>AVERAGE(AX17:AX19)</f>
        <v>2.5638804532671571E-2</v>
      </c>
      <c r="BF19" s="3">
        <v>25</v>
      </c>
      <c r="BG19" s="3">
        <v>-2.4880439052412037E-2</v>
      </c>
      <c r="BH19" s="3">
        <f>AVERAGE(BG17:BG19)</f>
        <v>-1.5462956663906794E-3</v>
      </c>
      <c r="BO19" s="3">
        <v>250</v>
      </c>
      <c r="BP19" s="3">
        <v>6.0858236896929069E-2</v>
      </c>
      <c r="BQ19" s="3">
        <f>AVERAGE(BP17:BP19)</f>
        <v>2.2988285489902061E-2</v>
      </c>
      <c r="BW19" s="3">
        <v>49.3</v>
      </c>
      <c r="BX19" s="3">
        <v>-4.8252294509255455E-3</v>
      </c>
      <c r="BY19" s="3">
        <f>AVERAGE(BX17:BX19)</f>
        <v>-3.3610774656495805E-2</v>
      </c>
    </row>
    <row r="20" spans="2:77" s="3" customFormat="1" ht="14" x14ac:dyDescent="0.35">
      <c r="B20" s="22" t="s">
        <v>86</v>
      </c>
      <c r="C20" s="23" t="s">
        <v>83</v>
      </c>
      <c r="D20" s="23">
        <v>300</v>
      </c>
      <c r="E20" s="23">
        <v>60</v>
      </c>
      <c r="F20" s="23">
        <v>7.1749999999999998</v>
      </c>
      <c r="G20" s="25">
        <f t="shared" si="0"/>
        <v>5</v>
      </c>
      <c r="H20" s="25">
        <f t="shared" si="1"/>
        <v>41.811846689895468</v>
      </c>
      <c r="I20" s="25">
        <v>19.975000000000001</v>
      </c>
      <c r="J20" s="127">
        <v>2.242</v>
      </c>
      <c r="K20" s="24">
        <v>2.7490000000000001</v>
      </c>
      <c r="L20" s="24">
        <f t="shared" si="18"/>
        <v>0.22613737734165928</v>
      </c>
      <c r="M20" s="23">
        <v>3500</v>
      </c>
      <c r="N20" s="25">
        <v>40.584650000000003</v>
      </c>
      <c r="O20" s="25">
        <v>3.5</v>
      </c>
      <c r="P20" s="24">
        <v>14.19416</v>
      </c>
      <c r="Q20" s="26">
        <f t="shared" si="19"/>
        <v>17.69416</v>
      </c>
      <c r="R20" s="132">
        <f t="shared" si="2"/>
        <v>0.6895015921588451</v>
      </c>
      <c r="S20" s="70">
        <f t="shared" si="3"/>
        <v>38.996119068638997</v>
      </c>
      <c r="T20" s="46">
        <f t="shared" si="4"/>
        <v>6.131116439661989</v>
      </c>
      <c r="U20" s="46">
        <f t="shared" si="5"/>
        <v>5.5157695749671261</v>
      </c>
      <c r="V20" s="70">
        <f t="shared" si="6"/>
        <v>47.126022185712117</v>
      </c>
      <c r="W20" s="141">
        <f t="shared" si="7"/>
        <v>2.8942072008375934</v>
      </c>
      <c r="X20" s="136">
        <f t="shared" si="8"/>
        <v>37.313475125864436</v>
      </c>
      <c r="Y20" s="30">
        <f t="shared" si="9"/>
        <v>6.2950042153530124</v>
      </c>
      <c r="Z20" s="30">
        <f t="shared" si="10"/>
        <v>5.6445273025784903</v>
      </c>
      <c r="AA20" s="136">
        <f t="shared" si="11"/>
        <v>49.704358639784374</v>
      </c>
      <c r="AB20" s="136">
        <f t="shared" si="20"/>
        <v>2.8507761922982162E-2</v>
      </c>
      <c r="AC20" s="60">
        <f t="shared" si="12"/>
        <v>5.4858864535531415</v>
      </c>
      <c r="AD20" s="78">
        <f t="shared" si="13"/>
        <v>5.2941760774783643E-3</v>
      </c>
      <c r="AE20" s="78">
        <f t="shared" si="14"/>
        <v>-5.4324903139881808E-3</v>
      </c>
      <c r="AF20" s="78">
        <f t="shared" si="15"/>
        <v>5.7699959599809061</v>
      </c>
      <c r="AG20" s="79">
        <f t="shared" si="16"/>
        <v>8.9300094544294054E-4</v>
      </c>
      <c r="AH20" s="61">
        <f t="shared" si="21"/>
        <v>2.8105249655339552E-2</v>
      </c>
      <c r="AI20" s="61">
        <f t="shared" si="22"/>
        <v>-2.8507761922982322E-2</v>
      </c>
      <c r="AJ20" s="61">
        <f t="shared" si="17"/>
        <v>6.0421937069967555</v>
      </c>
      <c r="AK20" s="62">
        <f t="shared" si="23"/>
        <v>2.5166918979483515E-2</v>
      </c>
      <c r="AN20" s="3">
        <v>100</v>
      </c>
      <c r="AO20" s="3">
        <v>-1.5372684220704914E-2</v>
      </c>
      <c r="AW20" s="3">
        <v>17</v>
      </c>
      <c r="AX20" s="3">
        <v>-1.5372684220704914E-2</v>
      </c>
      <c r="BF20" s="3">
        <v>26.666666666666668</v>
      </c>
      <c r="BG20" s="3">
        <v>-6.2168607250181251E-2</v>
      </c>
      <c r="BO20" s="3">
        <v>250</v>
      </c>
      <c r="BP20" s="3">
        <v>-2.5988714756240688E-3</v>
      </c>
      <c r="BW20" s="3">
        <v>57.3</v>
      </c>
      <c r="BX20" s="3">
        <v>-1.5372684220704914E-2</v>
      </c>
    </row>
    <row r="21" spans="2:77" s="3" customFormat="1" ht="14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2:77" s="3" customFormat="1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R22" s="164" t="s">
        <v>61</v>
      </c>
      <c r="S22" s="165"/>
      <c r="X22" s="166" t="s">
        <v>62</v>
      </c>
      <c r="Y22" s="167"/>
      <c r="AC22" s="80" t="s">
        <v>63</v>
      </c>
      <c r="AD22" s="83">
        <f>AVERAGE(AD5:AD20)</f>
        <v>3.2587815162521058E-2</v>
      </c>
      <c r="AE22" s="5"/>
      <c r="AF22" s="81" t="s">
        <v>64</v>
      </c>
      <c r="AG22" s="82">
        <f>AVERAGE(U5:U20)</f>
        <v>3.1136879860153881</v>
      </c>
      <c r="AH22" s="111">
        <f>AVERAGE(AH5:AH20)</f>
        <v>2.7786882616061569E-2</v>
      </c>
      <c r="AI22" s="5"/>
      <c r="AJ22" s="6" t="s">
        <v>64</v>
      </c>
      <c r="AK22" s="4">
        <f>AVERAGE(Z5:Z20)</f>
        <v>3.1864398942472172</v>
      </c>
    </row>
    <row r="23" spans="2:77" s="3" customFormat="1" ht="17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12">
        <v>0</v>
      </c>
      <c r="M23" s="113">
        <v>0</v>
      </c>
      <c r="N23" s="2"/>
      <c r="O23" s="2"/>
      <c r="P23" s="2"/>
      <c r="R23" s="125" t="s">
        <v>65</v>
      </c>
      <c r="S23" s="41">
        <v>47</v>
      </c>
      <c r="X23" s="120" t="s">
        <v>65</v>
      </c>
      <c r="Y23" s="28">
        <v>54.999999999999993</v>
      </c>
      <c r="AD23" s="5"/>
      <c r="AF23" s="81" t="s">
        <v>66</v>
      </c>
      <c r="AG23" s="82">
        <f>SUM(AF5:AF20)</f>
        <v>35.238928409923822</v>
      </c>
      <c r="AH23" s="5"/>
      <c r="AJ23" s="6" t="s">
        <v>66</v>
      </c>
      <c r="AK23" s="4">
        <f>SUM(AJ5:AJ20)</f>
        <v>36.579458307605321</v>
      </c>
    </row>
    <row r="24" spans="2:77" s="3" customFormat="1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14">
        <v>60</v>
      </c>
      <c r="M24" s="115">
        <v>60</v>
      </c>
      <c r="N24" s="2"/>
      <c r="O24" s="2"/>
      <c r="P24" s="2"/>
      <c r="R24" s="123" t="s">
        <v>67</v>
      </c>
      <c r="S24" s="44">
        <v>20</v>
      </c>
      <c r="X24" s="121" t="s">
        <v>67</v>
      </c>
      <c r="Y24" s="29">
        <v>26.988530285663412</v>
      </c>
      <c r="AF24" s="81" t="s">
        <v>68</v>
      </c>
      <c r="AG24" s="82">
        <f>SUM(AG5:AG20)</f>
        <v>0.29439064852982477</v>
      </c>
      <c r="AJ24" s="6" t="s">
        <v>68</v>
      </c>
      <c r="AK24" s="4">
        <f>SUM(AK5:AK20)</f>
        <v>0.14626236813673213</v>
      </c>
    </row>
    <row r="25" spans="2:77" s="3" customFormat="1" ht="18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2"/>
      <c r="N25" s="2"/>
      <c r="O25" s="2"/>
      <c r="P25" s="2"/>
      <c r="R25" s="124" t="s">
        <v>69</v>
      </c>
      <c r="S25" s="47">
        <v>0.9</v>
      </c>
      <c r="X25" s="122" t="s">
        <v>69</v>
      </c>
      <c r="Y25" s="31">
        <v>0.85</v>
      </c>
      <c r="AF25" s="86" t="s">
        <v>70</v>
      </c>
      <c r="AG25" s="109">
        <f>1-(AG24/AG23)</f>
        <v>0.99164586831060053</v>
      </c>
      <c r="AJ25" s="85" t="s">
        <v>87</v>
      </c>
      <c r="AK25" s="110">
        <f>1-(AK24/AK23)</f>
        <v>0.99600151629073408</v>
      </c>
    </row>
    <row r="26" spans="2:77" x14ac:dyDescent="0.35">
      <c r="S26" s="2"/>
      <c r="T26" s="2"/>
    </row>
    <row r="27" spans="2:77" ht="17" x14ac:dyDescent="0.35">
      <c r="N27" s="103" t="s">
        <v>8</v>
      </c>
      <c r="O27" s="104" t="s">
        <v>19</v>
      </c>
      <c r="P27" s="105" t="s">
        <v>71</v>
      </c>
      <c r="Q27" s="105" t="s">
        <v>72</v>
      </c>
    </row>
    <row r="28" spans="2:77" ht="16.5" x14ac:dyDescent="0.35">
      <c r="N28" s="12" t="s">
        <v>82</v>
      </c>
      <c r="O28" s="15">
        <v>0.5</v>
      </c>
      <c r="P28" s="15">
        <f t="shared" ref="P28:P43" si="24">+V5-AA5</f>
        <v>0.10909544830501972</v>
      </c>
      <c r="Q28" s="155">
        <f t="shared" ref="Q28:Q43" si="25">ABS(V5-AA5)/V5</f>
        <v>2.3040584167000606E-3</v>
      </c>
      <c r="S28" s="64" t="s">
        <v>73</v>
      </c>
      <c r="T28" s="65" cm="1">
        <f t="array" ref="T28">SUMPRODUCT(1/COUNTIF($O$5:$O$20,$O$5:$O$20),(AB5:AB20)^2 )</f>
        <v>5.1817642940595217E-3</v>
      </c>
    </row>
    <row r="29" spans="2:77" x14ac:dyDescent="0.35">
      <c r="N29" s="90" t="s">
        <v>82</v>
      </c>
      <c r="O29" s="92">
        <v>1.5</v>
      </c>
      <c r="P29" s="92">
        <f t="shared" si="24"/>
        <v>-1.3757727694498953</v>
      </c>
      <c r="Q29" s="107">
        <f t="shared" si="25"/>
        <v>3.1167843558097898E-2</v>
      </c>
    </row>
    <row r="30" spans="2:77" x14ac:dyDescent="0.35">
      <c r="N30" s="90" t="s">
        <v>82</v>
      </c>
      <c r="O30" s="92">
        <v>2.5</v>
      </c>
      <c r="P30" s="92">
        <f t="shared" si="24"/>
        <v>-2.0729886652705076</v>
      </c>
      <c r="Q30" s="107">
        <f t="shared" si="25"/>
        <v>4.7873298748103997E-2</v>
      </c>
      <c r="U30" s="148">
        <f t="shared" ref="U30:U45" si="26">W5-O5</f>
        <v>-4.9495358573889481E-2</v>
      </c>
      <c r="V30" s="150">
        <f t="shared" ref="V30:V45" si="27">ABS(W5-O5)/W5</f>
        <v>0.1098664786609251</v>
      </c>
    </row>
    <row r="31" spans="2:77" x14ac:dyDescent="0.35">
      <c r="N31" s="100" t="s">
        <v>82</v>
      </c>
      <c r="O31" s="102">
        <v>3.5</v>
      </c>
      <c r="P31" s="102">
        <f t="shared" si="24"/>
        <v>-2.5452896608492566</v>
      </c>
      <c r="Q31" s="108">
        <f t="shared" si="25"/>
        <v>5.8377160090224568E-2</v>
      </c>
      <c r="U31" s="148">
        <f t="shared" si="26"/>
        <v>0.51950718908977089</v>
      </c>
      <c r="V31" s="150">
        <f t="shared" si="27"/>
        <v>0.25724453564531374</v>
      </c>
    </row>
    <row r="32" spans="2:77" x14ac:dyDescent="0.35">
      <c r="N32" s="12" t="s">
        <v>84</v>
      </c>
      <c r="O32" s="15">
        <v>0.5</v>
      </c>
      <c r="P32" s="15">
        <f t="shared" si="24"/>
        <v>9.4310765006888175E-2</v>
      </c>
      <c r="Q32" s="155">
        <f t="shared" si="25"/>
        <v>1.9464338377210813E-3</v>
      </c>
      <c r="U32" s="148">
        <f t="shared" si="26"/>
        <v>0.97893824419845066</v>
      </c>
      <c r="V32" s="150">
        <f t="shared" si="27"/>
        <v>0.28138994586378424</v>
      </c>
    </row>
    <row r="33" spans="14:24" x14ac:dyDescent="0.35">
      <c r="N33" s="90" t="s">
        <v>84</v>
      </c>
      <c r="O33" s="92">
        <v>1.5</v>
      </c>
      <c r="P33" s="92">
        <f t="shared" si="24"/>
        <v>-1.4020552793625072</v>
      </c>
      <c r="Q33" s="107">
        <f t="shared" si="25"/>
        <v>3.0353220335425955E-2</v>
      </c>
      <c r="U33" s="148">
        <f t="shared" si="26"/>
        <v>0.56978647975886965</v>
      </c>
      <c r="V33" s="150">
        <f t="shared" si="27"/>
        <v>0.14000402296108391</v>
      </c>
      <c r="W33" s="2"/>
    </row>
    <row r="34" spans="14:24" x14ac:dyDescent="0.35">
      <c r="N34" s="90" t="s">
        <v>84</v>
      </c>
      <c r="O34" s="92">
        <v>2.5</v>
      </c>
      <c r="P34" s="92">
        <f t="shared" si="24"/>
        <v>-2.0859235769013935</v>
      </c>
      <c r="Q34" s="107">
        <f t="shared" si="25"/>
        <v>4.7249093613778076E-2</v>
      </c>
      <c r="S34" s="2"/>
      <c r="T34" s="2"/>
      <c r="U34" s="148">
        <f t="shared" si="26"/>
        <v>-9.1300949008162269E-2</v>
      </c>
      <c r="V34" s="150">
        <f t="shared" si="27"/>
        <v>0.22339408126001661</v>
      </c>
      <c r="W34" s="2"/>
    </row>
    <row r="35" spans="14:24" x14ac:dyDescent="0.35">
      <c r="N35" s="100" t="s">
        <v>84</v>
      </c>
      <c r="O35" s="102">
        <v>3.5</v>
      </c>
      <c r="P35" s="102">
        <f t="shared" si="24"/>
        <v>-2.5541748135644085</v>
      </c>
      <c r="Q35" s="108">
        <f t="shared" si="25"/>
        <v>5.7750014382745581E-2</v>
      </c>
      <c r="S35" s="2"/>
      <c r="T35" s="2"/>
      <c r="U35" s="148">
        <f t="shared" si="26"/>
        <v>-3.3426714877981434E-2</v>
      </c>
      <c r="V35" s="150">
        <f t="shared" si="27"/>
        <v>2.2792393136494601E-2</v>
      </c>
      <c r="W35" s="2"/>
    </row>
    <row r="36" spans="14:24" x14ac:dyDescent="0.35">
      <c r="N36" s="12" t="s">
        <v>85</v>
      </c>
      <c r="O36" s="15">
        <v>0.5</v>
      </c>
      <c r="P36" s="15">
        <f t="shared" si="24"/>
        <v>7.6068238203170324E-2</v>
      </c>
      <c r="Q36" s="155">
        <f t="shared" si="25"/>
        <v>1.526150420819473E-3</v>
      </c>
      <c r="S36" s="2"/>
      <c r="T36" s="2"/>
      <c r="U36" s="148">
        <f t="shared" si="26"/>
        <v>0.85682249125407628</v>
      </c>
      <c r="V36" s="150">
        <f t="shared" si="27"/>
        <v>0.25524807864772608</v>
      </c>
      <c r="W36" s="2"/>
    </row>
    <row r="37" spans="14:24" x14ac:dyDescent="0.35">
      <c r="N37" s="90" t="s">
        <v>85</v>
      </c>
      <c r="O37" s="92">
        <v>1.5</v>
      </c>
      <c r="P37" s="92">
        <f t="shared" si="24"/>
        <v>-1.4073263582154922</v>
      </c>
      <c r="Q37" s="107">
        <f t="shared" si="25"/>
        <v>3.013514940273701E-2</v>
      </c>
      <c r="S37" s="2"/>
      <c r="T37" s="2"/>
      <c r="U37" s="148">
        <f t="shared" si="26"/>
        <v>0.63517782084230578</v>
      </c>
      <c r="V37" s="150">
        <f t="shared" si="27"/>
        <v>0.15360350832819195</v>
      </c>
      <c r="W37" s="2"/>
    </row>
    <row r="38" spans="14:24" x14ac:dyDescent="0.35">
      <c r="N38" s="90" t="s">
        <v>85</v>
      </c>
      <c r="O38" s="92">
        <v>2.5</v>
      </c>
      <c r="P38" s="92">
        <f t="shared" si="24"/>
        <v>-2.105568521610877</v>
      </c>
      <c r="Q38" s="107">
        <f t="shared" si="25"/>
        <v>4.5973792680567782E-2</v>
      </c>
      <c r="S38" s="2"/>
      <c r="T38" s="2"/>
      <c r="U38" s="148">
        <f t="shared" si="26"/>
        <v>-0.15374223694925293</v>
      </c>
      <c r="V38" s="150">
        <f t="shared" si="27"/>
        <v>0.44401094604980934</v>
      </c>
      <c r="W38" s="2"/>
      <c r="X38" s="2"/>
    </row>
    <row r="39" spans="14:24" x14ac:dyDescent="0.35">
      <c r="N39" s="100" t="s">
        <v>85</v>
      </c>
      <c r="O39" s="102">
        <v>3.5</v>
      </c>
      <c r="P39" s="102">
        <f t="shared" si="24"/>
        <v>-2.5704337834394622</v>
      </c>
      <c r="Q39" s="108">
        <f t="shared" si="25"/>
        <v>5.6171633710011132E-2</v>
      </c>
      <c r="S39" s="2"/>
      <c r="T39" s="2"/>
      <c r="U39" s="148">
        <f t="shared" si="26"/>
        <v>3.4056144127719845E-2</v>
      </c>
      <c r="V39" s="150">
        <f t="shared" si="27"/>
        <v>2.2200063705676509E-2</v>
      </c>
      <c r="W39" s="2"/>
      <c r="X39" s="2"/>
    </row>
    <row r="40" spans="14:24" x14ac:dyDescent="0.35">
      <c r="N40" s="12" t="s">
        <v>86</v>
      </c>
      <c r="O40" s="15">
        <v>0.5</v>
      </c>
      <c r="P40" s="15">
        <f t="shared" si="24"/>
        <v>5.5921544933497103E-2</v>
      </c>
      <c r="Q40" s="155">
        <f t="shared" si="25"/>
        <v>1.0873603643923944E-3</v>
      </c>
      <c r="S40" s="2"/>
      <c r="T40" s="2"/>
      <c r="U40" s="148">
        <f t="shared" si="26"/>
        <v>0.1810974244140251</v>
      </c>
      <c r="V40" s="150">
        <f t="shared" si="27"/>
        <v>6.7546006633311867E-2</v>
      </c>
      <c r="W40" s="2"/>
      <c r="X40" s="2"/>
    </row>
    <row r="41" spans="14:24" x14ac:dyDescent="0.35">
      <c r="N41" s="90" t="s">
        <v>86</v>
      </c>
      <c r="O41" s="92">
        <v>1.5</v>
      </c>
      <c r="P41" s="92">
        <f t="shared" si="24"/>
        <v>-1.4181005264184918</v>
      </c>
      <c r="Q41" s="107">
        <f t="shared" si="25"/>
        <v>2.9573131279992303E-2</v>
      </c>
      <c r="S41" s="2"/>
      <c r="T41" s="2"/>
      <c r="U41" s="148">
        <f t="shared" si="26"/>
        <v>-0.10264561158821994</v>
      </c>
      <c r="V41" s="150">
        <f t="shared" si="27"/>
        <v>3.0213395440387206E-2</v>
      </c>
      <c r="W41" s="2"/>
      <c r="X41" s="2"/>
    </row>
    <row r="42" spans="14:24" x14ac:dyDescent="0.35">
      <c r="N42" s="90" t="s">
        <v>86</v>
      </c>
      <c r="O42" s="92">
        <v>2.5</v>
      </c>
      <c r="P42" s="92">
        <f t="shared" si="24"/>
        <v>-2.1126241403853356</v>
      </c>
      <c r="Q42" s="107">
        <f t="shared" si="25"/>
        <v>4.5301737763498606E-2</v>
      </c>
      <c r="S42" s="2"/>
      <c r="T42" s="2"/>
      <c r="U42" s="148">
        <f t="shared" si="26"/>
        <v>-0.2216545077335455</v>
      </c>
      <c r="V42" s="150">
        <f t="shared" si="27"/>
        <v>0.7963287133867436</v>
      </c>
      <c r="W42" s="2"/>
    </row>
    <row r="43" spans="14:24" x14ac:dyDescent="0.35">
      <c r="N43" s="100" t="s">
        <v>86</v>
      </c>
      <c r="O43" s="102">
        <v>3.5</v>
      </c>
      <c r="P43" s="102">
        <f t="shared" si="24"/>
        <v>-2.5783364540722573</v>
      </c>
      <c r="Q43" s="108">
        <f t="shared" si="25"/>
        <v>5.4711523156180351E-2</v>
      </c>
      <c r="S43" s="2"/>
      <c r="T43" s="2"/>
      <c r="U43" s="148">
        <f t="shared" si="26"/>
        <v>-0.15807170664149273</v>
      </c>
      <c r="V43" s="150">
        <f t="shared" si="27"/>
        <v>0.11779445103275914</v>
      </c>
      <c r="W43" s="2"/>
    </row>
    <row r="44" spans="14:24" x14ac:dyDescent="0.35">
      <c r="S44" s="2"/>
      <c r="T44" s="2"/>
      <c r="U44" s="148">
        <f t="shared" si="26"/>
        <v>8.946884576390568E-2</v>
      </c>
      <c r="V44" s="150">
        <f t="shared" si="27"/>
        <v>3.4551041581468399E-2</v>
      </c>
      <c r="W44" s="2"/>
    </row>
    <row r="45" spans="14:24" x14ac:dyDescent="0.35">
      <c r="S45" s="2"/>
      <c r="T45" s="2"/>
      <c r="U45" s="148">
        <f t="shared" si="26"/>
        <v>-0.60579279916240658</v>
      </c>
      <c r="V45" s="150">
        <f t="shared" si="27"/>
        <v>0.20931217329121704</v>
      </c>
      <c r="W45" s="2"/>
    </row>
    <row r="46" spans="14:24" x14ac:dyDescent="0.35">
      <c r="S46" s="2"/>
      <c r="T46" s="2"/>
      <c r="U46" s="2"/>
      <c r="V46" s="151">
        <f>AVERAGE(V30:V45)</f>
        <v>0.19784373972655683</v>
      </c>
      <c r="W46" s="2"/>
    </row>
    <row r="47" spans="14:24" x14ac:dyDescent="0.35">
      <c r="S47" s="2"/>
      <c r="T47" s="2"/>
      <c r="U47" s="2"/>
      <c r="V47" s="2"/>
      <c r="W47" s="2"/>
    </row>
    <row r="48" spans="14:24" x14ac:dyDescent="0.35">
      <c r="S48" s="2"/>
      <c r="T48" s="2"/>
      <c r="U48" s="2"/>
      <c r="V48" s="2"/>
      <c r="W48" s="2"/>
    </row>
    <row r="49" spans="19:23" x14ac:dyDescent="0.35">
      <c r="S49" s="2"/>
      <c r="T49" s="2"/>
      <c r="U49" s="2"/>
      <c r="V49" s="2"/>
      <c r="W49" s="2"/>
    </row>
    <row r="50" spans="19:23" x14ac:dyDescent="0.35">
      <c r="S50" s="2"/>
      <c r="T50" s="2"/>
      <c r="U50" s="2"/>
      <c r="V50" s="2"/>
      <c r="W50" s="2"/>
    </row>
    <row r="51" spans="19:23" x14ac:dyDescent="0.35">
      <c r="T51" s="2"/>
      <c r="U51" s="2"/>
      <c r="V51" s="2"/>
      <c r="W51" s="2"/>
    </row>
    <row r="52" spans="19:23" x14ac:dyDescent="0.35">
      <c r="S52" s="2"/>
      <c r="U52" s="2"/>
      <c r="V52" s="2"/>
      <c r="W52" s="2"/>
    </row>
    <row r="53" spans="19:23" x14ac:dyDescent="0.35">
      <c r="S53" s="2"/>
      <c r="U53" s="2"/>
      <c r="V53" s="2"/>
      <c r="W53" s="2"/>
    </row>
    <row r="54" spans="19:23" x14ac:dyDescent="0.35">
      <c r="S54" s="2"/>
      <c r="U54" s="2"/>
      <c r="V54" s="2"/>
      <c r="W54" s="2"/>
    </row>
    <row r="55" spans="19:23" x14ac:dyDescent="0.35">
      <c r="S55" s="2"/>
    </row>
  </sheetData>
  <mergeCells count="7">
    <mergeCell ref="R22:S22"/>
    <mergeCell ref="X22:Y22"/>
    <mergeCell ref="AH2:AJ2"/>
    <mergeCell ref="AD2:AF2"/>
    <mergeCell ref="C2:E2"/>
    <mergeCell ref="R2:S2"/>
    <mergeCell ref="W2:X2"/>
  </mergeCells>
  <conditionalFormatting sqref="AF22">
    <cfRule type="expression" dxfId="27" priority="10">
      <formula>$I40=2</formula>
    </cfRule>
  </conditionalFormatting>
  <conditionalFormatting sqref="AF22:AF25">
    <cfRule type="expression" dxfId="26" priority="12">
      <formula>$I86=2</formula>
    </cfRule>
  </conditionalFormatting>
  <conditionalFormatting sqref="AF23">
    <cfRule type="expression" dxfId="25" priority="9">
      <formula>$I43=2</formula>
    </cfRule>
  </conditionalFormatting>
  <conditionalFormatting sqref="AF24">
    <cfRule type="expression" dxfId="24" priority="11">
      <formula>$I43=2</formula>
    </cfRule>
  </conditionalFormatting>
  <conditionalFormatting sqref="AF4:AG4">
    <cfRule type="expression" dxfId="23" priority="13">
      <formula>#REF!=2</formula>
    </cfRule>
  </conditionalFormatting>
  <conditionalFormatting sqref="AF25:AG25">
    <cfRule type="expression" dxfId="22" priority="7">
      <formula>$I43=2</formula>
    </cfRule>
  </conditionalFormatting>
  <conditionalFormatting sqref="AG25">
    <cfRule type="expression" dxfId="21" priority="8">
      <formula>$I89=2</formula>
    </cfRule>
  </conditionalFormatting>
  <conditionalFormatting sqref="AJ22">
    <cfRule type="expression" dxfId="20" priority="4">
      <formula>$I29=2</formula>
    </cfRule>
  </conditionalFormatting>
  <conditionalFormatting sqref="AJ22:AJ25">
    <cfRule type="expression" dxfId="19" priority="6">
      <formula>$I75=2</formula>
    </cfRule>
  </conditionalFormatting>
  <conditionalFormatting sqref="AJ23">
    <cfRule type="expression" dxfId="18" priority="3">
      <formula>$I32=2</formula>
    </cfRule>
  </conditionalFormatting>
  <conditionalFormatting sqref="AJ24">
    <cfRule type="expression" dxfId="17" priority="5">
      <formula>$I32=2</formula>
    </cfRule>
  </conditionalFormatting>
  <conditionalFormatting sqref="AJ25:AK25">
    <cfRule type="expression" dxfId="16" priority="1">
      <formula>$I32=2</formula>
    </cfRule>
  </conditionalFormatting>
  <conditionalFormatting sqref="AJ4:AN4 AP4:AW4 AY4:BF4 BH4:CD4 AX5">
    <cfRule type="expression" dxfId="15" priority="14">
      <formula>#REF!=2</formula>
    </cfRule>
  </conditionalFormatting>
  <conditionalFormatting sqref="AK25">
    <cfRule type="expression" dxfId="14" priority="2">
      <formula>$I78=2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FA49-F8B8-428D-A343-7CBD67AA7E1E}">
  <dimension ref="B1:CB51"/>
  <sheetViews>
    <sheetView zoomScaleNormal="100" workbookViewId="0">
      <selection activeCell="O8" sqref="O8"/>
    </sheetView>
  </sheetViews>
  <sheetFormatPr defaultColWidth="9.1796875" defaultRowHeight="14.5" x14ac:dyDescent="0.35"/>
  <cols>
    <col min="1" max="1" width="2.26953125" style="7" customWidth="1"/>
    <col min="2" max="2" width="30.26953125" style="2" bestFit="1" customWidth="1"/>
    <col min="3" max="3" width="13.54296875" style="2" bestFit="1" customWidth="1"/>
    <col min="4" max="4" width="8" style="2" bestFit="1" customWidth="1"/>
    <col min="5" max="5" width="10.453125" style="2" bestFit="1" customWidth="1"/>
    <col min="6" max="6" width="9" style="2" bestFit="1" customWidth="1"/>
    <col min="7" max="7" width="8.453125" style="2" bestFit="1" customWidth="1"/>
    <col min="8" max="8" width="7" style="2" bestFit="1" customWidth="1"/>
    <col min="9" max="10" width="4.453125" style="2" bestFit="1" customWidth="1"/>
    <col min="11" max="11" width="7.54296875" style="2" bestFit="1" customWidth="1"/>
    <col min="12" max="12" width="5" style="2" bestFit="1" customWidth="1"/>
    <col min="13" max="13" width="8.1796875" style="2" bestFit="1" customWidth="1"/>
    <col min="14" max="14" width="17.26953125" style="2" bestFit="1" customWidth="1"/>
    <col min="15" max="15" width="20.1796875" style="2" bestFit="1" customWidth="1"/>
    <col min="16" max="16" width="18.81640625" style="2" bestFit="1" customWidth="1"/>
    <col min="17" max="18" width="16.54296875" style="2" customWidth="1"/>
    <col min="19" max="19" width="28.453125" style="7" bestFit="1" customWidth="1"/>
    <col min="20" max="20" width="20.1796875" style="7" bestFit="1" customWidth="1"/>
    <col min="21" max="25" width="19.453125" style="7" customWidth="1"/>
    <col min="26" max="26" width="24.453125" style="7" bestFit="1" customWidth="1"/>
    <col min="27" max="27" width="16.1796875" style="7" bestFit="1" customWidth="1"/>
    <col min="28" max="28" width="12" style="7" bestFit="1" customWidth="1"/>
    <col min="29" max="29" width="8.54296875" style="7" bestFit="1" customWidth="1"/>
    <col min="30" max="30" width="5.54296875" style="7" bestFit="1" customWidth="1"/>
    <col min="31" max="31" width="16.1796875" style="7" bestFit="1" customWidth="1"/>
    <col min="32" max="32" width="12" style="7" bestFit="1" customWidth="1"/>
    <col min="33" max="33" width="8.81640625" style="7" bestFit="1" customWidth="1"/>
    <col min="34" max="34" width="5.54296875" style="7" bestFit="1" customWidth="1"/>
    <col min="35" max="16384" width="9.1796875" style="7"/>
  </cols>
  <sheetData>
    <row r="1" spans="2:80" x14ac:dyDescent="0.35">
      <c r="S1" s="2"/>
      <c r="T1" s="2"/>
      <c r="U1" s="2"/>
    </row>
    <row r="2" spans="2:80" s="3" customFormat="1" ht="14" x14ac:dyDescent="0.35">
      <c r="B2" s="11" t="s">
        <v>88</v>
      </c>
      <c r="C2" s="168" t="s">
        <v>89</v>
      </c>
      <c r="D2" s="169"/>
      <c r="E2" s="170"/>
      <c r="F2" s="1"/>
      <c r="G2" s="1"/>
      <c r="H2" s="1"/>
      <c r="I2" s="1"/>
      <c r="J2" s="1"/>
      <c r="K2" s="1"/>
      <c r="L2" s="1"/>
      <c r="M2" s="1"/>
      <c r="N2" s="1"/>
      <c r="O2" s="1"/>
      <c r="P2" s="164" t="s">
        <v>2</v>
      </c>
      <c r="Q2" s="165"/>
      <c r="U2" s="166" t="s">
        <v>4</v>
      </c>
      <c r="V2" s="167"/>
      <c r="AA2" s="66" t="s">
        <v>4</v>
      </c>
      <c r="AB2" s="158" t="s">
        <v>5</v>
      </c>
      <c r="AC2" s="159"/>
      <c r="AD2" s="159"/>
      <c r="AE2" s="160"/>
      <c r="AF2" s="161" t="s">
        <v>6</v>
      </c>
      <c r="AG2" s="162"/>
      <c r="AH2" s="162"/>
      <c r="AI2" s="163"/>
    </row>
    <row r="3" spans="2:80" s="3" customFormat="1" ht="14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AH3" s="3" t="s">
        <v>7</v>
      </c>
    </row>
    <row r="4" spans="2:80" s="3" customFormat="1" ht="17" x14ac:dyDescent="0.35">
      <c r="B4" s="8" t="s">
        <v>8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9" t="s">
        <v>14</v>
      </c>
      <c r="I4" s="9" t="s">
        <v>15</v>
      </c>
      <c r="J4" s="9" t="s">
        <v>80</v>
      </c>
      <c r="K4" s="9" t="s">
        <v>17</v>
      </c>
      <c r="L4" s="63" t="s">
        <v>18</v>
      </c>
      <c r="M4" s="9" t="s">
        <v>19</v>
      </c>
      <c r="N4" s="9" t="s">
        <v>81</v>
      </c>
      <c r="O4" s="9" t="s">
        <v>21</v>
      </c>
      <c r="P4" s="36" t="s">
        <v>22</v>
      </c>
      <c r="Q4" s="37" t="s">
        <v>23</v>
      </c>
      <c r="R4" s="37" t="s">
        <v>24</v>
      </c>
      <c r="S4" s="38" t="s">
        <v>25</v>
      </c>
      <c r="T4" s="37" t="s">
        <v>26</v>
      </c>
      <c r="U4" s="32" t="s">
        <v>22</v>
      </c>
      <c r="V4" s="33" t="s">
        <v>27</v>
      </c>
      <c r="W4" s="33" t="s">
        <v>24</v>
      </c>
      <c r="X4" s="34" t="s">
        <v>25</v>
      </c>
      <c r="Y4" s="33" t="s">
        <v>26</v>
      </c>
      <c r="Z4" s="35" t="s">
        <v>28</v>
      </c>
      <c r="AA4" s="133" t="s">
        <v>29</v>
      </c>
      <c r="AB4" s="116" t="s">
        <v>30</v>
      </c>
      <c r="AC4" s="72" t="s">
        <v>31</v>
      </c>
      <c r="AD4" s="73" t="s">
        <v>32</v>
      </c>
      <c r="AE4" s="73" t="s">
        <v>33</v>
      </c>
      <c r="AF4" s="53" t="s">
        <v>30</v>
      </c>
      <c r="AG4" s="53" t="s">
        <v>31</v>
      </c>
      <c r="AH4" s="51" t="s">
        <v>32</v>
      </c>
      <c r="AI4" s="51" t="s">
        <v>33</v>
      </c>
      <c r="AJ4" s="1"/>
      <c r="AK4" s="1"/>
      <c r="AL4" s="1" t="s">
        <v>34</v>
      </c>
      <c r="AM4" s="3" t="s">
        <v>35</v>
      </c>
      <c r="AN4" s="1" t="s">
        <v>36</v>
      </c>
      <c r="AO4" s="1"/>
      <c r="AP4" s="1"/>
      <c r="AQ4" s="1"/>
      <c r="AR4" s="1"/>
      <c r="AS4" s="1"/>
      <c r="AT4" s="1"/>
      <c r="AU4" s="1" t="s">
        <v>37</v>
      </c>
      <c r="AV4" s="3" t="s">
        <v>35</v>
      </c>
      <c r="AW4" s="1" t="s">
        <v>36</v>
      </c>
      <c r="AX4" s="1"/>
      <c r="AY4" s="1"/>
      <c r="AZ4" s="1"/>
      <c r="BA4" s="1"/>
      <c r="BB4" s="1"/>
      <c r="BC4" s="1"/>
      <c r="BD4" s="1" t="s">
        <v>13</v>
      </c>
      <c r="BE4" s="3" t="s">
        <v>35</v>
      </c>
      <c r="BF4" s="1" t="s">
        <v>36</v>
      </c>
      <c r="BG4" s="1"/>
      <c r="BH4" s="1"/>
      <c r="BI4" s="1"/>
      <c r="BJ4" s="1"/>
      <c r="BK4" s="1"/>
      <c r="BL4" s="1"/>
      <c r="BM4" s="1" t="s">
        <v>14</v>
      </c>
      <c r="BN4" s="1" t="s">
        <v>35</v>
      </c>
      <c r="BO4" s="1" t="s">
        <v>36</v>
      </c>
      <c r="BP4" s="1"/>
      <c r="BQ4" s="1"/>
      <c r="BR4" s="1"/>
      <c r="BS4" s="1"/>
      <c r="BT4" s="1"/>
      <c r="BU4" s="1" t="s">
        <v>15</v>
      </c>
      <c r="BV4" s="1" t="s">
        <v>35</v>
      </c>
      <c r="BW4" s="1" t="s">
        <v>36</v>
      </c>
      <c r="BX4" s="1"/>
      <c r="BY4" s="1"/>
      <c r="BZ4" s="1"/>
      <c r="CA4" s="1"/>
      <c r="CB4" s="1"/>
    </row>
    <row r="5" spans="2:80" s="3" customFormat="1" ht="14" x14ac:dyDescent="0.35">
      <c r="B5" s="12" t="s">
        <v>38</v>
      </c>
      <c r="C5" s="13" t="s">
        <v>83</v>
      </c>
      <c r="D5" s="13">
        <v>300</v>
      </c>
      <c r="E5" s="13">
        <v>60</v>
      </c>
      <c r="F5" s="13">
        <v>7</v>
      </c>
      <c r="G5" s="14">
        <f t="shared" ref="G5:G16" si="0">D5/E5</f>
        <v>5</v>
      </c>
      <c r="H5" s="15">
        <f t="shared" ref="H5:H16" si="1">D5/F5</f>
        <v>42.857142857142854</v>
      </c>
      <c r="I5" s="15">
        <v>36.299999999999997</v>
      </c>
      <c r="J5" s="14">
        <v>0.25</v>
      </c>
      <c r="K5" s="13">
        <v>400</v>
      </c>
      <c r="L5" s="13">
        <v>49.26482</v>
      </c>
      <c r="M5" s="15">
        <f>K5/1000</f>
        <v>0.4</v>
      </c>
      <c r="N5" s="15">
        <v>2.4962</v>
      </c>
      <c r="O5" s="15">
        <f>M5+N5</f>
        <v>2.8961999999999999</v>
      </c>
      <c r="P5" s="39">
        <f t="shared" ref="P5:P16" si="2">0.1013*((TAN(RADIANS($Q$19-$Q$20*J5))*10^(1-$Q$21)*$Q$21/TAN(RADIANS(Q5)))^(1/(1-$Q$21)))*(($Q$21*(1+SIN(RADIANS(Q5)))-SIN(RADIANS(Q5)))/( $Q$21*(1+SIN(RADIANS(Q5)))))</f>
        <v>0.12720772347727563</v>
      </c>
      <c r="Q5" s="68">
        <f t="shared" ref="Q5:Q16" si="3">DEGREES(ASIN((SQRT(4*$Q$21*($Q$21-1)*(O5-M5)^2+(O5+M5)^2)-(O5+M5))/(2*($Q$21-1)*(O5-M5))))</f>
        <v>46.130979926194662</v>
      </c>
      <c r="R5" s="40">
        <f t="shared" ref="R5:R16" si="4">(O5+M5)/2-(O5-M5)/2*SIN(RADIANS(Q5))</f>
        <v>0.74831234690476101</v>
      </c>
      <c r="S5" s="40">
        <f t="shared" ref="S5:S16" si="5">(O5-M5)/2*COS(RADIANS(Q5))</f>
        <v>0.86494843160581658</v>
      </c>
      <c r="T5" s="41">
        <f t="shared" ref="T5:T16" si="6">DEGREES(ATAN((20*0.1013)^($Q$21-1)*(O5-M5)*SQRT(1-SIN(RADIANS(Q5))^2)*(O5+M5-(O5-M5)*SIN(RADIANS(Q5)))^-$Q$21))</f>
        <v>48.274869994480198</v>
      </c>
      <c r="U5" s="139">
        <f t="shared" ref="U5:U16" si="7">0.1013*((TAN(RADIANS($V$19-$V$20*J5))*10^(1-$V$21)*$V$21/TAN(RADIANS(V5)))^(1/(1-$V$21)))*(($V$21*(1+SIN(RADIANS(V5)))-SIN(RADIANS(V5)))/( $V$21*(1+SIN(RADIANS(V5)))))</f>
        <v>0.28265585960197648</v>
      </c>
      <c r="V5" s="137">
        <f t="shared" ref="V5:V16" si="8">DEGREES(ASIN((SQRT(4*$V$21*($V$21-1)*(O5-M5)^2+(O5+M5)^2)-(O5+M5))/(2*($V$21-1)*(O5-M5))))</f>
        <v>45.558069157676719</v>
      </c>
      <c r="W5" s="27">
        <f t="shared" ref="W5:W16" si="9">(O5+M5)/2-(O5-M5)/2*SIN(RADIANS(V5))</f>
        <v>0.75700595879889254</v>
      </c>
      <c r="X5" s="27">
        <f t="shared" ref="X5:X16" si="10">(O5-M5)/2*COS(RADIANS(V5))</f>
        <v>0.87390217972944717</v>
      </c>
      <c r="Y5" s="137">
        <f t="shared" ref="Y5:Y16" si="11">DEGREES(ATAN((20*0.1013)^($V$21-1)*(O5-M5)*SQRT(1-SIN(RADIANS(V5))^2)*(O5+M5-(O5-M5)*SIN(RADIANS(V5)))^-$V$21))</f>
        <v>48.133428439663049</v>
      </c>
      <c r="Z5" s="145">
        <f>LN(X5/AA5)</f>
        <v>4.0530053644597573E-2</v>
      </c>
      <c r="AA5" s="55">
        <f t="shared" ref="AA5:AA16" si="12">TAN(RADIANS($V$19-$V$20*J5))*(10*0.1013)^(1-$V$21)*W5^$V$21</f>
        <v>0.83919105095210178</v>
      </c>
      <c r="AB5" s="117">
        <f t="shared" ref="AB5:AB16" si="13">ABS(AA5-S5)/X5</f>
        <v>2.9473986049204124E-2</v>
      </c>
      <c r="AC5" s="74">
        <f t="shared" ref="AC5:AC16" si="14">LN(MAX(AA5,0.000000000001)) - LN(MAX(S5,0.000000000001))</f>
        <v>-3.0231495273268877E-2</v>
      </c>
      <c r="AD5" s="75">
        <f t="shared" ref="AD5:AD16" si="15">(S5-$AE$18)^2</f>
        <v>1.560012549045894</v>
      </c>
      <c r="AE5" s="75">
        <f t="shared" ref="AE5:AE16" si="16">(S5-AA5)^2</f>
        <v>6.6344265814036153E-4</v>
      </c>
      <c r="AF5" s="55">
        <f>ABS(AA5-X5)/X5</f>
        <v>3.9719695845239412E-2</v>
      </c>
      <c r="AG5" s="55">
        <f>LN(MAX(AA5,0.000000000001)) - LN(MAX(X5,0.000000000001))</f>
        <v>-4.0530053644597608E-2</v>
      </c>
      <c r="AH5" s="55">
        <f t="shared" ref="AH5:AH16" si="17">(X5-$AI$18)^2</f>
        <v>1.5825333758552893</v>
      </c>
      <c r="AI5" s="56">
        <f t="shared" ref="AI5:AI16" si="18">(X5-AA5)^2</f>
        <v>1.2048624609974554E-3</v>
      </c>
      <c r="AL5" s="3">
        <v>4</v>
      </c>
      <c r="AM5" s="3">
        <v>-2.4880439052412037E-2</v>
      </c>
      <c r="AU5" s="3">
        <v>0.4</v>
      </c>
      <c r="AV5" s="1">
        <v>6.0858236896929069E-2</v>
      </c>
      <c r="BD5" s="3">
        <v>7.5</v>
      </c>
      <c r="BE5" s="3">
        <v>0.11334024542131316</v>
      </c>
      <c r="BM5" s="3">
        <v>12.5</v>
      </c>
      <c r="BN5" s="3">
        <v>5.7982088457193263E-2</v>
      </c>
      <c r="BU5" s="3">
        <v>1.8</v>
      </c>
      <c r="BV5" s="3">
        <v>-2.4880439052412037E-2</v>
      </c>
    </row>
    <row r="6" spans="2:80" s="3" customFormat="1" ht="14" x14ac:dyDescent="0.35">
      <c r="B6" s="17" t="s">
        <v>40</v>
      </c>
      <c r="C6" s="18" t="s">
        <v>83</v>
      </c>
      <c r="D6" s="18">
        <v>300</v>
      </c>
      <c r="E6" s="18">
        <v>60</v>
      </c>
      <c r="F6" s="18">
        <v>15</v>
      </c>
      <c r="G6" s="19">
        <f t="shared" si="0"/>
        <v>5</v>
      </c>
      <c r="H6" s="20">
        <f t="shared" si="1"/>
        <v>20</v>
      </c>
      <c r="I6" s="20">
        <v>36.299999999999997</v>
      </c>
      <c r="J6" s="19">
        <v>0.25</v>
      </c>
      <c r="K6" s="18">
        <v>1000</v>
      </c>
      <c r="L6" s="18">
        <v>45.72701</v>
      </c>
      <c r="M6" s="20">
        <f>K6/1000</f>
        <v>1</v>
      </c>
      <c r="N6" s="20">
        <v>5.0274299999999998</v>
      </c>
      <c r="O6" s="20">
        <f t="shared" ref="O6:O16" si="19">M6+N6</f>
        <v>6.0274299999999998</v>
      </c>
      <c r="P6" s="42">
        <f t="shared" si="2"/>
        <v>0.4539862718001037</v>
      </c>
      <c r="Q6" s="69">
        <f t="shared" si="3"/>
        <v>42.579471272929659</v>
      </c>
      <c r="R6" s="43">
        <f t="shared" si="4"/>
        <v>1.8129047959503097</v>
      </c>
      <c r="S6" s="43">
        <f t="shared" si="5"/>
        <v>1.8509477980282021</v>
      </c>
      <c r="T6" s="44">
        <f t="shared" si="6"/>
        <v>47.259942749016034</v>
      </c>
      <c r="U6" s="140">
        <f t="shared" si="7"/>
        <v>0.84455654078055442</v>
      </c>
      <c r="V6" s="134">
        <f t="shared" si="8"/>
        <v>42.013404787248284</v>
      </c>
      <c r="W6" s="135">
        <f t="shared" si="9"/>
        <v>1.8312743582379551</v>
      </c>
      <c r="X6" s="135">
        <f t="shared" si="10"/>
        <v>1.86766072619529</v>
      </c>
      <c r="Y6" s="134">
        <f t="shared" si="11"/>
        <v>47.540181642014907</v>
      </c>
      <c r="Z6" s="146">
        <f t="shared" ref="Z6:Z16" si="20">LN(X6/AA6)</f>
        <v>1.9719510046335677E-2</v>
      </c>
      <c r="AA6" s="58">
        <f t="shared" si="12"/>
        <v>1.8311921249706054</v>
      </c>
      <c r="AB6" s="118">
        <f t="shared" si="13"/>
        <v>1.0577763284577952E-2</v>
      </c>
      <c r="AC6" s="76">
        <f t="shared" si="14"/>
        <v>-1.0730641983762168E-2</v>
      </c>
      <c r="AD6" s="77">
        <f t="shared" si="15"/>
        <v>6.9171765149707035E-2</v>
      </c>
      <c r="AE6" s="77">
        <f t="shared" si="16"/>
        <v>3.9028661795865348E-4</v>
      </c>
      <c r="AF6" s="58">
        <f t="shared" ref="AF6:AF16" si="21">ABS(AA6-X6)/X6</f>
        <v>1.9526352250805613E-2</v>
      </c>
      <c r="AG6" s="58">
        <f t="shared" ref="AG6:AG16" si="22">LN(MAX(AA6,0.000000000001)) - LN(MAX(X6,0.000000000001))</f>
        <v>-1.9719510046335653E-2</v>
      </c>
      <c r="AH6" s="58">
        <f t="shared" si="17"/>
        <v>6.9817113316493415E-2</v>
      </c>
      <c r="AI6" s="59">
        <f t="shared" si="18"/>
        <v>1.3299588752850708E-3</v>
      </c>
      <c r="AL6" s="3">
        <v>4</v>
      </c>
      <c r="AM6" s="3">
        <v>-1.8442016461616102E-2</v>
      </c>
      <c r="AN6" s="3">
        <f>AVERAGE(AM5:AM8)</f>
        <v>-2.0956371195126368E-3</v>
      </c>
      <c r="AU6" s="3">
        <v>0.4</v>
      </c>
      <c r="AV6" s="3">
        <v>-2.4880439052412037E-2</v>
      </c>
      <c r="AW6" s="3">
        <f>AVERAGE(AV5:AV8)</f>
        <v>3.7342274768192153E-3</v>
      </c>
      <c r="BD6" s="3">
        <v>7.5</v>
      </c>
      <c r="BE6" s="3">
        <v>5.7982088457193263E-2</v>
      </c>
      <c r="BF6" s="3">
        <f>AVERAGE(BE5:BE8)</f>
        <v>3.7853443726963559E-2</v>
      </c>
      <c r="BM6" s="3">
        <v>12.5</v>
      </c>
      <c r="BN6" s="3">
        <v>5.277281240920207E-2</v>
      </c>
      <c r="BO6" s="3">
        <f>AVERAGE(BN5:BN8)</f>
        <v>3.3507929342901983E-2</v>
      </c>
      <c r="BU6" s="3">
        <v>1.8</v>
      </c>
      <c r="BV6" s="3">
        <v>-1.8442016461616102E-2</v>
      </c>
      <c r="BW6" s="3">
        <f>AVERAGE(BV5:BV8)</f>
        <v>-2.0956371195126368E-3</v>
      </c>
    </row>
    <row r="7" spans="2:80" s="3" customFormat="1" ht="14" x14ac:dyDescent="0.35">
      <c r="B7" s="17" t="s">
        <v>41</v>
      </c>
      <c r="C7" s="18" t="s">
        <v>83</v>
      </c>
      <c r="D7" s="18">
        <v>300</v>
      </c>
      <c r="E7" s="18">
        <v>60</v>
      </c>
      <c r="F7" s="18">
        <v>17</v>
      </c>
      <c r="G7" s="19">
        <f t="shared" si="0"/>
        <v>5</v>
      </c>
      <c r="H7" s="20">
        <f t="shared" si="1"/>
        <v>17.647058823529413</v>
      </c>
      <c r="I7" s="20">
        <v>36.299999999999997</v>
      </c>
      <c r="J7" s="19">
        <v>0.25</v>
      </c>
      <c r="K7" s="18">
        <v>1500</v>
      </c>
      <c r="L7" s="18">
        <v>44.689300000000003</v>
      </c>
      <c r="M7" s="20">
        <f>K7/1000</f>
        <v>1.5</v>
      </c>
      <c r="N7" s="20">
        <v>7.1723600000000003</v>
      </c>
      <c r="O7" s="20">
        <f t="shared" si="19"/>
        <v>8.6723600000000012</v>
      </c>
      <c r="P7" s="42">
        <f t="shared" si="2"/>
        <v>0.6128258895211629</v>
      </c>
      <c r="Q7" s="69">
        <f t="shared" si="3"/>
        <v>41.746311229895113</v>
      </c>
      <c r="R7" s="43">
        <f t="shared" si="4"/>
        <v>2.6983807435718155</v>
      </c>
      <c r="S7" s="43">
        <f t="shared" si="5"/>
        <v>2.675649772186377</v>
      </c>
      <c r="T7" s="44">
        <f t="shared" si="6"/>
        <v>47.560968048102779</v>
      </c>
      <c r="U7" s="140">
        <f t="shared" si="7"/>
        <v>1.0933231330082338</v>
      </c>
      <c r="V7" s="134">
        <f t="shared" si="8"/>
        <v>41.183084770552369</v>
      </c>
      <c r="W7" s="135">
        <f t="shared" si="9"/>
        <v>2.7247977429775658</v>
      </c>
      <c r="X7" s="135">
        <f t="shared" si="10"/>
        <v>2.6989925580889689</v>
      </c>
      <c r="Y7" s="134">
        <f t="shared" si="11"/>
        <v>48.030397839573077</v>
      </c>
      <c r="Z7" s="146">
        <f t="shared" si="20"/>
        <v>3.6912693119961065E-2</v>
      </c>
      <c r="AA7" s="58">
        <f t="shared" si="12"/>
        <v>2.6011818088697254</v>
      </c>
      <c r="AB7" s="118">
        <f t="shared" si="13"/>
        <v>2.7591022099512169E-2</v>
      </c>
      <c r="AC7" s="76">
        <f t="shared" si="14"/>
        <v>-2.8226372713898273E-2</v>
      </c>
      <c r="AD7" s="77">
        <f t="shared" si="15"/>
        <v>0.31550320219426031</v>
      </c>
      <c r="AE7" s="77">
        <f t="shared" si="16"/>
        <v>5.5454775605301709E-3</v>
      </c>
      <c r="AF7" s="58">
        <f t="shared" si="21"/>
        <v>3.6239725421287831E-2</v>
      </c>
      <c r="AG7" s="58">
        <f t="shared" si="22"/>
        <v>-3.6912693119961038E-2</v>
      </c>
      <c r="AH7" s="58">
        <f t="shared" si="17"/>
        <v>0.32160530241729679</v>
      </c>
      <c r="AI7" s="59">
        <f t="shared" si="18"/>
        <v>9.5669426628297409E-3</v>
      </c>
      <c r="AL7" s="3">
        <v>6.3</v>
      </c>
      <c r="AM7" s="3">
        <v>6.0858236896929069E-2</v>
      </c>
      <c r="AN7" s="3">
        <f>AVERAGE(AM5:AM8)</f>
        <v>-2.0956371195126368E-3</v>
      </c>
      <c r="AU7" s="3">
        <v>0.4</v>
      </c>
      <c r="AV7" s="3">
        <v>-1.8442016461616102E-2</v>
      </c>
      <c r="AW7" s="3">
        <f>AVERAGE(AV5:AV8)</f>
        <v>3.7342274768192153E-3</v>
      </c>
      <c r="BD7" s="3">
        <v>7.5</v>
      </c>
      <c r="BE7" s="3">
        <v>5.277281240920207E-2</v>
      </c>
      <c r="BF7" s="3">
        <f>AVERAGE(BE5:BE8)</f>
        <v>3.7853443726963559E-2</v>
      </c>
      <c r="BM7" s="3">
        <v>15</v>
      </c>
      <c r="BN7" s="3">
        <v>-7.2304173696284392E-3</v>
      </c>
      <c r="BO7" s="3">
        <f>AVERAGE(BN5:BN8)</f>
        <v>3.3507929342901983E-2</v>
      </c>
      <c r="BU7" s="3">
        <v>2.9</v>
      </c>
      <c r="BV7" s="3">
        <v>6.0858236896929069E-2</v>
      </c>
      <c r="BW7" s="3">
        <f>AVERAGE(BV5:BV8)</f>
        <v>-2.0956371195126368E-3</v>
      </c>
    </row>
    <row r="8" spans="2:80" s="3" customFormat="1" ht="14" x14ac:dyDescent="0.35">
      <c r="B8" s="17" t="s">
        <v>42</v>
      </c>
      <c r="C8" s="18" t="s">
        <v>83</v>
      </c>
      <c r="D8" s="18">
        <v>300</v>
      </c>
      <c r="E8" s="18">
        <v>60</v>
      </c>
      <c r="F8" s="18">
        <v>7</v>
      </c>
      <c r="G8" s="19">
        <f t="shared" si="0"/>
        <v>5</v>
      </c>
      <c r="H8" s="20">
        <f t="shared" si="1"/>
        <v>42.857142857142854</v>
      </c>
      <c r="I8" s="20">
        <v>36.299999999999997</v>
      </c>
      <c r="J8" s="19">
        <v>0.25</v>
      </c>
      <c r="K8" s="18">
        <v>2000</v>
      </c>
      <c r="L8" s="18">
        <v>43.226900000000001</v>
      </c>
      <c r="M8" s="20">
        <f>K8/1000</f>
        <v>2</v>
      </c>
      <c r="N8" s="20">
        <v>8.6797599999999999</v>
      </c>
      <c r="O8" s="20">
        <f t="shared" si="19"/>
        <v>10.67976</v>
      </c>
      <c r="P8" s="45">
        <f t="shared" si="2"/>
        <v>1.1006384984417681</v>
      </c>
      <c r="Q8" s="70">
        <f t="shared" si="3"/>
        <v>40.12961555003232</v>
      </c>
      <c r="R8" s="46">
        <f t="shared" si="4"/>
        <v>3.5427452162490516</v>
      </c>
      <c r="S8" s="46">
        <f t="shared" si="5"/>
        <v>3.3182217249500576</v>
      </c>
      <c r="T8" s="47">
        <f t="shared" si="6"/>
        <v>46.709998119391983</v>
      </c>
      <c r="U8" s="141">
        <f t="shared" si="7"/>
        <v>1.8096832861637839</v>
      </c>
      <c r="V8" s="136">
        <f t="shared" si="8"/>
        <v>39.573203385149078</v>
      </c>
      <c r="W8" s="30">
        <f t="shared" si="9"/>
        <v>3.5751006000066115</v>
      </c>
      <c r="X8" s="30">
        <f t="shared" si="10"/>
        <v>3.3452284352151795</v>
      </c>
      <c r="Y8" s="136">
        <f t="shared" si="11"/>
        <v>47.31045521047961</v>
      </c>
      <c r="Z8" s="147">
        <f t="shared" si="20"/>
        <v>1.1671699940470773E-2</v>
      </c>
      <c r="AA8" s="58">
        <f t="shared" si="12"/>
        <v>3.3064109066304508</v>
      </c>
      <c r="AB8" s="118">
        <f t="shared" si="13"/>
        <v>3.53064627673091E-3</v>
      </c>
      <c r="AC8" s="76">
        <f t="shared" si="14"/>
        <v>-3.5657315629238351E-3</v>
      </c>
      <c r="AD8" s="77">
        <f t="shared" si="15"/>
        <v>1.4502630296297627</v>
      </c>
      <c r="AE8" s="77">
        <f t="shared" si="16"/>
        <v>1.3949542937876058E-4</v>
      </c>
      <c r="AF8" s="58">
        <f t="shared" si="21"/>
        <v>1.160384988244662E-2</v>
      </c>
      <c r="AG8" s="58">
        <f t="shared" si="22"/>
        <v>-1.1671699940470903E-2</v>
      </c>
      <c r="AH8" s="58">
        <f t="shared" si="17"/>
        <v>1.4721901391707142</v>
      </c>
      <c r="AI8" s="59">
        <f t="shared" si="18"/>
        <v>1.506800525426234E-3</v>
      </c>
      <c r="AL8" s="3">
        <v>6.3</v>
      </c>
      <c r="AM8" s="3">
        <v>-2.5918329860951481E-2</v>
      </c>
      <c r="AN8" s="3">
        <f>AVERAGE(AM6:AM8)</f>
        <v>5.4992968581204964E-3</v>
      </c>
      <c r="AU8" s="3">
        <v>0.4</v>
      </c>
      <c r="AV8" s="3">
        <v>-2.5988714756240688E-3</v>
      </c>
      <c r="AW8" s="3">
        <f>AVERAGE(AV6:AV8)</f>
        <v>-1.5307108996550736E-2</v>
      </c>
      <c r="BD8" s="3">
        <v>8</v>
      </c>
      <c r="BE8" s="3">
        <v>-7.2681371379854268E-2</v>
      </c>
      <c r="BF8" s="3">
        <f>AVERAGE(BE6:BE8)</f>
        <v>1.2691176495513689E-2</v>
      </c>
      <c r="BM8" s="3">
        <v>15</v>
      </c>
      <c r="BN8" s="3">
        <v>3.0507233874841042E-2</v>
      </c>
      <c r="BO8" s="3">
        <f>AVERAGE(BN6:BN8)</f>
        <v>2.5349876304804887E-2</v>
      </c>
      <c r="BU8" s="3">
        <v>2.9</v>
      </c>
      <c r="BV8" s="3">
        <v>-2.5918329860951481E-2</v>
      </c>
      <c r="BW8" s="3">
        <f>AVERAGE(BV6:BV8)</f>
        <v>5.4992968581204964E-3</v>
      </c>
    </row>
    <row r="9" spans="2:80" s="3" customFormat="1" ht="14" x14ac:dyDescent="0.35">
      <c r="B9" s="12" t="s">
        <v>45</v>
      </c>
      <c r="C9" s="13" t="s">
        <v>83</v>
      </c>
      <c r="D9" s="13">
        <v>800</v>
      </c>
      <c r="E9" s="13">
        <v>160</v>
      </c>
      <c r="F9" s="13">
        <v>6</v>
      </c>
      <c r="G9" s="14">
        <f t="shared" si="0"/>
        <v>5</v>
      </c>
      <c r="H9" s="15">
        <f t="shared" si="1"/>
        <v>133.33333333333334</v>
      </c>
      <c r="I9" s="15">
        <v>36.299999999999997</v>
      </c>
      <c r="J9" s="14">
        <v>0.25</v>
      </c>
      <c r="K9" s="13">
        <v>400</v>
      </c>
      <c r="L9" s="13">
        <v>47.369709999999998</v>
      </c>
      <c r="M9" s="15">
        <v>0.4</v>
      </c>
      <c r="N9" s="15">
        <v>2.2612999999999999</v>
      </c>
      <c r="O9" s="15">
        <f t="shared" si="19"/>
        <v>2.6612999999999998</v>
      </c>
      <c r="P9" s="39">
        <f t="shared" si="2"/>
        <v>0.22665119107932435</v>
      </c>
      <c r="Q9" s="68">
        <f t="shared" si="3"/>
        <v>44.51663521272279</v>
      </c>
      <c r="R9" s="40">
        <f t="shared" si="4"/>
        <v>0.73793283353414141</v>
      </c>
      <c r="S9" s="40">
        <f t="shared" si="5"/>
        <v>0.80620649742503325</v>
      </c>
      <c r="T9" s="41">
        <f t="shared" si="6"/>
        <v>46.626475515648529</v>
      </c>
      <c r="U9" s="139">
        <f t="shared" si="7"/>
        <v>0.46457367245766101</v>
      </c>
      <c r="V9" s="137">
        <f t="shared" si="8"/>
        <v>43.945767162699759</v>
      </c>
      <c r="W9" s="27">
        <f t="shared" si="9"/>
        <v>0.74600470782377792</v>
      </c>
      <c r="X9" s="27">
        <f t="shared" si="10"/>
        <v>0.8140646092084407</v>
      </c>
      <c r="Y9" s="137">
        <f t="shared" si="11"/>
        <v>46.477512787602684</v>
      </c>
      <c r="Z9" s="145">
        <f t="shared" si="20"/>
        <v>-1.7468168758457241E-2</v>
      </c>
      <c r="AA9" s="55">
        <f t="shared" si="12"/>
        <v>0.82840975412088957</v>
      </c>
      <c r="AB9" s="117">
        <f t="shared" si="13"/>
        <v>2.7274563277533654E-2</v>
      </c>
      <c r="AC9" s="74">
        <f t="shared" si="14"/>
        <v>2.716799413097104E-2</v>
      </c>
      <c r="AD9" s="75">
        <f t="shared" si="15"/>
        <v>1.7102010586249521</v>
      </c>
      <c r="AE9" s="75">
        <f t="shared" si="16"/>
        <v>4.9298460790208861E-4</v>
      </c>
      <c r="AF9" s="55">
        <f t="shared" si="21"/>
        <v>1.7621629475328051E-2</v>
      </c>
      <c r="AG9" s="55">
        <f t="shared" si="22"/>
        <v>1.746816875845722E-2</v>
      </c>
      <c r="AH9" s="55">
        <f t="shared" si="17"/>
        <v>1.7366637814680201</v>
      </c>
      <c r="AI9" s="56">
        <f t="shared" si="18"/>
        <v>2.0578318255915772E-4</v>
      </c>
      <c r="AL9" s="3">
        <v>6.3</v>
      </c>
      <c r="AM9" s="3">
        <v>-2.5988714756240688E-3</v>
      </c>
      <c r="AN9" s="3">
        <f>AVERAGE(AM9:AM11)</f>
        <v>1.1260381628554984E-2</v>
      </c>
      <c r="AU9" s="3">
        <v>3</v>
      </c>
      <c r="AV9" s="3">
        <v>0.11334024542131316</v>
      </c>
      <c r="AW9" s="3">
        <f>AVERAGE(AV9:AV11)</f>
        <v>2.8522065903662044E-2</v>
      </c>
      <c r="BD9" s="3">
        <v>9.0909090909090917</v>
      </c>
      <c r="BE9" s="3">
        <v>-3.550381415814035E-2</v>
      </c>
      <c r="BF9" s="3">
        <f>AVERAGE(BE9:BE11)</f>
        <v>-2.4722510292482177E-2</v>
      </c>
      <c r="BM9" s="3">
        <v>25</v>
      </c>
      <c r="BN9" s="3">
        <v>-1.8557178493755428E-3</v>
      </c>
      <c r="BO9" s="3">
        <f>AVERAGE(BN9:BN11)</f>
        <v>-1.7479939775538089E-2</v>
      </c>
      <c r="BU9" s="3">
        <v>8.6999999999999993</v>
      </c>
      <c r="BV9" s="3">
        <v>4.3610433730917463E-2</v>
      </c>
      <c r="BW9" s="3">
        <f>AVERAGE(BV9:BV11)</f>
        <v>3.6131486658581097E-2</v>
      </c>
    </row>
    <row r="10" spans="2:80" s="3" customFormat="1" ht="14" x14ac:dyDescent="0.35">
      <c r="B10" s="17" t="s">
        <v>47</v>
      </c>
      <c r="C10" s="18" t="s">
        <v>83</v>
      </c>
      <c r="D10" s="18">
        <v>800</v>
      </c>
      <c r="E10" s="18">
        <v>160</v>
      </c>
      <c r="F10" s="18">
        <v>10</v>
      </c>
      <c r="G10" s="19">
        <f t="shared" si="0"/>
        <v>5</v>
      </c>
      <c r="H10" s="20">
        <f t="shared" si="1"/>
        <v>80</v>
      </c>
      <c r="I10" s="20">
        <v>36.299999999999997</v>
      </c>
      <c r="J10" s="19">
        <v>0.25</v>
      </c>
      <c r="K10" s="18">
        <v>1000</v>
      </c>
      <c r="L10" s="18">
        <v>44.905659999999997</v>
      </c>
      <c r="M10" s="20">
        <v>1</v>
      </c>
      <c r="N10" s="20">
        <v>4.8639200000000002</v>
      </c>
      <c r="O10" s="20">
        <f t="shared" si="19"/>
        <v>5.8639200000000002</v>
      </c>
      <c r="P10" s="42">
        <f t="shared" si="2"/>
        <v>0.55318515938224189</v>
      </c>
      <c r="Q10" s="69">
        <f t="shared" si="3"/>
        <v>42.030338322213332</v>
      </c>
      <c r="R10" s="43">
        <f t="shared" si="4"/>
        <v>1.8037043876518601</v>
      </c>
      <c r="S10" s="43">
        <f t="shared" si="5"/>
        <v>1.8064365758190306</v>
      </c>
      <c r="T10" s="44">
        <f t="shared" si="6"/>
        <v>46.695144076292927</v>
      </c>
      <c r="U10" s="140">
        <f t="shared" si="7"/>
        <v>1.0011144587690972</v>
      </c>
      <c r="V10" s="134">
        <f t="shared" si="8"/>
        <v>41.466091892172905</v>
      </c>
      <c r="W10" s="135">
        <f t="shared" si="9"/>
        <v>1.8215727669581336</v>
      </c>
      <c r="X10" s="135">
        <f t="shared" si="10"/>
        <v>1.8223837140557864</v>
      </c>
      <c r="Y10" s="134">
        <f t="shared" si="11"/>
        <v>46.973307614078109</v>
      </c>
      <c r="Z10" s="146">
        <f t="shared" si="20"/>
        <v>-1.3000992563612596E-4</v>
      </c>
      <c r="AA10" s="58">
        <f t="shared" si="12"/>
        <v>1.8226206574290926</v>
      </c>
      <c r="AB10" s="118">
        <f t="shared" si="13"/>
        <v>8.880721159455332E-3</v>
      </c>
      <c r="AC10" s="76">
        <f t="shared" si="14"/>
        <v>8.9192249447550553E-3</v>
      </c>
      <c r="AD10" s="77">
        <f t="shared" si="15"/>
        <v>9.4566384915133347E-2</v>
      </c>
      <c r="AE10" s="77">
        <f t="shared" si="16"/>
        <v>2.6192449756114758E-4</v>
      </c>
      <c r="AF10" s="58">
        <f>ABS(AA10-X10)/X10</f>
        <v>1.300183772927478E-4</v>
      </c>
      <c r="AG10" s="58">
        <f t="shared" si="22"/>
        <v>1.3000992563616531E-4</v>
      </c>
      <c r="AH10" s="58">
        <f t="shared" si="17"/>
        <v>9.5794145936567779E-2</v>
      </c>
      <c r="AI10" s="59">
        <f t="shared" si="18"/>
        <v>5.6142162153751699E-8</v>
      </c>
      <c r="AL10" s="3">
        <v>11</v>
      </c>
      <c r="AM10" s="3">
        <v>4.3610433730917463E-2</v>
      </c>
      <c r="AN10" s="3">
        <f>AVERAGE(AM9:AM12)</f>
        <v>1.60720946901265E-2</v>
      </c>
      <c r="AU10" s="3">
        <v>6</v>
      </c>
      <c r="AV10" s="3">
        <v>-2.5918329860951481E-2</v>
      </c>
      <c r="AW10" s="3">
        <f>AVERAGE(AV9:AV12)</f>
        <v>2.6915866903400417E-2</v>
      </c>
      <c r="BD10" s="3">
        <v>13.333333333333334</v>
      </c>
      <c r="BE10" s="3">
        <v>-3.3838487268380631E-2</v>
      </c>
      <c r="BF10" s="3">
        <f>AVERAGE(BE9:BE12)</f>
        <v>-2.0349487061768742E-2</v>
      </c>
      <c r="BM10" s="3">
        <v>25</v>
      </c>
      <c r="BN10" s="3">
        <v>2.2097269902615541E-2</v>
      </c>
      <c r="BO10" s="3">
        <f>AVERAGE(BN9:BN12)</f>
        <v>-1.6953125886829797E-2</v>
      </c>
      <c r="BU10" s="3">
        <v>8.6999999999999993</v>
      </c>
      <c r="BV10" s="3">
        <v>-7.2304173696284392E-3</v>
      </c>
      <c r="BW10" s="3">
        <f>AVERAGE(BV9:BV12)</f>
        <v>1.8222661454400733E-2</v>
      </c>
    </row>
    <row r="11" spans="2:80" s="3" customFormat="1" ht="14" x14ac:dyDescent="0.35">
      <c r="B11" s="17" t="s">
        <v>48</v>
      </c>
      <c r="C11" s="18" t="s">
        <v>83</v>
      </c>
      <c r="D11" s="18">
        <v>800</v>
      </c>
      <c r="E11" s="18">
        <v>160</v>
      </c>
      <c r="F11" s="18">
        <v>3</v>
      </c>
      <c r="G11" s="19">
        <f t="shared" si="0"/>
        <v>5</v>
      </c>
      <c r="H11" s="20">
        <f t="shared" si="1"/>
        <v>266.66666666666669</v>
      </c>
      <c r="I11" s="20">
        <v>36.299999999999997</v>
      </c>
      <c r="J11" s="19">
        <v>0.25</v>
      </c>
      <c r="K11" s="18">
        <v>1500</v>
      </c>
      <c r="L11" s="18">
        <v>43.69567</v>
      </c>
      <c r="M11" s="20">
        <v>1.5</v>
      </c>
      <c r="N11" s="20">
        <v>6.76579</v>
      </c>
      <c r="O11" s="20">
        <f t="shared" si="19"/>
        <v>8.2657899999999991</v>
      </c>
      <c r="P11" s="42">
        <f t="shared" si="2"/>
        <v>0.87108091818288325</v>
      </c>
      <c r="Q11" s="69">
        <f t="shared" si="3"/>
        <v>40.773705055463275</v>
      </c>
      <c r="R11" s="43">
        <f t="shared" si="4"/>
        <v>2.6736171911172173</v>
      </c>
      <c r="S11" s="43">
        <f t="shared" si="5"/>
        <v>2.5618489698268885</v>
      </c>
      <c r="T11" s="44">
        <f t="shared" si="6"/>
        <v>46.556205380637067</v>
      </c>
      <c r="U11" s="140">
        <f t="shared" si="7"/>
        <v>1.4797072344097757</v>
      </c>
      <c r="V11" s="134">
        <f t="shared" si="8"/>
        <v>40.214373757411288</v>
      </c>
      <c r="W11" s="135">
        <f t="shared" si="9"/>
        <v>2.6987312773893879</v>
      </c>
      <c r="X11" s="135">
        <f t="shared" si="10"/>
        <v>2.5832939077574495</v>
      </c>
      <c r="Y11" s="134">
        <f t="shared" si="11"/>
        <v>47.022458470809333</v>
      </c>
      <c r="Z11" s="146">
        <f>LN(X11/AA11)</f>
        <v>1.5898595018631961E-3</v>
      </c>
      <c r="AA11" s="58">
        <f t="shared" si="12"/>
        <v>2.5791900964981758</v>
      </c>
      <c r="AB11" s="118">
        <f t="shared" si="13"/>
        <v>6.7127966427718922E-3</v>
      </c>
      <c r="AC11" s="76">
        <f t="shared" si="14"/>
        <v>6.746181935263551E-3</v>
      </c>
      <c r="AD11" s="77">
        <f t="shared" si="15"/>
        <v>0.20061075059541078</v>
      </c>
      <c r="AE11" s="77">
        <f t="shared" si="16"/>
        <v>3.0071467422963132E-4</v>
      </c>
      <c r="AF11" s="58">
        <f>ABS(AA11-X11)/X11</f>
        <v>1.5885963447481799E-3</v>
      </c>
      <c r="AG11" s="58">
        <f t="shared" si="22"/>
        <v>-1.5898595018631889E-3</v>
      </c>
      <c r="AH11" s="58">
        <f t="shared" si="17"/>
        <v>0.20376548079574053</v>
      </c>
      <c r="AI11" s="59">
        <f t="shared" si="18"/>
        <v>1.6841266851741808E-5</v>
      </c>
      <c r="AL11" s="3">
        <v>11</v>
      </c>
      <c r="AM11" s="3">
        <v>-7.2304173696284392E-3</v>
      </c>
      <c r="AN11" s="3">
        <f>AVERAGE(AM9:AM12)</f>
        <v>1.60720946901265E-2</v>
      </c>
      <c r="AU11" s="3">
        <v>6</v>
      </c>
      <c r="AV11" s="3">
        <v>-1.8557178493755428E-3</v>
      </c>
      <c r="AW11" s="3">
        <f>AVERAGE(AV9:AV12)</f>
        <v>2.6915866903400417E-2</v>
      </c>
      <c r="BD11" s="3">
        <v>13.333333333333334</v>
      </c>
      <c r="BE11" s="3">
        <v>-4.8252294509255455E-3</v>
      </c>
      <c r="BF11" s="3">
        <f>AVERAGE(BE9:BE12)</f>
        <v>-2.0349487061768742E-2</v>
      </c>
      <c r="BM11" s="3">
        <v>47.058823529411768</v>
      </c>
      <c r="BN11" s="3">
        <v>-7.2681371379854268E-2</v>
      </c>
      <c r="BO11" s="3">
        <f>AVERAGE(BN9:BN12)</f>
        <v>-1.6953125886829797E-2</v>
      </c>
      <c r="BU11" s="3">
        <v>8.6999999999999993</v>
      </c>
      <c r="BV11" s="3">
        <v>7.2014443614454263E-2</v>
      </c>
      <c r="BW11" s="3">
        <f>AVERAGE(BV9:BV12)</f>
        <v>1.8222661454400733E-2</v>
      </c>
    </row>
    <row r="12" spans="2:80" s="3" customFormat="1" ht="14" x14ac:dyDescent="0.35">
      <c r="B12" s="17" t="s">
        <v>49</v>
      </c>
      <c r="C12" s="18" t="s">
        <v>83</v>
      </c>
      <c r="D12" s="18">
        <v>800</v>
      </c>
      <c r="E12" s="18">
        <v>160</v>
      </c>
      <c r="F12" s="18">
        <v>6</v>
      </c>
      <c r="G12" s="19">
        <f t="shared" si="0"/>
        <v>5</v>
      </c>
      <c r="H12" s="20">
        <f t="shared" si="1"/>
        <v>133.33333333333334</v>
      </c>
      <c r="I12" s="20">
        <v>36.299999999999997</v>
      </c>
      <c r="J12" s="19">
        <v>0.25</v>
      </c>
      <c r="K12" s="18">
        <v>2000</v>
      </c>
      <c r="L12" s="18">
        <v>42.425579999999997</v>
      </c>
      <c r="M12" s="20">
        <v>2</v>
      </c>
      <c r="N12" s="20">
        <v>8.3390299999999993</v>
      </c>
      <c r="O12" s="20">
        <f t="shared" si="19"/>
        <v>10.339029999999999</v>
      </c>
      <c r="P12" s="45">
        <f t="shared" si="2"/>
        <v>1.4050520687375778</v>
      </c>
      <c r="Q12" s="70">
        <f t="shared" si="3"/>
        <v>39.460063516467038</v>
      </c>
      <c r="R12" s="46">
        <f t="shared" si="4"/>
        <v>3.519620496161382</v>
      </c>
      <c r="S12" s="46">
        <f t="shared" si="5"/>
        <v>3.2191480944111412</v>
      </c>
      <c r="T12" s="47">
        <f t="shared" si="6"/>
        <v>46.011269032201966</v>
      </c>
      <c r="U12" s="141">
        <f t="shared" si="7"/>
        <v>2.2329184670502933</v>
      </c>
      <c r="V12" s="136">
        <f t="shared" si="8"/>
        <v>38.90696936053515</v>
      </c>
      <c r="W12" s="30">
        <f t="shared" si="9"/>
        <v>3.550818927403169</v>
      </c>
      <c r="X12" s="30">
        <f t="shared" si="10"/>
        <v>3.2445779717231225</v>
      </c>
      <c r="Y12" s="136">
        <f t="shared" si="11"/>
        <v>46.609380884300855</v>
      </c>
      <c r="Z12" s="147">
        <f t="shared" si="20"/>
        <v>-1.2858411048703163E-2</v>
      </c>
      <c r="AA12" s="58">
        <f t="shared" si="12"/>
        <v>3.2865674695351279</v>
      </c>
      <c r="AB12" s="118">
        <f t="shared" si="13"/>
        <v>2.0779089210231475E-2</v>
      </c>
      <c r="AC12" s="76">
        <f t="shared" si="14"/>
        <v>2.0726940208689593E-2</v>
      </c>
      <c r="AD12" s="77">
        <f t="shared" si="15"/>
        <v>1.2214560753284889</v>
      </c>
      <c r="AE12" s="77">
        <f t="shared" si="16"/>
        <v>4.5453721421088306E-3</v>
      </c>
      <c r="AF12" s="58">
        <f t="shared" si="21"/>
        <v>1.2941435890260257E-2</v>
      </c>
      <c r="AG12" s="58">
        <f t="shared" si="22"/>
        <v>1.2858411048703111E-2</v>
      </c>
      <c r="AH12" s="58">
        <f t="shared" si="17"/>
        <v>1.2380745048102895</v>
      </c>
      <c r="AI12" s="59">
        <f t="shared" si="18"/>
        <v>1.7631179265044105E-3</v>
      </c>
      <c r="AL12" s="3">
        <v>11</v>
      </c>
      <c r="AM12" s="3">
        <v>3.0507233874841042E-2</v>
      </c>
      <c r="AN12" s="3">
        <f>AVERAGE(AM10:AM12)</f>
        <v>2.2295750078710024E-2</v>
      </c>
      <c r="AU12" s="3">
        <v>6</v>
      </c>
      <c r="AV12" s="3">
        <v>2.2097269902615541E-2</v>
      </c>
      <c r="AW12" s="3">
        <f>AVERAGE(AV10:AV12)</f>
        <v>-1.8922592692371606E-3</v>
      </c>
      <c r="BD12" s="3">
        <v>13.636363636363637</v>
      </c>
      <c r="BE12" s="3">
        <v>-7.2304173696284392E-3</v>
      </c>
      <c r="BF12" s="3">
        <f>AVERAGE(BE10:BE12)</f>
        <v>-1.529804469631154E-2</v>
      </c>
      <c r="BM12" s="3">
        <v>47.058823529411768</v>
      </c>
      <c r="BN12" s="3">
        <v>-1.5372684220704914E-2</v>
      </c>
      <c r="BO12" s="3">
        <f>AVERAGE(BN10:BN12)</f>
        <v>-2.198559523264788E-2</v>
      </c>
      <c r="BU12" s="3">
        <v>8.6999999999999993</v>
      </c>
      <c r="BV12" s="3">
        <v>-3.550381415814035E-2</v>
      </c>
      <c r="BW12" s="3">
        <f>AVERAGE(BV10:BV12)</f>
        <v>9.7600706955618243E-3</v>
      </c>
    </row>
    <row r="13" spans="2:80" s="3" customFormat="1" ht="14" x14ac:dyDescent="0.35">
      <c r="B13" s="12" t="s">
        <v>55</v>
      </c>
      <c r="C13" s="13" t="s">
        <v>83</v>
      </c>
      <c r="D13" s="13">
        <v>1000</v>
      </c>
      <c r="E13" s="13">
        <v>200</v>
      </c>
      <c r="F13" s="13">
        <v>0.4</v>
      </c>
      <c r="G13" s="14">
        <f t="shared" si="0"/>
        <v>5</v>
      </c>
      <c r="H13" s="15">
        <f t="shared" si="1"/>
        <v>2500</v>
      </c>
      <c r="I13" s="15">
        <v>36.299999999999997</v>
      </c>
      <c r="J13" s="14">
        <v>0.25</v>
      </c>
      <c r="K13" s="13">
        <v>400</v>
      </c>
      <c r="L13" s="13">
        <v>47.309609999999999</v>
      </c>
      <c r="M13" s="15">
        <v>0.4</v>
      </c>
      <c r="N13" s="15">
        <v>2.2235800000000001</v>
      </c>
      <c r="O13" s="15">
        <f t="shared" si="19"/>
        <v>2.62358</v>
      </c>
      <c r="P13" s="42">
        <f t="shared" si="2"/>
        <v>0.25023406764974165</v>
      </c>
      <c r="Q13" s="69">
        <f t="shared" si="3"/>
        <v>44.240136588706577</v>
      </c>
      <c r="R13" s="43">
        <f t="shared" si="4"/>
        <v>0.73613065171174741</v>
      </c>
      <c r="S13" s="43">
        <f t="shared" si="5"/>
        <v>0.79651087846497326</v>
      </c>
      <c r="T13" s="44">
        <f t="shared" si="6"/>
        <v>46.343287749114879</v>
      </c>
      <c r="U13" s="140">
        <f t="shared" si="7"/>
        <v>0.50587111099062121</v>
      </c>
      <c r="V13" s="134">
        <f t="shared" si="8"/>
        <v>43.669798121485101</v>
      </c>
      <c r="W13" s="135">
        <f t="shared" si="9"/>
        <v>0.74409764520994759</v>
      </c>
      <c r="X13" s="135">
        <f t="shared" si="10"/>
        <v>0.804192422556259</v>
      </c>
      <c r="Y13" s="134">
        <f t="shared" si="11"/>
        <v>46.193054913117685</v>
      </c>
      <c r="Z13" s="146">
        <f t="shared" si="20"/>
        <v>-2.7408458451260123E-2</v>
      </c>
      <c r="AA13" s="55">
        <f t="shared" si="12"/>
        <v>0.82653894003623296</v>
      </c>
      <c r="AB13" s="117">
        <f t="shared" si="13"/>
        <v>3.7339398791909187E-2</v>
      </c>
      <c r="AC13" s="74">
        <f t="shared" si="14"/>
        <v>3.7006243441561115E-2</v>
      </c>
      <c r="AD13" s="75">
        <f t="shared" si="15"/>
        <v>1.7356538882874621</v>
      </c>
      <c r="AE13" s="75">
        <f t="shared" si="16"/>
        <v>9.0168448172736366E-4</v>
      </c>
      <c r="AF13" s="55">
        <f>ABS(AA13-X13)/X13</f>
        <v>2.7787525538902551E-2</v>
      </c>
      <c r="AG13" s="55">
        <f t="shared" si="22"/>
        <v>2.7408458451260082E-2</v>
      </c>
      <c r="AH13" s="55">
        <f t="shared" si="17"/>
        <v>1.7627808781592891</v>
      </c>
      <c r="AI13" s="56">
        <f t="shared" si="18"/>
        <v>4.9936684348278178E-4</v>
      </c>
      <c r="AL13" s="3">
        <v>30</v>
      </c>
      <c r="AM13" s="3">
        <v>-5.2045072237944551E-2</v>
      </c>
      <c r="AN13" s="3">
        <f>AVERAGE(AM13:AM15)</f>
        <v>-4.9350722252168806E-2</v>
      </c>
      <c r="AU13" s="3">
        <v>12</v>
      </c>
      <c r="AV13" s="3">
        <v>5.7982088457193263E-2</v>
      </c>
      <c r="AW13" s="3">
        <f>AVERAGE(AV13:AV15)</f>
        <v>2.5638804532671571E-2</v>
      </c>
      <c r="BD13" s="3">
        <v>23.80952380952381</v>
      </c>
      <c r="BE13" s="3">
        <v>-1.8557178493755428E-3</v>
      </c>
      <c r="BF13" s="3">
        <f>AVERAGE(BE13:BE15)</f>
        <v>-1.5462956663906794E-3</v>
      </c>
      <c r="BM13" s="3">
        <v>125</v>
      </c>
      <c r="BN13" s="3">
        <v>4.3610433730917463E-2</v>
      </c>
      <c r="BO13" s="3">
        <f>AVERAGE(BN13:BN15)</f>
        <v>2.2988285489902061E-2</v>
      </c>
      <c r="BU13" s="3">
        <v>31.7</v>
      </c>
      <c r="BV13" s="3">
        <v>-6.2168607250181251E-2</v>
      </c>
      <c r="BW13" s="3">
        <f>AVERAGE(BV13:BV15)</f>
        <v>-3.3610774656495805E-2</v>
      </c>
    </row>
    <row r="14" spans="2:80" s="3" customFormat="1" ht="14" x14ac:dyDescent="0.35">
      <c r="B14" s="17" t="s">
        <v>56</v>
      </c>
      <c r="C14" s="18" t="s">
        <v>83</v>
      </c>
      <c r="D14" s="18">
        <v>1000</v>
      </c>
      <c r="E14" s="18">
        <v>200</v>
      </c>
      <c r="F14" s="18">
        <v>0.4</v>
      </c>
      <c r="G14" s="19">
        <f t="shared" si="0"/>
        <v>5</v>
      </c>
      <c r="H14" s="20">
        <f t="shared" si="1"/>
        <v>2500</v>
      </c>
      <c r="I14" s="20">
        <v>36.299999999999997</v>
      </c>
      <c r="J14" s="19">
        <v>0.25</v>
      </c>
      <c r="K14" s="18">
        <v>1000</v>
      </c>
      <c r="L14" s="18">
        <v>44.673270000000002</v>
      </c>
      <c r="M14" s="20">
        <v>1</v>
      </c>
      <c r="N14" s="20">
        <v>4.71556</v>
      </c>
      <c r="O14" s="20">
        <f t="shared" si="19"/>
        <v>5.71556</v>
      </c>
      <c r="P14" s="42">
        <f t="shared" si="2"/>
        <v>0.66621338650793394</v>
      </c>
      <c r="Q14" s="69">
        <f t="shared" si="3"/>
        <v>41.514863396572323</v>
      </c>
      <c r="R14" s="43">
        <f t="shared" si="4"/>
        <v>1.7950096610267969</v>
      </c>
      <c r="S14" s="43">
        <f t="shared" si="5"/>
        <v>1.7654674723782309</v>
      </c>
      <c r="T14" s="44">
        <f t="shared" si="6"/>
        <v>46.163200715187926</v>
      </c>
      <c r="U14" s="140">
        <f t="shared" si="7"/>
        <v>1.1748053468848065</v>
      </c>
      <c r="V14" s="134">
        <f t="shared" si="8"/>
        <v>40.952507514532861</v>
      </c>
      <c r="W14" s="135">
        <f t="shared" si="9"/>
        <v>1.8124126514011063</v>
      </c>
      <c r="X14" s="135">
        <f t="shared" si="10"/>
        <v>1.7807207210240537</v>
      </c>
      <c r="Y14" s="134">
        <f t="shared" si="11"/>
        <v>46.439285750471953</v>
      </c>
      <c r="Z14" s="146">
        <f t="shared" si="20"/>
        <v>-1.880427513168749E-2</v>
      </c>
      <c r="AA14" s="58">
        <f t="shared" si="12"/>
        <v>1.8145226982064793</v>
      </c>
      <c r="AB14" s="118">
        <f t="shared" si="13"/>
        <v>2.7547961479348543E-2</v>
      </c>
      <c r="AC14" s="76">
        <f t="shared" si="14"/>
        <v>2.7406944749344242E-2</v>
      </c>
      <c r="AD14" s="77">
        <f t="shared" si="15"/>
        <v>0.12144220123548315</v>
      </c>
      <c r="AE14" s="77">
        <f t="shared" si="16"/>
        <v>2.4064151810604482E-3</v>
      </c>
      <c r="AF14" s="58">
        <f t="shared" si="21"/>
        <v>1.8982188943691761E-2</v>
      </c>
      <c r="AG14" s="58">
        <f t="shared" si="22"/>
        <v>1.8804275131687476E-2</v>
      </c>
      <c r="AH14" s="58">
        <f t="shared" si="17"/>
        <v>0.12331986805334214</v>
      </c>
      <c r="AI14" s="59">
        <f t="shared" si="18"/>
        <v>1.1425736614412217E-3</v>
      </c>
      <c r="AL14" s="3">
        <v>30</v>
      </c>
      <c r="AM14" s="3">
        <v>-6.2168607250181251E-2</v>
      </c>
      <c r="AN14" s="3">
        <f>AVERAGE(AM13:AM15)</f>
        <v>-4.9350722252168806E-2</v>
      </c>
      <c r="AU14" s="3">
        <v>12</v>
      </c>
      <c r="AV14" s="3">
        <v>5.277281240920207E-2</v>
      </c>
      <c r="AW14" s="3">
        <f>AVERAGE(AV13:AV15)</f>
        <v>2.5638804532671571E-2</v>
      </c>
      <c r="BD14" s="3">
        <v>23.80952380952381</v>
      </c>
      <c r="BE14" s="3">
        <v>2.2097269902615541E-2</v>
      </c>
      <c r="BF14" s="3">
        <f>AVERAGE(BE13:BE15)</f>
        <v>-1.5462956663906794E-3</v>
      </c>
      <c r="BM14" s="3">
        <v>125</v>
      </c>
      <c r="BN14" s="3">
        <v>-3.550381415814035E-2</v>
      </c>
      <c r="BO14" s="3">
        <f>AVERAGE(BN13:BN15)</f>
        <v>2.2988285489902061E-2</v>
      </c>
      <c r="BU14" s="3">
        <v>49.3</v>
      </c>
      <c r="BV14" s="3">
        <v>-3.3838487268380631E-2</v>
      </c>
      <c r="BW14" s="3">
        <f>AVERAGE(BV13:BV15)</f>
        <v>-3.3610774656495805E-2</v>
      </c>
    </row>
    <row r="15" spans="2:80" s="3" customFormat="1" ht="14" x14ac:dyDescent="0.35">
      <c r="B15" s="17" t="s">
        <v>57</v>
      </c>
      <c r="C15" s="18" t="s">
        <v>83</v>
      </c>
      <c r="D15" s="18">
        <v>1000</v>
      </c>
      <c r="E15" s="18">
        <v>200</v>
      </c>
      <c r="F15" s="18">
        <v>0.8</v>
      </c>
      <c r="G15" s="19">
        <f t="shared" si="0"/>
        <v>5</v>
      </c>
      <c r="H15" s="20">
        <f t="shared" si="1"/>
        <v>1250</v>
      </c>
      <c r="I15" s="20">
        <v>36.299999999999997</v>
      </c>
      <c r="J15" s="19">
        <v>0.25</v>
      </c>
      <c r="K15" s="18">
        <v>1500</v>
      </c>
      <c r="L15" s="18">
        <v>43.595500000000001</v>
      </c>
      <c r="M15" s="20">
        <v>1.5</v>
      </c>
      <c r="N15" s="20">
        <v>6.6318000000000001</v>
      </c>
      <c r="O15" s="20">
        <f t="shared" si="19"/>
        <v>8.1318000000000001</v>
      </c>
      <c r="P15" s="42">
        <f t="shared" si="2"/>
        <v>0.98328648028292964</v>
      </c>
      <c r="Q15" s="69">
        <f t="shared" si="3"/>
        <v>40.439755852488418</v>
      </c>
      <c r="R15" s="43">
        <f t="shared" si="4"/>
        <v>2.6650475862055849</v>
      </c>
      <c r="S15" s="43">
        <f t="shared" si="5"/>
        <v>2.5236930685158088</v>
      </c>
      <c r="T15" s="44">
        <f t="shared" si="6"/>
        <v>46.209497843290471</v>
      </c>
      <c r="U15" s="140">
        <f t="shared" si="7"/>
        <v>1.6423372004859151</v>
      </c>
      <c r="V15" s="134">
        <f t="shared" si="8"/>
        <v>39.881904518539166</v>
      </c>
      <c r="W15" s="135">
        <f t="shared" si="9"/>
        <v>2.6897206837978844</v>
      </c>
      <c r="X15" s="135">
        <f t="shared" si="10"/>
        <v>2.5445145559328806</v>
      </c>
      <c r="Y15" s="134">
        <f t="shared" si="11"/>
        <v>46.674502406348992</v>
      </c>
      <c r="Z15" s="146">
        <f t="shared" si="20"/>
        <v>-1.0581501853917668E-2</v>
      </c>
      <c r="AA15" s="58">
        <f t="shared" si="12"/>
        <v>2.5715822975428058</v>
      </c>
      <c r="AB15" s="118">
        <f t="shared" si="13"/>
        <v>1.882057578147343E-2</v>
      </c>
      <c r="AC15" s="76">
        <f t="shared" si="14"/>
        <v>1.8798057331168128E-2</v>
      </c>
      <c r="AD15" s="77">
        <f t="shared" si="15"/>
        <v>0.16788687874618846</v>
      </c>
      <c r="AE15" s="77">
        <f t="shared" si="16"/>
        <v>2.2933782568001714E-3</v>
      </c>
      <c r="AF15" s="58">
        <f>ABS(AA15-X15)/X15</f>
        <v>1.0637683933390395E-2</v>
      </c>
      <c r="AG15" s="58">
        <f t="shared" si="22"/>
        <v>1.0581501853917596E-2</v>
      </c>
      <c r="AH15" s="58">
        <f t="shared" si="17"/>
        <v>0.17025901762949075</v>
      </c>
      <c r="AI15" s="59">
        <f t="shared" si="18"/>
        <v>7.3266263586167606E-4</v>
      </c>
      <c r="AL15" s="3">
        <v>60</v>
      </c>
      <c r="AM15" s="3">
        <v>-3.3838487268380631E-2</v>
      </c>
      <c r="AN15" s="3">
        <f>AVERAGE(AM13:AM15)</f>
        <v>-4.9350722252168806E-2</v>
      </c>
      <c r="AU15" s="3">
        <v>15</v>
      </c>
      <c r="AV15" s="3">
        <v>-3.3838487268380631E-2</v>
      </c>
      <c r="AW15" s="3">
        <f>AVERAGE(AV13:AV15)</f>
        <v>2.5638804532671571E-2</v>
      </c>
      <c r="BD15" s="3">
        <v>25</v>
      </c>
      <c r="BE15" s="3">
        <v>-2.4880439052412037E-2</v>
      </c>
      <c r="BF15" s="3">
        <f>AVERAGE(BE13:BE15)</f>
        <v>-1.5462956663906794E-3</v>
      </c>
      <c r="BM15" s="3">
        <v>250</v>
      </c>
      <c r="BN15" s="3">
        <v>6.0858236896929069E-2</v>
      </c>
      <c r="BO15" s="3">
        <f>AVERAGE(BN13:BN15)</f>
        <v>2.2988285489902061E-2</v>
      </c>
      <c r="BU15" s="3">
        <v>49.3</v>
      </c>
      <c r="BV15" s="3">
        <v>-4.8252294509255455E-3</v>
      </c>
      <c r="BW15" s="3">
        <f>AVERAGE(BV13:BV15)</f>
        <v>-3.3610774656495805E-2</v>
      </c>
    </row>
    <row r="16" spans="2:80" s="3" customFormat="1" ht="14" x14ac:dyDescent="0.35">
      <c r="B16" s="22" t="s">
        <v>60</v>
      </c>
      <c r="C16" s="23" t="s">
        <v>83</v>
      </c>
      <c r="D16" s="23">
        <v>1000</v>
      </c>
      <c r="E16" s="23">
        <v>200</v>
      </c>
      <c r="F16" s="23">
        <v>0.8</v>
      </c>
      <c r="G16" s="24">
        <f t="shared" si="0"/>
        <v>5</v>
      </c>
      <c r="H16" s="25">
        <f t="shared" si="1"/>
        <v>1250</v>
      </c>
      <c r="I16" s="25">
        <v>36.299999999999997</v>
      </c>
      <c r="J16" s="24">
        <v>0.25</v>
      </c>
      <c r="K16" s="23">
        <v>2000</v>
      </c>
      <c r="L16" s="23">
        <v>42.149120000000003</v>
      </c>
      <c r="M16" s="25">
        <v>2</v>
      </c>
      <c r="N16" s="25">
        <v>8.2004300000000008</v>
      </c>
      <c r="O16" s="25">
        <f t="shared" si="19"/>
        <v>10.200430000000001</v>
      </c>
      <c r="P16" s="45">
        <f t="shared" si="2"/>
        <v>1.556856529438807</v>
      </c>
      <c r="Q16" s="70">
        <f t="shared" si="3"/>
        <v>39.17969114297096</v>
      </c>
      <c r="R16" s="46">
        <f t="shared" si="4"/>
        <v>3.5098853992113916</v>
      </c>
      <c r="S16" s="46">
        <f t="shared" si="5"/>
        <v>3.1783573753596888</v>
      </c>
      <c r="T16" s="47">
        <f t="shared" si="6"/>
        <v>45.717492845036446</v>
      </c>
      <c r="U16" s="141">
        <f t="shared" si="7"/>
        <v>2.4390538038554102</v>
      </c>
      <c r="V16" s="136">
        <f t="shared" si="8"/>
        <v>38.628071482243854</v>
      </c>
      <c r="W16" s="30">
        <f t="shared" si="9"/>
        <v>3.5406048624296647</v>
      </c>
      <c r="X16" s="30">
        <f t="shared" si="10"/>
        <v>3.2031482934563256</v>
      </c>
      <c r="Y16" s="136">
        <f t="shared" si="11"/>
        <v>46.314502048295616</v>
      </c>
      <c r="Z16" s="147">
        <f t="shared" si="20"/>
        <v>-2.316508731405572E-2</v>
      </c>
      <c r="AA16" s="61">
        <f t="shared" si="12"/>
        <v>3.2782156170432493</v>
      </c>
      <c r="AB16" s="119">
        <f t="shared" si="13"/>
        <v>3.1175029232196255E-2</v>
      </c>
      <c r="AC16" s="78">
        <f t="shared" si="14"/>
        <v>3.0934740463934851E-2</v>
      </c>
      <c r="AD16" s="79">
        <f t="shared" si="15"/>
        <v>1.1329565573828719</v>
      </c>
      <c r="AE16" s="79">
        <f t="shared" si="16"/>
        <v>9.9716684321323797E-3</v>
      </c>
      <c r="AF16" s="61">
        <f t="shared" si="21"/>
        <v>2.3435481816523406E-2</v>
      </c>
      <c r="AG16" s="61">
        <f t="shared" si="22"/>
        <v>2.3165087314055643E-2</v>
      </c>
      <c r="AH16" s="61">
        <f t="shared" si="17"/>
        <v>1.14759431434751</v>
      </c>
      <c r="AI16" s="62">
        <f t="shared" si="18"/>
        <v>5.6351030705039107E-3</v>
      </c>
      <c r="AL16" s="3">
        <v>100</v>
      </c>
      <c r="AM16" s="3">
        <v>-1.5372684220704914E-2</v>
      </c>
      <c r="AU16" s="3">
        <v>17</v>
      </c>
      <c r="AV16" s="3">
        <v>-1.5372684220704914E-2</v>
      </c>
      <c r="BD16" s="3">
        <v>26.666666666666668</v>
      </c>
      <c r="BE16" s="3">
        <v>-6.2168607250181251E-2</v>
      </c>
      <c r="BM16" s="3">
        <v>250</v>
      </c>
      <c r="BN16" s="3">
        <v>-2.5988714756240688E-3</v>
      </c>
      <c r="BU16" s="3">
        <v>57.3</v>
      </c>
      <c r="BV16" s="3">
        <v>-1.5372684220704914E-2</v>
      </c>
    </row>
    <row r="17" spans="2:35" s="3" customFormat="1" ht="14" x14ac:dyDescent="0.3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2:35" s="3" customFormat="1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2"/>
      <c r="N18" s="2"/>
      <c r="O18" s="2"/>
      <c r="P18" s="164" t="s">
        <v>90</v>
      </c>
      <c r="Q18" s="165"/>
      <c r="T18" s="1"/>
      <c r="U18" s="166" t="s">
        <v>62</v>
      </c>
      <c r="V18" s="167"/>
      <c r="AA18" s="80" t="s">
        <v>63</v>
      </c>
      <c r="AB18" s="83">
        <f>AVERAGE(AB5:AB16)</f>
        <v>2.080862944041208E-2</v>
      </c>
      <c r="AC18" s="5"/>
      <c r="AD18" s="81" t="s">
        <v>64</v>
      </c>
      <c r="AE18" s="82">
        <f>AVERAGE(S5:S16)</f>
        <v>2.1139530549142709</v>
      </c>
      <c r="AF18" s="111">
        <f>AVERAGE(AF5:AF16)</f>
        <v>1.8351181976659737E-2</v>
      </c>
      <c r="AG18" s="5"/>
      <c r="AH18" s="6" t="s">
        <v>64</v>
      </c>
      <c r="AI18" s="4">
        <f>AVERAGE(X5:X16)</f>
        <v>2.1318900079119336</v>
      </c>
    </row>
    <row r="19" spans="2:35" s="3" customFormat="1" ht="17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12">
        <v>0</v>
      </c>
      <c r="M19" s="113">
        <v>0</v>
      </c>
      <c r="N19" s="129"/>
      <c r="O19" s="129"/>
      <c r="P19" s="125" t="s">
        <v>65</v>
      </c>
      <c r="Q19" s="41">
        <v>50</v>
      </c>
      <c r="U19" s="120" t="s">
        <v>65</v>
      </c>
      <c r="V19" s="28">
        <v>51.74182646598112</v>
      </c>
      <c r="AC19" s="5"/>
      <c r="AD19" s="81" t="s">
        <v>66</v>
      </c>
      <c r="AE19" s="82">
        <f>SUM(AD5:AD16)</f>
        <v>9.7797243411356138</v>
      </c>
      <c r="AF19" s="5"/>
      <c r="AH19" s="6" t="s">
        <v>66</v>
      </c>
      <c r="AI19" s="4">
        <f>SUM(AH5:AH16)</f>
        <v>9.9243979219600416</v>
      </c>
    </row>
    <row r="20" spans="2:35" s="3" customFormat="1" x14ac:dyDescent="0.35">
      <c r="B20" s="1"/>
      <c r="C20" s="1"/>
      <c r="D20" s="1"/>
      <c r="E20" s="1"/>
      <c r="F20" s="1"/>
      <c r="G20" s="1"/>
      <c r="H20" s="1"/>
      <c r="I20" s="1"/>
      <c r="J20" s="1"/>
      <c r="K20" s="1"/>
      <c r="L20" s="114">
        <v>60</v>
      </c>
      <c r="M20" s="115">
        <v>60</v>
      </c>
      <c r="N20" s="129"/>
      <c r="O20" s="129"/>
      <c r="P20" s="123" t="s">
        <v>67</v>
      </c>
      <c r="Q20" s="44">
        <v>20</v>
      </c>
      <c r="U20" s="121" t="s">
        <v>67</v>
      </c>
      <c r="V20" s="29">
        <v>19.059212763114544</v>
      </c>
      <c r="AD20" s="81" t="s">
        <v>68</v>
      </c>
      <c r="AE20" s="82">
        <f>SUM(AE5:AE16)</f>
        <v>2.791284453953001E-2</v>
      </c>
      <c r="AH20" s="6" t="s">
        <v>68</v>
      </c>
      <c r="AI20" s="4">
        <f>SUM(AI5:AI16)</f>
        <v>2.3604069253905555E-2</v>
      </c>
    </row>
    <row r="21" spans="2:35" s="3" customFormat="1" ht="18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2"/>
      <c r="N21" s="2"/>
      <c r="O21" s="2"/>
      <c r="P21" s="124" t="s">
        <v>69</v>
      </c>
      <c r="Q21" s="47">
        <v>0.9</v>
      </c>
      <c r="U21" s="122" t="s">
        <v>69</v>
      </c>
      <c r="V21" s="31">
        <v>0.88327755037241429</v>
      </c>
      <c r="AD21" s="86" t="s">
        <v>70</v>
      </c>
      <c r="AE21" s="109">
        <f>1-(AE20/AE19)</f>
        <v>0.99714584546906682</v>
      </c>
      <c r="AH21" s="85" t="s">
        <v>87</v>
      </c>
      <c r="AI21" s="110">
        <f>1-(AI20/AI19)</f>
        <v>0.99762161196684018</v>
      </c>
    </row>
    <row r="22" spans="2:35" x14ac:dyDescent="0.35">
      <c r="S22" s="2"/>
      <c r="T22" s="2"/>
      <c r="U22" s="2"/>
      <c r="V22" s="2"/>
    </row>
    <row r="23" spans="2:35" ht="17" x14ac:dyDescent="0.35">
      <c r="N23" s="103" t="s">
        <v>10</v>
      </c>
      <c r="O23" s="104" t="s">
        <v>19</v>
      </c>
      <c r="P23" s="105" t="s">
        <v>71</v>
      </c>
      <c r="Q23" s="105" t="s">
        <v>72</v>
      </c>
    </row>
    <row r="24" spans="2:35" ht="16.5" x14ac:dyDescent="0.35">
      <c r="N24" s="99">
        <v>300</v>
      </c>
      <c r="O24" s="98">
        <v>0.4</v>
      </c>
      <c r="P24" s="98">
        <f t="shared" ref="P24:P35" si="23">+T5-Y5</f>
        <v>0.14144155481714904</v>
      </c>
      <c r="Q24" s="106">
        <f t="shared" ref="Q24:Q35" si="24">ABS(T5-Y5)/T5</f>
        <v>2.9299209885665489E-3</v>
      </c>
      <c r="S24" s="64" t="s">
        <v>73</v>
      </c>
      <c r="T24" s="65" cm="1">
        <f t="array" ref="T24">SUMPRODUCT(1/COUNTIF($M$5:$M$16,$M$5:$M$16),(Z5:Z16)^2)</f>
        <v>1.9189179459043401E-3</v>
      </c>
    </row>
    <row r="25" spans="2:35" x14ac:dyDescent="0.35">
      <c r="N25" s="90">
        <v>300</v>
      </c>
      <c r="O25" s="92">
        <v>1</v>
      </c>
      <c r="P25" s="92">
        <f t="shared" si="23"/>
        <v>-0.28023889299887372</v>
      </c>
      <c r="Q25" s="107">
        <f t="shared" si="24"/>
        <v>5.9297340770627233E-3</v>
      </c>
      <c r="V25" s="152">
        <f t="shared" ref="V25:V36" si="25">U5-M5</f>
        <v>-0.11734414039802354</v>
      </c>
      <c r="W25" s="150">
        <f t="shared" ref="W25:W36" si="26">ABS(U5-M5)/U5</f>
        <v>0.41514844434239712</v>
      </c>
    </row>
    <row r="26" spans="2:35" x14ac:dyDescent="0.35">
      <c r="N26" s="90">
        <v>300</v>
      </c>
      <c r="O26" s="92">
        <v>1.5</v>
      </c>
      <c r="P26" s="92">
        <f t="shared" si="23"/>
        <v>-0.46942979147029718</v>
      </c>
      <c r="Q26" s="107">
        <f t="shared" si="24"/>
        <v>9.8700638514237059E-3</v>
      </c>
      <c r="V26" s="152">
        <f t="shared" si="25"/>
        <v>-0.15544345921944558</v>
      </c>
      <c r="W26" s="150">
        <f t="shared" si="26"/>
        <v>0.18405334837118414</v>
      </c>
    </row>
    <row r="27" spans="2:35" x14ac:dyDescent="0.35">
      <c r="N27" s="100">
        <v>300</v>
      </c>
      <c r="O27" s="102">
        <v>2</v>
      </c>
      <c r="P27" s="102">
        <f t="shared" si="23"/>
        <v>-0.60045709108762679</v>
      </c>
      <c r="Q27" s="108">
        <f t="shared" si="24"/>
        <v>1.2855001397192154E-2</v>
      </c>
      <c r="V27" s="152">
        <f t="shared" si="25"/>
        <v>-0.40667686699176619</v>
      </c>
      <c r="W27" s="150">
        <f t="shared" si="26"/>
        <v>0.371964019340569</v>
      </c>
    </row>
    <row r="28" spans="2:35" x14ac:dyDescent="0.35">
      <c r="N28" s="99">
        <v>800</v>
      </c>
      <c r="O28" s="98">
        <v>0.4</v>
      </c>
      <c r="P28" s="98">
        <f t="shared" si="23"/>
        <v>0.14896272804584498</v>
      </c>
      <c r="Q28" s="106">
        <f t="shared" si="24"/>
        <v>3.194809952895773E-3</v>
      </c>
      <c r="V28" s="152">
        <f t="shared" si="25"/>
        <v>-0.19031671383621607</v>
      </c>
      <c r="W28" s="150">
        <f t="shared" si="26"/>
        <v>0.10516575761698868</v>
      </c>
    </row>
    <row r="29" spans="2:35" x14ac:dyDescent="0.35">
      <c r="N29" s="90">
        <v>800</v>
      </c>
      <c r="O29" s="92">
        <v>1</v>
      </c>
      <c r="P29" s="92">
        <f t="shared" si="23"/>
        <v>-0.27816353778518277</v>
      </c>
      <c r="Q29" s="107">
        <f t="shared" si="24"/>
        <v>5.957012089537723E-3</v>
      </c>
      <c r="U29" s="2"/>
      <c r="V29" s="152">
        <f t="shared" si="25"/>
        <v>6.4573672457660991E-2</v>
      </c>
      <c r="W29" s="150">
        <f t="shared" si="26"/>
        <v>0.13899554857695023</v>
      </c>
    </row>
    <row r="30" spans="2:35" x14ac:dyDescent="0.35">
      <c r="N30" s="90">
        <v>800</v>
      </c>
      <c r="O30" s="92">
        <v>1.5</v>
      </c>
      <c r="P30" s="92">
        <f t="shared" si="23"/>
        <v>-0.46625309017226613</v>
      </c>
      <c r="Q30" s="107">
        <f t="shared" si="24"/>
        <v>1.0014843056049041E-2</v>
      </c>
      <c r="S30" s="2"/>
      <c r="T30" s="2"/>
      <c r="U30" s="2"/>
      <c r="V30" s="152">
        <f t="shared" si="25"/>
        <v>1.1144587690972152E-3</v>
      </c>
      <c r="W30" s="150">
        <f t="shared" si="26"/>
        <v>1.1132181333865445E-3</v>
      </c>
    </row>
    <row r="31" spans="2:35" x14ac:dyDescent="0.35">
      <c r="N31" s="100">
        <v>800</v>
      </c>
      <c r="O31" s="102">
        <v>2</v>
      </c>
      <c r="P31" s="102">
        <f t="shared" si="23"/>
        <v>-0.59811185209888862</v>
      </c>
      <c r="Q31" s="108">
        <f t="shared" si="24"/>
        <v>1.2999247025338233E-2</v>
      </c>
      <c r="S31" s="2"/>
      <c r="T31" s="2"/>
      <c r="U31" s="2"/>
      <c r="V31" s="152">
        <f t="shared" si="25"/>
        <v>-2.0292765590224304E-2</v>
      </c>
      <c r="W31" s="150">
        <f t="shared" si="26"/>
        <v>1.3714040938860899E-2</v>
      </c>
    </row>
    <row r="32" spans="2:35" x14ac:dyDescent="0.35">
      <c r="N32" s="99">
        <v>1000</v>
      </c>
      <c r="O32" s="98">
        <v>0.4</v>
      </c>
      <c r="P32" s="98">
        <f t="shared" si="23"/>
        <v>0.15023283599719406</v>
      </c>
      <c r="Q32" s="106">
        <f t="shared" si="24"/>
        <v>3.2417388427531967E-3</v>
      </c>
      <c r="S32" s="2"/>
      <c r="T32" s="2"/>
      <c r="U32" s="2"/>
      <c r="V32" s="152">
        <f t="shared" si="25"/>
        <v>0.23291846705029329</v>
      </c>
      <c r="W32" s="150">
        <f t="shared" si="26"/>
        <v>0.10431122787836532</v>
      </c>
    </row>
    <row r="33" spans="14:23" x14ac:dyDescent="0.35">
      <c r="N33" s="90">
        <v>1000</v>
      </c>
      <c r="O33" s="92">
        <v>1</v>
      </c>
      <c r="P33" s="92">
        <f t="shared" si="23"/>
        <v>-0.2760850352840265</v>
      </c>
      <c r="Q33" s="107">
        <f t="shared" si="24"/>
        <v>5.9806302640794387E-3</v>
      </c>
      <c r="S33" s="2"/>
      <c r="T33" s="2"/>
      <c r="U33" s="2"/>
      <c r="V33" s="152">
        <f t="shared" si="25"/>
        <v>0.10587111099062119</v>
      </c>
      <c r="W33" s="150">
        <f t="shared" si="26"/>
        <v>0.20928475394315219</v>
      </c>
    </row>
    <row r="34" spans="14:23" x14ac:dyDescent="0.35">
      <c r="N34" s="90">
        <v>1000</v>
      </c>
      <c r="O34" s="92">
        <v>1.5</v>
      </c>
      <c r="P34" s="92">
        <f t="shared" si="23"/>
        <v>-0.46500456305852111</v>
      </c>
      <c r="Q34" s="107">
        <f t="shared" si="24"/>
        <v>1.006296507777435E-2</v>
      </c>
      <c r="S34" s="2"/>
      <c r="T34" s="2"/>
      <c r="U34" s="2"/>
      <c r="V34" s="152">
        <f t="shared" si="25"/>
        <v>0.17480534688480653</v>
      </c>
      <c r="W34" s="150">
        <f t="shared" si="26"/>
        <v>0.14879515772407084</v>
      </c>
    </row>
    <row r="35" spans="14:23" x14ac:dyDescent="0.35">
      <c r="N35" s="100">
        <v>1000</v>
      </c>
      <c r="O35" s="102">
        <v>2</v>
      </c>
      <c r="P35" s="102">
        <f t="shared" si="23"/>
        <v>-0.5970092032591694</v>
      </c>
      <c r="Q35" s="108">
        <f t="shared" si="24"/>
        <v>1.3058660178124504E-2</v>
      </c>
      <c r="S35" s="2"/>
      <c r="T35" s="2"/>
      <c r="U35" s="2"/>
      <c r="V35" s="152">
        <f t="shared" si="25"/>
        <v>0.14233720048591514</v>
      </c>
      <c r="W35" s="150">
        <f t="shared" si="26"/>
        <v>8.6667464174715214E-2</v>
      </c>
    </row>
    <row r="36" spans="14:23" x14ac:dyDescent="0.35">
      <c r="S36" s="2"/>
      <c r="T36" s="2"/>
      <c r="U36" s="2"/>
      <c r="V36" s="152">
        <f t="shared" si="25"/>
        <v>0.43905380385541015</v>
      </c>
      <c r="W36" s="150">
        <f t="shared" si="26"/>
        <v>0.18000988873693488</v>
      </c>
    </row>
    <row r="37" spans="14:23" x14ac:dyDescent="0.35">
      <c r="S37" s="2"/>
      <c r="T37" s="2"/>
      <c r="U37" s="2"/>
      <c r="V37" s="2"/>
      <c r="W37" s="151">
        <f>AVERAGE(W25:W36)</f>
        <v>0.16326857248146462</v>
      </c>
    </row>
    <row r="38" spans="14:23" x14ac:dyDescent="0.35">
      <c r="S38" s="2"/>
      <c r="T38" s="2"/>
      <c r="U38" s="2"/>
      <c r="V38" s="2"/>
    </row>
    <row r="39" spans="14:23" x14ac:dyDescent="0.35">
      <c r="S39" s="2"/>
      <c r="T39" s="2"/>
      <c r="U39" s="2"/>
      <c r="V39" s="2"/>
    </row>
    <row r="40" spans="14:23" x14ac:dyDescent="0.35">
      <c r="S40" s="2"/>
      <c r="T40" s="2"/>
      <c r="U40" s="2"/>
      <c r="V40" s="2"/>
    </row>
    <row r="41" spans="14:23" x14ac:dyDescent="0.35">
      <c r="S41" s="2"/>
      <c r="T41" s="2"/>
      <c r="U41" s="2"/>
      <c r="V41" s="2"/>
    </row>
    <row r="42" spans="14:23" x14ac:dyDescent="0.35">
      <c r="S42" s="2"/>
      <c r="T42" s="2"/>
      <c r="U42" s="2"/>
      <c r="V42" s="2"/>
    </row>
    <row r="43" spans="14:23" x14ac:dyDescent="0.35">
      <c r="S43" s="2"/>
      <c r="T43" s="2"/>
      <c r="U43" s="2"/>
      <c r="V43" s="2"/>
    </row>
    <row r="44" spans="14:23" x14ac:dyDescent="0.35">
      <c r="S44" s="2"/>
      <c r="T44" s="2"/>
      <c r="U44" s="2"/>
      <c r="V44" s="2"/>
    </row>
    <row r="45" spans="14:23" x14ac:dyDescent="0.35">
      <c r="S45" s="2"/>
      <c r="T45" s="2"/>
      <c r="U45" s="2"/>
      <c r="V45" s="2"/>
    </row>
    <row r="46" spans="14:23" x14ac:dyDescent="0.35">
      <c r="S46" s="2"/>
      <c r="T46" s="2"/>
      <c r="U46" s="2"/>
      <c r="V46" s="2"/>
    </row>
    <row r="47" spans="14:23" x14ac:dyDescent="0.35">
      <c r="T47" s="2"/>
      <c r="U47" s="2"/>
    </row>
    <row r="48" spans="14:23" x14ac:dyDescent="0.35">
      <c r="S48" s="2"/>
      <c r="U48" s="2"/>
    </row>
    <row r="49" spans="19:21" x14ac:dyDescent="0.35">
      <c r="S49" s="2"/>
      <c r="U49" s="2"/>
    </row>
    <row r="50" spans="19:21" x14ac:dyDescent="0.35">
      <c r="S50" s="2"/>
      <c r="U50" s="2"/>
    </row>
    <row r="51" spans="19:21" x14ac:dyDescent="0.35">
      <c r="S51" s="2"/>
    </row>
  </sheetData>
  <mergeCells count="7">
    <mergeCell ref="P18:Q18"/>
    <mergeCell ref="U18:V18"/>
    <mergeCell ref="C2:E2"/>
    <mergeCell ref="AB2:AE2"/>
    <mergeCell ref="AF2:AI2"/>
    <mergeCell ref="P2:Q2"/>
    <mergeCell ref="U2:V2"/>
  </mergeCells>
  <conditionalFormatting sqref="AD18">
    <cfRule type="expression" dxfId="13" priority="10">
      <formula>$I36=2</formula>
    </cfRule>
  </conditionalFormatting>
  <conditionalFormatting sqref="AD18:AD21">
    <cfRule type="expression" dxfId="12" priority="12">
      <formula>$I82=2</formula>
    </cfRule>
  </conditionalFormatting>
  <conditionalFormatting sqref="AD19">
    <cfRule type="expression" dxfId="11" priority="9">
      <formula>$I39=2</formula>
    </cfRule>
  </conditionalFormatting>
  <conditionalFormatting sqref="AD20">
    <cfRule type="expression" dxfId="10" priority="11">
      <formula>$I39=2</formula>
    </cfRule>
  </conditionalFormatting>
  <conditionalFormatting sqref="AD4:AE4">
    <cfRule type="expression" dxfId="9" priority="13">
      <formula>#REF!=2</formula>
    </cfRule>
  </conditionalFormatting>
  <conditionalFormatting sqref="AD21:AE21">
    <cfRule type="expression" dxfId="8" priority="7">
      <formula>$I39=2</formula>
    </cfRule>
  </conditionalFormatting>
  <conditionalFormatting sqref="AE21">
    <cfRule type="expression" dxfId="7" priority="8">
      <formula>$I85=2</formula>
    </cfRule>
  </conditionalFormatting>
  <conditionalFormatting sqref="AH18">
    <cfRule type="expression" dxfId="6" priority="4">
      <formula>$I25=2</formula>
    </cfRule>
  </conditionalFormatting>
  <conditionalFormatting sqref="AH18:AH21">
    <cfRule type="expression" dxfId="5" priority="6">
      <formula>$I71=2</formula>
    </cfRule>
  </conditionalFormatting>
  <conditionalFormatting sqref="AH19">
    <cfRule type="expression" dxfId="4" priority="3">
      <formula>$I28=2</formula>
    </cfRule>
  </conditionalFormatting>
  <conditionalFormatting sqref="AH20">
    <cfRule type="expression" dxfId="3" priority="5">
      <formula>$I28=2</formula>
    </cfRule>
  </conditionalFormatting>
  <conditionalFormatting sqref="AH21:AI21">
    <cfRule type="expression" dxfId="2" priority="1">
      <formula>$I28=2</formula>
    </cfRule>
  </conditionalFormatting>
  <conditionalFormatting sqref="AH4:AL4 AN4:AU4 AW4:BD4 BF4:CB4 AV5">
    <cfRule type="expression" dxfId="1" priority="20">
      <formula>#REF!=2</formula>
    </cfRule>
  </conditionalFormatting>
  <conditionalFormatting sqref="AI21">
    <cfRule type="expression" dxfId="0" priority="2">
      <formula>$I74=2</formula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13c6f2c-219a-4692-97d3-f2b4d80281e7}" enabled="0" method="" siteId="{413c6f2c-219a-4692-97d3-f2b4d80281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 Girumugisha-et-al-2025</vt:lpstr>
      <vt:lpstr>03 Jin-et-al-2024</vt:lpstr>
      <vt:lpstr>04 Ning-et-al-2025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Cylwik</dc:creator>
  <cp:keywords/>
  <dc:description/>
  <cp:lastModifiedBy>Anticona, Wilson</cp:lastModifiedBy>
  <cp:revision/>
  <dcterms:created xsi:type="dcterms:W3CDTF">2024-08-11T04:05:39Z</dcterms:created>
  <dcterms:modified xsi:type="dcterms:W3CDTF">2026-08-23T15:55:21Z</dcterms:modified>
  <cp:category/>
  <cp:contentStatus/>
</cp:coreProperties>
</file>