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Rotura_Bg" sheetId="8" state="visible" r:id="rId8"/>
    <sheet xmlns:r="http://schemas.openxmlformats.org/officeDocument/2006/relationships" name="Hipotesis_m" sheetId="9" state="visible" r:id="rId9"/>
    <sheet xmlns:r="http://schemas.openxmlformats.org/officeDocument/2006/relationships" name="Base_mundial" sheetId="10" state="visible" r:id="rId10"/>
    <sheet xmlns:r="http://schemas.openxmlformats.org/officeDocument/2006/relationships" name="Ajuste" sheetId="11" state="visible" r:id="rId11"/>
    <sheet xmlns:r="http://schemas.openxmlformats.org/officeDocument/2006/relationships" name="FLAC_tangente" sheetId="12" state="visible" r:id="rId12"/>
    <sheet xmlns:r="http://schemas.openxmlformats.org/officeDocument/2006/relationships" name="Relacion_vacios" sheetId="13" state="visible" r:id="rId13"/>
    <sheet xmlns:r="http://schemas.openxmlformats.org/officeDocument/2006/relationships" name="Perfiles_e" sheetId="14" state="visible" r:id="rId14"/>
    <sheet xmlns:r="http://schemas.openxmlformats.org/officeDocument/2006/relationships" name="Edometros" sheetId="15" state="visible" r:id="rId15"/>
    <sheet xmlns:r="http://schemas.openxmlformats.org/officeDocument/2006/relationships" name="Tamano_particula" sheetId="16" state="visible" r:id="rId16"/>
    <sheet xmlns:r="http://schemas.openxmlformats.org/officeDocument/2006/relationships" name="Datos_figuras" sheetId="17" state="visible" r:id="rId17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°&quot;;-0.0&quot;°&quot;"/>
  </numFmts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Curva propuesta (m = 0.85, tope de 42°)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Nivel reajustado con m = 1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Residuo por litología (raya: media)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Mármol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'Datos_figuras'!$FG$3</f>
            </numRef>
          </xVal>
          <yVal>
            <numRef>
              <f>'Datos_figuras'!$FH$3</f>
            </numRef>
          </yVal>
          <smooth val="0"/>
        </ser>
        <ser>
          <idx val="1"/>
          <order val="1"/>
          <tx>
            <v>Intrusivo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'Datos_figuras'!$FG$4</f>
            </numRef>
          </xVal>
          <yVal>
            <numRef>
              <f>'Datos_figuras'!$FH$4</f>
            </numRef>
          </yVal>
          <smooth val="0"/>
        </ser>
        <ser>
          <idx val="2"/>
          <order val="2"/>
          <tx>
            <v>Mezclas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'Datos_figuras'!$FG$5</f>
            </numRef>
          </xVal>
          <yVal>
            <numRef>
              <f>'Datos_figuras'!$FH$5</f>
            </numRef>
          </yVal>
          <smooth val="0"/>
        </ser>
        <ser>
          <idx val="3"/>
          <order val="3"/>
          <tx>
            <v>Hornfels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'Datos_figuras'!$FG$6</f>
            </numRef>
          </xVal>
          <yVal>
            <numRef>
              <f>'Datos_figuras'!$FH$6</f>
            </numRef>
          </yVal>
          <smooth val="0"/>
        </ser>
        <ser>
          <idx val="4"/>
          <order val="4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'Datos_figuras'!$FD$3:$FD$4</f>
            </numRef>
          </xVal>
          <yVal>
            <numRef>
              <f>'Datos_figuras'!$FE$3:$FE$4</f>
            </numRef>
          </yVal>
          <smooth val="0"/>
        </ser>
        <ser>
          <idx val="5"/>
          <order val="5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7"/>
          <order val="7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9"/>
          <order val="9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11"/>
          <order val="11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13"/>
          <order val="13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'Datos_figuras'!$EY$3:$EY$14</f>
            </numRef>
          </xVal>
          <yVal>
            <numRef>
              <f>'Datos_figuras'!$EZ$3:$EZ$14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</a:t>
                </a:r>
              </a:p>
            </rich>
          </tx>
        </title>
        <numFmt formatCode=";;;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Ejemplo: Marachi et al. (1972) · PS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Sobre 4.60 MPa: se predice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'Datos_figuras'!$HK$3:$HK$56</f>
            </numRef>
          </xVal>
          <yVal>
            <numRef>
              <f>'Datos_figuras'!$HL$3:$HL$56</f>
            </numRef>
          </yVal>
          <smooth val="0"/>
        </ser>
        <ser>
          <idx val="1"/>
          <order val="1"/>
          <tx>
            <v>m = 0.85 (curva propuesta)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'Datos_figuras'!$HH$3:$HH$42</f>
            </numRef>
          </yVal>
          <smooth val="0"/>
        </ser>
        <ser>
          <idx val="2"/>
          <order val="2"/>
          <tx>
            <v>m = 1 (lineal, como Antamina)</v>
          </tx>
          <spPr>
            <a:ln xmlns:a="http://schemas.openxmlformats.org/drawingml/2006/main" w="2540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'Datos_figuras'!$HI$3:$HI$42</f>
            </numRef>
          </yVal>
          <smooth val="0"/>
        </ser>
        <ser>
          <idx val="3"/>
          <order val="3"/>
          <tx>
            <v>Otros ensayos del set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'Datos_figuras'!$HD$3:$HD$6</f>
            </numRef>
          </xVal>
          <yVal>
            <numRef>
              <f>'Datos_figuras'!$HE$3:$HE$6</f>
            </numRef>
          </yVal>
          <smooth val="0"/>
        </ser>
        <ser>
          <idx val="4"/>
          <order val="4"/>
          <tx>
            <v>Ensayos con σ′n ≤ 2 MPa: fijan el nivel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'Datos_figuras'!$GZ$3:$GZ$6</f>
            </numRef>
          </xVal>
          <yVal>
            <numRef>
              <f>'Datos_figuras'!$HA$3:$HA$6</f>
            </numRef>
          </yVal>
          <smooth val="0"/>
        </ser>
        <ser>
          <idx val="5"/>
          <order val="5"/>
          <tx>
            <v>Ensayos sobre 4.60 MPa: se predicen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0B0B0B"/>
                </a:solidFill>
                <a:prstDash val="solid"/>
              </a:ln>
            </spPr>
          </marker>
          <xVal>
            <numRef>
              <f>'Datos_figuras'!$HB$3:$HB$6</f>
            </numRef>
          </xVal>
          <yVal>
            <numRef>
              <f>'Datos_figuras'!$HC$3:$HC$6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2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34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Base mundial: ensayos sobre 4.60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+0.0°, 12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'Datos_figuras'!$FS$3:$FS$69</f>
            </numRef>
          </yVal>
          <smooth val="0"/>
        </ser>
        <ser>
          <idx val="2"/>
          <order val="2"/>
          <tx>
            <v>m = 1.00: sesgo +7.4°, 26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'Datos_figuras'!$FT$3:$FT$69</f>
            </numRef>
          </yVal>
          <smooth val="0"/>
        </ser>
        <axId val="10"/>
        <axId val="20"/>
      </scatterChart>
      <valAx>
        <axId val="10"/>
        <scaling>
          <orientation val="minMax"/>
          <max val="52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Antamina: ensayo de mayor σ′3 de cada set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−5.2°, 0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'Datos_figuras'!$GE$3:$GE$22</f>
            </numRef>
          </xVal>
          <yVal>
            <numRef>
              <f>'Datos_figuras'!$GH$3:$GH$22</f>
            </numRef>
          </yVal>
          <smooth val="0"/>
        </ser>
        <ser>
          <idx val="2"/>
          <order val="2"/>
          <tx>
            <v>m = 1.00: sesgo −0.8°, 3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'Datos_figuras'!$GM$3:$GM$22</f>
            </numRef>
          </xVal>
          <yVal>
            <numRef>
              <f>'Datos_figuras'!$GP$3:$GP$22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(d) Sesgo según m: ningún m anula los dos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'Datos_figuras'!$HW$3:$HW$4</f>
            </numRef>
          </xVal>
          <yVal>
            <numRef>
              <f>'Datos_figuras'!$HX$3:$HX$4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143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'Datos_figuras'!$HQ$3:$HQ$4</f>
            </numRef>
          </xVal>
          <yVal>
            <numRef>
              <f>'Datos_figuras'!$HR$3:$HR$4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1430">
              <a:solidFill>
                <a:srgbClr val="D55E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'Datos_figuras'!$HT$3:$HT$4</f>
            </numRef>
          </xVal>
          <yVal>
            <numRef>
              <f>'Datos_figuras'!$HU$3:$HU$4</f>
            </numRef>
          </yVal>
          <smooth val="0"/>
        </ser>
        <ser>
          <idx val="3"/>
          <order val="3"/>
          <tx>
            <v>Base mundial (4.60–7.86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'Datos_figuras'!$IA$3:$IA$25</f>
            </numRef>
          </yVal>
          <smooth val="0"/>
        </ser>
        <ser>
          <idx val="4"/>
          <order val="4"/>
          <tx>
            <v>Antamina (hasta 4.60 MPa)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'Datos_figuras'!$IB$3:$IB$25</f>
            </numRef>
          </yVal>
          <smooth val="0"/>
        </ser>
        <ser>
          <idx val="5"/>
          <order val="5"/>
          <tx>
            <v>m = 0.85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'Datos_figuras'!$ID$3</f>
            </numRef>
          </xVal>
          <yVal>
            <numRef>
              <f>'Datos_figuras'!$IE$3</f>
            </numRef>
          </yVal>
          <smooth val="0"/>
        </ser>
        <ser>
          <idx val="6"/>
          <order val="6"/>
          <tx>
            <v>m = 1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l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'Datos_figuras'!$ID$4</f>
            </numRef>
          </xVal>
          <yVal>
            <numRef>
              <f>'Datos_figuras'!$IE$4</f>
            </numRef>
          </yVal>
          <smooth val="0"/>
        </ser>
        <axId val="10"/>
        <axId val="20"/>
      </scatterChart>
      <valAx>
        <axId val="10"/>
        <scaling>
          <orientation val="minMax"/>
          <max val="1.05"/>
          <min val="0.7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medio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5"/>
        <delete val="1"/>
      </legendEntry>
      <legendEntry>
        <idx val="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Relación de vacíos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08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Ángulo de fricción secante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83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83</row>
      <rowOff>0</rowOff>
    </from>
    <ext cx="450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107</row>
      <rowOff>0</rowOff>
    </from>
    <ext cx="450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107</row>
      <rowOff>0</rowOff>
    </from>
    <ext cx="45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612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167</row>
      <rowOff>0</rowOff>
    </from>
    <ext cx="6120000" cy="50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199</row>
      <rowOff>0</rowOff>
    </from>
    <ext cx="6120000" cy="396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225</row>
      <rowOff>0</rowOff>
    </from>
    <ext cx="6120000" cy="50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257</row>
      <rowOff>0</rowOff>
    </from>
    <ext cx="306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9</col>
      <colOff>0</colOff>
      <row>257</row>
      <rowOff>0</rowOff>
    </from>
    <ext cx="45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(fórmula), corrección a e base (Ec. 27) e índice de rotura Bg (columna X, de la hoja Rotura_Bg).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Rotura_Bg: índice de rotura de Marsal (Bg) de todos los ensayos con su fuente, página y uso en la figura del memo.</t>
        </is>
      </c>
    </row>
    <row r="20">
      <c r="A20" t="inlineStr">
        <is>
          <t xml:space="preserve">  Edometros: edómetros de desmonte de Antamina y e resultante con la ley del perfil A.</t>
        </is>
      </c>
    </row>
    <row r="21">
      <c r="A21" t="inlineStr">
        <is>
          <t xml:space="preserve">  Tamano_particula: sensibilidad al tamaño (Frossard et al. 2012).</t>
        </is>
      </c>
    </row>
    <row r="22">
      <c r="A22" t="inlineStr"/>
    </row>
    <row r="23">
      <c r="A23" t="inlineStr">
        <is>
          <t>Fuentes: base de ensayos de Antamina verificada contra los PDF (datos_antamina/base, verificacion_ocr); base mundial de Cylwik et al. (2025);</t>
        </is>
      </c>
    </row>
    <row r="24">
      <c r="A24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25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residuo por litología</t>
        </is>
      </c>
    </row>
    <row r="83">
      <c r="B83" s="2" t="inlineStr">
        <is>
          <t>Figura 3. Prueba de extrapolación: (a) ejemplo, (b) base mundial, (c) Antamina, (d) sesgo según m</t>
        </is>
      </c>
    </row>
    <row r="133">
      <c r="B133" s="2" t="inlineStr">
        <is>
          <t>Figura 4. Curva propuesta y su banda de incertidumbre, con los ensayos del ajuste y la base mundial llevados a e base</t>
        </is>
      </c>
    </row>
    <row r="167">
      <c r="B167" s="2" t="inlineStr">
        <is>
          <t>Figura 5. Contraste de la curva propuesta con los triaxiales CU de desmonte ROM no usados en el ajuste</t>
        </is>
      </c>
    </row>
    <row r="199">
      <c r="B199" s="2" t="inlineStr">
        <is>
          <t>Figura 6. Índice de rotura de Marsal (1967) en los triaxiales drenados del ajuste</t>
        </is>
      </c>
    </row>
    <row r="225">
      <c r="B225" s="2" t="inlineStr">
        <is>
          <t>Figura 7. Curva propuesta y su banda de incertidumbre en τ–σ′n</t>
        </is>
      </c>
    </row>
    <row r="257">
      <c r="B257" s="2" t="inlineStr">
        <is>
          <t>Figura 8. (a) Relación de vacíos con la profundidad; (b) ángulo de fricción secante de la curva propuesta con cada supuesto</t>
        </is>
      </c>
    </row>
  </sheetData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  <row r="25">
      <c r="A25" t="inlineStr">
        <is>
          <t>Sensibilidad: φ′e=0 sin los 4 triaxiales de hornfels de 1 m a alta presión</t>
        </is>
      </c>
      <c r="B25" t="n">
        <v>47.71893564033366</v>
      </c>
      <c r="C25" t="inlineStr">
        <is>
          <t>°</t>
        </is>
      </c>
      <c r="D25" t="inlineStr">
        <is>
          <t>Golder Associates Perú (2022), IDIEM, σ′3 = 1.96 y 2.45 MPa; cada set conserva su ensayo a 0.98 MPa (a39; memo, sec. 5.2)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  <col width="14" customWidth="1" min="24" max="24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curva, con tope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  <c r="X1" s="3" t="inlineStr">
        <is>
          <t>Bg (%) (índice de rotura de Marsal; hoja Rotura_Bg)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MIN(tope,DEGREES(ATAN(TAN(RADIANS(pe0-omega*J2))*(M2/sref)^(m_-1))))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  <c r="X2">
        <f>Rotura_Bg!H3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MIN(tope,DEGREES(ATAN(TAN(RADIANS(pe0-omega*J3))*(M3/sref)^(m_-1))))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  <c r="X3">
        <f>Rotura_Bg!H5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MIN(tope,DEGREES(ATAN(TAN(RADIANS(pe0-omega*J4))*(M4/sref)^(m_-1))))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  <c r="X4">
        <f>Rotura_Bg!H7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MIN(tope,DEGREES(ATAN(TAN(RADIANS(pe0-omega*J5))*(M5/sref)^(m_-1))))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  <c r="X5">
        <f>Rotura_Bg!H9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MIN(tope,DEGREES(ATAN(TAN(RADIANS(pe0-omega*J6))*(M6/sref)^(m_-1))))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  <c r="X6">
        <f>Rotura_Bg!H11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MIN(tope,DEGREES(ATAN(TAN(RADIANS(pe0-omega*J7))*(M7/sref)^(m_-1))))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  <c r="X7" t="inlineStr">
        <is>
          <t>no informado</t>
        </is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MIN(tope,DEGREES(ATAN(TAN(RADIANS(pe0-omega*J8))*(M8/sref)^(m_-1))))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  <c r="X8" t="inlineStr">
        <is>
          <t>no informado</t>
        </is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MIN(tope,DEGREES(ATAN(TAN(RADIANS(pe0-omega*J9))*(M9/sref)^(m_-1))))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  <c r="X9" t="inlineStr">
        <is>
          <t>no informado</t>
        </is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MIN(tope,DEGREES(ATAN(TAN(RADIANS(pe0-omega*J10))*(M10/sref)^(m_-1))))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  <c r="X10">
        <f>Rotura_Bg!H14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MIN(tope,DEGREES(ATAN(TAN(RADIANS(pe0-omega*J11))*(M11/sref)^(m_-1))))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  <c r="X11">
        <f>Rotura_Bg!H16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MIN(tope,DEGREES(ATAN(TAN(RADIANS(pe0-omega*J12))*(M12/sref)^(m_-1))))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  <c r="X12">
        <f>Rotura_Bg!H18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MIN(tope,DEGREES(ATAN(TAN(RADIANS(pe0-omega*J13))*(M13/sref)^(m_-1))))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  <c r="X13">
        <f>Rotura_Bg!H20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MIN(tope,DEGREES(ATAN(TAN(RADIANS(pe0-omega*J14))*(M14/sref)^(m_-1))))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  <c r="X14">
        <f>Rotura_Bg!H22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MIN(tope,DEGREES(ATAN(TAN(RADIANS(pe0-omega*J15))*(M15/sref)^(m_-1))))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  <c r="X15">
        <f>Rotura_Bg!H24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MIN(tope,DEGREES(ATAN(TAN(RADIANS(pe0-omega*J16))*(M16/sref)^(m_-1))))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  <c r="X16">
        <f>Rotura_Bg!H28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MIN(tope,DEGREES(ATAN(TAN(RADIANS(pe0-omega*J17))*(M17/sref)^(m_-1))))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  <c r="X17">
        <f>Rotura_Bg!H37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MIN(tope,DEGREES(ATAN(TAN(RADIANS(pe0-omega*J18))*(M18/sref)^(m_-1))))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  <c r="X18">
        <f>Rotura_Bg!H43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MIN(tope,DEGREES(ATAN(TAN(RADIANS(pe0-omega*J19))*(M19/sref)^(m_-1))))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  <c r="X19">
        <f>Rotura_Bg!H44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MIN(tope,DEGREES(ATAN(TAN(RADIANS(pe0-omega*J20))*(M20/sref)^(m_-1))))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  <c r="X20">
        <f>Rotura_Bg!H45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MIN(tope,DEGREES(ATAN(TAN(RADIANS(pe0-omega*J21))*(M21/sref)^(m_-1))))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  <c r="X21" t="inlineStr">
        <is>
          <t>no informado</t>
        </is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MIN(tope,DEGREES(ATAN(TAN(RADIANS(pe0-omega*J22))*(M22/sref)^(m_-1))))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  <c r="X22" t="inlineStr">
        <is>
          <t>no informado</t>
        </is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MIN(tope,DEGREES(ATAN(TAN(RADIANS(pe0-omega*J23))*(M23/sref)^(m_-1))))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  <c r="X23" t="inlineStr">
        <is>
          <t>no informado</t>
        </is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MIN(tope,DEGREES(ATAN(TAN(RADIANS(pe0-omega*J24))*(M24/sref)^(m_-1))))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MIN(tope,DEGREES(ATAN(TAN(RADIANS(pe0-omega*J25))*(M25/sref)^(m_-1))))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MIN(tope,DEGREES(ATAN(TAN(RADIANS(pe0-omega*J26))*(M26/sref)^(m_-1))))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MIN(tope,DEGREES(ATAN(TAN(RADIANS(pe0-omega*J27))*(M27/sref)^(m_-1))))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MIN(tope,DEGREES(ATAN(TAN(RADIANS(pe0-omega*J28))*(M28/sref)^(m_-1))))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MIN(tope,DEGREES(ATAN(TAN(RADIANS(pe0-omega*J29))*(M29/sref)^(m_-1))))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MIN(tope,DEGREES(ATAN(TAN(RADIANS(pe0-omega*J30))*(M30/sref)^(m_-1))))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MIN(tope,DEGREES(ATAN(TAN(RADIANS(pe0-omega*J31))*(M31/sref)^(m_-1))))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MIN(tope,DEGREES(ATAN(TAN(RADIANS(pe0-omega*J32))*(M32/sref)^(m_-1))))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MIN(tope,DEGREES(ATAN(TAN(RADIANS(pe0-omega*J33))*(M33/sref)^(m_-1))))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MIN(tope,DEGREES(ATAN(TAN(RADIANS(pe0-omega*J34))*(M34/sref)^(m_-1))))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MIN(tope,DEGREES(ATAN(TAN(RADIANS(pe0-omega*J35))*(M35/sref)^(m_-1))))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MIN(tope,DEGREES(ATAN(TAN(RADIANS(pe0-omega*J36))*(M36/sref)^(m_-1))))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MIN(tope,DEGREES(ATAN(TAN(RADIANS(pe0-omega*J37))*(M37/sref)^(m_-1))))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MIN(tope,DEGREES(ATAN(TAN(RADIANS(pe0-omega*J38))*(M38/sref)^(m_-1))))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MIN(tope,DEGREES(ATAN(TAN(RADIANS(pe0-omega*J39))*(M39/sref)^(m_-1))))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MIN(tope,DEGREES(ATAN(TAN(RADIANS(pe0-omega*J40))*(M40/sref)^(m_-1))))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MIN(tope,DEGREES(ATAN(TAN(RADIANS(pe0-omega*J41))*(M41/sref)^(m_-1))))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MIN(tope,DEGREES(ATAN(TAN(RADIANS(pe0-omega*J42))*(M42/sref)^(m_-1))))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MIN(tope,DEGREES(ATAN(TAN(RADIANS(pe0-omega*J43))*(M43/sref)^(m_-1))))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MIN(tope,DEGREES(ATAN(TAN(RADIANS(pe0-omega*J44))*(M44/sref)^(m_-1))))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MIN(tope,DEGREES(ATAN(TAN(RADIANS(pe0-omega*J45))*(M45/sref)^(m_-1))))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MIN(tope,DEGREES(ATAN(TAN(RADIANS(pe0-omega*J46))*(M46/sref)^(m_-1))))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MIN(tope,DEGREES(ATAN(TAN(RADIANS(pe0-omega*J47))*(M47/sref)^(m_-1))))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MIN(tope,DEGREES(ATAN(TAN(RADIANS(pe0-omega*J48))*(M48/sref)^(m_-1))))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MIN(tope,DEGREES(ATAN(TAN(RADIANS(pe0-omega*J49))*(M49/sref)^(m_-1))))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MIN(tope,DEGREES(ATAN(TAN(RADIANS(pe0-omega*J50))*(M50/sref)^(m_-1))))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MIN(tope,DEGREES(ATAN(TAN(RADIANS(pe0-omega*J51))*(M51/sref)^(m_-1))))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MIN(tope,DEGREES(ATAN(TAN(RADIANS(pe0-omega*J52))*(M52/sref)^(m_-1))))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MIN(tope,DEGREES(ATAN(TAN(RADIANS(pe0-omega*J53))*(M53/sref)^(m_-1))))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MIN(tope,DEGREES(ATAN(TAN(RADIANS(pe0-omega*J54))*(M54/sref)^(m_-1))))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MIN(tope,DEGREES(ATAN(TAN(RADIANS(pe0-omega*J55))*(M55/sref)^(m_-1))))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MIN(tope,DEGREES(ATAN(TAN(RADIANS(pe0-omega*J56))*(M56/sref)^(m_-1))))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MIN(tope,DEGREES(ATAN(TAN(RADIANS(pe0-omega*J57))*(M57/sref)^(m_-1))))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MIN(tope,DEGREES(ATAN(TAN(RADIANS(pe0-omega*J58))*(M58/sref)^(m_-1))))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MIN(tope,DEGREES(ATAN(TAN(RADIANS(pe0-omega*J59))*(M59/sref)^(m_-1))))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MIN(tope,DEGREES(ATAN(TAN(RADIANS(pe0-omega*J60))*(M60/sref)^(m_-1))))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MIN(tope,DEGREES(ATAN(TAN(RADIANS(pe0-omega*J61))*(M61/sref)^(m_-1))))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MIN(tope,DEGREES(ATAN(TAN(RADIANS(pe0-omega*J62))*(M62/sref)^(m_-1))))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MIN(tope,DEGREES(ATAN(TAN(RADIANS(pe0-omega*J63))*(M63/sref)^(m_-1))))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MIN(tope,DEGREES(ATAN(TAN(RADIANS(pe0-omega*J64))*(M64/sref)^(m_-1))))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MIN(tope,DEGREES(ATAN(TAN(RADIANS(pe0-omega*J65))*(M65/sref)^(m_-1))))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MIN(tope,DEGREES(ATAN(TAN(RADIANS(pe0-omega*J66))*(M66/sref)^(m_-1))))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MIN(tope,DEGREES(ATAN(TAN(RADIANS(pe0-omega*J67))*(M67/sref)^(m_-1))))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MIN(tope,DEGREES(ATAN(TAN(RADIANS(pe0-omega*J68))*(M68/sref)^(m_-1))))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MIN(tope,DEGREES(ATAN(TAN(RADIANS(pe0-omega*J69))*(M69/sref)^(m_-1))))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MIN(tope,DEGREES(ATAN(TAN(RADIANS(pe0-omega*J70))*(M70/sref)^(m_-1))))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MIN(tope,DEGREES(ATAN(TAN(RADIANS(pe0-omega*J71))*(M71/sref)^(m_-1))))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MIN(tope,DEGREES(ATAN(TAN(RADIANS(pe0-omega*J72))*(M72/sref)^(m_-1))))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MIN(tope,DEGREES(ATAN(TAN(RADIANS(pe0-omega*J73))*(M73/sref)^(m_-1))))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MIN(tope,DEGREES(ATAN(TAN(RADIANS(pe0-omega*J74))*(M74/sref)^(m_-1))))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MIN(tope,DEGREES(ATAN(TAN(RADIANS(pe0-omega*J75))*(M75/sref)^(m_-1))))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MIN(tope,DEGREES(ATAN(TAN(RADIANS(pe0-omega*J76))*(M76/sref)^(m_-1))))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MIN(tope,DEGREES(ATAN(TAN(RADIANS(pe0-omega*J77))*(M77/sref)^(m_-1))))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MIN(tope,DEGREES(ATAN(TAN(RADIANS(pe0-omega*J78))*(M78/sref)^(m_-1))))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MIN(tope,DEGREES(ATAN(TAN(RADIANS(pe0-omega*J79))*(M79/sref)^(m_-1))))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MIN(tope,DEGREES(ATAN(TAN(RADIANS(pe0-omega*J80))*(M80/sref)^(m_-1))))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MIN(tope,DEGREES(ATAN(TAN(RADIANS(pe0-omega*J81))*(M81/sref)^(m_-1))))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MIN(tope,DEGREES(ATAN(TAN(RADIANS(pe0-omega*J82))*(M82/sref)^(m_-1))))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MIN(tope,DEGREES(ATAN(TAN(RADIANS(pe0-omega*J83))*(M83/sref)^(m_-1))))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MIN(tope,DEGREES(ATAN(TAN(RADIANS(pe0-omega*J84))*(M84/sref)^(m_-1))))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MIN(tope,DEGREES(ATAN(TAN(RADIANS(pe0-omega*J85))*(M85/sref)^(m_-1))))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MIN(tope,DEGREES(ATAN(TAN(RADIANS(pe0-omega*J86))*(M86/sref)^(m_-1))))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MIN(tope,DEGREES(ATAN(TAN(RADIANS(pe0-omega*J87))*(M87/sref)^(m_-1))))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MIN(tope,DEGREES(ATAN(TAN(RADIANS(pe0-omega*J88))*(M88/sref)^(m_-1))))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MIN(tope,DEGREES(ATAN(TAN(RADIANS(pe0-omega*J89))*(M89/sref)^(m_-1))))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MIN(tope,DEGREES(ATAN(TAN(RADIANS(pe0-omega*J90))*(M90/sref)^(m_-1))))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MIN(tope,DEGREES(ATAN(TAN(RADIANS(pe0-omega*J91))*(M91/sref)^(m_-1))))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MIN(tope,DEGREES(ATAN(TAN(RADIANS(pe0-omega*J92))*(M92/sref)^(m_-1))))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MIN(tope,DEGREES(ATAN(TAN(RADIANS(pe0-omega*J93))*(M93/sref)^(m_-1))))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MIN(tope,DEGREES(ATAN(TAN(RADIANS(pe0-omega*J94))*(M94/sref)^(m_-1))))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MIN(tope,DEGREES(ATAN(TAN(RADIANS(pe0-omega*J95))*(M95/sref)^(m_-1))))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MIN(tope,DEGREES(ATAN(TAN(RADIANS(pe0-omega*J96))*(M96/sref)^(m_-1))))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MIN(tope,DEGREES(ATAN(TAN(RADIANS(pe0-omega*J97))*(M97/sref)^(m_-1))))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MIN(tope,DEGREES(ATAN(TAN(RADIANS(pe0-omega*J98))*(M98/sref)^(m_-1))))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MIN(tope,DEGREES(ATAN(TAN(RADIANS(pe0-omega*J99))*(M99/sref)^(m_-1))))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MIN(tope,DEGREES(ATAN(TAN(RADIANS(pe0-omega*J100))*(M100/sref)^(m_-1))))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MIN(tope,DEGREES(ATAN(TAN(RADIANS(pe0-omega*J101))*(M101/sref)^(m_-1))))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MIN(tope,DEGREES(ATAN(TAN(RADIANS(pe0-omega*J102))*(M102/sref)^(m_-1))))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MIN(tope,DEGREES(ATAN(TAN(RADIANS(pe0-omega*J103))*(M103/sref)^(m_-1))))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MIN(tope,DEGREES(ATAN(TAN(RADIANS(pe0-omega*J104))*(M104/sref)^(m_-1))))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MIN(tope,DEGREES(ATAN(TAN(RADIANS(pe0-omega*J105))*(M105/sref)^(m_-1))))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MIN(tope,DEGREES(ATAN(TAN(RADIANS(pe0-omega*J106))*(M106/sref)^(m_-1))))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MIN(tope,DEGREES(ATAN(TAN(RADIANS(pe0-omega*J107))*(M107/sref)^(m_-1))))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MIN(tope,DEGREES(ATAN(TAN(RADIANS(pe0-omega*J108))*(M108/sref)^(m_-1))))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MIN(tope,DEGREES(ATAN(TAN(RADIANS(pe0-omega*J109))*(M109/sref)^(m_-1))))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MIN(tope,DEGREES(ATAN(TAN(RADIANS(pe0-omega*J110))*(M110/sref)^(m_-1))))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MIN(tope,DEGREES(ATAN(TAN(RADIANS(pe0-omega*J111))*(M111/sref)^(m_-1))))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MIN(tope,DEGREES(ATAN(TAN(RADIANS(pe0-omega*J112))*(M112/sref)^(m_-1))))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MIN(tope,DEGREES(ATAN(TAN(RADIANS(pe0-omega*J113))*(M113/sref)^(m_-1))))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MIN(tope,DEGREES(ATAN(TAN(RADIANS(pe0-omega*J114))*(M114/sref)^(m_-1))))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MIN(tope,DEGREES(ATAN(TAN(RADIANS(pe0-omega*J115))*(M115/sref)^(m_-1))))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MIN(tope,DEGREES(ATAN(TAN(RADIANS(pe0-omega*J116))*(M116/sref)^(m_-1))))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MIN(tope,DEGREES(ATAN(TAN(RADIANS(pe0-omega*J117))*(M117/sref)^(m_-1))))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MIN(tope,DEGREES(ATAN(TAN(RADIANS(pe0-omega*J118))*(M118/sref)^(m_-1))))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MIN(tope,DEGREES(ATAN(TAN(RADIANS(pe0-omega*J119))*(M119/sref)^(m_-1))))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MIN(tope,DEGREES(ATAN(TAN(RADIANS(pe0-omega*J120))*(M120/sref)^(m_-1))))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MIN(tope,DEGREES(ATAN(TAN(RADIANS(pe0-omega*J121))*(M121/sref)^(m_-1))))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0" customWidth="1" min="3" max="3"/>
    <col width="15" customWidth="1" min="4" max="4"/>
    <col width="11" customWidth="1" min="5" max="5"/>
    <col width="12" customWidth="1" min="6" max="6"/>
    <col width="12" customWidth="1" min="7" max="7"/>
    <col width="9" customWidth="1" min="8" max="8"/>
    <col width="12" customWidth="1" min="9" max="9"/>
    <col width="46" customWidth="1" min="10" max="10"/>
    <col width="11" customWidth="1" min="11" max="11"/>
    <col width="60" customWidth="1" min="12" max="12"/>
    <col width="10" customWidth="1" min="13" max="1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Probeta</t>
        </is>
      </c>
      <c r="D1" s="3" t="inlineStr">
        <is>
          <t>Tipo</t>
        </is>
      </c>
      <c r="E1" s="3" t="inlineStr">
        <is>
          <t>Litología</t>
        </is>
      </c>
      <c r="F1" s="3" t="inlineStr">
        <is>
          <t>Escala de la probeta</t>
        </is>
      </c>
      <c r="G1" s="3" t="inlineStr">
        <is>
          <t>σ′3 o σ′v máx. (MPa)</t>
        </is>
      </c>
      <c r="H1" s="3" t="inlineStr">
        <is>
          <t>Bg (%)</t>
        </is>
      </c>
      <c r="I1" s="3" t="inlineStr">
        <is>
          <t>Σ|ΔW| informado (%)</t>
        </is>
      </c>
      <c r="J1" s="3" t="inlineStr">
        <is>
          <t>Origen del valor</t>
        </is>
      </c>
      <c r="K1" s="3" t="inlineStr">
        <is>
          <t>Página del PDF</t>
        </is>
      </c>
      <c r="L1" s="3" t="inlineStr">
        <is>
          <t>Nota</t>
        </is>
      </c>
      <c r="M1" s="3" t="inlineStr">
        <is>
          <t>En la Fig. del memo</t>
        </is>
      </c>
    </row>
    <row r="2">
      <c r="A2" t="inlineStr">
        <is>
          <t>Golder Associates Perú (2012)</t>
        </is>
      </c>
      <c r="B2" t="inlineStr">
        <is>
          <t>G2012-MN-C</t>
        </is>
      </c>
      <c r="C2" t="inlineStr">
        <is>
          <t>Test 1 (monótono)</t>
        </is>
      </c>
      <c r="D2" t="inlineStr">
        <is>
          <t>Triaxial drenado</t>
        </is>
      </c>
      <c r="E2" t="inlineStr">
        <is>
          <t>Mármol</t>
        </is>
      </c>
      <c r="F2" t="inlineStr">
        <is>
          <t>1.0 m</t>
        </is>
      </c>
      <c r="G2" t="n">
        <v>0.4903</v>
      </c>
      <c r="I2" t="n">
        <v>26.8</v>
      </c>
      <c r="J2" t="inlineStr">
        <is>
          <t>informado (Tabla 5)</t>
        </is>
      </c>
      <c r="K2" t="inlineStr">
        <is>
          <t>17</t>
        </is>
      </c>
      <c r="L2" t="inlineStr">
        <is>
          <t>Valor = Σ|ΔW| = 2·Bg; el propio texto define Bg como suma de diferencias positivas</t>
        </is>
      </c>
      <c r="M2" t="inlineStr"/>
    </row>
    <row r="3">
      <c r="A3" t="inlineStr">
        <is>
          <t>Golder Associates Perú (2012)</t>
        </is>
      </c>
      <c r="B3" t="inlineStr">
        <is>
          <t>G2012-MN-C</t>
        </is>
      </c>
      <c r="C3" t="inlineStr">
        <is>
          <t>Test 1 (monótono)</t>
        </is>
      </c>
      <c r="D3" t="inlineStr">
        <is>
          <t>Triaxial drenado</t>
        </is>
      </c>
      <c r="E3" t="inlineStr">
        <is>
          <t>Mármol</t>
        </is>
      </c>
      <c r="F3" t="inlineStr">
        <is>
          <t>1.0 m</t>
        </is>
      </c>
      <c r="G3" t="n">
        <v>0.4903</v>
      </c>
      <c r="H3">
        <f>I2/2</f>
        <v/>
      </c>
      <c r="I3">
        <f>I2</f>
        <v/>
      </c>
      <c r="J3" t="inlineStr">
        <is>
          <t>calculado (Marsal, granulometrías IDIEM antes/después)</t>
        </is>
      </c>
      <c r="K3" t="inlineStr">
        <is>
          <t>27;28</t>
        </is>
      </c>
      <c r="L3" t="inlineStr">
        <is>
          <t>Σ|ΔW| calculado = 26.8</t>
        </is>
      </c>
      <c r="M3" t="inlineStr">
        <is>
          <t>sí</t>
        </is>
      </c>
    </row>
    <row r="4">
      <c r="A4" t="inlineStr">
        <is>
          <t>Golder Associates Perú (2012)</t>
        </is>
      </c>
      <c r="B4" t="inlineStr">
        <is>
          <t>G2012-MN-C</t>
        </is>
      </c>
      <c r="C4" t="inlineStr">
        <is>
          <t>Test 2 (carga-descarga)</t>
        </is>
      </c>
      <c r="D4" t="inlineStr">
        <is>
          <t>Triaxial drenado</t>
        </is>
      </c>
      <c r="E4" t="inlineStr">
        <is>
          <t>Mármol</t>
        </is>
      </c>
      <c r="F4" t="inlineStr">
        <is>
          <t>1.0 m</t>
        </is>
      </c>
      <c r="G4" t="n">
        <v>0.4903</v>
      </c>
      <c r="I4" t="n">
        <v>28.6</v>
      </c>
      <c r="J4" t="inlineStr">
        <is>
          <t>informado (Tabla 5)</t>
        </is>
      </c>
      <c r="K4" t="inlineStr">
        <is>
          <t>17</t>
        </is>
      </c>
      <c r="L4" t="inlineStr">
        <is>
          <t>Valor = Σ|ΔW| = 2·Bg; el propio texto define Bg como suma de diferencias positivas</t>
        </is>
      </c>
      <c r="M4" t="inlineStr"/>
    </row>
    <row r="5">
      <c r="A5" t="inlineStr">
        <is>
          <t>Golder Associates Perú (2012)</t>
        </is>
      </c>
      <c r="B5" t="inlineStr">
        <is>
          <t>G2012-MN-C</t>
        </is>
      </c>
      <c r="C5" t="inlineStr">
        <is>
          <t>Test 2 (carga-descarga)</t>
        </is>
      </c>
      <c r="D5" t="inlineStr">
        <is>
          <t>Triaxial drenado</t>
        </is>
      </c>
      <c r="E5" t="inlineStr">
        <is>
          <t>Mármol</t>
        </is>
      </c>
      <c r="F5" t="inlineStr">
        <is>
          <t>1.0 m</t>
        </is>
      </c>
      <c r="G5" t="n">
        <v>0.4903</v>
      </c>
      <c r="H5">
        <f>I4/2</f>
        <v/>
      </c>
      <c r="I5">
        <f>I4</f>
        <v/>
      </c>
      <c r="J5" t="inlineStr">
        <is>
          <t>calculado (Marsal, granulometrías IDIEM antes/después)</t>
        </is>
      </c>
      <c r="K5" t="inlineStr">
        <is>
          <t>27;28</t>
        </is>
      </c>
      <c r="L5" t="inlineStr">
        <is>
          <t>Σ|ΔW| calculado = 28.6</t>
        </is>
      </c>
      <c r="M5" t="inlineStr">
        <is>
          <t>sí</t>
        </is>
      </c>
    </row>
    <row r="6">
      <c r="A6" t="inlineStr">
        <is>
          <t>Golder Associates Perú (2012)</t>
        </is>
      </c>
      <c r="B6" t="inlineStr">
        <is>
          <t>G2012-MN-C</t>
        </is>
      </c>
      <c r="C6" t="inlineStr">
        <is>
          <t>Test 3 (carga-descarga)</t>
        </is>
      </c>
      <c r="D6" t="inlineStr">
        <is>
          <t>Triaxial drenado</t>
        </is>
      </c>
      <c r="E6" t="inlineStr">
        <is>
          <t>Mármol</t>
        </is>
      </c>
      <c r="F6" t="inlineStr">
        <is>
          <t>1.0 m</t>
        </is>
      </c>
      <c r="G6" t="n">
        <v>0.9807</v>
      </c>
      <c r="I6" t="n">
        <v>40.8</v>
      </c>
      <c r="J6" t="inlineStr">
        <is>
          <t>informado (Tabla 5)</t>
        </is>
      </c>
      <c r="K6" t="inlineStr">
        <is>
          <t>17</t>
        </is>
      </c>
      <c r="L6" t="inlineStr">
        <is>
          <t>Valor = Σ|ΔW| = 2·Bg; el propio texto define Bg como suma de diferencias positivas</t>
        </is>
      </c>
      <c r="M6" t="inlineStr"/>
    </row>
    <row r="7">
      <c r="A7" t="inlineStr">
        <is>
          <t>Golder Associates Perú (2012)</t>
        </is>
      </c>
      <c r="B7" t="inlineStr">
        <is>
          <t>G2012-MN-C</t>
        </is>
      </c>
      <c r="C7" t="inlineStr">
        <is>
          <t>Test 3 (carga-descarga)</t>
        </is>
      </c>
      <c r="D7" t="inlineStr">
        <is>
          <t>Triaxial drenado</t>
        </is>
      </c>
      <c r="E7" t="inlineStr">
        <is>
          <t>Mármol</t>
        </is>
      </c>
      <c r="F7" t="inlineStr">
        <is>
          <t>1.0 m</t>
        </is>
      </c>
      <c r="G7" t="n">
        <v>0.9807</v>
      </c>
      <c r="H7">
        <f>I6/2</f>
        <v/>
      </c>
      <c r="I7">
        <f>I6</f>
        <v/>
      </c>
      <c r="J7" t="inlineStr">
        <is>
          <t>calculado (Marsal, granulometrías IDIEM antes/después)</t>
        </is>
      </c>
      <c r="K7" t="inlineStr">
        <is>
          <t>27;28</t>
        </is>
      </c>
      <c r="L7" t="inlineStr">
        <is>
          <t>Σ|ΔW| calculado = 40.8</t>
        </is>
      </c>
      <c r="M7" t="inlineStr">
        <is>
          <t>sí</t>
        </is>
      </c>
    </row>
    <row r="8">
      <c r="A8" t="inlineStr">
        <is>
          <t>Golder Associates Perú (2012)</t>
        </is>
      </c>
      <c r="B8" t="inlineStr">
        <is>
          <t>G2012-MN-C</t>
        </is>
      </c>
      <c r="C8" t="inlineStr">
        <is>
          <t>Test 4 (monótono)</t>
        </is>
      </c>
      <c r="D8" t="inlineStr">
        <is>
          <t>Triaxial drenado</t>
        </is>
      </c>
      <c r="E8" t="inlineStr">
        <is>
          <t>Mármol</t>
        </is>
      </c>
      <c r="F8" t="inlineStr">
        <is>
          <t>1.0 m</t>
        </is>
      </c>
      <c r="G8" t="n">
        <v>1.9613</v>
      </c>
      <c r="I8" t="n">
        <v>50.2</v>
      </c>
      <c r="J8" t="inlineStr">
        <is>
          <t>informado (Tabla 5)</t>
        </is>
      </c>
      <c r="K8" t="inlineStr">
        <is>
          <t>17</t>
        </is>
      </c>
      <c r="L8" t="inlineStr">
        <is>
          <t>Valor = Σ|ΔW| = 2·Bg; el propio texto define Bg como suma de diferencias positivas</t>
        </is>
      </c>
      <c r="M8" t="inlineStr"/>
    </row>
    <row r="9">
      <c r="A9" t="inlineStr">
        <is>
          <t>Golder Associates Perú (2012)</t>
        </is>
      </c>
      <c r="B9" t="inlineStr">
        <is>
          <t>G2012-MN-C</t>
        </is>
      </c>
      <c r="C9" t="inlineStr">
        <is>
          <t>Test 4 (monótono)</t>
        </is>
      </c>
      <c r="D9" t="inlineStr">
        <is>
          <t>Triaxial drenado</t>
        </is>
      </c>
      <c r="E9" t="inlineStr">
        <is>
          <t>Mármol</t>
        </is>
      </c>
      <c r="F9" t="inlineStr">
        <is>
          <t>1.0 m</t>
        </is>
      </c>
      <c r="G9" t="n">
        <v>1.9613</v>
      </c>
      <c r="H9">
        <f>I8/2</f>
        <v/>
      </c>
      <c r="I9">
        <f>I8</f>
        <v/>
      </c>
      <c r="J9" t="inlineStr">
        <is>
          <t>calculado (Marsal, granulometrías IDIEM antes/después)</t>
        </is>
      </c>
      <c r="K9" t="inlineStr">
        <is>
          <t>27;28</t>
        </is>
      </c>
      <c r="L9" t="inlineStr">
        <is>
          <t>Σ|ΔW| calculado = 50.2</t>
        </is>
      </c>
      <c r="M9" t="inlineStr">
        <is>
          <t>sí</t>
        </is>
      </c>
    </row>
    <row r="10">
      <c r="A10" t="inlineStr">
        <is>
          <t>Golder Associates Perú (2012)</t>
        </is>
      </c>
      <c r="B10" t="inlineStr">
        <is>
          <t>G2012-MN-C</t>
        </is>
      </c>
      <c r="C10" t="inlineStr">
        <is>
          <t>Test 5 (carga-descarga)</t>
        </is>
      </c>
      <c r="D10" t="inlineStr">
        <is>
          <t>Triaxial drenado</t>
        </is>
      </c>
      <c r="E10" t="inlineStr">
        <is>
          <t>Mármol</t>
        </is>
      </c>
      <c r="F10" t="inlineStr">
        <is>
          <t>1.0 m</t>
        </is>
      </c>
      <c r="G10" t="n">
        <v>1.9613</v>
      </c>
      <c r="I10" t="n">
        <v>55.4</v>
      </c>
      <c r="J10" t="inlineStr">
        <is>
          <t>informado (Tabla 5)</t>
        </is>
      </c>
      <c r="K10" t="inlineStr">
        <is>
          <t>17</t>
        </is>
      </c>
      <c r="L10" t="inlineStr">
        <is>
          <t>Valor = Σ|ΔW| = 2·Bg; el propio texto define Bg como suma de diferencias positivas</t>
        </is>
      </c>
      <c r="M10" t="inlineStr"/>
    </row>
    <row r="11">
      <c r="A11" t="inlineStr">
        <is>
          <t>Golder Associates Perú (2012)</t>
        </is>
      </c>
      <c r="B11" t="inlineStr">
        <is>
          <t>G2012-MN-C</t>
        </is>
      </c>
      <c r="C11" t="inlineStr">
        <is>
          <t>Test 5 (carga-descarga)</t>
        </is>
      </c>
      <c r="D11" t="inlineStr">
        <is>
          <t>Triaxial drenado</t>
        </is>
      </c>
      <c r="E11" t="inlineStr">
        <is>
          <t>Mármol</t>
        </is>
      </c>
      <c r="F11" t="inlineStr">
        <is>
          <t>1.0 m</t>
        </is>
      </c>
      <c r="G11" t="n">
        <v>1.9613</v>
      </c>
      <c r="H11">
        <f>I10/2</f>
        <v/>
      </c>
      <c r="I11">
        <f>I10</f>
        <v/>
      </c>
      <c r="J11" t="inlineStr">
        <is>
          <t>calculado (Marsal, granulometrías IDIEM antes/después)</t>
        </is>
      </c>
      <c r="K11" t="inlineStr">
        <is>
          <t>27;28</t>
        </is>
      </c>
      <c r="L11" t="inlineStr">
        <is>
          <t>Σ|ΔW| calculado = 55.4</t>
        </is>
      </c>
      <c r="M11" t="inlineStr">
        <is>
          <t>sí</t>
        </is>
      </c>
    </row>
    <row r="12">
      <c r="A12" t="inlineStr">
        <is>
          <t>Golder Associates Perú (2012)</t>
        </is>
      </c>
      <c r="B12" t="inlineStr">
        <is>
          <t>G2012-MN-C</t>
        </is>
      </c>
      <c r="C12" t="inlineStr">
        <is>
          <t>Probeta 6 edómetro (σv 60 kg/cm²)</t>
        </is>
      </c>
      <c r="D12" t="inlineStr">
        <is>
          <t>Edómetro</t>
        </is>
      </c>
      <c r="E12" t="inlineStr">
        <is>
          <t>Mármol</t>
        </is>
      </c>
      <c r="F12" t="inlineStr">
        <is>
          <t>1.0 m</t>
        </is>
      </c>
      <c r="G12" t="n">
        <v>5.884</v>
      </c>
      <c r="I12" t="n">
        <v>28.8</v>
      </c>
      <c r="J12" t="inlineStr">
        <is>
          <t>informado (Tabla 5)</t>
        </is>
      </c>
      <c r="K12" t="inlineStr">
        <is>
          <t>17</t>
        </is>
      </c>
      <c r="L12" t="inlineStr">
        <is>
          <t>edómetro, no triaxial; σ = σv máx 60 kg/cm² nominal</t>
        </is>
      </c>
      <c r="M12" t="inlineStr"/>
    </row>
    <row r="13">
      <c r="A13" t="inlineStr">
        <is>
          <t>Golder Associates Perú (2012)</t>
        </is>
      </c>
      <c r="B13" t="inlineStr">
        <is>
          <t>G2012-MN-C</t>
        </is>
      </c>
      <c r="C13" t="inlineStr">
        <is>
          <t>Probeta 6 edómetro (σv 60 kg/cm²)</t>
        </is>
      </c>
      <c r="D13" t="inlineStr">
        <is>
          <t>Edómetro</t>
        </is>
      </c>
      <c r="E13" t="inlineStr">
        <is>
          <t>Mármol</t>
        </is>
      </c>
      <c r="F13" t="inlineStr">
        <is>
          <t>1.0 m</t>
        </is>
      </c>
      <c r="G13" t="n">
        <v>5.884</v>
      </c>
      <c r="H13">
        <f>I12/2</f>
        <v/>
      </c>
      <c r="I13">
        <f>I12</f>
        <v/>
      </c>
      <c r="J13" t="inlineStr">
        <is>
          <t>calculado</t>
        </is>
      </c>
      <c r="K13" t="inlineStr">
        <is>
          <t>27;28</t>
        </is>
      </c>
      <c r="L13" t="inlineStr">
        <is>
          <t>edómetro</t>
        </is>
      </c>
      <c r="M13" t="inlineStr"/>
    </row>
    <row r="14">
      <c r="A14" t="inlineStr">
        <is>
          <t>Golder Associates Perú (2022)</t>
        </is>
      </c>
      <c r="B14" t="inlineStr">
        <is>
          <t>HF-1.0m-IDIEM-mono</t>
        </is>
      </c>
      <c r="C14" t="inlineStr">
        <is>
          <t>Hornfels P1 (B.2 P1)</t>
        </is>
      </c>
      <c r="D14" t="inlineStr">
        <is>
          <t>Triaxial drenado</t>
        </is>
      </c>
      <c r="E14" t="inlineStr">
        <is>
          <t>Hornfels</t>
        </is>
      </c>
      <c r="F14" t="inlineStr">
        <is>
          <t>1.0 m</t>
        </is>
      </c>
      <c r="G14" t="n">
        <v>0.9807</v>
      </c>
      <c r="H14" t="n">
        <v>20</v>
      </c>
      <c r="J14" t="inlineStr">
        <is>
          <t>informado (Tabla 7)</t>
        </is>
      </c>
      <c r="K14" t="inlineStr">
        <is>
          <t>41</t>
        </is>
      </c>
      <c r="M14" t="inlineStr">
        <is>
          <t>sí</t>
        </is>
      </c>
    </row>
    <row r="15">
      <c r="A15" t="inlineStr">
        <is>
          <t>Golder Associates Perú (2022)</t>
        </is>
      </c>
      <c r="B15" t="inlineStr">
        <is>
          <t>HF-1.0m-IDIEM-mono</t>
        </is>
      </c>
      <c r="C15" t="inlineStr">
        <is>
          <t>Hornfels P1 (B.2 P1)</t>
        </is>
      </c>
      <c r="D15" t="inlineStr">
        <is>
          <t>Triaxial drenado</t>
        </is>
      </c>
      <c r="E15" t="inlineStr">
        <is>
          <t>Hornfels</t>
        </is>
      </c>
      <c r="F15" t="inlineStr">
        <is>
          <t>1.0 m</t>
        </is>
      </c>
      <c r="G15" t="n">
        <v>0.9807</v>
      </c>
      <c r="H15" t="n">
        <v>20.3</v>
      </c>
      <c r="J15" t="inlineStr">
        <is>
          <t>calculado (Marsal; inicial p62 col.1)</t>
        </is>
      </c>
      <c r="K15" t="inlineStr">
        <is>
          <t>62;63</t>
        </is>
      </c>
      <c r="L15" t="inlineStr">
        <is>
          <t>62 col.3</t>
        </is>
      </c>
      <c r="M15" t="inlineStr"/>
    </row>
    <row r="16">
      <c r="A16" t="inlineStr">
        <is>
          <t>Golder Associates Perú (2022)</t>
        </is>
      </c>
      <c r="B16" t="inlineStr">
        <is>
          <t>HF-1.0m-IDIEM-mono</t>
        </is>
      </c>
      <c r="C16" t="inlineStr">
        <is>
          <t>Hornfels P2 (B.2 P2)</t>
        </is>
      </c>
      <c r="D16" t="inlineStr">
        <is>
          <t>Triaxial drenado</t>
        </is>
      </c>
      <c r="E16" t="inlineStr">
        <is>
          <t>Hornfels</t>
        </is>
      </c>
      <c r="F16" t="inlineStr">
        <is>
          <t>1.0 m</t>
        </is>
      </c>
      <c r="G16" t="n">
        <v>1.9613</v>
      </c>
      <c r="H16" t="n">
        <v>29</v>
      </c>
      <c r="J16" t="inlineStr">
        <is>
          <t>informado (Tabla 7)</t>
        </is>
      </c>
      <c r="K16" t="inlineStr">
        <is>
          <t>41</t>
        </is>
      </c>
      <c r="M16" t="inlineStr">
        <is>
          <t>sí</t>
        </is>
      </c>
    </row>
    <row r="17">
      <c r="A17" t="inlineStr">
        <is>
          <t>Golder Associates Perú (2022)</t>
        </is>
      </c>
      <c r="B17" t="inlineStr">
        <is>
          <t>HF-1.0m-IDIEM-mono</t>
        </is>
      </c>
      <c r="C17" t="inlineStr">
        <is>
          <t>Hornfels P2 (B.2 P2)</t>
        </is>
      </c>
      <c r="D17" t="inlineStr">
        <is>
          <t>Triaxial drenado</t>
        </is>
      </c>
      <c r="E17" t="inlineStr">
        <is>
          <t>Hornfels</t>
        </is>
      </c>
      <c r="F17" t="inlineStr">
        <is>
          <t>1.0 m</t>
        </is>
      </c>
      <c r="G17" t="n">
        <v>1.9613</v>
      </c>
      <c r="H17" t="n">
        <v>29.3</v>
      </c>
      <c r="J17" t="inlineStr">
        <is>
          <t>calculado (Marsal; inicial p62 col.1)</t>
        </is>
      </c>
      <c r="K17" t="inlineStr">
        <is>
          <t>62;63</t>
        </is>
      </c>
      <c r="L17" t="inlineStr">
        <is>
          <t>63 col.1 (asignación por coincidencia con Tabla 7; rótulo solo dice 20 kgf/cm²)</t>
        </is>
      </c>
      <c r="M17" t="inlineStr"/>
    </row>
    <row r="18">
      <c r="A18" t="inlineStr">
        <is>
          <t>Golder Associates Perú (2022)</t>
        </is>
      </c>
      <c r="B18" t="inlineStr">
        <is>
          <t>HF-1.0m-IDIEM-mono</t>
        </is>
      </c>
      <c r="C18" t="inlineStr">
        <is>
          <t>Hornfels P3 (B.2 P3)</t>
        </is>
      </c>
      <c r="D18" t="inlineStr">
        <is>
          <t>Triaxial drenado</t>
        </is>
      </c>
      <c r="E18" t="inlineStr">
        <is>
          <t>Hornfels</t>
        </is>
      </c>
      <c r="F18" t="inlineStr">
        <is>
          <t>1.0 m</t>
        </is>
      </c>
      <c r="G18" t="n">
        <v>2.4517</v>
      </c>
      <c r="H18" t="n">
        <v>37</v>
      </c>
      <c r="J18" t="inlineStr">
        <is>
          <t>informado (Tabla 7)</t>
        </is>
      </c>
      <c r="K18" t="inlineStr">
        <is>
          <t>41</t>
        </is>
      </c>
      <c r="M18" t="inlineStr">
        <is>
          <t>sí</t>
        </is>
      </c>
    </row>
    <row r="19">
      <c r="A19" t="inlineStr">
        <is>
          <t>Golder Associates Perú (2022)</t>
        </is>
      </c>
      <c r="B19" t="inlineStr">
        <is>
          <t>HF-1.0m-IDIEM-mono</t>
        </is>
      </c>
      <c r="C19" t="inlineStr">
        <is>
          <t>Hornfels P3 (B.2 P3)</t>
        </is>
      </c>
      <c r="D19" t="inlineStr">
        <is>
          <t>Triaxial drenado</t>
        </is>
      </c>
      <c r="E19" t="inlineStr">
        <is>
          <t>Hornfels</t>
        </is>
      </c>
      <c r="F19" t="inlineStr">
        <is>
          <t>1.0 m</t>
        </is>
      </c>
      <c r="G19" t="n">
        <v>2.4517</v>
      </c>
      <c r="H19" t="n">
        <v>36.5</v>
      </c>
      <c r="J19" t="inlineStr">
        <is>
          <t>calculado (Marsal; inicial p62 col.1)</t>
        </is>
      </c>
      <c r="K19" t="inlineStr">
        <is>
          <t>62;63</t>
        </is>
      </c>
      <c r="L19" t="inlineStr">
        <is>
          <t>63 col.3</t>
        </is>
      </c>
      <c r="M19" t="inlineStr"/>
    </row>
    <row r="20">
      <c r="A20" t="inlineStr">
        <is>
          <t>Golder Associates Perú (2022)</t>
        </is>
      </c>
      <c r="B20" t="inlineStr">
        <is>
          <t>HF-1.0m-IDIEM-cd</t>
        </is>
      </c>
      <c r="C20" t="inlineStr">
        <is>
          <t>Hornfels P4 (E P1, carga-descarga)</t>
        </is>
      </c>
      <c r="D20" t="inlineStr">
        <is>
          <t>Triaxial drenado</t>
        </is>
      </c>
      <c r="E20" t="inlineStr">
        <is>
          <t>Hornfels</t>
        </is>
      </c>
      <c r="F20" t="inlineStr">
        <is>
          <t>1.0 m</t>
        </is>
      </c>
      <c r="G20" t="n">
        <v>0.9807</v>
      </c>
      <c r="H20" t="n">
        <v>24</v>
      </c>
      <c r="J20" t="inlineStr">
        <is>
          <t>informado (Tabla 7)</t>
        </is>
      </c>
      <c r="K20" t="inlineStr">
        <is>
          <t>41</t>
        </is>
      </c>
      <c r="M20" t="inlineStr">
        <is>
          <t>sí</t>
        </is>
      </c>
    </row>
    <row r="21">
      <c r="A21" t="inlineStr">
        <is>
          <t>Golder Associates Perú (2022)</t>
        </is>
      </c>
      <c r="B21" t="inlineStr">
        <is>
          <t>HF-1.0m-IDIEM-cd</t>
        </is>
      </c>
      <c r="C21" t="inlineStr">
        <is>
          <t>Hornfels P4 (E P1, carga-descarga)</t>
        </is>
      </c>
      <c r="D21" t="inlineStr">
        <is>
          <t>Triaxial drenado</t>
        </is>
      </c>
      <c r="E21" t="inlineStr">
        <is>
          <t>Hornfels</t>
        </is>
      </c>
      <c r="F21" t="inlineStr">
        <is>
          <t>1.0 m</t>
        </is>
      </c>
      <c r="G21" t="n">
        <v>0.9807</v>
      </c>
      <c r="H21" t="n">
        <v>24.2</v>
      </c>
      <c r="J21" t="inlineStr">
        <is>
          <t>calculado (Marsal; inicial p62 col.1)</t>
        </is>
      </c>
      <c r="K21" t="inlineStr">
        <is>
          <t>62;63</t>
        </is>
      </c>
      <c r="L21" t="inlineStr">
        <is>
          <t>62 col.4</t>
        </is>
      </c>
      <c r="M21" t="inlineStr"/>
    </row>
    <row r="22">
      <c r="A22" t="inlineStr">
        <is>
          <t>Golder Associates Perú (2022)</t>
        </is>
      </c>
      <c r="B22" t="inlineStr">
        <is>
          <t>HF-1.0m-IDIEM-cd</t>
        </is>
      </c>
      <c r="C22" t="inlineStr">
        <is>
          <t>Hornfels P5 (E P2, carga-descarga)</t>
        </is>
      </c>
      <c r="D22" t="inlineStr">
        <is>
          <t>Triaxial drenado</t>
        </is>
      </c>
      <c r="E22" t="inlineStr">
        <is>
          <t>Hornfels</t>
        </is>
      </c>
      <c r="F22" t="inlineStr">
        <is>
          <t>1.0 m</t>
        </is>
      </c>
      <c r="G22" t="n">
        <v>1.9613</v>
      </c>
      <c r="H22" t="n">
        <v>36</v>
      </c>
      <c r="J22" t="inlineStr">
        <is>
          <t>informado (Tabla 7)</t>
        </is>
      </c>
      <c r="K22" t="inlineStr">
        <is>
          <t>41</t>
        </is>
      </c>
      <c r="M22" t="inlineStr">
        <is>
          <t>sí</t>
        </is>
      </c>
    </row>
    <row r="23">
      <c r="A23" t="inlineStr">
        <is>
          <t>Golder Associates Perú (2022)</t>
        </is>
      </c>
      <c r="B23" t="inlineStr">
        <is>
          <t>HF-1.0m-IDIEM-cd</t>
        </is>
      </c>
      <c r="C23" t="inlineStr">
        <is>
          <t>Hornfels P5 (E P2, carga-descarga)</t>
        </is>
      </c>
      <c r="D23" t="inlineStr">
        <is>
          <t>Triaxial drenado</t>
        </is>
      </c>
      <c r="E23" t="inlineStr">
        <is>
          <t>Hornfels</t>
        </is>
      </c>
      <c r="F23" t="inlineStr">
        <is>
          <t>1.0 m</t>
        </is>
      </c>
      <c r="G23" t="n">
        <v>1.9613</v>
      </c>
      <c r="H23" t="n">
        <v>35.5</v>
      </c>
      <c r="J23" t="inlineStr">
        <is>
          <t>calculado (Marsal; inicial p62 col.1)</t>
        </is>
      </c>
      <c r="K23" t="inlineStr">
        <is>
          <t>62;63</t>
        </is>
      </c>
      <c r="L23" t="inlineStr">
        <is>
          <t>63 col.2 (asignación por coincidencia con Tabla 7)</t>
        </is>
      </c>
      <c r="M23" t="inlineStr"/>
    </row>
    <row r="24">
      <c r="A24" t="inlineStr">
        <is>
          <t>Golder Associates Perú (2022)</t>
        </is>
      </c>
      <c r="B24" t="inlineStr">
        <is>
          <t>HF-1.0m-IDIEM-cd</t>
        </is>
      </c>
      <c r="C24" t="inlineStr">
        <is>
          <t>Hornfels P6 (E P3, carga-descarga)</t>
        </is>
      </c>
      <c r="D24" t="inlineStr">
        <is>
          <t>Triaxial drenado</t>
        </is>
      </c>
      <c r="E24" t="inlineStr">
        <is>
          <t>Hornfels</t>
        </is>
      </c>
      <c r="F24" t="inlineStr">
        <is>
          <t>1.0 m</t>
        </is>
      </c>
      <c r="G24" t="n">
        <v>2.4517</v>
      </c>
      <c r="H24" t="n">
        <v>39</v>
      </c>
      <c r="J24" t="inlineStr">
        <is>
          <t>informado (Tabla 7)</t>
        </is>
      </c>
      <c r="K24" t="inlineStr">
        <is>
          <t>41</t>
        </is>
      </c>
      <c r="M24" t="inlineStr">
        <is>
          <t>sí</t>
        </is>
      </c>
    </row>
    <row r="25">
      <c r="A25" t="inlineStr">
        <is>
          <t>Golder Associates Perú (2022)</t>
        </is>
      </c>
      <c r="B25" t="inlineStr">
        <is>
          <t>HF-1.0m-IDIEM-cd</t>
        </is>
      </c>
      <c r="C25" t="inlineStr">
        <is>
          <t>Hornfels P6 (E P3, carga-descarga)</t>
        </is>
      </c>
      <c r="D25" t="inlineStr">
        <is>
          <t>Triaxial drenado</t>
        </is>
      </c>
      <c r="E25" t="inlineStr">
        <is>
          <t>Hornfels</t>
        </is>
      </c>
      <c r="F25" t="inlineStr">
        <is>
          <t>1.0 m</t>
        </is>
      </c>
      <c r="G25" t="n">
        <v>2.4517</v>
      </c>
      <c r="H25" t="n">
        <v>38.9</v>
      </c>
      <c r="J25" t="inlineStr">
        <is>
          <t>calculado (Marsal; inicial p62 col.1)</t>
        </is>
      </c>
      <c r="K25" t="inlineStr">
        <is>
          <t>62;63</t>
        </is>
      </c>
      <c r="L25" t="inlineStr">
        <is>
          <t>63 col.4</t>
        </is>
      </c>
      <c r="M25" t="inlineStr"/>
    </row>
    <row r="26">
      <c r="A26" t="inlineStr">
        <is>
          <t>Golder Associates Perú (2022)</t>
        </is>
      </c>
      <c r="B26" t="inlineStr">
        <is>
          <t>HF-edo-1.0m</t>
        </is>
      </c>
      <c r="C26" t="inlineStr">
        <is>
          <t>Hornfels edómetro 1.0 m</t>
        </is>
      </c>
      <c r="D26" t="inlineStr">
        <is>
          <t>Edómetro</t>
        </is>
      </c>
      <c r="E26" t="inlineStr">
        <is>
          <t>Hornfels</t>
        </is>
      </c>
      <c r="F26" t="inlineStr">
        <is>
          <t>1.0 m</t>
        </is>
      </c>
      <c r="G26" t="n">
        <v>6.8</v>
      </c>
      <c r="H26" t="n">
        <v>23</v>
      </c>
      <c r="J26" t="inlineStr">
        <is>
          <t>informado (Tabla 7)</t>
        </is>
      </c>
      <c r="K26" t="inlineStr">
        <is>
          <t>41</t>
        </is>
      </c>
      <c r="L26" t="inlineStr">
        <is>
          <t>edómetro; σ nominal de Tabla 7</t>
        </is>
      </c>
      <c r="M26" t="inlineStr"/>
    </row>
    <row r="27">
      <c r="A27" t="inlineStr">
        <is>
          <t>Golder Associates Perú (2022)</t>
        </is>
      </c>
      <c r="B27" t="inlineStr">
        <is>
          <t>HF-edo-1.0m</t>
        </is>
      </c>
      <c r="C27" t="inlineStr">
        <is>
          <t>Hornfels edómetro 1.0 m</t>
        </is>
      </c>
      <c r="D27" t="inlineStr">
        <is>
          <t>Edómetro</t>
        </is>
      </c>
      <c r="E27" t="inlineStr">
        <is>
          <t>Hornfels</t>
        </is>
      </c>
      <c r="F27" t="inlineStr">
        <is>
          <t>1.0 m</t>
        </is>
      </c>
      <c r="G27" t="n">
        <v>6.8</v>
      </c>
      <c r="H27" t="n">
        <v>23</v>
      </c>
      <c r="J27" t="inlineStr">
        <is>
          <t>calculado</t>
        </is>
      </c>
      <c r="K27" t="inlineStr">
        <is>
          <t>62</t>
        </is>
      </c>
      <c r="L27" t="inlineStr">
        <is>
          <t>edómetro</t>
        </is>
      </c>
      <c r="M27" t="inlineStr"/>
    </row>
    <row r="28">
      <c r="A28" t="inlineStr">
        <is>
          <t>Golder Associates Perú (2022)</t>
        </is>
      </c>
      <c r="B28" t="inlineStr">
        <is>
          <t>HF-0.15m-Golder</t>
        </is>
      </c>
      <c r="C28" t="inlineStr">
        <is>
          <t>Hornfels P7 Golder 6" (carga-descarga)</t>
        </is>
      </c>
      <c r="D28" t="inlineStr">
        <is>
          <t>Triaxial drenado</t>
        </is>
      </c>
      <c r="E28" t="inlineStr">
        <is>
          <t>Hornfels</t>
        </is>
      </c>
      <c r="F28" t="inlineStr">
        <is>
          <t>6 in</t>
        </is>
      </c>
      <c r="G28" t="n">
        <v>0.977</v>
      </c>
      <c r="H28" t="n">
        <v>15</v>
      </c>
      <c r="J28" t="inlineStr">
        <is>
          <t>informado (Tabla 7)</t>
        </is>
      </c>
      <c r="K28" t="inlineStr">
        <is>
          <t>41</t>
        </is>
      </c>
      <c r="L28" t="inlineStr">
        <is>
          <t>sin granulometrías tabuladas para recalcular</t>
        </is>
      </c>
      <c r="M28" t="inlineStr">
        <is>
          <t>sí</t>
        </is>
      </c>
    </row>
    <row r="29">
      <c r="A29" t="inlineStr">
        <is>
          <t>Golder Associates Perú (2022)</t>
        </is>
      </c>
      <c r="B29" t="inlineStr">
        <is>
          <t>HF-cic</t>
        </is>
      </c>
      <c r="C29" t="inlineStr">
        <is>
          <t>Hornfels P8-P10 cíclicos 0.15/0.10 m (un solo valor)</t>
        </is>
      </c>
      <c r="D29" t="inlineStr">
        <is>
          <t>Triaxial cíclico</t>
        </is>
      </c>
      <c r="E29" t="inlineStr">
        <is>
          <t>Hornfels</t>
        </is>
      </c>
      <c r="F29" t="inlineStr">
        <is>
          <t>0.10–0.15 m</t>
        </is>
      </c>
      <c r="G29" t="n">
        <v>0.35</v>
      </c>
      <c r="H29" t="n">
        <v>8</v>
      </c>
      <c r="J29" t="inlineStr">
        <is>
          <t>informado (Tabla 7)</t>
        </is>
      </c>
      <c r="K29" t="inlineStr">
        <is>
          <t>41</t>
        </is>
      </c>
      <c r="L29" t="inlineStr">
        <is>
          <t>sin granulometrías tabuladas para recalcular</t>
        </is>
      </c>
      <c r="M29" t="inlineStr"/>
    </row>
    <row r="30">
      <c r="A30" t="inlineStr">
        <is>
          <t>Golder Associates Perú (2022)</t>
        </is>
      </c>
      <c r="B30" t="inlineStr">
        <is>
          <t>HF-edo-0.24m</t>
        </is>
      </c>
      <c r="C30" t="inlineStr">
        <is>
          <t>Hornfels edómetro 0.24 m 2.3 t/m³</t>
        </is>
      </c>
      <c r="D30" t="inlineStr">
        <is>
          <t>Edómetro</t>
        </is>
      </c>
      <c r="E30" t="inlineStr">
        <is>
          <t>Hornfels</t>
        </is>
      </c>
      <c r="F30" t="inlineStr">
        <is>
          <t>0.24 m</t>
        </is>
      </c>
      <c r="G30" t="n">
        <v>4.8</v>
      </c>
      <c r="H30" t="n">
        <v>12</v>
      </c>
      <c r="J30" t="inlineStr">
        <is>
          <t>informado (Tabla 7)</t>
        </is>
      </c>
      <c r="K30" t="inlineStr">
        <is>
          <t>41</t>
        </is>
      </c>
      <c r="L30" t="inlineStr">
        <is>
          <t>sin granulometrías tabuladas para recalcular</t>
        </is>
      </c>
      <c r="M30" t="inlineStr"/>
    </row>
    <row r="31">
      <c r="A31" t="inlineStr">
        <is>
          <t>Golder Associates Perú (2022)</t>
        </is>
      </c>
      <c r="B31" t="inlineStr">
        <is>
          <t>HF-edo-0.24m</t>
        </is>
      </c>
      <c r="C31" t="inlineStr">
        <is>
          <t>Hornfels edómetro 0.24 m 1.8 t/m³</t>
        </is>
      </c>
      <c r="D31" t="inlineStr">
        <is>
          <t>Edómetro</t>
        </is>
      </c>
      <c r="E31" t="inlineStr">
        <is>
          <t>Hornfels</t>
        </is>
      </c>
      <c r="F31" t="inlineStr">
        <is>
          <t>0.24 m</t>
        </is>
      </c>
      <c r="G31" t="n">
        <v>4.8</v>
      </c>
      <c r="H31" t="n">
        <v>8</v>
      </c>
      <c r="J31" t="inlineStr">
        <is>
          <t>informado (Tabla 7)</t>
        </is>
      </c>
      <c r="K31" t="inlineStr">
        <is>
          <t>41</t>
        </is>
      </c>
      <c r="L31" t="inlineStr">
        <is>
          <t>sin granulometrías tabuladas para recalcular</t>
        </is>
      </c>
      <c r="M31" t="inlineStr"/>
    </row>
    <row r="32">
      <c r="A32" t="inlineStr">
        <is>
          <t>Golder Associates Perú (2022)</t>
        </is>
      </c>
      <c r="B32" t="inlineStr">
        <is>
          <t>MN-1.0m-2011</t>
        </is>
      </c>
      <c r="C32" t="inlineStr">
        <is>
          <t>Mármol P1 monótono 490 (=G2012 Test 1)</t>
        </is>
      </c>
      <c r="D32" t="inlineStr">
        <is>
          <t>Triaxial drenado</t>
        </is>
      </c>
      <c r="E32" t="inlineStr">
        <is>
          <t>Mármol</t>
        </is>
      </c>
      <c r="F32" t="inlineStr">
        <is>
          <t>1.0 m</t>
        </is>
      </c>
      <c r="G32" t="n">
        <v>0.49</v>
      </c>
      <c r="H32" t="n">
        <v>13</v>
      </c>
      <c r="J32" t="inlineStr">
        <is>
          <t>informado (Tabla 7)</t>
        </is>
      </c>
      <c r="K32" t="inlineStr">
        <is>
          <t>41</t>
        </is>
      </c>
      <c r="M32" t="inlineStr"/>
    </row>
    <row r="33">
      <c r="A33" t="inlineStr">
        <is>
          <t>Golder Associates Perú (2022)</t>
        </is>
      </c>
      <c r="B33" t="inlineStr">
        <is>
          <t>MN-1.0m-2011</t>
        </is>
      </c>
      <c r="C33" t="inlineStr">
        <is>
          <t>Mármol P2 monótono 1961 (=G2012 Test 4)</t>
        </is>
      </c>
      <c r="D33" t="inlineStr">
        <is>
          <t>Triaxial drenado</t>
        </is>
      </c>
      <c r="E33" t="inlineStr">
        <is>
          <t>Mármol</t>
        </is>
      </c>
      <c r="F33" t="inlineStr">
        <is>
          <t>1.0 m</t>
        </is>
      </c>
      <c r="G33" t="n">
        <v>1.961</v>
      </c>
      <c r="H33" t="n">
        <v>25</v>
      </c>
      <c r="J33" t="inlineStr">
        <is>
          <t>informado (Tabla 7)</t>
        </is>
      </c>
      <c r="K33" t="inlineStr">
        <is>
          <t>41</t>
        </is>
      </c>
      <c r="M33" t="inlineStr"/>
    </row>
    <row r="34">
      <c r="A34" t="inlineStr">
        <is>
          <t>Golder Associates Perú (2022)</t>
        </is>
      </c>
      <c r="B34" t="inlineStr">
        <is>
          <t>MN-1.0m-2011</t>
        </is>
      </c>
      <c r="C34" t="inlineStr">
        <is>
          <t>Mármol P3 c-d 490 (=G2012 Test 2)</t>
        </is>
      </c>
      <c r="D34" t="inlineStr">
        <is>
          <t>Triaxial drenado</t>
        </is>
      </c>
      <c r="E34" t="inlineStr">
        <is>
          <t>Mármol</t>
        </is>
      </c>
      <c r="F34" t="inlineStr">
        <is>
          <t>1.0 m</t>
        </is>
      </c>
      <c r="G34" t="n">
        <v>0.49</v>
      </c>
      <c r="H34" t="n">
        <v>14</v>
      </c>
      <c r="J34" t="inlineStr">
        <is>
          <t>informado (Tabla 7)</t>
        </is>
      </c>
      <c r="K34" t="inlineStr">
        <is>
          <t>41</t>
        </is>
      </c>
      <c r="M34" t="inlineStr"/>
    </row>
    <row r="35">
      <c r="A35" t="inlineStr">
        <is>
          <t>Golder Associates Perú (2022)</t>
        </is>
      </c>
      <c r="B35" t="inlineStr">
        <is>
          <t>MN-1.0m-2011</t>
        </is>
      </c>
      <c r="C35" t="inlineStr">
        <is>
          <t>Mármol P4 c-d 981 (=G2012 Test 3)</t>
        </is>
      </c>
      <c r="D35" t="inlineStr">
        <is>
          <t>Triaxial drenado</t>
        </is>
      </c>
      <c r="E35" t="inlineStr">
        <is>
          <t>Mármol</t>
        </is>
      </c>
      <c r="F35" t="inlineStr">
        <is>
          <t>1.0 m</t>
        </is>
      </c>
      <c r="G35" t="n">
        <v>0.981</v>
      </c>
      <c r="H35" t="n">
        <v>20</v>
      </c>
      <c r="J35" t="inlineStr">
        <is>
          <t>informado (Tabla 7)</t>
        </is>
      </c>
      <c r="K35" t="inlineStr">
        <is>
          <t>41</t>
        </is>
      </c>
      <c r="M35" t="inlineStr"/>
    </row>
    <row r="36">
      <c r="A36" t="inlineStr">
        <is>
          <t>Golder Associates Perú (2022)</t>
        </is>
      </c>
      <c r="B36" t="inlineStr">
        <is>
          <t>MN-1.0m-2011</t>
        </is>
      </c>
      <c r="C36" t="inlineStr">
        <is>
          <t>Mármol P5 c-d 1961 (=G2012 Test 5)</t>
        </is>
      </c>
      <c r="D36" t="inlineStr">
        <is>
          <t>Triaxial drenado</t>
        </is>
      </c>
      <c r="E36" t="inlineStr">
        <is>
          <t>Mármol</t>
        </is>
      </c>
      <c r="F36" t="inlineStr">
        <is>
          <t>1.0 m</t>
        </is>
      </c>
      <c r="G36" t="n">
        <v>1.961</v>
      </c>
      <c r="H36" t="n">
        <v>28</v>
      </c>
      <c r="J36" t="inlineStr">
        <is>
          <t>informado (Tabla 7)</t>
        </is>
      </c>
      <c r="K36" t="inlineStr">
        <is>
          <t>41</t>
        </is>
      </c>
      <c r="M36" t="inlineStr"/>
    </row>
    <row r="37">
      <c r="A37" t="inlineStr">
        <is>
          <t>Golder Associates Perú (2022)</t>
        </is>
      </c>
      <c r="B37" t="inlineStr">
        <is>
          <t>MN-0.15m-Golder</t>
        </is>
      </c>
      <c r="C37" t="inlineStr">
        <is>
          <t>Mármol P6 Golder 6" (carga-descarga)</t>
        </is>
      </c>
      <c r="D37" t="inlineStr">
        <is>
          <t>Triaxial drenado</t>
        </is>
      </c>
      <c r="E37" t="inlineStr">
        <is>
          <t>Mármol</t>
        </is>
      </c>
      <c r="F37" t="inlineStr">
        <is>
          <t>6 in</t>
        </is>
      </c>
      <c r="G37" t="n">
        <v>0.982</v>
      </c>
      <c r="H37" t="n">
        <v>30</v>
      </c>
      <c r="J37" t="inlineStr">
        <is>
          <t>informado (Tabla 7)</t>
        </is>
      </c>
      <c r="K37" t="inlineStr">
        <is>
          <t>41</t>
        </is>
      </c>
      <c r="L37" t="inlineStr">
        <is>
          <t>sin granulometrías tabuladas para recalcular</t>
        </is>
      </c>
      <c r="M37" t="inlineStr">
        <is>
          <t>sí</t>
        </is>
      </c>
    </row>
    <row r="38">
      <c r="A38" t="inlineStr">
        <is>
          <t>Golder Associates Perú (2022)</t>
        </is>
      </c>
      <c r="B38" t="inlineStr">
        <is>
          <t>MN-cic</t>
        </is>
      </c>
      <c r="C38" t="inlineStr">
        <is>
          <t>Mármol P7-P9 cíclicos (un solo valor)</t>
        </is>
      </c>
      <c r="D38" t="inlineStr">
        <is>
          <t>Triaxial cíclico</t>
        </is>
      </c>
      <c r="E38" t="inlineStr">
        <is>
          <t>Mármol</t>
        </is>
      </c>
      <c r="F38" t="inlineStr">
        <is>
          <t>0.10–0.15 m</t>
        </is>
      </c>
      <c r="G38" t="n">
        <v>0.35</v>
      </c>
      <c r="H38" t="n">
        <v>6</v>
      </c>
      <c r="J38" t="inlineStr">
        <is>
          <t>informado (Tabla 7)</t>
        </is>
      </c>
      <c r="K38" t="inlineStr">
        <is>
          <t>41</t>
        </is>
      </c>
      <c r="L38" t="inlineStr">
        <is>
          <t>sin granulometrías tabuladas para recalcular</t>
        </is>
      </c>
      <c r="M38" t="inlineStr"/>
    </row>
    <row r="39">
      <c r="A39" t="inlineStr">
        <is>
          <t>Golder Associates Perú (2022)</t>
        </is>
      </c>
      <c r="B39" t="inlineStr">
        <is>
          <t>MN-edo</t>
        </is>
      </c>
      <c r="C39" t="inlineStr">
        <is>
          <t>Mármol edómetro 1.0 m 2011</t>
        </is>
      </c>
      <c r="D39" t="inlineStr">
        <is>
          <t>Edómetro</t>
        </is>
      </c>
      <c r="E39" t="inlineStr">
        <is>
          <t>Mármol</t>
        </is>
      </c>
      <c r="F39" t="inlineStr">
        <is>
          <t>1.0 m</t>
        </is>
      </c>
      <c r="G39" t="n">
        <v>6.8</v>
      </c>
      <c r="H39" t="n">
        <v>14</v>
      </c>
      <c r="J39" t="inlineStr">
        <is>
          <t>informado (Tabla 7)</t>
        </is>
      </c>
      <c r="K39" t="inlineStr">
        <is>
          <t>41</t>
        </is>
      </c>
      <c r="M39" t="inlineStr"/>
    </row>
    <row r="40">
      <c r="A40" t="inlineStr">
        <is>
          <t>Golder Associates Perú (2022)</t>
        </is>
      </c>
      <c r="B40" t="inlineStr">
        <is>
          <t>MN-edo</t>
        </is>
      </c>
      <c r="C40" t="inlineStr">
        <is>
          <t>Mármol edómetro 1.0 m 2021</t>
        </is>
      </c>
      <c r="D40" t="inlineStr">
        <is>
          <t>Edómetro</t>
        </is>
      </c>
      <c r="E40" t="inlineStr">
        <is>
          <t>Mármol</t>
        </is>
      </c>
      <c r="F40" t="inlineStr">
        <is>
          <t>1.0 m</t>
        </is>
      </c>
      <c r="G40" t="n">
        <v>6.8</v>
      </c>
      <c r="H40" t="n">
        <v>45</v>
      </c>
      <c r="J40" t="inlineStr">
        <is>
          <t>informado (Tabla 7)</t>
        </is>
      </c>
      <c r="K40" t="inlineStr">
        <is>
          <t>41</t>
        </is>
      </c>
      <c r="M40" t="inlineStr"/>
    </row>
    <row r="41">
      <c r="A41" t="inlineStr">
        <is>
          <t>Golder Associates Perú (2022)</t>
        </is>
      </c>
      <c r="B41" t="inlineStr">
        <is>
          <t>MN-edo</t>
        </is>
      </c>
      <c r="C41" t="inlineStr">
        <is>
          <t>Mármol edómetro 0.24 m 2.3 t/m³</t>
        </is>
      </c>
      <c r="D41" t="inlineStr">
        <is>
          <t>Edómetro</t>
        </is>
      </c>
      <c r="E41" t="inlineStr">
        <is>
          <t>Mármol</t>
        </is>
      </c>
      <c r="F41" t="inlineStr">
        <is>
          <t>0.24 m</t>
        </is>
      </c>
      <c r="G41" t="n">
        <v>4.8</v>
      </c>
      <c r="J41" t="inlineStr">
        <is>
          <t>informado (Tabla 7)</t>
        </is>
      </c>
      <c r="K41" t="inlineStr">
        <is>
          <t>41</t>
        </is>
      </c>
      <c r="L41" t="inlineStr">
        <is>
          <t>sin granulometrías tabuladas para recalcular</t>
        </is>
      </c>
      <c r="M41" t="inlineStr"/>
    </row>
    <row r="42">
      <c r="A42" t="inlineStr">
        <is>
          <t>Golder Associates Perú (2022)</t>
        </is>
      </c>
      <c r="B42" t="inlineStr">
        <is>
          <t>MN-edo</t>
        </is>
      </c>
      <c r="C42" t="inlineStr">
        <is>
          <t>Mármol edómetro 0.24 m 1.8 t/m³</t>
        </is>
      </c>
      <c r="D42" t="inlineStr">
        <is>
          <t>Edómetro</t>
        </is>
      </c>
      <c r="E42" t="inlineStr">
        <is>
          <t>Mármol</t>
        </is>
      </c>
      <c r="F42" t="inlineStr">
        <is>
          <t>0.24 m</t>
        </is>
      </c>
      <c r="G42" t="n">
        <v>4.8</v>
      </c>
      <c r="H42" t="n">
        <v>21</v>
      </c>
      <c r="J42" t="inlineStr">
        <is>
          <t>informado (Tabla 7)</t>
        </is>
      </c>
      <c r="K42" t="inlineStr">
        <is>
          <t>41</t>
        </is>
      </c>
      <c r="L42" t="inlineStr">
        <is>
          <t>sin granulometrías tabuladas para recalcular</t>
        </is>
      </c>
      <c r="M42" t="inlineStr"/>
    </row>
    <row r="43">
      <c r="A43" t="inlineStr">
        <is>
          <t>WSP Perú (2024)</t>
        </is>
      </c>
      <c r="B43" t="inlineStr">
        <is>
          <t>WSP24_C4_MON</t>
        </is>
      </c>
      <c r="C43" t="inlineStr">
        <is>
          <t>Probeta 1</t>
        </is>
      </c>
      <c r="D43" t="inlineStr">
        <is>
          <t>Triaxial drenado</t>
        </is>
      </c>
      <c r="E43" t="inlineStr">
        <is>
          <t>Intrusivo</t>
        </is>
      </c>
      <c r="F43" t="inlineStr">
        <is>
          <t>0.6 m</t>
        </is>
      </c>
      <c r="G43" t="n">
        <v>0.49</v>
      </c>
      <c r="H43" t="n">
        <v>8.300000000000001</v>
      </c>
      <c r="J43" t="inlineStr">
        <is>
          <t>informado (Tabla 15)</t>
        </is>
      </c>
      <c r="K43" t="inlineStr">
        <is>
          <t>36</t>
        </is>
      </c>
      <c r="L43" t="inlineStr">
        <is>
          <t>sin relave</t>
        </is>
      </c>
      <c r="M43" t="inlineStr">
        <is>
          <t>sí</t>
        </is>
      </c>
    </row>
    <row r="44">
      <c r="A44" t="inlineStr">
        <is>
          <t>WSP Perú (2024)</t>
        </is>
      </c>
      <c r="B44" t="inlineStr">
        <is>
          <t>WSP24_C4_MON</t>
        </is>
      </c>
      <c r="C44" t="inlineStr">
        <is>
          <t>Probeta 2</t>
        </is>
      </c>
      <c r="D44" t="inlineStr">
        <is>
          <t>Triaxial drenado</t>
        </is>
      </c>
      <c r="E44" t="inlineStr">
        <is>
          <t>Intrusivo</t>
        </is>
      </c>
      <c r="F44" t="inlineStr">
        <is>
          <t>0.6 m</t>
        </is>
      </c>
      <c r="G44" t="n">
        <v>0.98</v>
      </c>
      <c r="H44" t="n">
        <v>8.5</v>
      </c>
      <c r="J44" t="inlineStr">
        <is>
          <t>informado (Tabla 15)</t>
        </is>
      </c>
      <c r="K44" t="inlineStr">
        <is>
          <t>36</t>
        </is>
      </c>
      <c r="L44" t="inlineStr">
        <is>
          <t>sin relave</t>
        </is>
      </c>
      <c r="M44" t="inlineStr">
        <is>
          <t>sí</t>
        </is>
      </c>
    </row>
    <row r="45">
      <c r="A45" t="inlineStr">
        <is>
          <t>WSP Perú (2024)</t>
        </is>
      </c>
      <c r="B45" t="inlineStr">
        <is>
          <t>WSP24_C4_MON</t>
        </is>
      </c>
      <c r="C45" t="inlineStr">
        <is>
          <t>Probeta 3</t>
        </is>
      </c>
      <c r="D45" t="inlineStr">
        <is>
          <t>Triaxial drenado</t>
        </is>
      </c>
      <c r="E45" t="inlineStr">
        <is>
          <t>Intrusivo</t>
        </is>
      </c>
      <c r="F45" t="inlineStr">
        <is>
          <t>0.6 m</t>
        </is>
      </c>
      <c r="G45" t="n">
        <v>1.96</v>
      </c>
      <c r="H45" t="n">
        <v>17.6</v>
      </c>
      <c r="J45" t="inlineStr">
        <is>
          <t>informado (Tabla 15)</t>
        </is>
      </c>
      <c r="K45" t="inlineStr">
        <is>
          <t>36</t>
        </is>
      </c>
      <c r="L45" t="inlineStr">
        <is>
          <t>sin relave</t>
        </is>
      </c>
      <c r="M45" t="inlineStr">
        <is>
          <t>sí</t>
        </is>
      </c>
    </row>
    <row r="46">
      <c r="A46" t="inlineStr">
        <is>
          <t>WSP Perú (2024)</t>
        </is>
      </c>
      <c r="B46" t="inlineStr">
        <is>
          <t>WSP24_C4_EDO</t>
        </is>
      </c>
      <c r="C46" t="inlineStr">
        <is>
          <t>edómetro 0.60 m</t>
        </is>
      </c>
      <c r="D46" t="inlineStr">
        <is>
          <t>Edómetro</t>
        </is>
      </c>
      <c r="E46" t="inlineStr">
        <is>
          <t>Intrusivo</t>
        </is>
      </c>
      <c r="F46" t="inlineStr">
        <is>
          <t>0.6 m</t>
        </is>
      </c>
      <c r="G46" t="n">
        <v>5.88</v>
      </c>
      <c r="H46" t="n">
        <v>9.199999999999999</v>
      </c>
      <c r="J46" t="inlineStr">
        <is>
          <t>informado (Tabla 15)</t>
        </is>
      </c>
      <c r="K46" t="inlineStr">
        <is>
          <t>36</t>
        </is>
      </c>
      <c r="L46" t="inlineStr">
        <is>
          <t>sin relave</t>
        </is>
      </c>
      <c r="M46" t="inlineStr"/>
    </row>
    <row r="47">
      <c r="A47" t="inlineStr">
        <is>
          <t>WSP Perú (2024)</t>
        </is>
      </c>
      <c r="B47" t="inlineStr">
        <is>
          <t>WSP24_C4_MON</t>
        </is>
      </c>
      <c r="C47" t="inlineStr">
        <is>
          <t>Probeta 1</t>
        </is>
      </c>
      <c r="D47" t="inlineStr">
        <is>
          <t>Triaxial drenado</t>
        </is>
      </c>
      <c r="E47" t="inlineStr">
        <is>
          <t>Intrusivo</t>
        </is>
      </c>
      <c r="F47" t="inlineStr">
        <is>
          <t>0.6 m</t>
        </is>
      </c>
      <c r="G47" t="n">
        <v>0.4903</v>
      </c>
      <c r="H47" t="n">
        <v>8.300000000000001</v>
      </c>
      <c r="J47" t="inlineStr">
        <is>
          <t>calculado (inicial = desmonte p93 truncado a 4" y renormalizado; supuesto)</t>
        </is>
      </c>
      <c r="K47" t="inlineStr">
        <is>
          <t>93;108;120</t>
        </is>
      </c>
      <c r="L47" t="inlineStr">
        <is>
          <t>la curva inicial de montaje solo está en gráfico (p108); Bg calculado aproximado</t>
        </is>
      </c>
      <c r="M47" t="inlineStr"/>
    </row>
    <row r="48">
      <c r="A48" t="inlineStr">
        <is>
          <t>WSP Perú (2024)</t>
        </is>
      </c>
      <c r="B48" t="inlineStr">
        <is>
          <t>WSP24_C4_MON</t>
        </is>
      </c>
      <c r="C48" t="inlineStr">
        <is>
          <t>Probeta 2</t>
        </is>
      </c>
      <c r="D48" t="inlineStr">
        <is>
          <t>Triaxial drenado</t>
        </is>
      </c>
      <c r="E48" t="inlineStr">
        <is>
          <t>Intrusivo</t>
        </is>
      </c>
      <c r="F48" t="inlineStr">
        <is>
          <t>0.6 m</t>
        </is>
      </c>
      <c r="G48" t="n">
        <v>0.9807</v>
      </c>
      <c r="H48" t="n">
        <v>8.5</v>
      </c>
      <c r="J48" t="inlineStr">
        <is>
          <t>calculado (inicial = desmonte p93 truncado a 4" y renormalizado; supuesto)</t>
        </is>
      </c>
      <c r="K48" t="inlineStr">
        <is>
          <t>93;108;120</t>
        </is>
      </c>
      <c r="L48" t="inlineStr">
        <is>
          <t>la curva inicial de montaje solo está en gráfico (p108); Bg calculado aproximado</t>
        </is>
      </c>
      <c r="M48" t="inlineStr"/>
    </row>
    <row r="49">
      <c r="A49" t="inlineStr">
        <is>
          <t>WSP Perú (2024)</t>
        </is>
      </c>
      <c r="B49" t="inlineStr">
        <is>
          <t>WSP24_C4_MON</t>
        </is>
      </c>
      <c r="C49" t="inlineStr">
        <is>
          <t>Probeta 3</t>
        </is>
      </c>
      <c r="D49" t="inlineStr">
        <is>
          <t>Triaxial drenado</t>
        </is>
      </c>
      <c r="E49" t="inlineStr">
        <is>
          <t>Intrusivo</t>
        </is>
      </c>
      <c r="F49" t="inlineStr">
        <is>
          <t>0.6 m</t>
        </is>
      </c>
      <c r="G49" t="n">
        <v>1.9613</v>
      </c>
      <c r="H49" t="n">
        <v>17.6</v>
      </c>
      <c r="J49" t="inlineStr">
        <is>
          <t>calculado (inicial = desmonte p93 truncado a 4" y renormalizado; supuesto)</t>
        </is>
      </c>
      <c r="K49" t="inlineStr">
        <is>
          <t>93;108;120</t>
        </is>
      </c>
      <c r="L49" t="inlineStr">
        <is>
          <t>la curva inicial de montaje solo está en gráfico (p108); Bg calculado aproximado</t>
        </is>
      </c>
      <c r="M49" t="inlineStr"/>
    </row>
    <row r="50">
      <c r="A50" t="inlineStr">
        <is>
          <t>Golder Associates Perú (2021)</t>
        </is>
      </c>
      <c r="B50" t="inlineStr">
        <is>
          <t>todos</t>
        </is>
      </c>
      <c r="C50" t="inlineStr">
        <is>
          <t>—</t>
        </is>
      </c>
      <c r="D50" t="inlineStr">
        <is>
          <t>—</t>
        </is>
      </c>
      <c r="E50" t="inlineStr">
        <is>
          <t>—</t>
        </is>
      </c>
      <c r="F50" t="inlineStr">
        <is>
          <t>—</t>
        </is>
      </c>
      <c r="J50" t="inlineStr">
        <is>
          <t>—</t>
        </is>
      </c>
      <c r="K50" t="inlineStr">
        <is>
          <t>—</t>
        </is>
      </c>
      <c r="L50" t="inlineStr">
        <is>
          <t>G2021 no informa granulometrías post-ensayo ni Bg</t>
        </is>
      </c>
      <c r="M50" t="inlineStr"/>
    </row>
    <row r="51">
      <c r="A51" t="inlineStr">
        <is>
          <t>IDIEM (2025)</t>
        </is>
      </c>
      <c r="B51" t="inlineStr">
        <is>
          <t>Codisposal 1 (100% Intrusivo)</t>
        </is>
      </c>
      <c r="C51" t="inlineStr">
        <is>
          <t>P1-P3</t>
        </is>
      </c>
      <c r="D51" t="inlineStr">
        <is>
          <t>—</t>
        </is>
      </c>
      <c r="E51" t="inlineStr">
        <is>
          <t>Intrusivo</t>
        </is>
      </c>
      <c r="F51" t="inlineStr">
        <is>
          <t>—</t>
        </is>
      </c>
      <c r="J51" t="inlineStr">
        <is>
          <t>—</t>
        </is>
      </c>
      <c r="K51" t="inlineStr">
        <is>
          <t>4;29</t>
        </is>
      </c>
      <c r="L51" t="inlineStr">
        <is>
          <t>Granulometrías post-TX figuran en el programa (Tabla 1, ítems 29-31) con «---» (no ensayadas en este informe)</t>
        </is>
      </c>
      <c r="M51" t="inlineStr"/>
    </row>
    <row r="53">
      <c r="A53" t="inlineStr">
        <is>
          <t>Bg: índice de rotura de Marsal (1967), suma de las diferencias positivas entre las granulometrías antes y después del ensayo, en %. Golder (2012, Tabla 5) informa la suma de las diferencias en valor absoluto, Σ|ΔW| = 2·Bg; su Bg se calcula como Σ|ΔW|/2 (columna H, fórmula).</t>
        </is>
      </c>
    </row>
    <row r="54">
      <c r="A54" t="inlineStr">
        <is>
          <t>Fuente: datos_antamina/verificacion_ocr/rotura_bg.csv, verificado contra las páginas citadas. Sin las mezclas con relave. «sí» en la última columna: ensayos de la figura del índice de rotura del memo (triaxiales drenados del ajuste, valor adoptado).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E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8" max="158"/>
    <col width="11" customWidth="1" min="159" max="159"/>
    <col width="11" customWidth="1" min="160" max="160"/>
    <col width="11" customWidth="1" min="161" max="161"/>
    <col width="11" customWidth="1" min="163" max="163"/>
    <col width="11" customWidth="1" min="164" max="164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5" max="215"/>
    <col width="11" customWidth="1" min="216" max="216"/>
    <col width="11" customWidth="1" min="217" max="217"/>
    <col width="11" customWidth="1" min="219" max="219"/>
    <col width="11" customWidth="1" min="220" max="220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4" max="234"/>
    <col width="11" customWidth="1" min="235" max="235"/>
    <col width="11" customWidth="1" min="236" max="236"/>
    <col width="11" customWidth="1" min="238" max="238"/>
    <col width="11" customWidth="1" min="239" max="239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Bg: índice de rotura de Marsal (fórmulas; hoja Rotura_Bg)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(d): media por litología (fórmulas)</t>
        </is>
      </c>
      <c r="FB1" s="2" t="inlineStr">
        <is>
          <t>Fig. residuos: línea cero</t>
        </is>
      </c>
      <c r="FG1" s="2" t="inlineStr">
        <is>
          <t>Fig. residuos (c): rótulos de litología</t>
        </is>
      </c>
      <c r="FJ1" s="2" t="inlineStr">
        <is>
          <t>Fig. extrapolación (b): base mundial, nivel con σ′n ≤ 2 MPa, predicción sobre 4.60 MPa (fórmulas; Base_mundial)</t>
        </is>
      </c>
      <c r="FX1" s="2" t="inlineStr">
        <is>
          <t>Fig. extrapolación (c): Antamina, nivel con los dos menores σ′3, predicción del mayor (fórmulas; Ensayos)</t>
        </is>
      </c>
      <c r="GS1" s="2" t="inlineStr">
        <is>
          <t>Fig. extrapolación: resumen (fórmulas)</t>
        </is>
      </c>
      <c r="GZ1" s="2" t="inlineStr">
        <is>
          <t>Fig. extrapolación (a): ejemplo Marachi et al. (1972) | PS (fórmulas)</t>
        </is>
      </c>
      <c r="HG1" s="2" t="inlineStr">
        <is>
          <t>Fig. extrapolación (a): curvas del ejemplo (fórmulas)</t>
        </is>
      </c>
      <c r="HK1" s="2" t="inlineStr">
        <is>
          <t>Fig. extrapolación (a): zona sobre el umbral (valores)</t>
        </is>
      </c>
      <c r="HN1" s="2" t="inlineStr">
        <is>
          <t>Fig. extrapolación (b, c): recta 1:1 y referencias de (d)</t>
        </is>
      </c>
      <c r="HZ1" s="2" t="inlineStr">
        <is>
          <t>Fig. extrapolación (d): sesgo según m (a31_m_defendible.json)</t>
        </is>
      </c>
      <c r="ID1" s="2" t="inlineStr">
        <is>
          <t>Fig. extrapolación (d): sesgo en m = 0.85 y m = 1 (base mundial)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 (°)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x</t>
        </is>
      </c>
      <c r="EZ2" s="2" t="inlineStr">
        <is>
          <t>Media (°)</t>
        </is>
      </c>
      <c r="FB2" s="2" t="inlineStr">
        <is>
          <t>x (a, b)</t>
        </is>
      </c>
      <c r="FC2" s="2" t="inlineStr">
        <is>
          <t>y</t>
        </is>
      </c>
      <c r="FD2" s="2" t="inlineStr">
        <is>
          <t>x (d)</t>
        </is>
      </c>
      <c r="FE2" s="2" t="inlineStr">
        <is>
          <t>y</t>
        </is>
      </c>
      <c r="FG2" s="2" t="inlineStr">
        <is>
          <t>x</t>
        </is>
      </c>
      <c r="FH2" s="2" t="inlineStr">
        <is>
          <t>y</t>
        </is>
      </c>
      <c r="FJ2" s="2" t="inlineStr">
        <is>
          <t>Set</t>
        </is>
      </c>
      <c r="FK2" s="2" t="inlineStr">
        <is>
          <t>σ′n (MPa)</t>
        </is>
      </c>
      <c r="FL2" s="2" t="inlineStr">
        <is>
          <t>τ (MPa)</t>
        </is>
      </c>
      <c r="FM2" s="2" t="inlineStr">
        <is>
          <t>Rol</t>
        </is>
      </c>
      <c r="FN2" s="2" t="inlineStr">
        <is>
          <t>φ′s medido (°)</t>
        </is>
      </c>
      <c r="FO2" s="2" t="inlineStr">
        <is>
          <t>h m=0.85</t>
        </is>
      </c>
      <c r="FP2" s="2" t="inlineStr">
        <is>
          <t>h m=1</t>
        </is>
      </c>
      <c r="FQ2" s="2" t="inlineStr">
        <is>
          <t>Nivel m=0.85</t>
        </is>
      </c>
      <c r="FR2" s="2" t="inlineStr">
        <is>
          <t>Nivel m=1</t>
        </is>
      </c>
      <c r="FS2" s="2" t="inlineStr">
        <is>
          <t>φ′s pred. m=0.85 (°)</t>
        </is>
      </c>
      <c r="FT2" s="2" t="inlineStr">
        <is>
          <t>φ′s pred. m=1 (°)</t>
        </is>
      </c>
      <c r="FU2" s="2" t="inlineStr">
        <is>
          <t>Error m=0.85 (°)</t>
        </is>
      </c>
      <c r="FV2" s="2" t="inlineStr">
        <is>
          <t>Error m=1 (°)</t>
        </is>
      </c>
      <c r="FX2" s="2" t="inlineStr">
        <is>
          <t>Set</t>
        </is>
      </c>
      <c r="FY2" s="2" t="inlineStr">
        <is>
          <t>σ′3 (MPa)</t>
        </is>
      </c>
      <c r="FZ2" s="2" t="inlineStr">
        <is>
          <t>σ′1 (MPa)</t>
        </is>
      </c>
      <c r="GA2" s="2" t="inlineStr">
        <is>
          <t>Rol</t>
        </is>
      </c>
      <c r="GB2" s="2" t="inlineStr">
        <is>
          <t>sin φ m=0.85</t>
        </is>
      </c>
      <c r="GC2" s="2" t="inlineStr">
        <is>
          <t>σ′n m=0.85</t>
        </is>
      </c>
      <c r="GD2" s="2" t="inlineStr">
        <is>
          <t>τ m=0.85</t>
        </is>
      </c>
      <c r="GE2" s="2" t="inlineStr">
        <is>
          <t>φ′s medido m=0.85</t>
        </is>
      </c>
      <c r="GF2" s="2" t="inlineStr">
        <is>
          <t>h m=0.85</t>
        </is>
      </c>
      <c r="GG2" s="2" t="inlineStr">
        <is>
          <t>Nivel m=0.85</t>
        </is>
      </c>
      <c r="GH2" s="2" t="inlineStr">
        <is>
          <t>φ′s pred. m=0.85</t>
        </is>
      </c>
      <c r="GI2" s="2" t="inlineStr">
        <is>
          <t>Error m=0.85</t>
        </is>
      </c>
      <c r="GJ2" s="2" t="inlineStr">
        <is>
          <t>sin φ m=1</t>
        </is>
      </c>
      <c r="GK2" s="2" t="inlineStr">
        <is>
          <t>σ′n m=1</t>
        </is>
      </c>
      <c r="GL2" s="2" t="inlineStr">
        <is>
          <t>τ m=1</t>
        </is>
      </c>
      <c r="GM2" s="2" t="inlineStr">
        <is>
          <t>φ′s medido m=1</t>
        </is>
      </c>
      <c r="GN2" s="2" t="inlineStr">
        <is>
          <t>h m=1</t>
        </is>
      </c>
      <c r="GO2" s="2" t="inlineStr">
        <is>
          <t>Nivel m=1</t>
        </is>
      </c>
      <c r="GP2" s="2" t="inlineStr">
        <is>
          <t>φ′s pred. m=1</t>
        </is>
      </c>
      <c r="GQ2" s="2" t="inlineStr">
        <is>
          <t>Error m=1</t>
        </is>
      </c>
      <c r="GS2" s="2" t="inlineStr">
        <is>
          <t>Población</t>
        </is>
      </c>
      <c r="GT2" s="2" t="inlineStr">
        <is>
          <t>m</t>
        </is>
      </c>
      <c r="GU2" s="2" t="inlineStr">
        <is>
          <t>n</t>
        </is>
      </c>
      <c r="GV2" s="2" t="inlineStr">
        <is>
          <t>Sesgo (°)</t>
        </is>
      </c>
      <c r="GW2" s="2" t="inlineStr">
        <is>
          <t>Medio absoluto (°)</t>
        </is>
      </c>
      <c r="GX2" s="2" t="inlineStr">
        <is>
          <t>Sobreestimados</t>
        </is>
      </c>
      <c r="GZ2" s="2" t="inlineStr">
        <is>
          <t>σ′n bajo</t>
        </is>
      </c>
      <c r="HA2" s="2" t="inlineStr">
        <is>
          <t>φ′s bajo</t>
        </is>
      </c>
      <c r="HB2" s="2" t="inlineStr">
        <is>
          <t>σ′n alto</t>
        </is>
      </c>
      <c r="HC2" s="2" t="inlineStr">
        <is>
          <t>φ′s alto</t>
        </is>
      </c>
      <c r="HD2" s="2" t="inlineStr">
        <is>
          <t>σ′n otros</t>
        </is>
      </c>
      <c r="HE2" s="2" t="inlineStr">
        <is>
          <t>φ′s otros</t>
        </is>
      </c>
      <c r="HG2" s="2" t="inlineStr">
        <is>
          <t>σ′n (MPa)</t>
        </is>
      </c>
      <c r="HH2" s="2" t="inlineStr">
        <is>
          <t>m = 0.85</t>
        </is>
      </c>
      <c r="HI2" s="2" t="inlineStr">
        <is>
          <t>m = 1</t>
        </is>
      </c>
      <c r="HK2" s="2" t="inlineStr">
        <is>
          <t>x</t>
        </is>
      </c>
      <c r="HL2" s="2" t="inlineStr">
        <is>
          <t>y</t>
        </is>
      </c>
      <c r="HN2" s="2" t="inlineStr">
        <is>
          <t>x</t>
        </is>
      </c>
      <c r="HO2" s="2" t="inlineStr">
        <is>
          <t>y</t>
        </is>
      </c>
      <c r="HP2" s="2" t="inlineStr"/>
      <c r="HQ2" s="2" t="inlineStr">
        <is>
          <t>m</t>
        </is>
      </c>
      <c r="HR2" s="2" t="inlineStr">
        <is>
          <t>y</t>
        </is>
      </c>
      <c r="HS2" s="2" t="inlineStr"/>
      <c r="HT2" s="2" t="inlineStr">
        <is>
          <t>m</t>
        </is>
      </c>
      <c r="HU2" s="2" t="inlineStr">
        <is>
          <t>y</t>
        </is>
      </c>
      <c r="HV2" s="2" t="inlineStr"/>
      <c r="HW2" s="2" t="inlineStr">
        <is>
          <t>m</t>
        </is>
      </c>
      <c r="HX2" s="2" t="inlineStr">
        <is>
          <t>y</t>
        </is>
      </c>
      <c r="HZ2" s="2" t="inlineStr">
        <is>
          <t>m</t>
        </is>
      </c>
      <c r="IA2" s="2" t="inlineStr">
        <is>
          <t>Base mundial (°)</t>
        </is>
      </c>
      <c r="IB2" s="2" t="inlineStr">
        <is>
          <t>Antamina (°)</t>
        </is>
      </c>
      <c r="ID2" s="2" t="inlineStr">
        <is>
          <t>m</t>
        </is>
      </c>
      <c r="IE2" s="2" t="inlineStr">
        <is>
          <t>Sesgo (°)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>
        <f>Rotura_Bg!G3</f>
        <v/>
      </c>
      <c r="CS3">
        <f>Rotura_Bg!H3</f>
        <v/>
      </c>
      <c r="CW3">
        <f>Rotura_Bg!H3</f>
        <v/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Ensayos!O2-MIN(tope,DEGREES(ATAN(TAN(RADIANS(pe0-omega*Ensayos!J2))*(Ensayos!M2/sref)^(m_-1))))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-0.3</v>
      </c>
      <c r="EZ3">
        <f>AVERAGEIF(Ensayos!$D$2:$D$38,"Mármol",DE3:DE39)</f>
        <v/>
      </c>
      <c r="FB3" t="n">
        <v>0.1</v>
      </c>
      <c r="FC3" t="n">
        <v>0</v>
      </c>
      <c r="FD3" t="n">
        <v>-0.6</v>
      </c>
      <c r="FE3" t="n">
        <v>0</v>
      </c>
      <c r="FG3" t="n">
        <v>0</v>
      </c>
      <c r="FH3" t="n">
        <v>-15.4</v>
      </c>
      <c r="FJ3">
        <f>Base_mundial!A82</f>
        <v/>
      </c>
      <c r="FK3">
        <f>Base_mundial!C82</f>
        <v/>
      </c>
      <c r="FL3">
        <f>Base_mundial!D82</f>
        <v/>
      </c>
      <c r="FM3" t="inlineStr">
        <is>
          <t>bajo</t>
        </is>
      </c>
      <c r="FN3">
        <f>DEGREES(ATAN(FL3/FK3))</f>
        <v/>
      </c>
      <c r="FO3">
        <f>LN(FL3)-LN(sref^(1-0.85)*FK3^0.85)</f>
        <v/>
      </c>
      <c r="FP3">
        <f>LN(FL3)-LN(FK3)</f>
        <v/>
      </c>
      <c r="FQ3">
        <f>AVERAGEIFS(FO3:FO69,FJ3:FJ69,FJ3,FM3:FM69,"bajo")</f>
        <v/>
      </c>
      <c r="FR3">
        <f>AVERAGEIFS(FP3:FP69,FJ3:FJ69,FJ3,FM3:FM69,"bajo")</f>
        <v/>
      </c>
      <c r="FS3">
        <f>IF(FM3="alto",DEGREES(ATAN(EXP(FQ3)*sref^(1-0.85)*FK3^0.85/FK3)),NA())</f>
        <v/>
      </c>
      <c r="FT3">
        <f>IF(FM3="alto",DEGREES(ATAN(EXP(FR3)*sref^(1-1.0)*FK3^1.0/FK3)),NA())</f>
        <v/>
      </c>
      <c r="FU3">
        <f>IF(FM3="alto",FS3-FN3,NA())</f>
        <v/>
      </c>
      <c r="FV3">
        <f>IF(FM3="alto",FT3-FN3,NA())</f>
        <v/>
      </c>
      <c r="FX3" t="inlineStr">
        <is>
          <t>G2012|G2012-MN-C</t>
        </is>
      </c>
      <c r="FY3">
        <f>Ensayos!K2</f>
        <v/>
      </c>
      <c r="FZ3">
        <f>Ensayos!L2</f>
        <v/>
      </c>
      <c r="GA3" t="inlineStr">
        <is>
          <t>bajo</t>
        </is>
      </c>
      <c r="GB3">
        <f>(SQRT(4*0.85*(0.85-1)*(FZ3-FY3)^2+(FZ3+FY3)^2)-(FZ3+FY3))/(2*(0.85-1)*(FZ3-FY3))</f>
        <v/>
      </c>
      <c r="GC3">
        <f>(FZ3+FY3)/2-(FZ3-FY3)/2*GB3</f>
        <v/>
      </c>
      <c r="GD3">
        <f>(FZ3-FY3)/2*SQRT(1-GB3^2)</f>
        <v/>
      </c>
      <c r="GE3">
        <f>DEGREES(ATAN(GD3/GC3))</f>
        <v/>
      </c>
      <c r="GF3">
        <f>LN(GD3)-LN(sref^(1-0.85)*GC3^0.85)</f>
        <v/>
      </c>
      <c r="GG3">
        <f>AVERAGEIFS(GF3:GF22,FX3:FX22,FX3,GA3:GA22,"bajo")</f>
        <v/>
      </c>
      <c r="GH3">
        <f>IF(GA3="alto",DEGREES(ATAN(EXP(GG3)*sref^(1-0.85)*GC3^0.85/GC3)),NA())</f>
        <v/>
      </c>
      <c r="GI3">
        <f>IF(GA3="alto",GH3-GE3,NA())</f>
        <v/>
      </c>
      <c r="GJ3">
        <f>(FZ3-FY3)/(FZ3+FY3)</f>
        <v/>
      </c>
      <c r="GK3">
        <f>(FZ3+FY3)/2-(FZ3-FY3)/2*GJ3</f>
        <v/>
      </c>
      <c r="GL3">
        <f>(FZ3-FY3)/2*SQRT(1-GJ3^2)</f>
        <v/>
      </c>
      <c r="GM3">
        <f>DEGREES(ATAN(GL3/GK3))</f>
        <v/>
      </c>
      <c r="GN3">
        <f>LN(GL3)-LN(sref^(1-1.0)*GK3^1.0)</f>
        <v/>
      </c>
      <c r="GO3">
        <f>AVERAGEIFS(GN3:GN22,FX3:FX22,FX3,GA3:GA22,"bajo")</f>
        <v/>
      </c>
      <c r="GP3">
        <f>IF(GA3="alto",DEGREES(ATAN(EXP(GO3)*sref^(1-1.0)*GK3^1.0/GK3)),NA())</f>
        <v/>
      </c>
      <c r="GQ3">
        <f>IF(GA3="alto",GP3-GM3,NA())</f>
        <v/>
      </c>
      <c r="GS3" t="inlineStr">
        <is>
          <t>Base mundial</t>
        </is>
      </c>
      <c r="GT3" t="n">
        <v>0.85</v>
      </c>
      <c r="GU3">
        <f>COUNT(FU3:FU69)</f>
        <v/>
      </c>
      <c r="GV3">
        <f>AVERAGEIF(FU3:FU69,"&lt;1E9")</f>
        <v/>
      </c>
      <c r="GW3">
        <f>SUMPRODUCT(ISNUMBER(FU3:FU69)*ABS(IFERROR(FU3:FU69,0)))/COUNT(FU3:FU69)</f>
        <v/>
      </c>
      <c r="GX3">
        <f>COUNTIF(FU3:FU69,"&gt;0")</f>
        <v/>
      </c>
      <c r="GZ3">
        <f>Base_mundial!C314</f>
        <v/>
      </c>
      <c r="HA3">
        <f>DEGREES(ATAN(Base_mundial!D314/Base_mundial!C314))</f>
        <v/>
      </c>
      <c r="HG3" t="n">
        <v>0.1</v>
      </c>
      <c r="HH3">
        <f>DEGREES(ATAN(EXP($FQ$24)*sref^(1-0.85)*HG3^0.85/HG3))</f>
        <v/>
      </c>
      <c r="HI3">
        <f>DEGREES(ATAN(EXP($FR$24)*sref^(1-1.0)*HG3^1.0/HG3))</f>
        <v/>
      </c>
      <c r="HK3" t="n">
        <v>4.596115850395109</v>
      </c>
      <c r="HL3" t="n">
        <v>34</v>
      </c>
      <c r="HN3" t="n">
        <v>20</v>
      </c>
      <c r="HO3" t="n">
        <v>20</v>
      </c>
      <c r="HQ3" t="n">
        <v>0.85</v>
      </c>
      <c r="HR3" t="n">
        <v>-9</v>
      </c>
      <c r="HT3" t="n">
        <v>1</v>
      </c>
      <c r="HU3" t="n">
        <v>-9</v>
      </c>
      <c r="HW3" t="n">
        <v>0.75</v>
      </c>
      <c r="HX3" t="n">
        <v>0</v>
      </c>
      <c r="HZ3" t="n">
        <v>0.78</v>
      </c>
      <c r="IA3" t="n">
        <v>-3.302796855139945</v>
      </c>
      <c r="IB3" t="n">
        <v>-7.107459131406332</v>
      </c>
      <c r="ID3" t="n">
        <v>0.85</v>
      </c>
      <c r="IE3" s="7" t="n">
        <v>0.02358024345332574</v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>
        <f>Rotura_Bg!G5</f>
        <v/>
      </c>
      <c r="CS4">
        <f>Rotura_Bg!H5</f>
        <v/>
      </c>
      <c r="CW4">
        <f>Rotura_Bg!H5</f>
        <v/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Ensayos!O3-MIN(tope,DEGREES(ATAN(TAN(RADIANS(pe0-omega*Ensayos!J3))*(Ensayos!M3/sref)^(m_-1))))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0.3</v>
      </c>
      <c r="EZ4">
        <f>AVERAGEIF(Ensayos!$D$2:$D$38,"Mármol",DE3:DE39)</f>
        <v/>
      </c>
      <c r="FB4" t="n">
        <v>5</v>
      </c>
      <c r="FC4" t="n">
        <v>0</v>
      </c>
      <c r="FD4" t="n">
        <v>3.6</v>
      </c>
      <c r="FE4" t="n">
        <v>0</v>
      </c>
      <c r="FG4" t="n">
        <v>1</v>
      </c>
      <c r="FH4" t="n">
        <v>-15.4</v>
      </c>
      <c r="FJ4">
        <f>Base_mundial!A85</f>
        <v/>
      </c>
      <c r="FK4">
        <f>Base_mundial!C85</f>
        <v/>
      </c>
      <c r="FL4">
        <f>Base_mundial!D85</f>
        <v/>
      </c>
      <c r="FM4" t="inlineStr">
        <is>
          <t>alto</t>
        </is>
      </c>
      <c r="FN4">
        <f>DEGREES(ATAN(FL4/FK4))</f>
        <v/>
      </c>
      <c r="FO4">
        <f>LN(FL4)-LN(sref^(1-0.85)*FK4^0.85)</f>
        <v/>
      </c>
      <c r="FP4">
        <f>LN(FL4)-LN(FK4)</f>
        <v/>
      </c>
      <c r="FQ4">
        <f>AVERAGEIFS(FO3:FO69,FJ3:FJ69,FJ4,FM3:FM69,"bajo")</f>
        <v/>
      </c>
      <c r="FR4">
        <f>AVERAGEIFS(FP3:FP69,FJ3:FJ69,FJ4,FM3:FM69,"bajo")</f>
        <v/>
      </c>
      <c r="FS4">
        <f>IF(FM4="alto",DEGREES(ATAN(EXP(FQ4)*sref^(1-0.85)*FK4^0.85/FK4)),NA())</f>
        <v/>
      </c>
      <c r="FT4">
        <f>IF(FM4="alto",DEGREES(ATAN(EXP(FR4)*sref^(1-1.0)*FK4^1.0/FK4)),NA())</f>
        <v/>
      </c>
      <c r="FU4">
        <f>IF(FM4="alto",FS4-FN4,NA())</f>
        <v/>
      </c>
      <c r="FV4">
        <f>IF(FM4="alto",FT4-FN4,NA())</f>
        <v/>
      </c>
      <c r="FX4" t="inlineStr">
        <is>
          <t>G2012|G2012-MN-C</t>
        </is>
      </c>
      <c r="FY4">
        <f>Ensayos!K3</f>
        <v/>
      </c>
      <c r="FZ4">
        <f>Ensayos!L3</f>
        <v/>
      </c>
      <c r="GA4" t="inlineStr">
        <is>
          <t>bajo</t>
        </is>
      </c>
      <c r="GB4">
        <f>(SQRT(4*0.85*(0.85-1)*(FZ4-FY4)^2+(FZ4+FY4)^2)-(FZ4+FY4))/(2*(0.85-1)*(FZ4-FY4))</f>
        <v/>
      </c>
      <c r="GC4">
        <f>(FZ4+FY4)/2-(FZ4-FY4)/2*GB4</f>
        <v/>
      </c>
      <c r="GD4">
        <f>(FZ4-FY4)/2*SQRT(1-GB4^2)</f>
        <v/>
      </c>
      <c r="GE4">
        <f>DEGREES(ATAN(GD4/GC4))</f>
        <v/>
      </c>
      <c r="GF4">
        <f>LN(GD4)-LN(sref^(1-0.85)*GC4^0.85)</f>
        <v/>
      </c>
      <c r="GG4">
        <f>AVERAGEIFS(GF3:GF22,FX3:FX22,FX4,GA3:GA22,"bajo")</f>
        <v/>
      </c>
      <c r="GH4">
        <f>IF(GA4="alto",DEGREES(ATAN(EXP(GG4)*sref^(1-0.85)*GC4^0.85/GC4)),NA())</f>
        <v/>
      </c>
      <c r="GI4">
        <f>IF(GA4="alto",GH4-GE4,NA())</f>
        <v/>
      </c>
      <c r="GJ4">
        <f>(FZ4-FY4)/(FZ4+FY4)</f>
        <v/>
      </c>
      <c r="GK4">
        <f>(FZ4+FY4)/2-(FZ4-FY4)/2*GJ4</f>
        <v/>
      </c>
      <c r="GL4">
        <f>(FZ4-FY4)/2*SQRT(1-GJ4^2)</f>
        <v/>
      </c>
      <c r="GM4">
        <f>DEGREES(ATAN(GL4/GK4))</f>
        <v/>
      </c>
      <c r="GN4">
        <f>LN(GL4)-LN(sref^(1-1.0)*GK4^1.0)</f>
        <v/>
      </c>
      <c r="GO4">
        <f>AVERAGEIFS(GN3:GN22,FX3:FX22,FX4,GA3:GA22,"bajo")</f>
        <v/>
      </c>
      <c r="GP4">
        <f>IF(GA4="alto",DEGREES(ATAN(EXP(GO4)*sref^(1-1.0)*GK4^1.0/GK4)),NA())</f>
        <v/>
      </c>
      <c r="GQ4">
        <f>IF(GA4="alto",GP4-GM4,NA())</f>
        <v/>
      </c>
      <c r="GS4" t="inlineStr">
        <is>
          <t>Base mundial</t>
        </is>
      </c>
      <c r="GT4" t="n">
        <v>1</v>
      </c>
      <c r="GU4">
        <f>COUNT(FV3:FV69)</f>
        <v/>
      </c>
      <c r="GV4">
        <f>AVERAGEIF(FV3:FV69,"&lt;1E9")</f>
        <v/>
      </c>
      <c r="GW4">
        <f>SUMPRODUCT(ISNUMBER(FV3:FV69)*ABS(IFERROR(FV3:FV69,0)))/COUNT(FV3:FV69)</f>
        <v/>
      </c>
      <c r="GX4">
        <f>COUNTIF(FV3:FV69,"&gt;0")</f>
        <v/>
      </c>
      <c r="GZ4">
        <f>Base_mundial!C315</f>
        <v/>
      </c>
      <c r="HA4">
        <f>DEGREES(ATAN(Base_mundial!D315/Base_mundial!C315))</f>
        <v/>
      </c>
      <c r="HG4" t="n">
        <v>0.1130608743273187</v>
      </c>
      <c r="HH4">
        <f>DEGREES(ATAN(EXP($FQ$24)*sref^(1-0.85)*HG4^0.85/HG4))</f>
        <v/>
      </c>
      <c r="HI4">
        <f>DEGREES(ATAN(EXP($FR$24)*sref^(1-1.0)*HG4^1.0/HG4))</f>
        <v/>
      </c>
      <c r="HK4" t="n">
        <v>4.596115850395109</v>
      </c>
      <c r="HL4" t="n">
        <v>56</v>
      </c>
      <c r="HN4" t="n">
        <v>60</v>
      </c>
      <c r="HO4" t="n">
        <v>60</v>
      </c>
      <c r="HQ4" t="n">
        <v>0.85</v>
      </c>
      <c r="HR4" t="n">
        <v>9</v>
      </c>
      <c r="HT4" t="n">
        <v>1</v>
      </c>
      <c r="HU4" t="n">
        <v>9</v>
      </c>
      <c r="HW4" t="n">
        <v>1.05</v>
      </c>
      <c r="HX4" t="n">
        <v>0</v>
      </c>
      <c r="HZ4" t="n">
        <v>0.79</v>
      </c>
      <c r="IA4" t="n">
        <v>-2.834867770092705</v>
      </c>
      <c r="IB4" t="n">
        <v>-6.837701485231875</v>
      </c>
      <c r="ID4" t="n">
        <v>1</v>
      </c>
      <c r="IE4" s="7" t="n">
        <v>7.391092456504922</v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>
        <f>Rotura_Bg!G7</f>
        <v/>
      </c>
      <c r="CS5">
        <f>Rotura_Bg!H7</f>
        <v/>
      </c>
      <c r="CW5">
        <f>Rotura_Bg!H7</f>
        <v/>
      </c>
      <c r="DC5">
        <f>Ensayos!M4</f>
        <v/>
      </c>
      <c r="DD5">
        <f>LN(DC5)</f>
        <v/>
      </c>
      <c r="DE5">
        <f>Ensayos!O4-MIN(tope,DEGREES(ATAN(TAN(RADIANS(pe0-omega*Ensayos!J4))*(Ensayos!M4/sref)^(m_-1))))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FG5" t="n">
        <v>2</v>
      </c>
      <c r="FH5" t="n">
        <v>-15.4</v>
      </c>
      <c r="FJ5">
        <f>Base_mundial!A291</f>
        <v/>
      </c>
      <c r="FK5">
        <f>Base_mundial!C291</f>
        <v/>
      </c>
      <c r="FL5">
        <f>Base_mundial!D291</f>
        <v/>
      </c>
      <c r="FM5" t="inlineStr">
        <is>
          <t>bajo</t>
        </is>
      </c>
      <c r="FN5">
        <f>DEGREES(ATAN(FL5/FK5))</f>
        <v/>
      </c>
      <c r="FO5">
        <f>LN(FL5)-LN(sref^(1-0.85)*FK5^0.85)</f>
        <v/>
      </c>
      <c r="FP5">
        <f>LN(FL5)-LN(FK5)</f>
        <v/>
      </c>
      <c r="FQ5">
        <f>AVERAGEIFS(FO3:FO69,FJ3:FJ69,FJ5,FM3:FM69,"bajo")</f>
        <v/>
      </c>
      <c r="FR5">
        <f>AVERAGEIFS(FP3:FP69,FJ3:FJ69,FJ5,FM3:FM69,"bajo")</f>
        <v/>
      </c>
      <c r="FS5">
        <f>IF(FM5="alto",DEGREES(ATAN(EXP(FQ5)*sref^(1-0.85)*FK5^0.85/FK5)),NA())</f>
        <v/>
      </c>
      <c r="FT5">
        <f>IF(FM5="alto",DEGREES(ATAN(EXP(FR5)*sref^(1-1.0)*FK5^1.0/FK5)),NA())</f>
        <v/>
      </c>
      <c r="FU5">
        <f>IF(FM5="alto",FS5-FN5,NA())</f>
        <v/>
      </c>
      <c r="FV5">
        <f>IF(FM5="alto",FT5-FN5,NA())</f>
        <v/>
      </c>
      <c r="FX5" t="inlineStr">
        <is>
          <t>G2012|G2012-MN-C</t>
        </is>
      </c>
      <c r="FY5">
        <f>Ensayos!K4</f>
        <v/>
      </c>
      <c r="FZ5">
        <f>Ensayos!L4</f>
        <v/>
      </c>
      <c r="GA5" t="inlineStr">
        <is>
          <t>bajo</t>
        </is>
      </c>
      <c r="GB5">
        <f>(SQRT(4*0.85*(0.85-1)*(FZ5-FY5)^2+(FZ5+FY5)^2)-(FZ5+FY5))/(2*(0.85-1)*(FZ5-FY5))</f>
        <v/>
      </c>
      <c r="GC5">
        <f>(FZ5+FY5)/2-(FZ5-FY5)/2*GB5</f>
        <v/>
      </c>
      <c r="GD5">
        <f>(FZ5-FY5)/2*SQRT(1-GB5^2)</f>
        <v/>
      </c>
      <c r="GE5">
        <f>DEGREES(ATAN(GD5/GC5))</f>
        <v/>
      </c>
      <c r="GF5">
        <f>LN(GD5)-LN(sref^(1-0.85)*GC5^0.85)</f>
        <v/>
      </c>
      <c r="GG5">
        <f>AVERAGEIFS(GF3:GF22,FX3:FX22,FX5,GA3:GA22,"bajo")</f>
        <v/>
      </c>
      <c r="GH5">
        <f>IF(GA5="alto",DEGREES(ATAN(EXP(GG5)*sref^(1-0.85)*GC5^0.85/GC5)),NA())</f>
        <v/>
      </c>
      <c r="GI5">
        <f>IF(GA5="alto",GH5-GE5,NA())</f>
        <v/>
      </c>
      <c r="GJ5">
        <f>(FZ5-FY5)/(FZ5+FY5)</f>
        <v/>
      </c>
      <c r="GK5">
        <f>(FZ5+FY5)/2-(FZ5-FY5)/2*GJ5</f>
        <v/>
      </c>
      <c r="GL5">
        <f>(FZ5-FY5)/2*SQRT(1-GJ5^2)</f>
        <v/>
      </c>
      <c r="GM5">
        <f>DEGREES(ATAN(GL5/GK5))</f>
        <v/>
      </c>
      <c r="GN5">
        <f>LN(GL5)-LN(sref^(1-1.0)*GK5^1.0)</f>
        <v/>
      </c>
      <c r="GO5">
        <f>AVERAGEIFS(GN3:GN22,FX3:FX22,FX5,GA3:GA22,"bajo")</f>
        <v/>
      </c>
      <c r="GP5">
        <f>IF(GA5="alto",DEGREES(ATAN(EXP(GO5)*sref^(1-1.0)*GK5^1.0/GK5)),NA())</f>
        <v/>
      </c>
      <c r="GQ5">
        <f>IF(GA5="alto",GP5-GM5,NA())</f>
        <v/>
      </c>
      <c r="GS5" t="inlineStr">
        <is>
          <t>Antamina</t>
        </is>
      </c>
      <c r="GT5" t="n">
        <v>0.85</v>
      </c>
      <c r="GU5">
        <f>COUNT(GI3:GI22)</f>
        <v/>
      </c>
      <c r="GV5">
        <f>AVERAGEIF(GI3:GI22,"&lt;1E9")</f>
        <v/>
      </c>
      <c r="GW5">
        <f>SUMPRODUCT(ISNUMBER(GI3:GI22)*ABS(IFERROR(GI3:GI22,0)))/COUNT(GI3:GI22)</f>
        <v/>
      </c>
      <c r="GX5">
        <f>COUNTIF(GI3:GI22,"&gt;0")</f>
        <v/>
      </c>
      <c r="HB5">
        <f>Base_mundial!C316</f>
        <v/>
      </c>
      <c r="HC5">
        <f>DEGREES(ATAN(Base_mundial!D316/Base_mundial!C316))</f>
        <v/>
      </c>
      <c r="HG5" t="n">
        <v>0.1278276130365776</v>
      </c>
      <c r="HH5">
        <f>DEGREES(ATAN(EXP($FQ$24)*sref^(1-0.85)*HG5^0.85/HG5))</f>
        <v/>
      </c>
      <c r="HI5">
        <f>DEGREES(ATAN(EXP($FR$24)*sref^(1-1.0)*HG5^1.0/HG5))</f>
        <v/>
      </c>
      <c r="HZ5" t="n">
        <v>0.8</v>
      </c>
      <c r="IA5" t="n">
        <v>-2.364310730228835</v>
      </c>
      <c r="IB5" t="n">
        <v>-6.566193966646138</v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>
        <f>Rotura_Bg!G9</f>
        <v/>
      </c>
      <c r="CS6">
        <f>Rotura_Bg!H9</f>
        <v/>
      </c>
      <c r="CW6">
        <f>Rotura_Bg!H9</f>
        <v/>
      </c>
      <c r="DC6">
        <f>Ensayos!M5</f>
        <v/>
      </c>
      <c r="DD6">
        <f>LN(DC6)</f>
        <v/>
      </c>
      <c r="DE6">
        <f>Ensayos!O5-MIN(tope,DEGREES(ATAN(TAN(RADIANS(pe0-omega*Ensayos!J5))*(Ensayos!M5/sref)^(m_-1))))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0.7</v>
      </c>
      <c r="EZ6">
        <f>AVERAGEIF(Ensayos!$D$2:$D$38,"Intrusivo",DE3:DE39)</f>
        <v/>
      </c>
      <c r="FG6" t="n">
        <v>3</v>
      </c>
      <c r="FH6" t="n">
        <v>-15.4</v>
      </c>
      <c r="FJ6">
        <f>Base_mundial!A292</f>
        <v/>
      </c>
      <c r="FK6">
        <f>Base_mundial!C292</f>
        <v/>
      </c>
      <c r="FL6">
        <f>Base_mundial!D292</f>
        <v/>
      </c>
      <c r="FM6" t="inlineStr">
        <is>
          <t>bajo</t>
        </is>
      </c>
      <c r="FN6">
        <f>DEGREES(ATAN(FL6/FK6))</f>
        <v/>
      </c>
      <c r="FO6">
        <f>LN(FL6)-LN(sref^(1-0.85)*FK6^0.85)</f>
        <v/>
      </c>
      <c r="FP6">
        <f>LN(FL6)-LN(FK6)</f>
        <v/>
      </c>
      <c r="FQ6">
        <f>AVERAGEIFS(FO3:FO69,FJ3:FJ69,FJ6,FM3:FM69,"bajo")</f>
        <v/>
      </c>
      <c r="FR6">
        <f>AVERAGEIFS(FP3:FP69,FJ3:FJ69,FJ6,FM3:FM69,"bajo")</f>
        <v/>
      </c>
      <c r="FS6">
        <f>IF(FM6="alto",DEGREES(ATAN(EXP(FQ6)*sref^(1-0.85)*FK6^0.85/FK6)),NA())</f>
        <v/>
      </c>
      <c r="FT6">
        <f>IF(FM6="alto",DEGREES(ATAN(EXP(FR6)*sref^(1-1.0)*FK6^1.0/FK6)),NA())</f>
        <v/>
      </c>
      <c r="FU6">
        <f>IF(FM6="alto",FS6-FN6,NA())</f>
        <v/>
      </c>
      <c r="FV6">
        <f>IF(FM6="alto",FT6-FN6,NA())</f>
        <v/>
      </c>
      <c r="FX6" t="inlineStr">
        <is>
          <t>G2012|G2012-MN-C</t>
        </is>
      </c>
      <c r="FY6">
        <f>Ensayos!K5</f>
        <v/>
      </c>
      <c r="FZ6">
        <f>Ensayos!L5</f>
        <v/>
      </c>
      <c r="GA6" t="inlineStr">
        <is>
          <t>alto</t>
        </is>
      </c>
      <c r="GB6">
        <f>(SQRT(4*0.85*(0.85-1)*(FZ6-FY6)^2+(FZ6+FY6)^2)-(FZ6+FY6))/(2*(0.85-1)*(FZ6-FY6))</f>
        <v/>
      </c>
      <c r="GC6">
        <f>(FZ6+FY6)/2-(FZ6-FY6)/2*GB6</f>
        <v/>
      </c>
      <c r="GD6">
        <f>(FZ6-FY6)/2*SQRT(1-GB6^2)</f>
        <v/>
      </c>
      <c r="GE6">
        <f>DEGREES(ATAN(GD6/GC6))</f>
        <v/>
      </c>
      <c r="GF6">
        <f>LN(GD6)-LN(sref^(1-0.85)*GC6^0.85)</f>
        <v/>
      </c>
      <c r="GG6">
        <f>AVERAGEIFS(GF3:GF22,FX3:FX22,FX6,GA3:GA22,"bajo")</f>
        <v/>
      </c>
      <c r="GH6">
        <f>IF(GA6="alto",DEGREES(ATAN(EXP(GG6)*sref^(1-0.85)*GC6^0.85/GC6)),NA())</f>
        <v/>
      </c>
      <c r="GI6">
        <f>IF(GA6="alto",GH6-GE6,NA())</f>
        <v/>
      </c>
      <c r="GJ6">
        <f>(FZ6-FY6)/(FZ6+FY6)</f>
        <v/>
      </c>
      <c r="GK6">
        <f>(FZ6+FY6)/2-(FZ6-FY6)/2*GJ6</f>
        <v/>
      </c>
      <c r="GL6">
        <f>(FZ6-FY6)/2*SQRT(1-GJ6^2)</f>
        <v/>
      </c>
      <c r="GM6">
        <f>DEGREES(ATAN(GL6/GK6))</f>
        <v/>
      </c>
      <c r="GN6">
        <f>LN(GL6)-LN(sref^(1-1.0)*GK6^1.0)</f>
        <v/>
      </c>
      <c r="GO6">
        <f>AVERAGEIFS(GN3:GN22,FX3:FX22,FX6,GA3:GA22,"bajo")</f>
        <v/>
      </c>
      <c r="GP6">
        <f>IF(GA6="alto",DEGREES(ATAN(EXP(GO6)*sref^(1-1.0)*GK6^1.0/GK6)),NA())</f>
        <v/>
      </c>
      <c r="GQ6">
        <f>IF(GA6="alto",GP6-GM6,NA())</f>
        <v/>
      </c>
      <c r="GS6" t="inlineStr">
        <is>
          <t>Antamina</t>
        </is>
      </c>
      <c r="GT6" t="n">
        <v>1</v>
      </c>
      <c r="GU6">
        <f>COUNT(GQ3:GQ22)</f>
        <v/>
      </c>
      <c r="GV6">
        <f>AVERAGEIF(GQ3:GQ22,"&lt;1E9")</f>
        <v/>
      </c>
      <c r="GW6">
        <f>SUMPRODUCT(ISNUMBER(GQ3:GQ22)*ABS(IFERROR(GQ3:GQ22,0)))/COUNT(GQ3:GQ22)</f>
        <v/>
      </c>
      <c r="GX6">
        <f>COUNTIF(GQ3:GQ22,"&gt;0")</f>
        <v/>
      </c>
      <c r="HB6">
        <f>Base_mundial!C317</f>
        <v/>
      </c>
      <c r="HC6">
        <f>DEGREES(ATAN(Base_mundial!D317/Base_mundial!C317))</f>
        <v/>
      </c>
      <c r="HG6" t="n">
        <v>0.1445230169308964</v>
      </c>
      <c r="HH6">
        <f>DEGREES(ATAN(EXP($FQ$24)*sref^(1-0.85)*HG6^0.85/HG6))</f>
        <v/>
      </c>
      <c r="HI6">
        <f>DEGREES(ATAN(EXP($FR$24)*sref^(1-1.0)*HG6^1.0/HG6))</f>
        <v/>
      </c>
      <c r="HK6" t="n">
        <v>4.863042245041695</v>
      </c>
      <c r="HL6" t="n">
        <v>34</v>
      </c>
      <c r="HZ6" t="n">
        <v>0.8100000000000001</v>
      </c>
      <c r="IA6" t="n">
        <v>-1.891245225257601</v>
      </c>
      <c r="IB6" t="n">
        <v>-6.292989239217181</v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>
        <f>Rotura_Bg!G11</f>
        <v/>
      </c>
      <c r="CS7">
        <f>Rotura_Bg!H11</f>
        <v/>
      </c>
      <c r="CW7">
        <f>Rotura_Bg!H11</f>
        <v/>
      </c>
      <c r="DC7">
        <f>Ensayos!M6</f>
        <v/>
      </c>
      <c r="DD7">
        <f>LN(DC7)</f>
        <v/>
      </c>
      <c r="DE7">
        <f>Ensayos!O6-MIN(tope,DEGREES(ATAN(TAN(RADIANS(pe0-omega*Ensayos!J6))*(Ensayos!M6/sref)^(m_-1))))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1.3</v>
      </c>
      <c r="EZ7">
        <f>AVERAGEIF(Ensayos!$D$2:$D$38,"Intrusivo",DE3:DE39)</f>
        <v/>
      </c>
      <c r="FJ7">
        <f>Base_mundial!A293</f>
        <v/>
      </c>
      <c r="FK7">
        <f>Base_mundial!C293</f>
        <v/>
      </c>
      <c r="FL7">
        <f>Base_mundial!D293</f>
        <v/>
      </c>
      <c r="FM7" t="inlineStr">
        <is>
          <t>alto</t>
        </is>
      </c>
      <c r="FN7">
        <f>DEGREES(ATAN(FL7/FK7))</f>
        <v/>
      </c>
      <c r="FO7">
        <f>LN(FL7)-LN(sref^(1-0.85)*FK7^0.85)</f>
        <v/>
      </c>
      <c r="FP7">
        <f>LN(FL7)-LN(FK7)</f>
        <v/>
      </c>
      <c r="FQ7">
        <f>AVERAGEIFS(FO3:FO69,FJ3:FJ69,FJ7,FM3:FM69,"bajo")</f>
        <v/>
      </c>
      <c r="FR7">
        <f>AVERAGEIFS(FP3:FP69,FJ3:FJ69,FJ7,FM3:FM69,"bajo")</f>
        <v/>
      </c>
      <c r="FS7">
        <f>IF(FM7="alto",DEGREES(ATAN(EXP(FQ7)*sref^(1-0.85)*FK7^0.85/FK7)),NA())</f>
        <v/>
      </c>
      <c r="FT7">
        <f>IF(FM7="alto",DEGREES(ATAN(EXP(FR7)*sref^(1-1.0)*FK7^1.0/FK7)),NA())</f>
        <v/>
      </c>
      <c r="FU7">
        <f>IF(FM7="alto",FS7-FN7,NA())</f>
        <v/>
      </c>
      <c r="FV7">
        <f>IF(FM7="alto",FT7-FN7,NA())</f>
        <v/>
      </c>
      <c r="FX7" t="inlineStr">
        <is>
          <t>G2012|G2012-MN-C</t>
        </is>
      </c>
      <c r="FY7">
        <f>Ensayos!K6</f>
        <v/>
      </c>
      <c r="FZ7">
        <f>Ensayos!L6</f>
        <v/>
      </c>
      <c r="GA7" t="inlineStr">
        <is>
          <t>alto</t>
        </is>
      </c>
      <c r="GB7">
        <f>(SQRT(4*0.85*(0.85-1)*(FZ7-FY7)^2+(FZ7+FY7)^2)-(FZ7+FY7))/(2*(0.85-1)*(FZ7-FY7))</f>
        <v/>
      </c>
      <c r="GC7">
        <f>(FZ7+FY7)/2-(FZ7-FY7)/2*GB7</f>
        <v/>
      </c>
      <c r="GD7">
        <f>(FZ7-FY7)/2*SQRT(1-GB7^2)</f>
        <v/>
      </c>
      <c r="GE7">
        <f>DEGREES(ATAN(GD7/GC7))</f>
        <v/>
      </c>
      <c r="GF7">
        <f>LN(GD7)-LN(sref^(1-0.85)*GC7^0.85)</f>
        <v/>
      </c>
      <c r="GG7">
        <f>AVERAGEIFS(GF3:GF22,FX3:FX22,FX7,GA3:GA22,"bajo")</f>
        <v/>
      </c>
      <c r="GH7">
        <f>IF(GA7="alto",DEGREES(ATAN(EXP(GG7)*sref^(1-0.85)*GC7^0.85/GC7)),NA())</f>
        <v/>
      </c>
      <c r="GI7">
        <f>IF(GA7="alto",GH7-GE7,NA())</f>
        <v/>
      </c>
      <c r="GJ7">
        <f>(FZ7-FY7)/(FZ7+FY7)</f>
        <v/>
      </c>
      <c r="GK7">
        <f>(FZ7+FY7)/2-(FZ7-FY7)/2*GJ7</f>
        <v/>
      </c>
      <c r="GL7">
        <f>(FZ7-FY7)/2*SQRT(1-GJ7^2)</f>
        <v/>
      </c>
      <c r="GM7">
        <f>DEGREES(ATAN(GL7/GK7))</f>
        <v/>
      </c>
      <c r="GN7">
        <f>LN(GL7)-LN(sref^(1-1.0)*GK7^1.0)</f>
        <v/>
      </c>
      <c r="GO7">
        <f>AVERAGEIFS(GN3:GN22,FX3:FX22,FX7,GA3:GA22,"bajo")</f>
        <v/>
      </c>
      <c r="GP7">
        <f>IF(GA7="alto",DEGREES(ATAN(EXP(GO7)*sref^(1-1.0)*GK7^1.0/GK7)),NA())</f>
        <v/>
      </c>
      <c r="GQ7">
        <f>IF(GA7="alto",GP7-GM7,NA())</f>
        <v/>
      </c>
      <c r="HG7" t="n">
        <v>0.1633989865462903</v>
      </c>
      <c r="HH7">
        <f>DEGREES(ATAN(EXP($FQ$24)*sref^(1-0.85)*HG7^0.85/HG7))</f>
        <v/>
      </c>
      <c r="HI7">
        <f>DEGREES(ATAN(EXP($FR$24)*sref^(1-1.0)*HG7^1.0/HG7))</f>
        <v/>
      </c>
      <c r="HK7" t="n">
        <v>4.863042245041695</v>
      </c>
      <c r="HL7" t="n">
        <v>56</v>
      </c>
      <c r="HZ7" t="n">
        <v>0.82</v>
      </c>
      <c r="IA7" t="n">
        <v>-1.415794581462333</v>
      </c>
      <c r="IB7" t="n">
        <v>-6.018139946770757</v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>
        <f>Rotura_Bg!G14</f>
        <v/>
      </c>
      <c r="CS8">
        <f>Rotura_Bg!H14</f>
        <v/>
      </c>
      <c r="CT8">
        <f>Rotura_Bg!H14</f>
        <v/>
      </c>
      <c r="DC8">
        <f>Ensayos!M7</f>
        <v/>
      </c>
      <c r="DD8">
        <f>LN(DC8)</f>
        <v/>
      </c>
      <c r="DE8">
        <f>Ensayos!O7-MIN(tope,DEGREES(ATAN(TAN(RADIANS(pe0-omega*Ensayos!J7))*(Ensayos!M7/sref)^(m_-1))))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FJ8">
        <f>Base_mundial!A294</f>
        <v/>
      </c>
      <c r="FK8">
        <f>Base_mundial!C294</f>
        <v/>
      </c>
      <c r="FL8">
        <f>Base_mundial!D294</f>
        <v/>
      </c>
      <c r="FM8" t="inlineStr">
        <is>
          <t>bajo</t>
        </is>
      </c>
      <c r="FN8">
        <f>DEGREES(ATAN(FL8/FK8))</f>
        <v/>
      </c>
      <c r="FO8">
        <f>LN(FL8)-LN(sref^(1-0.85)*FK8^0.85)</f>
        <v/>
      </c>
      <c r="FP8">
        <f>LN(FL8)-LN(FK8)</f>
        <v/>
      </c>
      <c r="FQ8">
        <f>AVERAGEIFS(FO3:FO69,FJ3:FJ69,FJ8,FM3:FM69,"bajo")</f>
        <v/>
      </c>
      <c r="FR8">
        <f>AVERAGEIFS(FP3:FP69,FJ3:FJ69,FJ8,FM3:FM69,"bajo")</f>
        <v/>
      </c>
      <c r="FS8">
        <f>IF(FM8="alto",DEGREES(ATAN(EXP(FQ8)*sref^(1-0.85)*FK8^0.85/FK8)),NA())</f>
        <v/>
      </c>
      <c r="FT8">
        <f>IF(FM8="alto",DEGREES(ATAN(EXP(FR8)*sref^(1-1.0)*FK8^1.0/FK8)),NA())</f>
        <v/>
      </c>
      <c r="FU8">
        <f>IF(FM8="alto",FS8-FN8,NA())</f>
        <v/>
      </c>
      <c r="FV8">
        <f>IF(FM8="alto",FT8-FN8,NA())</f>
        <v/>
      </c>
      <c r="FX8" t="inlineStr">
        <is>
          <t>G2021|G21-DESM-COMP</t>
        </is>
      </c>
      <c r="FY8">
        <f>Ensayos!K7</f>
        <v/>
      </c>
      <c r="FZ8">
        <f>Ensayos!L7</f>
        <v/>
      </c>
      <c r="GA8" t="inlineStr">
        <is>
          <t>bajo</t>
        </is>
      </c>
      <c r="GB8">
        <f>(SQRT(4*0.85*(0.85-1)*(FZ8-FY8)^2+(FZ8+FY8)^2)-(FZ8+FY8))/(2*(0.85-1)*(FZ8-FY8))</f>
        <v/>
      </c>
      <c r="GC8">
        <f>(FZ8+FY8)/2-(FZ8-FY8)/2*GB8</f>
        <v/>
      </c>
      <c r="GD8">
        <f>(FZ8-FY8)/2*SQRT(1-GB8^2)</f>
        <v/>
      </c>
      <c r="GE8">
        <f>DEGREES(ATAN(GD8/GC8))</f>
        <v/>
      </c>
      <c r="GF8">
        <f>LN(GD8)-LN(sref^(1-0.85)*GC8^0.85)</f>
        <v/>
      </c>
      <c r="GG8">
        <f>AVERAGEIFS(GF3:GF22,FX3:FX22,FX8,GA3:GA22,"bajo")</f>
        <v/>
      </c>
      <c r="GH8">
        <f>IF(GA8="alto",DEGREES(ATAN(EXP(GG8)*sref^(1-0.85)*GC8^0.85/GC8)),NA())</f>
        <v/>
      </c>
      <c r="GI8">
        <f>IF(GA8="alto",GH8-GE8,NA())</f>
        <v/>
      </c>
      <c r="GJ8">
        <f>(FZ8-FY8)/(FZ8+FY8)</f>
        <v/>
      </c>
      <c r="GK8">
        <f>(FZ8+FY8)/2-(FZ8-FY8)/2*GJ8</f>
        <v/>
      </c>
      <c r="GL8">
        <f>(FZ8-FY8)/2*SQRT(1-GJ8^2)</f>
        <v/>
      </c>
      <c r="GM8">
        <f>DEGREES(ATAN(GL8/GK8))</f>
        <v/>
      </c>
      <c r="GN8">
        <f>LN(GL8)-LN(sref^(1-1.0)*GK8^1.0)</f>
        <v/>
      </c>
      <c r="GO8">
        <f>AVERAGEIFS(GN3:GN22,FX3:FX22,FX8,GA3:GA22,"bajo")</f>
        <v/>
      </c>
      <c r="GP8">
        <f>IF(GA8="alto",DEGREES(ATAN(EXP(GO8)*sref^(1-1.0)*GK8^1.0/GK8)),NA())</f>
        <v/>
      </c>
      <c r="GQ8">
        <f>IF(GA8="alto",GP8-GM8,NA())</f>
        <v/>
      </c>
      <c r="HG8" t="n">
        <v>0.1847403228312138</v>
      </c>
      <c r="HH8">
        <f>DEGREES(ATAN(EXP($FQ$24)*sref^(1-0.85)*HG8^0.85/HG8))</f>
        <v/>
      </c>
      <c r="HI8">
        <f>DEGREES(ATAN(EXP($FR$24)*sref^(1-1.0)*HG8^1.0/HG8))</f>
        <v/>
      </c>
      <c r="HZ8" t="n">
        <v>0.83</v>
      </c>
      <c r="IA8" t="n">
        <v>-0.9380858296737409</v>
      </c>
      <c r="IB8" t="n">
        <v>-5.741698684474369</v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>
        <f>Rotura_Bg!G16</f>
        <v/>
      </c>
      <c r="CS9">
        <f>Rotura_Bg!H16</f>
        <v/>
      </c>
      <c r="CT9">
        <f>Rotura_Bg!H16</f>
        <v/>
      </c>
      <c r="DC9">
        <f>Ensayos!M8</f>
        <v/>
      </c>
      <c r="DD9">
        <f>LN(DC9)</f>
        <v/>
      </c>
      <c r="DE9">
        <f>Ensayos!O8-MIN(tope,DEGREES(ATAN(TAN(RADIANS(pe0-omega*Ensayos!J8))*(Ensayos!M8/sref)^(m_-1))))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1.7</v>
      </c>
      <c r="EZ9">
        <f>AVERAGEIF(Ensayos!$D$2:$D$38,"Mezcla",DE3:DE39)</f>
        <v/>
      </c>
      <c r="FJ9">
        <f>Base_mundial!A295</f>
        <v/>
      </c>
      <c r="FK9">
        <f>Base_mundial!C295</f>
        <v/>
      </c>
      <c r="FL9">
        <f>Base_mundial!D295</f>
        <v/>
      </c>
      <c r="FM9" t="inlineStr">
        <is>
          <t>bajo</t>
        </is>
      </c>
      <c r="FN9">
        <f>DEGREES(ATAN(FL9/FK9))</f>
        <v/>
      </c>
      <c r="FO9">
        <f>LN(FL9)-LN(sref^(1-0.85)*FK9^0.85)</f>
        <v/>
      </c>
      <c r="FP9">
        <f>LN(FL9)-LN(FK9)</f>
        <v/>
      </c>
      <c r="FQ9">
        <f>AVERAGEIFS(FO3:FO69,FJ3:FJ69,FJ9,FM3:FM69,"bajo")</f>
        <v/>
      </c>
      <c r="FR9">
        <f>AVERAGEIFS(FP3:FP69,FJ3:FJ69,FJ9,FM3:FM69,"bajo")</f>
        <v/>
      </c>
      <c r="FS9">
        <f>IF(FM9="alto",DEGREES(ATAN(EXP(FQ9)*sref^(1-0.85)*FK9^0.85/FK9)),NA())</f>
        <v/>
      </c>
      <c r="FT9">
        <f>IF(FM9="alto",DEGREES(ATAN(EXP(FR9)*sref^(1-1.0)*FK9^1.0/FK9)),NA())</f>
        <v/>
      </c>
      <c r="FU9">
        <f>IF(FM9="alto",FS9-FN9,NA())</f>
        <v/>
      </c>
      <c r="FV9">
        <f>IF(FM9="alto",FT9-FN9,NA())</f>
        <v/>
      </c>
      <c r="FX9" t="inlineStr">
        <is>
          <t>G2021|G21-DESM-COMP</t>
        </is>
      </c>
      <c r="FY9">
        <f>Ensayos!K8</f>
        <v/>
      </c>
      <c r="FZ9">
        <f>Ensayos!L8</f>
        <v/>
      </c>
      <c r="GA9" t="inlineStr">
        <is>
          <t>bajo</t>
        </is>
      </c>
      <c r="GB9">
        <f>(SQRT(4*0.85*(0.85-1)*(FZ9-FY9)^2+(FZ9+FY9)^2)-(FZ9+FY9))/(2*(0.85-1)*(FZ9-FY9))</f>
        <v/>
      </c>
      <c r="GC9">
        <f>(FZ9+FY9)/2-(FZ9-FY9)/2*GB9</f>
        <v/>
      </c>
      <c r="GD9">
        <f>(FZ9-FY9)/2*SQRT(1-GB9^2)</f>
        <v/>
      </c>
      <c r="GE9">
        <f>DEGREES(ATAN(GD9/GC9))</f>
        <v/>
      </c>
      <c r="GF9">
        <f>LN(GD9)-LN(sref^(1-0.85)*GC9^0.85)</f>
        <v/>
      </c>
      <c r="GG9">
        <f>AVERAGEIFS(GF3:GF22,FX3:FX22,FX9,GA3:GA22,"bajo")</f>
        <v/>
      </c>
      <c r="GH9">
        <f>IF(GA9="alto",DEGREES(ATAN(EXP(GG9)*sref^(1-0.85)*GC9^0.85/GC9)),NA())</f>
        <v/>
      </c>
      <c r="GI9">
        <f>IF(GA9="alto",GH9-GE9,NA())</f>
        <v/>
      </c>
      <c r="GJ9">
        <f>(FZ9-FY9)/(FZ9+FY9)</f>
        <v/>
      </c>
      <c r="GK9">
        <f>(FZ9+FY9)/2-(FZ9-FY9)/2*GJ9</f>
        <v/>
      </c>
      <c r="GL9">
        <f>(FZ9-FY9)/2*SQRT(1-GJ9^2)</f>
        <v/>
      </c>
      <c r="GM9">
        <f>DEGREES(ATAN(GL9/GK9))</f>
        <v/>
      </c>
      <c r="GN9">
        <f>LN(GL9)-LN(sref^(1-1.0)*GK9^1.0)</f>
        <v/>
      </c>
      <c r="GO9">
        <f>AVERAGEIFS(GN3:GN22,FX3:FX22,FX9,GA3:GA22,"bajo")</f>
        <v/>
      </c>
      <c r="GP9">
        <f>IF(GA9="alto",DEGREES(ATAN(EXP(GO9)*sref^(1-1.0)*GK9^1.0/GK9)),NA())</f>
        <v/>
      </c>
      <c r="GQ9">
        <f>IF(GA9="alto",GP9-GM9,NA())</f>
        <v/>
      </c>
      <c r="HG9" t="n">
        <v>0.2088690242280815</v>
      </c>
      <c r="HH9">
        <f>DEGREES(ATAN(EXP($FQ$24)*sref^(1-0.85)*HG9^0.85/HG9))</f>
        <v/>
      </c>
      <c r="HI9">
        <f>DEGREES(ATAN(EXP($FR$24)*sref^(1-1.0)*HG9^1.0/HG9))</f>
        <v/>
      </c>
      <c r="HK9" t="n">
        <v>5.145470794655262</v>
      </c>
      <c r="HL9" t="n">
        <v>34</v>
      </c>
      <c r="HZ9" t="n">
        <v>0.84</v>
      </c>
      <c r="IA9" t="n">
        <v>-0.4582495590029592</v>
      </c>
      <c r="IB9" t="n">
        <v>-5.463717972626547</v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>
        <f>Rotura_Bg!G18</f>
        <v/>
      </c>
      <c r="CS10">
        <f>Rotura_Bg!H18</f>
        <v/>
      </c>
      <c r="CT10">
        <f>Rotura_Bg!H18</f>
        <v/>
      </c>
      <c r="DC10">
        <f>Ensayos!M9</f>
        <v/>
      </c>
      <c r="DD10">
        <f>LN(DC10)</f>
        <v/>
      </c>
      <c r="DE10">
        <f>Ensayos!O9-MIN(tope,DEGREES(ATAN(TAN(RADIANS(pe0-omega*Ensayos!J9))*(Ensayos!M9/sref)^(m_-1))))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2.3</v>
      </c>
      <c r="EZ10">
        <f>AVERAGEIF(Ensayos!$D$2:$D$38,"Mezcla",DE3:DE39)</f>
        <v/>
      </c>
      <c r="FJ10">
        <f>Base_mundial!A296</f>
        <v/>
      </c>
      <c r="FK10">
        <f>Base_mundial!C296</f>
        <v/>
      </c>
      <c r="FL10">
        <f>Base_mundial!D296</f>
        <v/>
      </c>
      <c r="FM10" t="inlineStr">
        <is>
          <t>alto</t>
        </is>
      </c>
      <c r="FN10">
        <f>DEGREES(ATAN(FL10/FK10))</f>
        <v/>
      </c>
      <c r="FO10">
        <f>LN(FL10)-LN(sref^(1-0.85)*FK10^0.85)</f>
        <v/>
      </c>
      <c r="FP10">
        <f>LN(FL10)-LN(FK10)</f>
        <v/>
      </c>
      <c r="FQ10">
        <f>AVERAGEIFS(FO3:FO69,FJ3:FJ69,FJ10,FM3:FM69,"bajo")</f>
        <v/>
      </c>
      <c r="FR10">
        <f>AVERAGEIFS(FP3:FP69,FJ3:FJ69,FJ10,FM3:FM69,"bajo")</f>
        <v/>
      </c>
      <c r="FS10">
        <f>IF(FM10="alto",DEGREES(ATAN(EXP(FQ10)*sref^(1-0.85)*FK10^0.85/FK10)),NA())</f>
        <v/>
      </c>
      <c r="FT10">
        <f>IF(FM10="alto",DEGREES(ATAN(EXP(FR10)*sref^(1-1.0)*FK10^1.0/FK10)),NA())</f>
        <v/>
      </c>
      <c r="FU10">
        <f>IF(FM10="alto",FS10-FN10,NA())</f>
        <v/>
      </c>
      <c r="FV10">
        <f>IF(FM10="alto",FT10-FN10,NA())</f>
        <v/>
      </c>
      <c r="FX10" t="inlineStr">
        <is>
          <t>G2021|G21-DESM-COMP</t>
        </is>
      </c>
      <c r="FY10">
        <f>Ensayos!K9</f>
        <v/>
      </c>
      <c r="FZ10">
        <f>Ensayos!L9</f>
        <v/>
      </c>
      <c r="GA10" t="inlineStr">
        <is>
          <t>alto</t>
        </is>
      </c>
      <c r="GB10">
        <f>(SQRT(4*0.85*(0.85-1)*(FZ10-FY10)^2+(FZ10+FY10)^2)-(FZ10+FY10))/(2*(0.85-1)*(FZ10-FY10))</f>
        <v/>
      </c>
      <c r="GC10">
        <f>(FZ10+FY10)/2-(FZ10-FY10)/2*GB10</f>
        <v/>
      </c>
      <c r="GD10">
        <f>(FZ10-FY10)/2*SQRT(1-GB10^2)</f>
        <v/>
      </c>
      <c r="GE10">
        <f>DEGREES(ATAN(GD10/GC10))</f>
        <v/>
      </c>
      <c r="GF10">
        <f>LN(GD10)-LN(sref^(1-0.85)*GC10^0.85)</f>
        <v/>
      </c>
      <c r="GG10">
        <f>AVERAGEIFS(GF3:GF22,FX3:FX22,FX10,GA3:GA22,"bajo")</f>
        <v/>
      </c>
      <c r="GH10">
        <f>IF(GA10="alto",DEGREES(ATAN(EXP(GG10)*sref^(1-0.85)*GC10^0.85/GC10)),NA())</f>
        <v/>
      </c>
      <c r="GI10">
        <f>IF(GA10="alto",GH10-GE10,NA())</f>
        <v/>
      </c>
      <c r="GJ10">
        <f>(FZ10-FY10)/(FZ10+FY10)</f>
        <v/>
      </c>
      <c r="GK10">
        <f>(FZ10+FY10)/2-(FZ10-FY10)/2*GJ10</f>
        <v/>
      </c>
      <c r="GL10">
        <f>(FZ10-FY10)/2*SQRT(1-GJ10^2)</f>
        <v/>
      </c>
      <c r="GM10">
        <f>DEGREES(ATAN(GL10/GK10))</f>
        <v/>
      </c>
      <c r="GN10">
        <f>LN(GL10)-LN(sref^(1-1.0)*GK10^1.0)</f>
        <v/>
      </c>
      <c r="GO10">
        <f>AVERAGEIFS(GN3:GN22,FX3:FX22,FX10,GA3:GA22,"bajo")</f>
        <v/>
      </c>
      <c r="GP10">
        <f>IF(GA10="alto",DEGREES(ATAN(EXP(GO10)*sref^(1-1.0)*GK10^1.0/GK10)),NA())</f>
        <v/>
      </c>
      <c r="GQ10">
        <f>IF(GA10="alto",GP10-GM10,NA())</f>
        <v/>
      </c>
      <c r="HG10" t="n">
        <v>0.2361491449912082</v>
      </c>
      <c r="HH10">
        <f>DEGREES(ATAN(EXP($FQ$24)*sref^(1-0.85)*HG10^0.85/HG10))</f>
        <v/>
      </c>
      <c r="HI10">
        <f>DEGREES(ATAN(EXP($FR$24)*sref^(1-1.0)*HG10^1.0/HG10))</f>
        <v/>
      </c>
      <c r="HK10" t="n">
        <v>5.145470794655262</v>
      </c>
      <c r="HL10" t="n">
        <v>56</v>
      </c>
      <c r="HZ10" t="n">
        <v>0.85</v>
      </c>
      <c r="IA10" t="n">
        <v>0.02358024345332574</v>
      </c>
      <c r="IB10" t="n">
        <v>-5.184250232887812</v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>
        <f>Rotura_Bg!G20</f>
        <v/>
      </c>
      <c r="CS11">
        <f>Rotura_Bg!H20</f>
        <v/>
      </c>
      <c r="CT11">
        <f>Rotura_Bg!H20</f>
        <v/>
      </c>
      <c r="DC11">
        <f>Ensayos!M10</f>
        <v/>
      </c>
      <c r="DD11">
        <f>LN(DC11)</f>
        <v/>
      </c>
      <c r="DE11">
        <f>Ensayos!O10-MIN(tope,DEGREES(ATAN(TAN(RADIANS(pe0-omega*Ensayos!J10))*(Ensayos!M10/sref)^(m_-1))))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FJ11">
        <f>Base_mundial!A297</f>
        <v/>
      </c>
      <c r="FK11">
        <f>Base_mundial!C297</f>
        <v/>
      </c>
      <c r="FL11">
        <f>Base_mundial!D297</f>
        <v/>
      </c>
      <c r="FM11" t="inlineStr">
        <is>
          <t>alto</t>
        </is>
      </c>
      <c r="FN11">
        <f>DEGREES(ATAN(FL11/FK11))</f>
        <v/>
      </c>
      <c r="FO11">
        <f>LN(FL11)-LN(sref^(1-0.85)*FK11^0.85)</f>
        <v/>
      </c>
      <c r="FP11">
        <f>LN(FL11)-LN(FK11)</f>
        <v/>
      </c>
      <c r="FQ11">
        <f>AVERAGEIFS(FO3:FO69,FJ3:FJ69,FJ11,FM3:FM69,"bajo")</f>
        <v/>
      </c>
      <c r="FR11">
        <f>AVERAGEIFS(FP3:FP69,FJ3:FJ69,FJ11,FM3:FM69,"bajo")</f>
        <v/>
      </c>
      <c r="FS11">
        <f>IF(FM11="alto",DEGREES(ATAN(EXP(FQ11)*sref^(1-0.85)*FK11^0.85/FK11)),NA())</f>
        <v/>
      </c>
      <c r="FT11">
        <f>IF(FM11="alto",DEGREES(ATAN(EXP(FR11)*sref^(1-1.0)*FK11^1.0/FK11)),NA())</f>
        <v/>
      </c>
      <c r="FU11">
        <f>IF(FM11="alto",FS11-FN11,NA())</f>
        <v/>
      </c>
      <c r="FV11">
        <f>IF(FM11="alto",FT11-FN11,NA())</f>
        <v/>
      </c>
      <c r="FX11" t="inlineStr">
        <is>
          <t>W2022|HF-1.0m-IDIEM-mono</t>
        </is>
      </c>
      <c r="FY11">
        <f>Ensayos!K10</f>
        <v/>
      </c>
      <c r="FZ11">
        <f>Ensayos!L10</f>
        <v/>
      </c>
      <c r="GA11" t="inlineStr">
        <is>
          <t>bajo</t>
        </is>
      </c>
      <c r="GB11">
        <f>(SQRT(4*0.85*(0.85-1)*(FZ11-FY11)^2+(FZ11+FY11)^2)-(FZ11+FY11))/(2*(0.85-1)*(FZ11-FY11))</f>
        <v/>
      </c>
      <c r="GC11">
        <f>(FZ11+FY11)/2-(FZ11-FY11)/2*GB11</f>
        <v/>
      </c>
      <c r="GD11">
        <f>(FZ11-FY11)/2*SQRT(1-GB11^2)</f>
        <v/>
      </c>
      <c r="GE11">
        <f>DEGREES(ATAN(GD11/GC11))</f>
        <v/>
      </c>
      <c r="GF11">
        <f>LN(GD11)-LN(sref^(1-0.85)*GC11^0.85)</f>
        <v/>
      </c>
      <c r="GG11">
        <f>AVERAGEIFS(GF3:GF22,FX3:FX22,FX11,GA3:GA22,"bajo")</f>
        <v/>
      </c>
      <c r="GH11">
        <f>IF(GA11="alto",DEGREES(ATAN(EXP(GG11)*sref^(1-0.85)*GC11^0.85/GC11)),NA())</f>
        <v/>
      </c>
      <c r="GI11">
        <f>IF(GA11="alto",GH11-GE11,NA())</f>
        <v/>
      </c>
      <c r="GJ11">
        <f>(FZ11-FY11)/(FZ11+FY11)</f>
        <v/>
      </c>
      <c r="GK11">
        <f>(FZ11+FY11)/2-(FZ11-FY11)/2*GJ11</f>
        <v/>
      </c>
      <c r="GL11">
        <f>(FZ11-FY11)/2*SQRT(1-GJ11^2)</f>
        <v/>
      </c>
      <c r="GM11">
        <f>DEGREES(ATAN(GL11/GK11))</f>
        <v/>
      </c>
      <c r="GN11">
        <f>LN(GL11)-LN(sref^(1-1.0)*GK11^1.0)</f>
        <v/>
      </c>
      <c r="GO11">
        <f>AVERAGEIFS(GN3:GN22,FX3:FX22,FX11,GA3:GA22,"bajo")</f>
        <v/>
      </c>
      <c r="GP11">
        <f>IF(GA11="alto",DEGREES(ATAN(EXP(GO11)*sref^(1-1.0)*GK11^1.0/GK11)),NA())</f>
        <v/>
      </c>
      <c r="GQ11">
        <f>IF(GA11="alto",GP11-GM11,NA())</f>
        <v/>
      </c>
      <c r="HG11" t="n">
        <v>0.2669922880435477</v>
      </c>
      <c r="HH11">
        <f>DEGREES(ATAN(EXP($FQ$24)*sref^(1-0.85)*HG11^0.85/HG11))</f>
        <v/>
      </c>
      <c r="HI11">
        <f>DEGREES(ATAN(EXP($FR$24)*sref^(1-1.0)*HG11^1.0/HG11))</f>
        <v/>
      </c>
      <c r="HZ11" t="n">
        <v>0.86</v>
      </c>
      <c r="IA11" t="n">
        <v>0.5072663666212665</v>
      </c>
      <c r="IB11" t="n">
        <v>-4.903347766692422</v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>
        <f>Rotura_Bg!G22</f>
        <v/>
      </c>
      <c r="CS12">
        <f>Rotura_Bg!H22</f>
        <v/>
      </c>
      <c r="CT12">
        <f>Rotura_Bg!H22</f>
        <v/>
      </c>
      <c r="DC12">
        <f>Ensayos!M11</f>
        <v/>
      </c>
      <c r="DD12">
        <f>LN(DC12)</f>
        <v/>
      </c>
      <c r="DE12">
        <f>Ensayos!O11-MIN(tope,DEGREES(ATAN(TAN(RADIANS(pe0-omega*Ensayos!J11))*(Ensayos!M11/sref)^(m_-1))))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2.7</v>
      </c>
      <c r="EZ12">
        <f>AVERAGEIF(Ensayos!$D$2:$D$38,"Hornfels",DE3:DE39)</f>
        <v/>
      </c>
      <c r="FJ12">
        <f>Base_mundial!A298</f>
        <v/>
      </c>
      <c r="FK12">
        <f>Base_mundial!C298</f>
        <v/>
      </c>
      <c r="FL12">
        <f>Base_mundial!D298</f>
        <v/>
      </c>
      <c r="FM12" t="inlineStr">
        <is>
          <t>bajo</t>
        </is>
      </c>
      <c r="FN12">
        <f>DEGREES(ATAN(FL12/FK12))</f>
        <v/>
      </c>
      <c r="FO12">
        <f>LN(FL12)-LN(sref^(1-0.85)*FK12^0.85)</f>
        <v/>
      </c>
      <c r="FP12">
        <f>LN(FL12)-LN(FK12)</f>
        <v/>
      </c>
      <c r="FQ12">
        <f>AVERAGEIFS(FO3:FO69,FJ3:FJ69,FJ12,FM3:FM69,"bajo")</f>
        <v/>
      </c>
      <c r="FR12">
        <f>AVERAGEIFS(FP3:FP69,FJ3:FJ69,FJ12,FM3:FM69,"bajo")</f>
        <v/>
      </c>
      <c r="FS12">
        <f>IF(FM12="alto",DEGREES(ATAN(EXP(FQ12)*sref^(1-0.85)*FK12^0.85/FK12)),NA())</f>
        <v/>
      </c>
      <c r="FT12">
        <f>IF(FM12="alto",DEGREES(ATAN(EXP(FR12)*sref^(1-1.0)*FK12^1.0/FK12)),NA())</f>
        <v/>
      </c>
      <c r="FU12">
        <f>IF(FM12="alto",FS12-FN12,NA())</f>
        <v/>
      </c>
      <c r="FV12">
        <f>IF(FM12="alto",FT12-FN12,NA())</f>
        <v/>
      </c>
      <c r="FX12" t="inlineStr">
        <is>
          <t>W2022|HF-1.0m-IDIEM-mono</t>
        </is>
      </c>
      <c r="FY12">
        <f>Ensayos!K11</f>
        <v/>
      </c>
      <c r="FZ12">
        <f>Ensayos!L11</f>
        <v/>
      </c>
      <c r="GA12" t="inlineStr">
        <is>
          <t>bajo</t>
        </is>
      </c>
      <c r="GB12">
        <f>(SQRT(4*0.85*(0.85-1)*(FZ12-FY12)^2+(FZ12+FY12)^2)-(FZ12+FY12))/(2*(0.85-1)*(FZ12-FY12))</f>
        <v/>
      </c>
      <c r="GC12">
        <f>(FZ12+FY12)/2-(FZ12-FY12)/2*GB12</f>
        <v/>
      </c>
      <c r="GD12">
        <f>(FZ12-FY12)/2*SQRT(1-GB12^2)</f>
        <v/>
      </c>
      <c r="GE12">
        <f>DEGREES(ATAN(GD12/GC12))</f>
        <v/>
      </c>
      <c r="GF12">
        <f>LN(GD12)-LN(sref^(1-0.85)*GC12^0.85)</f>
        <v/>
      </c>
      <c r="GG12">
        <f>AVERAGEIFS(GF3:GF22,FX3:FX22,FX12,GA3:GA22,"bajo")</f>
        <v/>
      </c>
      <c r="GH12">
        <f>IF(GA12="alto",DEGREES(ATAN(EXP(GG12)*sref^(1-0.85)*GC12^0.85/GC12)),NA())</f>
        <v/>
      </c>
      <c r="GI12">
        <f>IF(GA12="alto",GH12-GE12,NA())</f>
        <v/>
      </c>
      <c r="GJ12">
        <f>(FZ12-FY12)/(FZ12+FY12)</f>
        <v/>
      </c>
      <c r="GK12">
        <f>(FZ12+FY12)/2-(FZ12-FY12)/2*GJ12</f>
        <v/>
      </c>
      <c r="GL12">
        <f>(FZ12-FY12)/2*SQRT(1-GJ12^2)</f>
        <v/>
      </c>
      <c r="GM12">
        <f>DEGREES(ATAN(GL12/GK12))</f>
        <v/>
      </c>
      <c r="GN12">
        <f>LN(GL12)-LN(sref^(1-1.0)*GK12^1.0)</f>
        <v/>
      </c>
      <c r="GO12">
        <f>AVERAGEIFS(GN3:GN22,FX3:FX22,FX12,GA3:GA22,"bajo")</f>
        <v/>
      </c>
      <c r="GP12">
        <f>IF(GA12="alto",DEGREES(ATAN(EXP(GO12)*sref^(1-1.0)*GK12^1.0/GK12)),NA())</f>
        <v/>
      </c>
      <c r="GQ12">
        <f>IF(GA12="alto",GP12-GM12,NA())</f>
        <v/>
      </c>
      <c r="HG12" t="n">
        <v>0.3018638152485483</v>
      </c>
      <c r="HH12">
        <f>DEGREES(ATAN(EXP($FQ$24)*sref^(1-0.85)*HG12^0.85/HG12))</f>
        <v/>
      </c>
      <c r="HI12">
        <f>DEGREES(ATAN(EXP($FR$24)*sref^(1-1.0)*HG12^1.0/HG12))</f>
        <v/>
      </c>
      <c r="HK12" t="n">
        <v>5.444301810383154</v>
      </c>
      <c r="HL12" t="n">
        <v>34</v>
      </c>
      <c r="HZ12" t="n">
        <v>0.87</v>
      </c>
      <c r="IA12" t="n">
        <v>0.9926685627541862</v>
      </c>
      <c r="IB12" t="n">
        <v>-4.621062735584812</v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>
        <f>Rotura_Bg!G24</f>
        <v/>
      </c>
      <c r="CS13">
        <f>Rotura_Bg!H24</f>
        <v/>
      </c>
      <c r="CT13">
        <f>Rotura_Bg!H24</f>
        <v/>
      </c>
      <c r="DC13">
        <f>Ensayos!M12</f>
        <v/>
      </c>
      <c r="DD13">
        <f>LN(DC13)</f>
        <v/>
      </c>
      <c r="DE13">
        <f>Ensayos!O12-MIN(tope,DEGREES(ATAN(TAN(RADIANS(pe0-omega*Ensayos!J12))*(Ensayos!M12/sref)^(m_-1))))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3.3</v>
      </c>
      <c r="EZ13">
        <f>AVERAGEIF(Ensayos!$D$2:$D$38,"Hornfels",DE3:DE39)</f>
        <v/>
      </c>
      <c r="FJ13">
        <f>Base_mundial!A299</f>
        <v/>
      </c>
      <c r="FK13">
        <f>Base_mundial!C299</f>
        <v/>
      </c>
      <c r="FL13">
        <f>Base_mundial!D299</f>
        <v/>
      </c>
      <c r="FM13" t="inlineStr">
        <is>
          <t>bajo</t>
        </is>
      </c>
      <c r="FN13">
        <f>DEGREES(ATAN(FL13/FK13))</f>
        <v/>
      </c>
      <c r="FO13">
        <f>LN(FL13)-LN(sref^(1-0.85)*FK13^0.85)</f>
        <v/>
      </c>
      <c r="FP13">
        <f>LN(FL13)-LN(FK13)</f>
        <v/>
      </c>
      <c r="FQ13">
        <f>AVERAGEIFS(FO3:FO69,FJ3:FJ69,FJ13,FM3:FM69,"bajo")</f>
        <v/>
      </c>
      <c r="FR13">
        <f>AVERAGEIFS(FP3:FP69,FJ3:FJ69,FJ13,FM3:FM69,"bajo")</f>
        <v/>
      </c>
      <c r="FS13">
        <f>IF(FM13="alto",DEGREES(ATAN(EXP(FQ13)*sref^(1-0.85)*FK13^0.85/FK13)),NA())</f>
        <v/>
      </c>
      <c r="FT13">
        <f>IF(FM13="alto",DEGREES(ATAN(EXP(FR13)*sref^(1-1.0)*FK13^1.0/FK13)),NA())</f>
        <v/>
      </c>
      <c r="FU13">
        <f>IF(FM13="alto",FS13-FN13,NA())</f>
        <v/>
      </c>
      <c r="FV13">
        <f>IF(FM13="alto",FT13-FN13,NA())</f>
        <v/>
      </c>
      <c r="FX13" t="inlineStr">
        <is>
          <t>W2022|HF-1.0m-IDIEM-mono</t>
        </is>
      </c>
      <c r="FY13">
        <f>Ensayos!K12</f>
        <v/>
      </c>
      <c r="FZ13">
        <f>Ensayos!L12</f>
        <v/>
      </c>
      <c r="GA13" t="inlineStr">
        <is>
          <t>alto</t>
        </is>
      </c>
      <c r="GB13">
        <f>(SQRT(4*0.85*(0.85-1)*(FZ13-FY13)^2+(FZ13+FY13)^2)-(FZ13+FY13))/(2*(0.85-1)*(FZ13-FY13))</f>
        <v/>
      </c>
      <c r="GC13">
        <f>(FZ13+FY13)/2-(FZ13-FY13)/2*GB13</f>
        <v/>
      </c>
      <c r="GD13">
        <f>(FZ13-FY13)/2*SQRT(1-GB13^2)</f>
        <v/>
      </c>
      <c r="GE13">
        <f>DEGREES(ATAN(GD13/GC13))</f>
        <v/>
      </c>
      <c r="GF13">
        <f>LN(GD13)-LN(sref^(1-0.85)*GC13^0.85)</f>
        <v/>
      </c>
      <c r="GG13">
        <f>AVERAGEIFS(GF3:GF22,FX3:FX22,FX13,GA3:GA22,"bajo")</f>
        <v/>
      </c>
      <c r="GH13">
        <f>IF(GA13="alto",DEGREES(ATAN(EXP(GG13)*sref^(1-0.85)*GC13^0.85/GC13)),NA())</f>
        <v/>
      </c>
      <c r="GI13">
        <f>IF(GA13="alto",GH13-GE13,NA())</f>
        <v/>
      </c>
      <c r="GJ13">
        <f>(FZ13-FY13)/(FZ13+FY13)</f>
        <v/>
      </c>
      <c r="GK13">
        <f>(FZ13+FY13)/2-(FZ13-FY13)/2*GJ13</f>
        <v/>
      </c>
      <c r="GL13">
        <f>(FZ13-FY13)/2*SQRT(1-GJ13^2)</f>
        <v/>
      </c>
      <c r="GM13">
        <f>DEGREES(ATAN(GL13/GK13))</f>
        <v/>
      </c>
      <c r="GN13">
        <f>LN(GL13)-LN(sref^(1-1.0)*GK13^1.0)</f>
        <v/>
      </c>
      <c r="GO13">
        <f>AVERAGEIFS(GN3:GN22,FX3:FX22,FX13,GA3:GA22,"bajo")</f>
        <v/>
      </c>
      <c r="GP13">
        <f>IF(GA13="alto",DEGREES(ATAN(EXP(GO13)*sref^(1-1.0)*GK13^1.0/GK13)),NA())</f>
        <v/>
      </c>
      <c r="GQ13">
        <f>IF(GA13="alto",GP13-GM13,NA())</f>
        <v/>
      </c>
      <c r="HG13" t="n">
        <v>0.3412898687978109</v>
      </c>
      <c r="HH13">
        <f>DEGREES(ATAN(EXP($FQ$24)*sref^(1-0.85)*HG13^0.85/HG13))</f>
        <v/>
      </c>
      <c r="HI13">
        <f>DEGREES(ATAN(EXP($FR$24)*sref^(1-1.0)*HG13^1.0/HG13))</f>
        <v/>
      </c>
      <c r="HK13" t="n">
        <v>5.444301810383154</v>
      </c>
      <c r="HL13" t="n">
        <v>56</v>
      </c>
      <c r="HZ13" t="n">
        <v>0.88</v>
      </c>
      <c r="IA13" t="n">
        <v>1.479643747511575</v>
      </c>
      <c r="IB13" t="n">
        <v>-4.337447143232211</v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>
        <f>Rotura_Bg!G28</f>
        <v/>
      </c>
      <c r="CS14">
        <f>Rotura_Bg!H28</f>
        <v/>
      </c>
      <c r="CU14">
        <f>Rotura_Bg!H28</f>
        <v/>
      </c>
      <c r="DC14">
        <f>Ensayos!M13</f>
        <v/>
      </c>
      <c r="DD14">
        <f>LN(DC14)</f>
        <v/>
      </c>
      <c r="DE14">
        <f>Ensayos!O13-MIN(tope,DEGREES(ATAN(TAN(RADIANS(pe0-omega*Ensayos!J13))*(Ensayos!M13/sref)^(m_-1))))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FJ14">
        <f>Base_mundial!A300</f>
        <v/>
      </c>
      <c r="FK14">
        <f>Base_mundial!C300</f>
        <v/>
      </c>
      <c r="FL14">
        <f>Base_mundial!D300</f>
        <v/>
      </c>
      <c r="FM14" t="inlineStr">
        <is>
          <t>alto</t>
        </is>
      </c>
      <c r="FN14">
        <f>DEGREES(ATAN(FL14/FK14))</f>
        <v/>
      </c>
      <c r="FO14">
        <f>LN(FL14)-LN(sref^(1-0.85)*FK14^0.85)</f>
        <v/>
      </c>
      <c r="FP14">
        <f>LN(FL14)-LN(FK14)</f>
        <v/>
      </c>
      <c r="FQ14">
        <f>AVERAGEIFS(FO3:FO69,FJ3:FJ69,FJ14,FM3:FM69,"bajo")</f>
        <v/>
      </c>
      <c r="FR14">
        <f>AVERAGEIFS(FP3:FP69,FJ3:FJ69,FJ14,FM3:FM69,"bajo")</f>
        <v/>
      </c>
      <c r="FS14">
        <f>IF(FM14="alto",DEGREES(ATAN(EXP(FQ14)*sref^(1-0.85)*FK14^0.85/FK14)),NA())</f>
        <v/>
      </c>
      <c r="FT14">
        <f>IF(FM14="alto",DEGREES(ATAN(EXP(FR14)*sref^(1-1.0)*FK14^1.0/FK14)),NA())</f>
        <v/>
      </c>
      <c r="FU14">
        <f>IF(FM14="alto",FS14-FN14,NA())</f>
        <v/>
      </c>
      <c r="FV14">
        <f>IF(FM14="alto",FT14-FN14,NA())</f>
        <v/>
      </c>
      <c r="FX14" t="inlineStr">
        <is>
          <t>W2022|HF-1.0m-IDIEM-cd</t>
        </is>
      </c>
      <c r="FY14">
        <f>Ensayos!K13</f>
        <v/>
      </c>
      <c r="FZ14">
        <f>Ensayos!L13</f>
        <v/>
      </c>
      <c r="GA14" t="inlineStr">
        <is>
          <t>bajo</t>
        </is>
      </c>
      <c r="GB14">
        <f>(SQRT(4*0.85*(0.85-1)*(FZ14-FY14)^2+(FZ14+FY14)^2)-(FZ14+FY14))/(2*(0.85-1)*(FZ14-FY14))</f>
        <v/>
      </c>
      <c r="GC14">
        <f>(FZ14+FY14)/2-(FZ14-FY14)/2*GB14</f>
        <v/>
      </c>
      <c r="GD14">
        <f>(FZ14-FY14)/2*SQRT(1-GB14^2)</f>
        <v/>
      </c>
      <c r="GE14">
        <f>DEGREES(ATAN(GD14/GC14))</f>
        <v/>
      </c>
      <c r="GF14">
        <f>LN(GD14)-LN(sref^(1-0.85)*GC14^0.85)</f>
        <v/>
      </c>
      <c r="GG14">
        <f>AVERAGEIFS(GF3:GF22,FX3:FX22,FX14,GA3:GA22,"bajo")</f>
        <v/>
      </c>
      <c r="GH14">
        <f>IF(GA14="alto",DEGREES(ATAN(EXP(GG14)*sref^(1-0.85)*GC14^0.85/GC14)),NA())</f>
        <v/>
      </c>
      <c r="GI14">
        <f>IF(GA14="alto",GH14-GE14,NA())</f>
        <v/>
      </c>
      <c r="GJ14">
        <f>(FZ14-FY14)/(FZ14+FY14)</f>
        <v/>
      </c>
      <c r="GK14">
        <f>(FZ14+FY14)/2-(FZ14-FY14)/2*GJ14</f>
        <v/>
      </c>
      <c r="GL14">
        <f>(FZ14-FY14)/2*SQRT(1-GJ14^2)</f>
        <v/>
      </c>
      <c r="GM14">
        <f>DEGREES(ATAN(GL14/GK14))</f>
        <v/>
      </c>
      <c r="GN14">
        <f>LN(GL14)-LN(sref^(1-1.0)*GK14^1.0)</f>
        <v/>
      </c>
      <c r="GO14">
        <f>AVERAGEIFS(GN3:GN22,FX3:FX22,FX14,GA3:GA22,"bajo")</f>
        <v/>
      </c>
      <c r="GP14">
        <f>IF(GA14="alto",DEGREES(ATAN(EXP(GO14)*sref^(1-1.0)*GK14^1.0/GK14)),NA())</f>
        <v/>
      </c>
      <c r="GQ14">
        <f>IF(GA14="alto",GP14-GM14,NA())</f>
        <v/>
      </c>
      <c r="HG14" t="n">
        <v>0.385865309653364</v>
      </c>
      <c r="HH14">
        <f>DEGREES(ATAN(EXP($FQ$24)*sref^(1-0.85)*HG14^0.85/HG14))</f>
        <v/>
      </c>
      <c r="HI14">
        <f>DEGREES(ATAN(EXP($FR$24)*sref^(1-1.0)*HG14^1.0/HG14))</f>
        <v/>
      </c>
      <c r="HZ14" t="n">
        <v>0.89</v>
      </c>
      <c r="IA14" t="n">
        <v>1.968046212188799</v>
      </c>
      <c r="IB14" t="n">
        <v>-4.052552818874645</v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>
        <f>Rotura_Bg!G37</f>
        <v/>
      </c>
      <c r="CS15">
        <f>Rotura_Bg!H37</f>
        <v/>
      </c>
      <c r="CX15">
        <f>Rotura_Bg!H37</f>
        <v/>
      </c>
      <c r="DC15">
        <f>Ensayos!M14</f>
        <v/>
      </c>
      <c r="DD15">
        <f>LN(DC15)</f>
        <v/>
      </c>
      <c r="DE15">
        <f>Ensayos!O14-MIN(tope,DEGREES(ATAN(TAN(RADIANS(pe0-omega*Ensayos!J14))*(Ensayos!M14/sref)^(m_-1))))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FJ15">
        <f>Base_mundial!A301</f>
        <v/>
      </c>
      <c r="FK15">
        <f>Base_mundial!C301</f>
        <v/>
      </c>
      <c r="FL15">
        <f>Base_mundial!D301</f>
        <v/>
      </c>
      <c r="FM15" t="inlineStr">
        <is>
          <t>alto</t>
        </is>
      </c>
      <c r="FN15">
        <f>DEGREES(ATAN(FL15/FK15))</f>
        <v/>
      </c>
      <c r="FO15">
        <f>LN(FL15)-LN(sref^(1-0.85)*FK15^0.85)</f>
        <v/>
      </c>
      <c r="FP15">
        <f>LN(FL15)-LN(FK15)</f>
        <v/>
      </c>
      <c r="FQ15">
        <f>AVERAGEIFS(FO3:FO69,FJ3:FJ69,FJ15,FM3:FM69,"bajo")</f>
        <v/>
      </c>
      <c r="FR15">
        <f>AVERAGEIFS(FP3:FP69,FJ3:FJ69,FJ15,FM3:FM69,"bajo")</f>
        <v/>
      </c>
      <c r="FS15">
        <f>IF(FM15="alto",DEGREES(ATAN(EXP(FQ15)*sref^(1-0.85)*FK15^0.85/FK15)),NA())</f>
        <v/>
      </c>
      <c r="FT15">
        <f>IF(FM15="alto",DEGREES(ATAN(EXP(FR15)*sref^(1-1.0)*FK15^1.0/FK15)),NA())</f>
        <v/>
      </c>
      <c r="FU15">
        <f>IF(FM15="alto",FS15-FN15,NA())</f>
        <v/>
      </c>
      <c r="FV15">
        <f>IF(FM15="alto",FT15-FN15,NA())</f>
        <v/>
      </c>
      <c r="FX15" t="inlineStr">
        <is>
          <t>W2022|HF-1.0m-IDIEM-cd</t>
        </is>
      </c>
      <c r="FY15">
        <f>Ensayos!K14</f>
        <v/>
      </c>
      <c r="FZ15">
        <f>Ensayos!L14</f>
        <v/>
      </c>
      <c r="GA15" t="inlineStr">
        <is>
          <t>bajo</t>
        </is>
      </c>
      <c r="GB15">
        <f>(SQRT(4*0.85*(0.85-1)*(FZ15-FY15)^2+(FZ15+FY15)^2)-(FZ15+FY15))/(2*(0.85-1)*(FZ15-FY15))</f>
        <v/>
      </c>
      <c r="GC15">
        <f>(FZ15+FY15)/2-(FZ15-FY15)/2*GB15</f>
        <v/>
      </c>
      <c r="GD15">
        <f>(FZ15-FY15)/2*SQRT(1-GB15^2)</f>
        <v/>
      </c>
      <c r="GE15">
        <f>DEGREES(ATAN(GD15/GC15))</f>
        <v/>
      </c>
      <c r="GF15">
        <f>LN(GD15)-LN(sref^(1-0.85)*GC15^0.85)</f>
        <v/>
      </c>
      <c r="GG15">
        <f>AVERAGEIFS(GF3:GF22,FX3:FX22,FX15,GA3:GA22,"bajo")</f>
        <v/>
      </c>
      <c r="GH15">
        <f>IF(GA15="alto",DEGREES(ATAN(EXP(GG15)*sref^(1-0.85)*GC15^0.85/GC15)),NA())</f>
        <v/>
      </c>
      <c r="GI15">
        <f>IF(GA15="alto",GH15-GE15,NA())</f>
        <v/>
      </c>
      <c r="GJ15">
        <f>(FZ15-FY15)/(FZ15+FY15)</f>
        <v/>
      </c>
      <c r="GK15">
        <f>(FZ15+FY15)/2-(FZ15-FY15)/2*GJ15</f>
        <v/>
      </c>
      <c r="GL15">
        <f>(FZ15-FY15)/2*SQRT(1-GJ15^2)</f>
        <v/>
      </c>
      <c r="GM15">
        <f>DEGREES(ATAN(GL15/GK15))</f>
        <v/>
      </c>
      <c r="GN15">
        <f>LN(GL15)-LN(sref^(1-1.0)*GK15^1.0)</f>
        <v/>
      </c>
      <c r="GO15">
        <f>AVERAGEIFS(GN3:GN22,FX3:FX22,FX15,GA3:GA22,"bajo")</f>
        <v/>
      </c>
      <c r="GP15">
        <f>IF(GA15="alto",DEGREES(ATAN(EXP(GO15)*sref^(1-1.0)*GK15^1.0/GK15)),NA())</f>
        <v/>
      </c>
      <c r="GQ15">
        <f>IF(GA15="alto",GP15-GM15,NA())</f>
        <v/>
      </c>
      <c r="HG15" t="n">
        <v>0.4362626928199091</v>
      </c>
      <c r="HH15">
        <f>DEGREES(ATAN(EXP($FQ$24)*sref^(1-0.85)*HG15^0.85/HG15))</f>
        <v/>
      </c>
      <c r="HI15">
        <f>DEGREES(ATAN(EXP($FR$24)*sref^(1-1.0)*HG15^1.0/HG15))</f>
        <v/>
      </c>
      <c r="HK15" t="n">
        <v>5.760487890307255</v>
      </c>
      <c r="HL15" t="n">
        <v>34</v>
      </c>
      <c r="HZ15" t="n">
        <v>0.9</v>
      </c>
      <c r="IA15" t="n">
        <v>2.457727847373228</v>
      </c>
      <c r="IB15" t="n">
        <v>-3.766431401985111</v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>
        <f>Rotura_Bg!G43</f>
        <v/>
      </c>
      <c r="CS16">
        <f>Rotura_Bg!H43</f>
        <v/>
      </c>
      <c r="CV16">
        <f>Rotura_Bg!H43</f>
        <v/>
      </c>
      <c r="DC16">
        <f>Ensayos!M15</f>
        <v/>
      </c>
      <c r="DD16">
        <f>LN(DC16)</f>
        <v/>
      </c>
      <c r="DE16">
        <f>Ensayos!O15-MIN(tope,DEGREES(ATAN(TAN(RADIANS(pe0-omega*Ensayos!J15))*(Ensayos!M15/sref)^(m_-1))))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FJ16">
        <f>Base_mundial!A302</f>
        <v/>
      </c>
      <c r="FK16">
        <f>Base_mundial!C302</f>
        <v/>
      </c>
      <c r="FL16">
        <f>Base_mundial!D302</f>
        <v/>
      </c>
      <c r="FM16" t="inlineStr">
        <is>
          <t>bajo</t>
        </is>
      </c>
      <c r="FN16">
        <f>DEGREES(ATAN(FL16/FK16))</f>
        <v/>
      </c>
      <c r="FO16">
        <f>LN(FL16)-LN(sref^(1-0.85)*FK16^0.85)</f>
        <v/>
      </c>
      <c r="FP16">
        <f>LN(FL16)-LN(FK16)</f>
        <v/>
      </c>
      <c r="FQ16">
        <f>AVERAGEIFS(FO3:FO69,FJ3:FJ69,FJ16,FM3:FM69,"bajo")</f>
        <v/>
      </c>
      <c r="FR16">
        <f>AVERAGEIFS(FP3:FP69,FJ3:FJ69,FJ16,FM3:FM69,"bajo")</f>
        <v/>
      </c>
      <c r="FS16">
        <f>IF(FM16="alto",DEGREES(ATAN(EXP(FQ16)*sref^(1-0.85)*FK16^0.85/FK16)),NA())</f>
        <v/>
      </c>
      <c r="FT16">
        <f>IF(FM16="alto",DEGREES(ATAN(EXP(FR16)*sref^(1-1.0)*FK16^1.0/FK16)),NA())</f>
        <v/>
      </c>
      <c r="FU16">
        <f>IF(FM16="alto",FS16-FN16,NA())</f>
        <v/>
      </c>
      <c r="FV16">
        <f>IF(FM16="alto",FT16-FN16,NA())</f>
        <v/>
      </c>
      <c r="FX16" t="inlineStr">
        <is>
          <t>W2022|HF-1.0m-IDIEM-cd</t>
        </is>
      </c>
      <c r="FY16">
        <f>Ensayos!K15</f>
        <v/>
      </c>
      <c r="FZ16">
        <f>Ensayos!L15</f>
        <v/>
      </c>
      <c r="GA16" t="inlineStr">
        <is>
          <t>alto</t>
        </is>
      </c>
      <c r="GB16">
        <f>(SQRT(4*0.85*(0.85-1)*(FZ16-FY16)^2+(FZ16+FY16)^2)-(FZ16+FY16))/(2*(0.85-1)*(FZ16-FY16))</f>
        <v/>
      </c>
      <c r="GC16">
        <f>(FZ16+FY16)/2-(FZ16-FY16)/2*GB16</f>
        <v/>
      </c>
      <c r="GD16">
        <f>(FZ16-FY16)/2*SQRT(1-GB16^2)</f>
        <v/>
      </c>
      <c r="GE16">
        <f>DEGREES(ATAN(GD16/GC16))</f>
        <v/>
      </c>
      <c r="GF16">
        <f>LN(GD16)-LN(sref^(1-0.85)*GC16^0.85)</f>
        <v/>
      </c>
      <c r="GG16">
        <f>AVERAGEIFS(GF3:GF22,FX3:FX22,FX16,GA3:GA22,"bajo")</f>
        <v/>
      </c>
      <c r="GH16">
        <f>IF(GA16="alto",DEGREES(ATAN(EXP(GG16)*sref^(1-0.85)*GC16^0.85/GC16)),NA())</f>
        <v/>
      </c>
      <c r="GI16">
        <f>IF(GA16="alto",GH16-GE16,NA())</f>
        <v/>
      </c>
      <c r="GJ16">
        <f>(FZ16-FY16)/(FZ16+FY16)</f>
        <v/>
      </c>
      <c r="GK16">
        <f>(FZ16+FY16)/2-(FZ16-FY16)/2*GJ16</f>
        <v/>
      </c>
      <c r="GL16">
        <f>(FZ16-FY16)/2*SQRT(1-GJ16^2)</f>
        <v/>
      </c>
      <c r="GM16">
        <f>DEGREES(ATAN(GL16/GK16))</f>
        <v/>
      </c>
      <c r="GN16">
        <f>LN(GL16)-LN(sref^(1-1.0)*GK16^1.0)</f>
        <v/>
      </c>
      <c r="GO16">
        <f>AVERAGEIFS(GN3:GN22,FX3:FX22,FX16,GA3:GA22,"bajo")</f>
        <v/>
      </c>
      <c r="GP16">
        <f>IF(GA16="alto",DEGREES(ATAN(EXP(GO16)*sref^(1-1.0)*GK16^1.0/GK16)),NA())</f>
        <v/>
      </c>
      <c r="GQ16">
        <f>IF(GA16="alto",GP16-GM16,NA())</f>
        <v/>
      </c>
      <c r="HG16" t="n">
        <v>0.4932424148660941</v>
      </c>
      <c r="HH16">
        <f>DEGREES(ATAN(EXP($FQ$24)*sref^(1-0.85)*HG16^0.85/HG16))</f>
        <v/>
      </c>
      <c r="HI16">
        <f>DEGREES(ATAN(EXP($FR$24)*sref^(1-1.0)*HG16^1.0/HG16))</f>
        <v/>
      </c>
      <c r="HK16" t="n">
        <v>5.760487890307255</v>
      </c>
      <c r="HL16" t="n">
        <v>56</v>
      </c>
      <c r="HZ16" t="n">
        <v>0.91</v>
      </c>
      <c r="IA16" t="n">
        <v>2.94853837720575</v>
      </c>
      <c r="IB16" t="n">
        <v>-3.47913432792556</v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>
        <f>Rotura_Bg!G44</f>
        <v/>
      </c>
      <c r="CS17">
        <f>Rotura_Bg!H44</f>
        <v/>
      </c>
      <c r="CV17">
        <f>Rotura_Bg!H44</f>
        <v/>
      </c>
      <c r="DC17">
        <f>Ensayos!M16</f>
        <v/>
      </c>
      <c r="DD17">
        <f>LN(DC17)</f>
        <v/>
      </c>
      <c r="DE17">
        <f>Ensayos!O16-MIN(tope,DEGREES(ATAN(TAN(RADIANS(pe0-omega*Ensayos!J16))*(Ensayos!M16/sref)^(m_-1))))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FJ17">
        <f>Base_mundial!A303</f>
        <v/>
      </c>
      <c r="FK17">
        <f>Base_mundial!C303</f>
        <v/>
      </c>
      <c r="FL17">
        <f>Base_mundial!D303</f>
        <v/>
      </c>
      <c r="FM17" t="inlineStr">
        <is>
          <t>bajo</t>
        </is>
      </c>
      <c r="FN17">
        <f>DEGREES(ATAN(FL17/FK17))</f>
        <v/>
      </c>
      <c r="FO17">
        <f>LN(FL17)-LN(sref^(1-0.85)*FK17^0.85)</f>
        <v/>
      </c>
      <c r="FP17">
        <f>LN(FL17)-LN(FK17)</f>
        <v/>
      </c>
      <c r="FQ17">
        <f>AVERAGEIFS(FO3:FO69,FJ3:FJ69,FJ17,FM3:FM69,"bajo")</f>
        <v/>
      </c>
      <c r="FR17">
        <f>AVERAGEIFS(FP3:FP69,FJ3:FJ69,FJ17,FM3:FM69,"bajo")</f>
        <v/>
      </c>
      <c r="FS17">
        <f>IF(FM17="alto",DEGREES(ATAN(EXP(FQ17)*sref^(1-0.85)*FK17^0.85/FK17)),NA())</f>
        <v/>
      </c>
      <c r="FT17">
        <f>IF(FM17="alto",DEGREES(ATAN(EXP(FR17)*sref^(1-1.0)*FK17^1.0/FK17)),NA())</f>
        <v/>
      </c>
      <c r="FU17">
        <f>IF(FM17="alto",FS17-FN17,NA())</f>
        <v/>
      </c>
      <c r="FV17">
        <f>IF(FM17="alto",FT17-FN17,NA())</f>
        <v/>
      </c>
      <c r="FX17" t="inlineStr">
        <is>
          <t>W2024|WSP24_C4_MON</t>
        </is>
      </c>
      <c r="FY17">
        <f>Ensayos!K18</f>
        <v/>
      </c>
      <c r="FZ17">
        <f>Ensayos!L18</f>
        <v/>
      </c>
      <c r="GA17" t="inlineStr">
        <is>
          <t>bajo</t>
        </is>
      </c>
      <c r="GB17">
        <f>(SQRT(4*0.85*(0.85-1)*(FZ17-FY17)^2+(FZ17+FY17)^2)-(FZ17+FY17))/(2*(0.85-1)*(FZ17-FY17))</f>
        <v/>
      </c>
      <c r="GC17">
        <f>(FZ17+FY17)/2-(FZ17-FY17)/2*GB17</f>
        <v/>
      </c>
      <c r="GD17">
        <f>(FZ17-FY17)/2*SQRT(1-GB17^2)</f>
        <v/>
      </c>
      <c r="GE17">
        <f>DEGREES(ATAN(GD17/GC17))</f>
        <v/>
      </c>
      <c r="GF17">
        <f>LN(GD17)-LN(sref^(1-0.85)*GC17^0.85)</f>
        <v/>
      </c>
      <c r="GG17">
        <f>AVERAGEIFS(GF3:GF22,FX3:FX22,FX17,GA3:GA22,"bajo")</f>
        <v/>
      </c>
      <c r="GH17">
        <f>IF(GA17="alto",DEGREES(ATAN(EXP(GG17)*sref^(1-0.85)*GC17^0.85/GC17)),NA())</f>
        <v/>
      </c>
      <c r="GI17">
        <f>IF(GA17="alto",GH17-GE17,NA())</f>
        <v/>
      </c>
      <c r="GJ17">
        <f>(FZ17-FY17)/(FZ17+FY17)</f>
        <v/>
      </c>
      <c r="GK17">
        <f>(FZ17+FY17)/2-(FZ17-FY17)/2*GJ17</f>
        <v/>
      </c>
      <c r="GL17">
        <f>(FZ17-FY17)/2*SQRT(1-GJ17^2)</f>
        <v/>
      </c>
      <c r="GM17">
        <f>DEGREES(ATAN(GL17/GK17))</f>
        <v/>
      </c>
      <c r="GN17">
        <f>LN(GL17)-LN(sref^(1-1.0)*GK17^1.0)</f>
        <v/>
      </c>
      <c r="GO17">
        <f>AVERAGEIFS(GN3:GN22,FX3:FX22,FX17,GA3:GA22,"bajo")</f>
        <v/>
      </c>
      <c r="GP17">
        <f>IF(GA17="alto",DEGREES(ATAN(EXP(GO17)*sref^(1-1.0)*GK17^1.0/GK17)),NA())</f>
        <v/>
      </c>
      <c r="GQ17">
        <f>IF(GA17="alto",GP17-GM17,NA())</f>
        <v/>
      </c>
      <c r="HG17" t="n">
        <v>0.5576641868007869</v>
      </c>
      <c r="HH17">
        <f>DEGREES(ATAN(EXP($FQ$24)*sref^(1-0.85)*HG17^0.85/HG17))</f>
        <v/>
      </c>
      <c r="HI17">
        <f>DEGREES(ATAN(EXP($FR$24)*sref^(1-1.0)*HG17^1.0/HG17))</f>
        <v/>
      </c>
      <c r="HZ17" t="n">
        <v>0.92</v>
      </c>
      <c r="IA17" t="n">
        <v>3.440325603334824</v>
      </c>
      <c r="IB17" t="n">
        <v>-3.190712814398584</v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>
        <f>Rotura_Bg!G45</f>
        <v/>
      </c>
      <c r="CS18">
        <f>Rotura_Bg!H45</f>
        <v/>
      </c>
      <c r="CV18">
        <f>Rotura_Bg!H45</f>
        <v/>
      </c>
      <c r="DC18">
        <f>Ensayos!M17</f>
        <v/>
      </c>
      <c r="DD18">
        <f>LN(DC18)</f>
        <v/>
      </c>
      <c r="DE18">
        <f>Ensayos!O17-MIN(tope,DEGREES(ATAN(TAN(RADIANS(pe0-omega*Ensayos!J17))*(Ensayos!M17/sref)^(m_-1))))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FJ18">
        <f>Base_mundial!A304</f>
        <v/>
      </c>
      <c r="FK18">
        <f>Base_mundial!C304</f>
        <v/>
      </c>
      <c r="FL18">
        <f>Base_mundial!D304</f>
        <v/>
      </c>
      <c r="FM18" t="inlineStr">
        <is>
          <t>alto</t>
        </is>
      </c>
      <c r="FN18">
        <f>DEGREES(ATAN(FL18/FK18))</f>
        <v/>
      </c>
      <c r="FO18">
        <f>LN(FL18)-LN(sref^(1-0.85)*FK18^0.85)</f>
        <v/>
      </c>
      <c r="FP18">
        <f>LN(FL18)-LN(FK18)</f>
        <v/>
      </c>
      <c r="FQ18">
        <f>AVERAGEIFS(FO3:FO69,FJ3:FJ69,FJ18,FM3:FM69,"bajo")</f>
        <v/>
      </c>
      <c r="FR18">
        <f>AVERAGEIFS(FP3:FP69,FJ3:FJ69,FJ18,FM3:FM69,"bajo")</f>
        <v/>
      </c>
      <c r="FS18">
        <f>IF(FM18="alto",DEGREES(ATAN(EXP(FQ18)*sref^(1-0.85)*FK18^0.85/FK18)),NA())</f>
        <v/>
      </c>
      <c r="FT18">
        <f>IF(FM18="alto",DEGREES(ATAN(EXP(FR18)*sref^(1-1.0)*FK18^1.0/FK18)),NA())</f>
        <v/>
      </c>
      <c r="FU18">
        <f>IF(FM18="alto",FS18-FN18,NA())</f>
        <v/>
      </c>
      <c r="FV18">
        <f>IF(FM18="alto",FT18-FN18,NA())</f>
        <v/>
      </c>
      <c r="FX18" t="inlineStr">
        <is>
          <t>W2024|WSP24_C4_MON</t>
        </is>
      </c>
      <c r="FY18">
        <f>Ensayos!K19</f>
        <v/>
      </c>
      <c r="FZ18">
        <f>Ensayos!L19</f>
        <v/>
      </c>
      <c r="GA18" t="inlineStr">
        <is>
          <t>bajo</t>
        </is>
      </c>
      <c r="GB18">
        <f>(SQRT(4*0.85*(0.85-1)*(FZ18-FY18)^2+(FZ18+FY18)^2)-(FZ18+FY18))/(2*(0.85-1)*(FZ18-FY18))</f>
        <v/>
      </c>
      <c r="GC18">
        <f>(FZ18+FY18)/2-(FZ18-FY18)/2*GB18</f>
        <v/>
      </c>
      <c r="GD18">
        <f>(FZ18-FY18)/2*SQRT(1-GB18^2)</f>
        <v/>
      </c>
      <c r="GE18">
        <f>DEGREES(ATAN(GD18/GC18))</f>
        <v/>
      </c>
      <c r="GF18">
        <f>LN(GD18)-LN(sref^(1-0.85)*GC18^0.85)</f>
        <v/>
      </c>
      <c r="GG18">
        <f>AVERAGEIFS(GF3:GF22,FX3:FX22,FX18,GA3:GA22,"bajo")</f>
        <v/>
      </c>
      <c r="GH18">
        <f>IF(GA18="alto",DEGREES(ATAN(EXP(GG18)*sref^(1-0.85)*GC18^0.85/GC18)),NA())</f>
        <v/>
      </c>
      <c r="GI18">
        <f>IF(GA18="alto",GH18-GE18,NA())</f>
        <v/>
      </c>
      <c r="GJ18">
        <f>(FZ18-FY18)/(FZ18+FY18)</f>
        <v/>
      </c>
      <c r="GK18">
        <f>(FZ18+FY18)/2-(FZ18-FY18)/2*GJ18</f>
        <v/>
      </c>
      <c r="GL18">
        <f>(FZ18-FY18)/2*SQRT(1-GJ18^2)</f>
        <v/>
      </c>
      <c r="GM18">
        <f>DEGREES(ATAN(GL18/GK18))</f>
        <v/>
      </c>
      <c r="GN18">
        <f>LN(GL18)-LN(sref^(1-1.0)*GK18^1.0)</f>
        <v/>
      </c>
      <c r="GO18">
        <f>AVERAGEIFS(GN3:GN22,FX3:FX22,FX18,GA3:GA22,"bajo")</f>
        <v/>
      </c>
      <c r="GP18">
        <f>IF(GA18="alto",DEGREES(ATAN(EXP(GO18)*sref^(1-1.0)*GK18^1.0/GK18)),NA())</f>
        <v/>
      </c>
      <c r="GQ18">
        <f>IF(GA18="alto",GP18-GM18,NA())</f>
        <v/>
      </c>
      <c r="HG18" t="n">
        <v>0.6305000054073017</v>
      </c>
      <c r="HH18">
        <f>DEGREES(ATAN(EXP($FQ$24)*sref^(1-0.85)*HG18^0.85/HG18))</f>
        <v/>
      </c>
      <c r="HI18">
        <f>DEGREES(ATAN(EXP($FR$24)*sref^(1-1.0)*HG18^1.0/HG18))</f>
        <v/>
      </c>
      <c r="HK18" t="n">
        <v>6.095036956086971</v>
      </c>
      <c r="HL18" t="n">
        <v>34</v>
      </c>
      <c r="HZ18" t="n">
        <v>0.93</v>
      </c>
      <c r="IA18" t="n">
        <v>3.93293565756478</v>
      </c>
      <c r="IB18" t="n">
        <v>-2.901217848509939</v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Ensayos!O18-MIN(tope,DEGREES(ATAN(TAN(RADIANS(pe0-omega*Ensayos!J18))*(Ensayos!M18/sref)^(m_-1))))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FJ19">
        <f>Base_mundial!A305</f>
        <v/>
      </c>
      <c r="FK19">
        <f>Base_mundial!C305</f>
        <v/>
      </c>
      <c r="FL19">
        <f>Base_mundial!D305</f>
        <v/>
      </c>
      <c r="FM19" t="inlineStr">
        <is>
          <t>alto</t>
        </is>
      </c>
      <c r="FN19">
        <f>DEGREES(ATAN(FL19/FK19))</f>
        <v/>
      </c>
      <c r="FO19">
        <f>LN(FL19)-LN(sref^(1-0.85)*FK19^0.85)</f>
        <v/>
      </c>
      <c r="FP19">
        <f>LN(FL19)-LN(FK19)</f>
        <v/>
      </c>
      <c r="FQ19">
        <f>AVERAGEIFS(FO3:FO69,FJ3:FJ69,FJ19,FM3:FM69,"bajo")</f>
        <v/>
      </c>
      <c r="FR19">
        <f>AVERAGEIFS(FP3:FP69,FJ3:FJ69,FJ19,FM3:FM69,"bajo")</f>
        <v/>
      </c>
      <c r="FS19">
        <f>IF(FM19="alto",DEGREES(ATAN(EXP(FQ19)*sref^(1-0.85)*FK19^0.85/FK19)),NA())</f>
        <v/>
      </c>
      <c r="FT19">
        <f>IF(FM19="alto",DEGREES(ATAN(EXP(FR19)*sref^(1-1.0)*FK19^1.0/FK19)),NA())</f>
        <v/>
      </c>
      <c r="FU19">
        <f>IF(FM19="alto",FS19-FN19,NA())</f>
        <v/>
      </c>
      <c r="FV19">
        <f>IF(FM19="alto",FT19-FN19,NA())</f>
        <v/>
      </c>
      <c r="FX19" t="inlineStr">
        <is>
          <t>W2024|WSP24_C4_MON</t>
        </is>
      </c>
      <c r="FY19">
        <f>Ensayos!K20</f>
        <v/>
      </c>
      <c r="FZ19">
        <f>Ensayos!L20</f>
        <v/>
      </c>
      <c r="GA19" t="inlineStr">
        <is>
          <t>alto</t>
        </is>
      </c>
      <c r="GB19">
        <f>(SQRT(4*0.85*(0.85-1)*(FZ19-FY19)^2+(FZ19+FY19)^2)-(FZ19+FY19))/(2*(0.85-1)*(FZ19-FY19))</f>
        <v/>
      </c>
      <c r="GC19">
        <f>(FZ19+FY19)/2-(FZ19-FY19)/2*GB19</f>
        <v/>
      </c>
      <c r="GD19">
        <f>(FZ19-FY19)/2*SQRT(1-GB19^2)</f>
        <v/>
      </c>
      <c r="GE19">
        <f>DEGREES(ATAN(GD19/GC19))</f>
        <v/>
      </c>
      <c r="GF19">
        <f>LN(GD19)-LN(sref^(1-0.85)*GC19^0.85)</f>
        <v/>
      </c>
      <c r="GG19">
        <f>AVERAGEIFS(GF3:GF22,FX3:FX22,FX19,GA3:GA22,"bajo")</f>
        <v/>
      </c>
      <c r="GH19">
        <f>IF(GA19="alto",DEGREES(ATAN(EXP(GG19)*sref^(1-0.85)*GC19^0.85/GC19)),NA())</f>
        <v/>
      </c>
      <c r="GI19">
        <f>IF(GA19="alto",GH19-GE19,NA())</f>
        <v/>
      </c>
      <c r="GJ19">
        <f>(FZ19-FY19)/(FZ19+FY19)</f>
        <v/>
      </c>
      <c r="GK19">
        <f>(FZ19+FY19)/2-(FZ19-FY19)/2*GJ19</f>
        <v/>
      </c>
      <c r="GL19">
        <f>(FZ19-FY19)/2*SQRT(1-GJ19^2)</f>
        <v/>
      </c>
      <c r="GM19">
        <f>DEGREES(ATAN(GL19/GK19))</f>
        <v/>
      </c>
      <c r="GN19">
        <f>LN(GL19)-LN(sref^(1-1.0)*GK19^1.0)</f>
        <v/>
      </c>
      <c r="GO19">
        <f>AVERAGEIFS(GN3:GN22,FX3:FX22,FX19,GA3:GA22,"bajo")</f>
        <v/>
      </c>
      <c r="GP19">
        <f>IF(GA19="alto",DEGREES(ATAN(EXP(GO19)*sref^(1-1.0)*GK19^1.0/GK19)),NA())</f>
        <v/>
      </c>
      <c r="GQ19">
        <f>IF(GA19="alto",GP19-GM19,NA())</f>
        <v/>
      </c>
      <c r="HG19" t="n">
        <v>0.7128488187472872</v>
      </c>
      <c r="HH19">
        <f>DEGREES(ATAN(EXP($FQ$24)*sref^(1-0.85)*HG19^0.85/HG19))</f>
        <v/>
      </c>
      <c r="HI19">
        <f>DEGREES(ATAN(EXP($FR$24)*sref^(1-1.0)*HG19^1.0/HG19))</f>
        <v/>
      </c>
      <c r="HK19" t="n">
        <v>6.095036956086971</v>
      </c>
      <c r="HL19" t="n">
        <v>56</v>
      </c>
      <c r="HZ19" t="n">
        <v>0.9399999999999999</v>
      </c>
      <c r="IA19" t="n">
        <v>4.426213262122117</v>
      </c>
      <c r="IB19" t="n">
        <v>-2.610700174272573</v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Ensayos!O19-MIN(tope,DEGREES(ATAN(TAN(RADIANS(pe0-omega*Ensayos!J19))*(Ensayos!M19/sref)^(m_-1))))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FJ20">
        <f>Base_mundial!A306</f>
        <v/>
      </c>
      <c r="FK20">
        <f>Base_mundial!C306</f>
        <v/>
      </c>
      <c r="FL20">
        <f>Base_mundial!D306</f>
        <v/>
      </c>
      <c r="FM20" t="inlineStr">
        <is>
          <t>bajo</t>
        </is>
      </c>
      <c r="FN20">
        <f>DEGREES(ATAN(FL20/FK20))</f>
        <v/>
      </c>
      <c r="FO20">
        <f>LN(FL20)-LN(sref^(1-0.85)*FK20^0.85)</f>
        <v/>
      </c>
      <c r="FP20">
        <f>LN(FL20)-LN(FK20)</f>
        <v/>
      </c>
      <c r="FQ20">
        <f>AVERAGEIFS(FO3:FO69,FJ3:FJ69,FJ20,FM3:FM69,"bajo")</f>
        <v/>
      </c>
      <c r="FR20">
        <f>AVERAGEIFS(FP3:FP69,FJ3:FJ69,FJ20,FM3:FM69,"bajo")</f>
        <v/>
      </c>
      <c r="FS20">
        <f>IF(FM20="alto",DEGREES(ATAN(EXP(FQ20)*sref^(1-0.85)*FK20^0.85/FK20)),NA())</f>
        <v/>
      </c>
      <c r="FT20">
        <f>IF(FM20="alto",DEGREES(ATAN(EXP(FR20)*sref^(1-1.0)*FK20^1.0/FK20)),NA())</f>
        <v/>
      </c>
      <c r="FU20">
        <f>IF(FM20="alto",FS20-FN20,NA())</f>
        <v/>
      </c>
      <c r="FV20">
        <f>IF(FM20="alto",FT20-FN20,NA())</f>
        <v/>
      </c>
      <c r="FX20" t="inlineStr">
        <is>
          <t>I2025|Codisposal 1 (100% Intrusivo)</t>
        </is>
      </c>
      <c r="FY20">
        <f>Ensayos!K21</f>
        <v/>
      </c>
      <c r="FZ20">
        <f>Ensayos!L21</f>
        <v/>
      </c>
      <c r="GA20" t="inlineStr">
        <is>
          <t>bajo</t>
        </is>
      </c>
      <c r="GB20">
        <f>(SQRT(4*0.85*(0.85-1)*(FZ20-FY20)^2+(FZ20+FY20)^2)-(FZ20+FY20))/(2*(0.85-1)*(FZ20-FY20))</f>
        <v/>
      </c>
      <c r="GC20">
        <f>(FZ20+FY20)/2-(FZ20-FY20)/2*GB20</f>
        <v/>
      </c>
      <c r="GD20">
        <f>(FZ20-FY20)/2*SQRT(1-GB20^2)</f>
        <v/>
      </c>
      <c r="GE20">
        <f>DEGREES(ATAN(GD20/GC20))</f>
        <v/>
      </c>
      <c r="GF20">
        <f>LN(GD20)-LN(sref^(1-0.85)*GC20^0.85)</f>
        <v/>
      </c>
      <c r="GG20">
        <f>AVERAGEIFS(GF3:GF22,FX3:FX22,FX20,GA3:GA22,"bajo")</f>
        <v/>
      </c>
      <c r="GH20">
        <f>IF(GA20="alto",DEGREES(ATAN(EXP(GG20)*sref^(1-0.85)*GC20^0.85/GC20)),NA())</f>
        <v/>
      </c>
      <c r="GI20">
        <f>IF(GA20="alto",GH20-GE20,NA())</f>
        <v/>
      </c>
      <c r="GJ20">
        <f>(FZ20-FY20)/(FZ20+FY20)</f>
        <v/>
      </c>
      <c r="GK20">
        <f>(FZ20+FY20)/2-(FZ20-FY20)/2*GJ20</f>
        <v/>
      </c>
      <c r="GL20">
        <f>(FZ20-FY20)/2*SQRT(1-GJ20^2)</f>
        <v/>
      </c>
      <c r="GM20">
        <f>DEGREES(ATAN(GL20/GK20))</f>
        <v/>
      </c>
      <c r="GN20">
        <f>LN(GL20)-LN(sref^(1-1.0)*GK20^1.0)</f>
        <v/>
      </c>
      <c r="GO20">
        <f>AVERAGEIFS(GN3:GN22,FX3:FX22,FX20,GA3:GA22,"bajo")</f>
        <v/>
      </c>
      <c r="GP20">
        <f>IF(GA20="alto",DEGREES(ATAN(EXP(GO20)*sref^(1-1.0)*GK20^1.0/GK20)),NA())</f>
        <v/>
      </c>
      <c r="GQ20">
        <f>IF(GA20="alto",GP20-GM20,NA())</f>
        <v/>
      </c>
      <c r="HG20" t="n">
        <v>0.8059531071076467</v>
      </c>
      <c r="HH20">
        <f>DEGREES(ATAN(EXP($FQ$24)*sref^(1-0.85)*HG20^0.85/HG20))</f>
        <v/>
      </c>
      <c r="HI20">
        <f>DEGREES(ATAN(EXP($FR$24)*sref^(1-1.0)*HG20^1.0/HG20))</f>
        <v/>
      </c>
      <c r="HZ20" t="n">
        <v>0.95</v>
      </c>
      <c r="IA20" t="n">
        <v>4.920001996394242</v>
      </c>
      <c r="IB20" t="n">
        <v>-2.319210280399365</v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Ensayos!O20-MIN(tope,DEGREES(ATAN(TAN(RADIANS(pe0-omega*Ensayos!J20))*(Ensayos!M20/sref)^(m_-1))))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FJ21">
        <f>Base_mundial!A307</f>
        <v/>
      </c>
      <c r="FK21">
        <f>Base_mundial!C307</f>
        <v/>
      </c>
      <c r="FL21">
        <f>Base_mundial!D307</f>
        <v/>
      </c>
      <c r="FM21" t="inlineStr">
        <is>
          <t>bajo</t>
        </is>
      </c>
      <c r="FN21">
        <f>DEGREES(ATAN(FL21/FK21))</f>
        <v/>
      </c>
      <c r="FO21">
        <f>LN(FL21)-LN(sref^(1-0.85)*FK21^0.85)</f>
        <v/>
      </c>
      <c r="FP21">
        <f>LN(FL21)-LN(FK21)</f>
        <v/>
      </c>
      <c r="FQ21">
        <f>AVERAGEIFS(FO3:FO69,FJ3:FJ69,FJ21,FM3:FM69,"bajo")</f>
        <v/>
      </c>
      <c r="FR21">
        <f>AVERAGEIFS(FP3:FP69,FJ3:FJ69,FJ21,FM3:FM69,"bajo")</f>
        <v/>
      </c>
      <c r="FS21">
        <f>IF(FM21="alto",DEGREES(ATAN(EXP(FQ21)*sref^(1-0.85)*FK21^0.85/FK21)),NA())</f>
        <v/>
      </c>
      <c r="FT21">
        <f>IF(FM21="alto",DEGREES(ATAN(EXP(FR21)*sref^(1-1.0)*FK21^1.0/FK21)),NA())</f>
        <v/>
      </c>
      <c r="FU21">
        <f>IF(FM21="alto",FS21-FN21,NA())</f>
        <v/>
      </c>
      <c r="FV21">
        <f>IF(FM21="alto",FT21-FN21,NA())</f>
        <v/>
      </c>
      <c r="FX21" t="inlineStr">
        <is>
          <t>I2025|Codisposal 1 (100% Intrusivo)</t>
        </is>
      </c>
      <c r="FY21">
        <f>Ensayos!K22</f>
        <v/>
      </c>
      <c r="FZ21">
        <f>Ensayos!L22</f>
        <v/>
      </c>
      <c r="GA21" t="inlineStr">
        <is>
          <t>bajo</t>
        </is>
      </c>
      <c r="GB21">
        <f>(SQRT(4*0.85*(0.85-1)*(FZ21-FY21)^2+(FZ21+FY21)^2)-(FZ21+FY21))/(2*(0.85-1)*(FZ21-FY21))</f>
        <v/>
      </c>
      <c r="GC21">
        <f>(FZ21+FY21)/2-(FZ21-FY21)/2*GB21</f>
        <v/>
      </c>
      <c r="GD21">
        <f>(FZ21-FY21)/2*SQRT(1-GB21^2)</f>
        <v/>
      </c>
      <c r="GE21">
        <f>DEGREES(ATAN(GD21/GC21))</f>
        <v/>
      </c>
      <c r="GF21">
        <f>LN(GD21)-LN(sref^(1-0.85)*GC21^0.85)</f>
        <v/>
      </c>
      <c r="GG21">
        <f>AVERAGEIFS(GF3:GF22,FX3:FX22,FX21,GA3:GA22,"bajo")</f>
        <v/>
      </c>
      <c r="GH21">
        <f>IF(GA21="alto",DEGREES(ATAN(EXP(GG21)*sref^(1-0.85)*GC21^0.85/GC21)),NA())</f>
        <v/>
      </c>
      <c r="GI21">
        <f>IF(GA21="alto",GH21-GE21,NA())</f>
        <v/>
      </c>
      <c r="GJ21">
        <f>(FZ21-FY21)/(FZ21+FY21)</f>
        <v/>
      </c>
      <c r="GK21">
        <f>(FZ21+FY21)/2-(FZ21-FY21)/2*GJ21</f>
        <v/>
      </c>
      <c r="GL21">
        <f>(FZ21-FY21)/2*SQRT(1-GJ21^2)</f>
        <v/>
      </c>
      <c r="GM21">
        <f>DEGREES(ATAN(GL21/GK21))</f>
        <v/>
      </c>
      <c r="GN21">
        <f>LN(GL21)-LN(sref^(1-1.0)*GK21^1.0)</f>
        <v/>
      </c>
      <c r="GO21">
        <f>AVERAGEIFS(GN3:GN22,FX3:FX22,FX21,GA3:GA22,"bajo")</f>
        <v/>
      </c>
      <c r="GP21">
        <f>IF(GA21="alto",DEGREES(ATAN(EXP(GO21)*sref^(1-1.0)*GK21^1.0/GK21)),NA())</f>
        <v/>
      </c>
      <c r="GQ21">
        <f>IF(GA21="alto",GP21-GM21,NA())</f>
        <v/>
      </c>
      <c r="HG21" t="n">
        <v>0.911217629564097</v>
      </c>
      <c r="HH21">
        <f>DEGREES(ATAN(EXP($FQ$24)*sref^(1-0.85)*HG21^0.85/HG21))</f>
        <v/>
      </c>
      <c r="HI21">
        <f>DEGREES(ATAN(EXP($FR$24)*sref^(1-1.0)*HG21^1.0/HG21))</f>
        <v/>
      </c>
      <c r="HK21" t="n">
        <v>6.449015465959853</v>
      </c>
      <c r="HL21" t="n">
        <v>34</v>
      </c>
      <c r="HZ21" t="n">
        <v>0.96</v>
      </c>
      <c r="IA21" t="n">
        <v>5.414144568935578</v>
      </c>
      <c r="IB21" t="n">
        <v>-2.026798388247979</v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Ensayos!O21-MIN(tope,DEGREES(ATAN(TAN(RADIANS(pe0-omega*Ensayos!J21))*(Ensayos!M21/sref)^(m_-1))))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FJ22">
        <f>Base_mundial!A308</f>
        <v/>
      </c>
      <c r="FK22">
        <f>Base_mundial!C308</f>
        <v/>
      </c>
      <c r="FL22">
        <f>Base_mundial!D308</f>
        <v/>
      </c>
      <c r="FM22" t="inlineStr">
        <is>
          <t>alto</t>
        </is>
      </c>
      <c r="FN22">
        <f>DEGREES(ATAN(FL22/FK22))</f>
        <v/>
      </c>
      <c r="FO22">
        <f>LN(FL22)-LN(sref^(1-0.85)*FK22^0.85)</f>
        <v/>
      </c>
      <c r="FP22">
        <f>LN(FL22)-LN(FK22)</f>
        <v/>
      </c>
      <c r="FQ22">
        <f>AVERAGEIFS(FO3:FO69,FJ3:FJ69,FJ22,FM3:FM69,"bajo")</f>
        <v/>
      </c>
      <c r="FR22">
        <f>AVERAGEIFS(FP3:FP69,FJ3:FJ69,FJ22,FM3:FM69,"bajo")</f>
        <v/>
      </c>
      <c r="FS22">
        <f>IF(FM22="alto",DEGREES(ATAN(EXP(FQ22)*sref^(1-0.85)*FK22^0.85/FK22)),NA())</f>
        <v/>
      </c>
      <c r="FT22">
        <f>IF(FM22="alto",DEGREES(ATAN(EXP(FR22)*sref^(1-1.0)*FK22^1.0/FK22)),NA())</f>
        <v/>
      </c>
      <c r="FU22">
        <f>IF(FM22="alto",FS22-FN22,NA())</f>
        <v/>
      </c>
      <c r="FV22">
        <f>IF(FM22="alto",FT22-FN22,NA())</f>
        <v/>
      </c>
      <c r="FX22" t="inlineStr">
        <is>
          <t>I2025|Codisposal 1 (100% Intrusivo)</t>
        </is>
      </c>
      <c r="FY22">
        <f>Ensayos!K23</f>
        <v/>
      </c>
      <c r="FZ22">
        <f>Ensayos!L23</f>
        <v/>
      </c>
      <c r="GA22" t="inlineStr">
        <is>
          <t>alto</t>
        </is>
      </c>
      <c r="GB22">
        <f>(SQRT(4*0.85*(0.85-1)*(FZ22-FY22)^2+(FZ22+FY22)^2)-(FZ22+FY22))/(2*(0.85-1)*(FZ22-FY22))</f>
        <v/>
      </c>
      <c r="GC22">
        <f>(FZ22+FY22)/2-(FZ22-FY22)/2*GB22</f>
        <v/>
      </c>
      <c r="GD22">
        <f>(FZ22-FY22)/2*SQRT(1-GB22^2)</f>
        <v/>
      </c>
      <c r="GE22">
        <f>DEGREES(ATAN(GD22/GC22))</f>
        <v/>
      </c>
      <c r="GF22">
        <f>LN(GD22)-LN(sref^(1-0.85)*GC22^0.85)</f>
        <v/>
      </c>
      <c r="GG22">
        <f>AVERAGEIFS(GF3:GF22,FX3:FX22,FX22,GA3:GA22,"bajo")</f>
        <v/>
      </c>
      <c r="GH22">
        <f>IF(GA22="alto",DEGREES(ATAN(EXP(GG22)*sref^(1-0.85)*GC22^0.85/GC22)),NA())</f>
        <v/>
      </c>
      <c r="GI22">
        <f>IF(GA22="alto",GH22-GE22,NA())</f>
        <v/>
      </c>
      <c r="GJ22">
        <f>(FZ22-FY22)/(FZ22+FY22)</f>
        <v/>
      </c>
      <c r="GK22">
        <f>(FZ22+FY22)/2-(FZ22-FY22)/2*GJ22</f>
        <v/>
      </c>
      <c r="GL22">
        <f>(FZ22-FY22)/2*SQRT(1-GJ22^2)</f>
        <v/>
      </c>
      <c r="GM22">
        <f>DEGREES(ATAN(GL22/GK22))</f>
        <v/>
      </c>
      <c r="GN22">
        <f>LN(GL22)-LN(sref^(1-1.0)*GK22^1.0)</f>
        <v/>
      </c>
      <c r="GO22">
        <f>AVERAGEIFS(GN3:GN22,FX3:FX22,FX22,GA3:GA22,"bajo")</f>
        <v/>
      </c>
      <c r="GP22">
        <f>IF(GA22="alto",DEGREES(ATAN(EXP(GO22)*sref^(1-1.0)*GK22^1.0/GK22)),NA())</f>
        <v/>
      </c>
      <c r="GQ22">
        <f>IF(GA22="alto",GP22-GM22,NA())</f>
        <v/>
      </c>
      <c r="HG22" t="n">
        <v>1.030230619009837</v>
      </c>
      <c r="HH22">
        <f>DEGREES(ATAN(EXP($FQ$24)*sref^(1-0.85)*HG22^0.85/HG22))</f>
        <v/>
      </c>
      <c r="HI22">
        <f>DEGREES(ATAN(EXP($FR$24)*sref^(1-1.0)*HG22^1.0/HG22))</f>
        <v/>
      </c>
      <c r="HK22" t="n">
        <v>6.449015465959853</v>
      </c>
      <c r="HL22" t="n">
        <v>56</v>
      </c>
      <c r="HZ22" t="n">
        <v>0.97</v>
      </c>
      <c r="IA22" t="n">
        <v>5.908483093487233</v>
      </c>
      <c r="IB22" t="n">
        <v>-1.733514439798033</v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Ensayos!O22-MIN(tope,DEGREES(ATAN(TAN(RADIANS(pe0-omega*Ensayos!J22))*(Ensayos!M22/sref)^(m_-1))))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FJ23">
        <f>Base_mundial!A309</f>
        <v/>
      </c>
      <c r="FK23">
        <f>Base_mundial!C309</f>
        <v/>
      </c>
      <c r="FL23">
        <f>Base_mundial!D309</f>
        <v/>
      </c>
      <c r="FM23" t="inlineStr">
        <is>
          <t>alto</t>
        </is>
      </c>
      <c r="FN23">
        <f>DEGREES(ATAN(FL23/FK23))</f>
        <v/>
      </c>
      <c r="FO23">
        <f>LN(FL23)-LN(sref^(1-0.85)*FK23^0.85)</f>
        <v/>
      </c>
      <c r="FP23">
        <f>LN(FL23)-LN(FK23)</f>
        <v/>
      </c>
      <c r="FQ23">
        <f>AVERAGEIFS(FO3:FO69,FJ3:FJ69,FJ23,FM3:FM69,"bajo")</f>
        <v/>
      </c>
      <c r="FR23">
        <f>AVERAGEIFS(FP3:FP69,FJ3:FJ69,FJ23,FM3:FM69,"bajo")</f>
        <v/>
      </c>
      <c r="FS23">
        <f>IF(FM23="alto",DEGREES(ATAN(EXP(FQ23)*sref^(1-0.85)*FK23^0.85/FK23)),NA())</f>
        <v/>
      </c>
      <c r="FT23">
        <f>IF(FM23="alto",DEGREES(ATAN(EXP(FR23)*sref^(1-1.0)*FK23^1.0/FK23)),NA())</f>
        <v/>
      </c>
      <c r="FU23">
        <f>IF(FM23="alto",FS23-FN23,NA())</f>
        <v/>
      </c>
      <c r="FV23">
        <f>IF(FM23="alto",FT23-FN23,NA())</f>
        <v/>
      </c>
      <c r="HG23" t="n">
        <v>1.164787745440269</v>
      </c>
      <c r="HH23">
        <f>DEGREES(ATAN(EXP($FQ$24)*sref^(1-0.85)*HG23^0.85/HG23))</f>
        <v/>
      </c>
      <c r="HI23">
        <f>DEGREES(ATAN(EXP($FR$24)*sref^(1-1.0)*HG23^1.0/HG23))</f>
        <v/>
      </c>
      <c r="HZ23" t="n">
        <v>0.98</v>
      </c>
      <c r="IA23" t="n">
        <v>6.402859367718884</v>
      </c>
      <c r="IB23" t="n">
        <v>-1.439408085556943</v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Ensayos!O23-MIN(tope,DEGREES(ATAN(TAN(RADIANS(pe0-omega*Ensayos!J23))*(Ensayos!M23/sref)^(m_-1))))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FJ24">
        <f>Base_mundial!A314</f>
        <v/>
      </c>
      <c r="FK24">
        <f>Base_mundial!C314</f>
        <v/>
      </c>
      <c r="FL24">
        <f>Base_mundial!D314</f>
        <v/>
      </c>
      <c r="FM24" t="inlineStr">
        <is>
          <t>bajo</t>
        </is>
      </c>
      <c r="FN24">
        <f>DEGREES(ATAN(FL24/FK24))</f>
        <v/>
      </c>
      <c r="FO24">
        <f>LN(FL24)-LN(sref^(1-0.85)*FK24^0.85)</f>
        <v/>
      </c>
      <c r="FP24">
        <f>LN(FL24)-LN(FK24)</f>
        <v/>
      </c>
      <c r="FQ24">
        <f>AVERAGEIFS(FO3:FO69,FJ3:FJ69,FJ24,FM3:FM69,"bajo")</f>
        <v/>
      </c>
      <c r="FR24">
        <f>AVERAGEIFS(FP3:FP69,FJ3:FJ69,FJ24,FM3:FM69,"bajo")</f>
        <v/>
      </c>
      <c r="FS24">
        <f>IF(FM24="alto",DEGREES(ATAN(EXP(FQ24)*sref^(1-0.85)*FK24^0.85/FK24)),NA())</f>
        <v/>
      </c>
      <c r="FT24">
        <f>IF(FM24="alto",DEGREES(ATAN(EXP(FR24)*sref^(1-1.0)*FK24^1.0/FK24)),NA())</f>
        <v/>
      </c>
      <c r="FU24">
        <f>IF(FM24="alto",FS24-FN24,NA())</f>
        <v/>
      </c>
      <c r="FV24">
        <f>IF(FM24="alto",FT24-FN24,NA())</f>
        <v/>
      </c>
      <c r="HG24" t="n">
        <v>1.316919209052232</v>
      </c>
      <c r="HH24">
        <f>DEGREES(ATAN(EXP($FQ$24)*sref^(1-0.85)*HG24^0.85/HG24))</f>
        <v/>
      </c>
      <c r="HI24">
        <f>DEGREES(ATAN(EXP($FR$24)*sref^(1-1.0)*HG24^1.0/HG24))</f>
        <v/>
      </c>
      <c r="HK24" t="n">
        <v>6.823551814342096</v>
      </c>
      <c r="HL24" t="n">
        <v>34</v>
      </c>
      <c r="HZ24" t="n">
        <v>0.99</v>
      </c>
      <c r="IA24" t="n">
        <v>6.897115153376305</v>
      </c>
      <c r="IB24" t="n">
        <v>-1.144528672307184</v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Ensayos!O24-MIN(tope,DEGREES(ATAN(TAN(RADIANS(pe0-omega*Ensayos!J24))*(Ensayos!M24/sref)^(m_-1))))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FJ25">
        <f>Base_mundial!A315</f>
        <v/>
      </c>
      <c r="FK25">
        <f>Base_mundial!C315</f>
        <v/>
      </c>
      <c r="FL25">
        <f>Base_mundial!D315</f>
        <v/>
      </c>
      <c r="FM25" t="inlineStr">
        <is>
          <t>bajo</t>
        </is>
      </c>
      <c r="FN25">
        <f>DEGREES(ATAN(FL25/FK25))</f>
        <v/>
      </c>
      <c r="FO25">
        <f>LN(FL25)-LN(sref^(1-0.85)*FK25^0.85)</f>
        <v/>
      </c>
      <c r="FP25">
        <f>LN(FL25)-LN(FK25)</f>
        <v/>
      </c>
      <c r="FQ25">
        <f>AVERAGEIFS(FO3:FO69,FJ3:FJ69,FJ25,FM3:FM69,"bajo")</f>
        <v/>
      </c>
      <c r="FR25">
        <f>AVERAGEIFS(FP3:FP69,FJ3:FJ69,FJ25,FM3:FM69,"bajo")</f>
        <v/>
      </c>
      <c r="FS25">
        <f>IF(FM25="alto",DEGREES(ATAN(EXP(FQ25)*sref^(1-0.85)*FK25^0.85/FK25)),NA())</f>
        <v/>
      </c>
      <c r="FT25">
        <f>IF(FM25="alto",DEGREES(ATAN(EXP(FR25)*sref^(1-1.0)*FK25^1.0/FK25)),NA())</f>
        <v/>
      </c>
      <c r="FU25">
        <f>IF(FM25="alto",FS25-FN25,NA())</f>
        <v/>
      </c>
      <c r="FV25">
        <f>IF(FM25="alto",FT25-FN25,NA())</f>
        <v/>
      </c>
      <c r="HG25" t="n">
        <v>1.488920371938865</v>
      </c>
      <c r="HH25">
        <f>DEGREES(ATAN(EXP($FQ$24)*sref^(1-0.85)*HG25^0.85/HG25))</f>
        <v/>
      </c>
      <c r="HI25">
        <f>DEGREES(ATAN(EXP($FR$24)*sref^(1-1.0)*HG25^1.0/HG25))</f>
        <v/>
      </c>
      <c r="HK25" t="n">
        <v>6.823551814342096</v>
      </c>
      <c r="HL25" t="n">
        <v>56</v>
      </c>
      <c r="HZ25" t="n">
        <v>1</v>
      </c>
      <c r="IA25" t="n">
        <v>7.391092456504922</v>
      </c>
      <c r="IB25" t="n">
        <v>-0.8489252306232454</v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Ensayos!O25-MIN(tope,DEGREES(ATAN(TAN(RADIANS(pe0-omega*Ensayos!J25))*(Ensayos!M25/sref)^(m_-1))))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  <c r="FJ26">
        <f>Base_mundial!A316</f>
        <v/>
      </c>
      <c r="FK26">
        <f>Base_mundial!C316</f>
        <v/>
      </c>
      <c r="FL26">
        <f>Base_mundial!D316</f>
        <v/>
      </c>
      <c r="FM26" t="inlineStr">
        <is>
          <t>alto</t>
        </is>
      </c>
      <c r="FN26">
        <f>DEGREES(ATAN(FL26/FK26))</f>
        <v/>
      </c>
      <c r="FO26">
        <f>LN(FL26)-LN(sref^(1-0.85)*FK26^0.85)</f>
        <v/>
      </c>
      <c r="FP26">
        <f>LN(FL26)-LN(FK26)</f>
        <v/>
      </c>
      <c r="FQ26">
        <f>AVERAGEIFS(FO3:FO69,FJ3:FJ69,FJ26,FM3:FM69,"bajo")</f>
        <v/>
      </c>
      <c r="FR26">
        <f>AVERAGEIFS(FP3:FP69,FJ3:FJ69,FJ26,FM3:FM69,"bajo")</f>
        <v/>
      </c>
      <c r="FS26">
        <f>IF(FM26="alto",DEGREES(ATAN(EXP(FQ26)*sref^(1-0.85)*FK26^0.85/FK26)),NA())</f>
        <v/>
      </c>
      <c r="FT26">
        <f>IF(FM26="alto",DEGREES(ATAN(EXP(FR26)*sref^(1-1.0)*FK26^1.0/FK26)),NA())</f>
        <v/>
      </c>
      <c r="FU26">
        <f>IF(FM26="alto",FS26-FN26,NA())</f>
        <v/>
      </c>
      <c r="FV26">
        <f>IF(FM26="alto",FT26-FN26,NA())</f>
        <v/>
      </c>
      <c r="HG26" t="n">
        <v>1.683386390551646</v>
      </c>
      <c r="HH26">
        <f>DEGREES(ATAN(EXP($FQ$24)*sref^(1-0.85)*HG26^0.85/HG26))</f>
        <v/>
      </c>
      <c r="HI26">
        <f>DEGREES(ATAN(EXP($FR$24)*sref^(1-1.0)*HG26^1.0/HG26))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Ensayos!O26-MIN(tope,DEGREES(ATAN(TAN(RADIANS(pe0-omega*Ensayos!J26))*(Ensayos!M26/sref)^(m_-1))))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  <c r="FJ27">
        <f>Base_mundial!A317</f>
        <v/>
      </c>
      <c r="FK27">
        <f>Base_mundial!C317</f>
        <v/>
      </c>
      <c r="FL27">
        <f>Base_mundial!D317</f>
        <v/>
      </c>
      <c r="FM27" t="inlineStr">
        <is>
          <t>alto</t>
        </is>
      </c>
      <c r="FN27">
        <f>DEGREES(ATAN(FL27/FK27))</f>
        <v/>
      </c>
      <c r="FO27">
        <f>LN(FL27)-LN(sref^(1-0.85)*FK27^0.85)</f>
        <v/>
      </c>
      <c r="FP27">
        <f>LN(FL27)-LN(FK27)</f>
        <v/>
      </c>
      <c r="FQ27">
        <f>AVERAGEIFS(FO3:FO69,FJ3:FJ69,FJ27,FM3:FM69,"bajo")</f>
        <v/>
      </c>
      <c r="FR27">
        <f>AVERAGEIFS(FP3:FP69,FJ3:FJ69,FJ27,FM3:FM69,"bajo")</f>
        <v/>
      </c>
      <c r="FS27">
        <f>IF(FM27="alto",DEGREES(ATAN(EXP(FQ27)*sref^(1-0.85)*FK27^0.85/FK27)),NA())</f>
        <v/>
      </c>
      <c r="FT27">
        <f>IF(FM27="alto",DEGREES(ATAN(EXP(FR27)*sref^(1-1.0)*FK27^1.0/FK27)),NA())</f>
        <v/>
      </c>
      <c r="FU27">
        <f>IF(FM27="alto",FS27-FN27,NA())</f>
        <v/>
      </c>
      <c r="FV27">
        <f>IF(FM27="alto",FT27-FN27,NA())</f>
        <v/>
      </c>
      <c r="HG27" t="n">
        <v>1.903251371464784</v>
      </c>
      <c r="HH27">
        <f>DEGREES(ATAN(EXP($FQ$24)*sref^(1-0.85)*HG27^0.85/HG27))</f>
        <v/>
      </c>
      <c r="HI27">
        <f>DEGREES(ATAN(EXP($FR$24)*sref^(1-1.0)*HG27^1.0/HG27))</f>
        <v/>
      </c>
      <c r="HK27" t="n">
        <v>7.219839928866001</v>
      </c>
      <c r="HL27" t="n">
        <v>34</v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Ensayos!O27-MIN(tope,DEGREES(ATAN(TAN(RADIANS(pe0-omega*Ensayos!J27))*(Ensayos!M27/sref)^(m_-1))))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  <c r="FJ28">
        <f>Base_mundial!A401</f>
        <v/>
      </c>
      <c r="FK28">
        <f>Base_mundial!C401</f>
        <v/>
      </c>
      <c r="FL28">
        <f>Base_mundial!D401</f>
        <v/>
      </c>
      <c r="FM28" t="inlineStr">
        <is>
          <t>bajo</t>
        </is>
      </c>
      <c r="FN28">
        <f>DEGREES(ATAN(FL28/FK28))</f>
        <v/>
      </c>
      <c r="FO28">
        <f>LN(FL28)-LN(sref^(1-0.85)*FK28^0.85)</f>
        <v/>
      </c>
      <c r="FP28">
        <f>LN(FL28)-LN(FK28)</f>
        <v/>
      </c>
      <c r="FQ28">
        <f>AVERAGEIFS(FO3:FO69,FJ3:FJ69,FJ28,FM3:FM69,"bajo")</f>
        <v/>
      </c>
      <c r="FR28">
        <f>AVERAGEIFS(FP3:FP69,FJ3:FJ69,FJ28,FM3:FM69,"bajo")</f>
        <v/>
      </c>
      <c r="FS28">
        <f>IF(FM28="alto",DEGREES(ATAN(EXP(FQ28)*sref^(1-0.85)*FK28^0.85/FK28)),NA())</f>
        <v/>
      </c>
      <c r="FT28">
        <f>IF(FM28="alto",DEGREES(ATAN(EXP(FR28)*sref^(1-1.0)*FK28^1.0/FK28)),NA())</f>
        <v/>
      </c>
      <c r="FU28">
        <f>IF(FM28="alto",FS28-FN28,NA())</f>
        <v/>
      </c>
      <c r="FV28">
        <f>IF(FM28="alto",FT28-FN28,NA())</f>
        <v/>
      </c>
      <c r="HG28" t="n">
        <v>2.15183264122477</v>
      </c>
      <c r="HH28">
        <f>DEGREES(ATAN(EXP($FQ$24)*sref^(1-0.85)*HG28^0.85/HG28))</f>
        <v/>
      </c>
      <c r="HI28">
        <f>DEGREES(ATAN(EXP($FR$24)*sref^(1-1.0)*HG28^1.0/HG28))</f>
        <v/>
      </c>
      <c r="HK28" t="n">
        <v>7.219839928866001</v>
      </c>
      <c r="HL28" t="n">
        <v>56</v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Ensayos!O28-MIN(tope,DEGREES(ATAN(TAN(RADIANS(pe0-omega*Ensayos!J28))*(Ensayos!M28/sref)^(m_-1))))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  <c r="FJ29">
        <f>Base_mundial!A402</f>
        <v/>
      </c>
      <c r="FK29">
        <f>Base_mundial!C402</f>
        <v/>
      </c>
      <c r="FL29">
        <f>Base_mundial!D402</f>
        <v/>
      </c>
      <c r="FM29" t="inlineStr">
        <is>
          <t>bajo</t>
        </is>
      </c>
      <c r="FN29">
        <f>DEGREES(ATAN(FL29/FK29))</f>
        <v/>
      </c>
      <c r="FO29">
        <f>LN(FL29)-LN(sref^(1-0.85)*FK29^0.85)</f>
        <v/>
      </c>
      <c r="FP29">
        <f>LN(FL29)-LN(FK29)</f>
        <v/>
      </c>
      <c r="FQ29">
        <f>AVERAGEIFS(FO3:FO69,FJ3:FJ69,FJ29,FM3:FM69,"bajo")</f>
        <v/>
      </c>
      <c r="FR29">
        <f>AVERAGEIFS(FP3:FP69,FJ3:FJ69,FJ29,FM3:FM69,"bajo")</f>
        <v/>
      </c>
      <c r="FS29">
        <f>IF(FM29="alto",DEGREES(ATAN(EXP(FQ29)*sref^(1-0.85)*FK29^0.85/FK29)),NA())</f>
        <v/>
      </c>
      <c r="FT29">
        <f>IF(FM29="alto",DEGREES(ATAN(EXP(FR29)*sref^(1-1.0)*FK29^1.0/FK29)),NA())</f>
        <v/>
      </c>
      <c r="FU29">
        <f>IF(FM29="alto",FS29-FN29,NA())</f>
        <v/>
      </c>
      <c r="FV29">
        <f>IF(FM29="alto",FT29-FN29,NA())</f>
        <v/>
      </c>
      <c r="HG29" t="n">
        <v>2.432880798229361</v>
      </c>
      <c r="HH29">
        <f>DEGREES(ATAN(EXP($FQ$24)*sref^(1-0.85)*HG29^0.85/HG29))</f>
        <v/>
      </c>
      <c r="HI29">
        <f>DEGREES(ATAN(EXP($FR$24)*sref^(1-1.0)*HG29^1.0/HG29))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Ensayos!O29-MIN(tope,DEGREES(ATAN(TAN(RADIANS(pe0-omega*Ensayos!J29))*(Ensayos!M29/sref)^(m_-1))))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  <c r="FJ30">
        <f>Base_mundial!A404</f>
        <v/>
      </c>
      <c r="FK30">
        <f>Base_mundial!C404</f>
        <v/>
      </c>
      <c r="FL30">
        <f>Base_mundial!D404</f>
        <v/>
      </c>
      <c r="FM30" t="inlineStr">
        <is>
          <t>alto</t>
        </is>
      </c>
      <c r="FN30">
        <f>DEGREES(ATAN(FL30/FK30))</f>
        <v/>
      </c>
      <c r="FO30">
        <f>LN(FL30)-LN(sref^(1-0.85)*FK30^0.85)</f>
        <v/>
      </c>
      <c r="FP30">
        <f>LN(FL30)-LN(FK30)</f>
        <v/>
      </c>
      <c r="FQ30">
        <f>AVERAGEIFS(FO3:FO69,FJ3:FJ69,FJ30,FM3:FM69,"bajo")</f>
        <v/>
      </c>
      <c r="FR30">
        <f>AVERAGEIFS(FP3:FP69,FJ3:FJ69,FJ30,FM3:FM69,"bajo")</f>
        <v/>
      </c>
      <c r="FS30">
        <f>IF(FM30="alto",DEGREES(ATAN(EXP(FQ30)*sref^(1-0.85)*FK30^0.85/FK30)),NA())</f>
        <v/>
      </c>
      <c r="FT30">
        <f>IF(FM30="alto",DEGREES(ATAN(EXP(FR30)*sref^(1-1.0)*FK30^1.0/FK30)),NA())</f>
        <v/>
      </c>
      <c r="FU30">
        <f>IF(FM30="alto",FS30-FN30,NA())</f>
        <v/>
      </c>
      <c r="FV30">
        <f>IF(FM30="alto",FT30-FN30,NA())</f>
        <v/>
      </c>
      <c r="HG30" t="n">
        <v>2.750636301819567</v>
      </c>
      <c r="HH30">
        <f>DEGREES(ATAN(EXP($FQ$24)*sref^(1-0.85)*HG30^0.85/HG30))</f>
        <v/>
      </c>
      <c r="HI30">
        <f>DEGREES(ATAN(EXP($FR$24)*sref^(1-1.0)*HG30^1.0/HG30))</f>
        <v/>
      </c>
      <c r="HK30" t="n">
        <v>7.639143076320822</v>
      </c>
      <c r="HL30" t="n">
        <v>34</v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Ensayos!O30-MIN(tope,DEGREES(ATAN(TAN(RADIANS(pe0-omega*Ensayos!J30))*(Ensayos!M30/sref)^(m_-1))))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  <c r="FJ31">
        <f>Base_mundial!A405</f>
        <v/>
      </c>
      <c r="FK31">
        <f>Base_mundial!C405</f>
        <v/>
      </c>
      <c r="FL31">
        <f>Base_mundial!D405</f>
        <v/>
      </c>
      <c r="FM31" t="inlineStr">
        <is>
          <t>bajo</t>
        </is>
      </c>
      <c r="FN31">
        <f>DEGREES(ATAN(FL31/FK31))</f>
        <v/>
      </c>
      <c r="FO31">
        <f>LN(FL31)-LN(sref^(1-0.85)*FK31^0.85)</f>
        <v/>
      </c>
      <c r="FP31">
        <f>LN(FL31)-LN(FK31)</f>
        <v/>
      </c>
      <c r="FQ31">
        <f>AVERAGEIFS(FO3:FO69,FJ3:FJ69,FJ31,FM3:FM69,"bajo")</f>
        <v/>
      </c>
      <c r="FR31">
        <f>AVERAGEIFS(FP3:FP69,FJ3:FJ69,FJ31,FM3:FM69,"bajo")</f>
        <v/>
      </c>
      <c r="FS31">
        <f>IF(FM31="alto",DEGREES(ATAN(EXP(FQ31)*sref^(1-0.85)*FK31^0.85/FK31)),NA())</f>
        <v/>
      </c>
      <c r="FT31">
        <f>IF(FM31="alto",DEGREES(ATAN(EXP(FR31)*sref^(1-1.0)*FK31^1.0/FK31)),NA())</f>
        <v/>
      </c>
      <c r="FU31">
        <f>IF(FM31="alto",FS31-FN31,NA())</f>
        <v/>
      </c>
      <c r="FV31">
        <f>IF(FM31="alto",FT31-FN31,NA())</f>
        <v/>
      </c>
      <c r="HG31" t="n">
        <v>3.109893452401829</v>
      </c>
      <c r="HH31">
        <f>DEGREES(ATAN(EXP($FQ$24)*sref^(1-0.85)*HG31^0.85/HG31))</f>
        <v/>
      </c>
      <c r="HI31">
        <f>DEGREES(ATAN(EXP($FR$24)*sref^(1-1.0)*HG31^1.0/HG31))</f>
        <v/>
      </c>
      <c r="HK31" t="n">
        <v>7.639143076320822</v>
      </c>
      <c r="HL31" t="n">
        <v>56</v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Ensayos!O31-MIN(tope,DEGREES(ATAN(TAN(RADIANS(pe0-omega*Ensayos!J31))*(Ensayos!M31/sref)^(m_-1))))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  <c r="FJ32">
        <f>Base_mundial!A406</f>
        <v/>
      </c>
      <c r="FK32">
        <f>Base_mundial!C406</f>
        <v/>
      </c>
      <c r="FL32">
        <f>Base_mundial!D406</f>
        <v/>
      </c>
      <c r="FM32" t="inlineStr">
        <is>
          <t>bajo</t>
        </is>
      </c>
      <c r="FN32">
        <f>DEGREES(ATAN(FL32/FK32))</f>
        <v/>
      </c>
      <c r="FO32">
        <f>LN(FL32)-LN(sref^(1-0.85)*FK32^0.85)</f>
        <v/>
      </c>
      <c r="FP32">
        <f>LN(FL32)-LN(FK32)</f>
        <v/>
      </c>
      <c r="FQ32">
        <f>AVERAGEIFS(FO3:FO69,FJ3:FJ69,FJ32,FM3:FM69,"bajo")</f>
        <v/>
      </c>
      <c r="FR32">
        <f>AVERAGEIFS(FP3:FP69,FJ3:FJ69,FJ32,FM3:FM69,"bajo")</f>
        <v/>
      </c>
      <c r="FS32">
        <f>IF(FM32="alto",DEGREES(ATAN(EXP(FQ32)*sref^(1-0.85)*FK32^0.85/FK32)),NA())</f>
        <v/>
      </c>
      <c r="FT32">
        <f>IF(FM32="alto",DEGREES(ATAN(EXP(FR32)*sref^(1-1.0)*FK32^1.0/FK32)),NA())</f>
        <v/>
      </c>
      <c r="FU32">
        <f>IF(FM32="alto",FS32-FN32,NA())</f>
        <v/>
      </c>
      <c r="FV32">
        <f>IF(FM32="alto",FT32-FN32,NA())</f>
        <v/>
      </c>
      <c r="HG32" t="n">
        <v>3.516072727933546</v>
      </c>
      <c r="HH32">
        <f>DEGREES(ATAN(EXP($FQ$24)*sref^(1-0.85)*HG32^0.85/HG32))</f>
        <v/>
      </c>
      <c r="HI32">
        <f>DEGREES(ATAN(EXP($FR$24)*sref^(1-1.0)*HG32^1.0/HG32))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Ensayos!O32-MIN(tope,DEGREES(ATAN(TAN(RADIANS(pe0-omega*Ensayos!J32))*(Ensayos!M32/sref)^(m_-1))))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  <c r="FJ33">
        <f>Base_mundial!A408</f>
        <v/>
      </c>
      <c r="FK33">
        <f>Base_mundial!C408</f>
        <v/>
      </c>
      <c r="FL33">
        <f>Base_mundial!D408</f>
        <v/>
      </c>
      <c r="FM33" t="inlineStr">
        <is>
          <t>alto</t>
        </is>
      </c>
      <c r="FN33">
        <f>DEGREES(ATAN(FL33/FK33))</f>
        <v/>
      </c>
      <c r="FO33">
        <f>LN(FL33)-LN(sref^(1-0.85)*FK33^0.85)</f>
        <v/>
      </c>
      <c r="FP33">
        <f>LN(FL33)-LN(FK33)</f>
        <v/>
      </c>
      <c r="FQ33">
        <f>AVERAGEIFS(FO3:FO69,FJ3:FJ69,FJ33,FM3:FM69,"bajo")</f>
        <v/>
      </c>
      <c r="FR33">
        <f>AVERAGEIFS(FP3:FP69,FJ3:FJ69,FJ33,FM3:FM69,"bajo")</f>
        <v/>
      </c>
      <c r="FS33">
        <f>IF(FM33="alto",DEGREES(ATAN(EXP(FQ33)*sref^(1-0.85)*FK33^0.85/FK33)),NA())</f>
        <v/>
      </c>
      <c r="FT33">
        <f>IF(FM33="alto",DEGREES(ATAN(EXP(FR33)*sref^(1-1.0)*FK33^1.0/FK33)),NA())</f>
        <v/>
      </c>
      <c r="FU33">
        <f>IF(FM33="alto",FS33-FN33,NA())</f>
        <v/>
      </c>
      <c r="FV33">
        <f>IF(FM33="alto",FT33-FN33,NA())</f>
        <v/>
      </c>
      <c r="HG33" t="n">
        <v>3.975302568186074</v>
      </c>
      <c r="HH33">
        <f>DEGREES(ATAN(EXP($FQ$24)*sref^(1-0.85)*HG33^0.85/HG33))</f>
        <v/>
      </c>
      <c r="HI33">
        <f>DEGREES(ATAN(EXP($FR$24)*sref^(1-1.0)*HG33^1.0/HG33))</f>
        <v/>
      </c>
      <c r="HK33" t="n">
        <v>8.082797889629424</v>
      </c>
      <c r="HL33" t="n">
        <v>34</v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Ensayos!O33-MIN(tope,DEGREES(ATAN(TAN(RADIANS(pe0-omega*Ensayos!J33))*(Ensayos!M33/sref)^(m_-1))))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  <c r="FJ34">
        <f>Base_mundial!A409</f>
        <v/>
      </c>
      <c r="FK34">
        <f>Base_mundial!C409</f>
        <v/>
      </c>
      <c r="FL34">
        <f>Base_mundial!D409</f>
        <v/>
      </c>
      <c r="FM34" t="inlineStr">
        <is>
          <t>bajo</t>
        </is>
      </c>
      <c r="FN34">
        <f>DEGREES(ATAN(FL34/FK34))</f>
        <v/>
      </c>
      <c r="FO34">
        <f>LN(FL34)-LN(sref^(1-0.85)*FK34^0.85)</f>
        <v/>
      </c>
      <c r="FP34">
        <f>LN(FL34)-LN(FK34)</f>
        <v/>
      </c>
      <c r="FQ34">
        <f>AVERAGEIFS(FO3:FO69,FJ3:FJ69,FJ34,FM3:FM69,"bajo")</f>
        <v/>
      </c>
      <c r="FR34">
        <f>AVERAGEIFS(FP3:FP69,FJ3:FJ69,FJ34,FM3:FM69,"bajo")</f>
        <v/>
      </c>
      <c r="FS34">
        <f>IF(FM34="alto",DEGREES(ATAN(EXP(FQ34)*sref^(1-0.85)*FK34^0.85/FK34)),NA())</f>
        <v/>
      </c>
      <c r="FT34">
        <f>IF(FM34="alto",DEGREES(ATAN(EXP(FR34)*sref^(1-1.0)*FK34^1.0/FK34)),NA())</f>
        <v/>
      </c>
      <c r="FU34">
        <f>IF(FM34="alto",FS34-FN34,NA())</f>
        <v/>
      </c>
      <c r="FV34">
        <f>IF(FM34="alto",FT34-FN34,NA())</f>
        <v/>
      </c>
      <c r="HG34" t="n">
        <v>4.494511840747532</v>
      </c>
      <c r="HH34">
        <f>DEGREES(ATAN(EXP($FQ$24)*sref^(1-0.85)*HG34^0.85/HG34))</f>
        <v/>
      </c>
      <c r="HI34">
        <f>DEGREES(ATAN(EXP($FR$24)*sref^(1-1.0)*HG34^1.0/HG34))</f>
        <v/>
      </c>
      <c r="HK34" t="n">
        <v>8.082797889629424</v>
      </c>
      <c r="HL34" t="n">
        <v>56</v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Ensayos!O34-MIN(tope,DEGREES(ATAN(TAN(RADIANS(pe0-omega*Ensayos!J34))*(Ensayos!M34/sref)^(m_-1))))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  <c r="FJ35">
        <f>Base_mundial!A410</f>
        <v/>
      </c>
      <c r="FK35">
        <f>Base_mundial!C410</f>
        <v/>
      </c>
      <c r="FL35">
        <f>Base_mundial!D410</f>
        <v/>
      </c>
      <c r="FM35" t="inlineStr">
        <is>
          <t>bajo</t>
        </is>
      </c>
      <c r="FN35">
        <f>DEGREES(ATAN(FL35/FK35))</f>
        <v/>
      </c>
      <c r="FO35">
        <f>LN(FL35)-LN(sref^(1-0.85)*FK35^0.85)</f>
        <v/>
      </c>
      <c r="FP35">
        <f>LN(FL35)-LN(FK35)</f>
        <v/>
      </c>
      <c r="FQ35">
        <f>AVERAGEIFS(FO3:FO69,FJ3:FJ69,FJ35,FM3:FM69,"bajo")</f>
        <v/>
      </c>
      <c r="FR35">
        <f>AVERAGEIFS(FP3:FP69,FJ3:FJ69,FJ35,FM3:FM69,"bajo")</f>
        <v/>
      </c>
      <c r="FS35">
        <f>IF(FM35="alto",DEGREES(ATAN(EXP(FQ35)*sref^(1-0.85)*FK35^0.85/FK35)),NA())</f>
        <v/>
      </c>
      <c r="FT35">
        <f>IF(FM35="alto",DEGREES(ATAN(EXP(FR35)*sref^(1-1.0)*FK35^1.0/FK35)),NA())</f>
        <v/>
      </c>
      <c r="FU35">
        <f>IF(FM35="alto",FS35-FN35,NA())</f>
        <v/>
      </c>
      <c r="FV35">
        <f>IF(FM35="alto",FT35-FN35,NA())</f>
        <v/>
      </c>
      <c r="HG35" t="n">
        <v>5.081534383894028</v>
      </c>
      <c r="HH35">
        <f>DEGREES(ATAN(EXP($FQ$24)*sref^(1-0.85)*HG35^0.85/HG35))</f>
        <v/>
      </c>
      <c r="HI35">
        <f>DEGREES(ATAN(EXP($FR$24)*sref^(1-1.0)*HG35^1.0/HG35))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Ensayos!O35-MIN(tope,DEGREES(ATAN(TAN(RADIANS(pe0-omega*Ensayos!J35))*(Ensayos!M35/sref)^(m_-1))))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  <c r="FJ36">
        <f>Base_mundial!A412</f>
        <v/>
      </c>
      <c r="FK36">
        <f>Base_mundial!C412</f>
        <v/>
      </c>
      <c r="FL36">
        <f>Base_mundial!D412</f>
        <v/>
      </c>
      <c r="FM36" t="inlineStr">
        <is>
          <t>alto</t>
        </is>
      </c>
      <c r="FN36">
        <f>DEGREES(ATAN(FL36/FK36))</f>
        <v/>
      </c>
      <c r="FO36">
        <f>LN(FL36)-LN(sref^(1-0.85)*FK36^0.85)</f>
        <v/>
      </c>
      <c r="FP36">
        <f>LN(FL36)-LN(FK36)</f>
        <v/>
      </c>
      <c r="FQ36">
        <f>AVERAGEIFS(FO3:FO69,FJ3:FJ69,FJ36,FM3:FM69,"bajo")</f>
        <v/>
      </c>
      <c r="FR36">
        <f>AVERAGEIFS(FP3:FP69,FJ3:FJ69,FJ36,FM3:FM69,"bajo")</f>
        <v/>
      </c>
      <c r="FS36">
        <f>IF(FM36="alto",DEGREES(ATAN(EXP(FQ36)*sref^(1-0.85)*FK36^0.85/FK36)),NA())</f>
        <v/>
      </c>
      <c r="FT36">
        <f>IF(FM36="alto",DEGREES(ATAN(EXP(FR36)*sref^(1-1.0)*FK36^1.0/FK36)),NA())</f>
        <v/>
      </c>
      <c r="FU36">
        <f>IF(FM36="alto",FS36-FN36,NA())</f>
        <v/>
      </c>
      <c r="FV36">
        <f>IF(FM36="alto",FT36-FN36,NA())</f>
        <v/>
      </c>
      <c r="HG36" t="n">
        <v>5.745227203673918</v>
      </c>
      <c r="HH36">
        <f>DEGREES(ATAN(EXP($FQ$24)*sref^(1-0.85)*HG36^0.85/HG36))</f>
        <v/>
      </c>
      <c r="HI36">
        <f>DEGREES(ATAN(EXP($FR$24)*sref^(1-1.0)*HG36^1.0/HG36))</f>
        <v/>
      </c>
      <c r="HK36" t="n">
        <v>8.552218628697682</v>
      </c>
      <c r="HL36" t="n">
        <v>34</v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Ensayos!O36-MIN(tope,DEGREES(ATAN(TAN(RADIANS(pe0-omega*Ensayos!J36))*(Ensayos!M36/sref)^(m_-1))))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  <c r="FJ37">
        <f>Base_mundial!A413</f>
        <v/>
      </c>
      <c r="FK37">
        <f>Base_mundial!C413</f>
        <v/>
      </c>
      <c r="FL37">
        <f>Base_mundial!D413</f>
        <v/>
      </c>
      <c r="FM37" t="inlineStr">
        <is>
          <t>bajo</t>
        </is>
      </c>
      <c r="FN37">
        <f>DEGREES(ATAN(FL37/FK37))</f>
        <v/>
      </c>
      <c r="FO37">
        <f>LN(FL37)-LN(sref^(1-0.85)*FK37^0.85)</f>
        <v/>
      </c>
      <c r="FP37">
        <f>LN(FL37)-LN(FK37)</f>
        <v/>
      </c>
      <c r="FQ37">
        <f>AVERAGEIFS(FO3:FO69,FJ3:FJ69,FJ37,FM3:FM69,"bajo")</f>
        <v/>
      </c>
      <c r="FR37">
        <f>AVERAGEIFS(FP3:FP69,FJ3:FJ69,FJ37,FM3:FM69,"bajo")</f>
        <v/>
      </c>
      <c r="FS37">
        <f>IF(FM37="alto",DEGREES(ATAN(EXP(FQ37)*sref^(1-0.85)*FK37^0.85/FK37)),NA())</f>
        <v/>
      </c>
      <c r="FT37">
        <f>IF(FM37="alto",DEGREES(ATAN(EXP(FR37)*sref^(1-1.0)*FK37^1.0/FK37)),NA())</f>
        <v/>
      </c>
      <c r="FU37">
        <f>IF(FM37="alto",FS37-FN37,NA())</f>
        <v/>
      </c>
      <c r="FV37">
        <f>IF(FM37="alto",FT37-FN37,NA())</f>
        <v/>
      </c>
      <c r="HG37" t="n">
        <v>6.495604108564698</v>
      </c>
      <c r="HH37">
        <f>DEGREES(ATAN(EXP($FQ$24)*sref^(1-0.85)*HG37^0.85/HG37))</f>
        <v/>
      </c>
      <c r="HI37">
        <f>DEGREES(ATAN(EXP($FR$24)*sref^(1-1.0)*HG37^1.0/HG37))</f>
        <v/>
      </c>
      <c r="HK37" t="n">
        <v>8.552218628697682</v>
      </c>
      <c r="HL37" t="n">
        <v>56</v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Ensayos!O37-MIN(tope,DEGREES(ATAN(TAN(RADIANS(pe0-omega*Ensayos!J37))*(Ensayos!M37/sref)^(m_-1))))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  <c r="FJ38">
        <f>Base_mundial!A414</f>
        <v/>
      </c>
      <c r="FK38">
        <f>Base_mundial!C414</f>
        <v/>
      </c>
      <c r="FL38">
        <f>Base_mundial!D414</f>
        <v/>
      </c>
      <c r="FM38" t="inlineStr">
        <is>
          <t>bajo</t>
        </is>
      </c>
      <c r="FN38">
        <f>DEGREES(ATAN(FL38/FK38))</f>
        <v/>
      </c>
      <c r="FO38">
        <f>LN(FL38)-LN(sref^(1-0.85)*FK38^0.85)</f>
        <v/>
      </c>
      <c r="FP38">
        <f>LN(FL38)-LN(FK38)</f>
        <v/>
      </c>
      <c r="FQ38">
        <f>AVERAGEIFS(FO3:FO69,FJ3:FJ69,FJ38,FM3:FM69,"bajo")</f>
        <v/>
      </c>
      <c r="FR38">
        <f>AVERAGEIFS(FP3:FP69,FJ3:FJ69,FJ38,FM3:FM69,"bajo")</f>
        <v/>
      </c>
      <c r="FS38">
        <f>IF(FM38="alto",DEGREES(ATAN(EXP(FQ38)*sref^(1-0.85)*FK38^0.85/FK38)),NA())</f>
        <v/>
      </c>
      <c r="FT38">
        <f>IF(FM38="alto",DEGREES(ATAN(EXP(FR38)*sref^(1-1.0)*FK38^1.0/FK38)),NA())</f>
        <v/>
      </c>
      <c r="FU38">
        <f>IF(FM38="alto",FS38-FN38,NA())</f>
        <v/>
      </c>
      <c r="FV38">
        <f>IF(FM38="alto",FT38-FN38,NA())</f>
        <v/>
      </c>
      <c r="HG38" t="n">
        <v>7.343986797984486</v>
      </c>
      <c r="HH38">
        <f>DEGREES(ATAN(EXP($FQ$24)*sref^(1-0.85)*HG38^0.85/HG38))</f>
        <v/>
      </c>
      <c r="HI38">
        <f>DEGREES(ATAN(EXP($FR$24)*sref^(1-1.0)*HG38^1.0/HG38))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Ensayos!O38-MIN(tope,DEGREES(ATAN(TAN(RADIANS(pe0-omega*Ensayos!J38))*(Ensayos!M38/sref)^(m_-1))))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  <c r="FJ39">
        <f>Base_mundial!A416</f>
        <v/>
      </c>
      <c r="FK39">
        <f>Base_mundial!C416</f>
        <v/>
      </c>
      <c r="FL39">
        <f>Base_mundial!D416</f>
        <v/>
      </c>
      <c r="FM39" t="inlineStr">
        <is>
          <t>alto</t>
        </is>
      </c>
      <c r="FN39">
        <f>DEGREES(ATAN(FL39/FK39))</f>
        <v/>
      </c>
      <c r="FO39">
        <f>LN(FL39)-LN(sref^(1-0.85)*FK39^0.85)</f>
        <v/>
      </c>
      <c r="FP39">
        <f>LN(FL39)-LN(FK39)</f>
        <v/>
      </c>
      <c r="FQ39">
        <f>AVERAGEIFS(FO3:FO69,FJ3:FJ69,FJ39,FM3:FM69,"bajo")</f>
        <v/>
      </c>
      <c r="FR39">
        <f>AVERAGEIFS(FP3:FP69,FJ3:FJ69,FJ39,FM3:FM69,"bajo")</f>
        <v/>
      </c>
      <c r="FS39">
        <f>IF(FM39="alto",DEGREES(ATAN(EXP(FQ39)*sref^(1-0.85)*FK39^0.85/FK39)),NA())</f>
        <v/>
      </c>
      <c r="FT39">
        <f>IF(FM39="alto",DEGREES(ATAN(EXP(FR39)*sref^(1-1.0)*FK39^1.0/FK39)),NA())</f>
        <v/>
      </c>
      <c r="FU39">
        <f>IF(FM39="alto",FS39-FN39,NA())</f>
        <v/>
      </c>
      <c r="FV39">
        <f>IF(FM39="alto",FT39-FN39,NA())</f>
        <v/>
      </c>
      <c r="HG39" t="n">
        <v>8.30317568428412</v>
      </c>
      <c r="HH39">
        <f>DEGREES(ATAN(EXP($FQ$24)*sref^(1-0.85)*HG39^0.85/HG39))</f>
        <v/>
      </c>
      <c r="HI39">
        <f>DEGREES(ATAN(EXP($FR$24)*sref^(1-1.0)*HG39^1.0/HG39))</f>
        <v/>
      </c>
      <c r="HK39" t="n">
        <v>9.048901688719198</v>
      </c>
      <c r="HL39" t="n">
        <v>34</v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  <c r="FJ40">
        <f>Base_mundial!A420</f>
        <v/>
      </c>
      <c r="FK40">
        <f>Base_mundial!C420</f>
        <v/>
      </c>
      <c r="FL40">
        <f>Base_mundial!D420</f>
        <v/>
      </c>
      <c r="FM40" t="inlineStr">
        <is>
          <t>bajo</t>
        </is>
      </c>
      <c r="FN40">
        <f>DEGREES(ATAN(FL40/FK40))</f>
        <v/>
      </c>
      <c r="FO40">
        <f>LN(FL40)-LN(sref^(1-0.85)*FK40^0.85)</f>
        <v/>
      </c>
      <c r="FP40">
        <f>LN(FL40)-LN(FK40)</f>
        <v/>
      </c>
      <c r="FQ40">
        <f>AVERAGEIFS(FO3:FO69,FJ3:FJ69,FJ40,FM3:FM69,"bajo")</f>
        <v/>
      </c>
      <c r="FR40">
        <f>AVERAGEIFS(FP3:FP69,FJ3:FJ69,FJ40,FM3:FM69,"bajo")</f>
        <v/>
      </c>
      <c r="FS40">
        <f>IF(FM40="alto",DEGREES(ATAN(EXP(FQ40)*sref^(1-0.85)*FK40^0.85/FK40)),NA())</f>
        <v/>
      </c>
      <c r="FT40">
        <f>IF(FM40="alto",DEGREES(ATAN(EXP(FR40)*sref^(1-1.0)*FK40^1.0/FK40)),NA())</f>
        <v/>
      </c>
      <c r="FU40">
        <f>IF(FM40="alto",FS40-FN40,NA())</f>
        <v/>
      </c>
      <c r="FV40">
        <f>IF(FM40="alto",FT40-FN40,NA())</f>
        <v/>
      </c>
      <c r="HG40" t="n">
        <v>9.387643025584957</v>
      </c>
      <c r="HH40">
        <f>DEGREES(ATAN(EXP($FQ$24)*sref^(1-0.85)*HG40^0.85/HG40))</f>
        <v/>
      </c>
      <c r="HI40">
        <f>DEGREES(ATAN(EXP($FR$24)*sref^(1-1.0)*HG40^1.0/HG40))</f>
        <v/>
      </c>
      <c r="HK40" t="n">
        <v>9.048901688719198</v>
      </c>
      <c r="HL40" t="n">
        <v>56</v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  <c r="FJ41">
        <f>Base_mundial!A421</f>
        <v/>
      </c>
      <c r="FK41">
        <f>Base_mundial!C421</f>
        <v/>
      </c>
      <c r="FL41">
        <f>Base_mundial!D421</f>
        <v/>
      </c>
      <c r="FM41" t="inlineStr">
        <is>
          <t>bajo</t>
        </is>
      </c>
      <c r="FN41">
        <f>DEGREES(ATAN(FL41/FK41))</f>
        <v/>
      </c>
      <c r="FO41">
        <f>LN(FL41)-LN(sref^(1-0.85)*FK41^0.85)</f>
        <v/>
      </c>
      <c r="FP41">
        <f>LN(FL41)-LN(FK41)</f>
        <v/>
      </c>
      <c r="FQ41">
        <f>AVERAGEIFS(FO3:FO69,FJ3:FJ69,FJ41,FM3:FM69,"bajo")</f>
        <v/>
      </c>
      <c r="FR41">
        <f>AVERAGEIFS(FP3:FP69,FJ3:FJ69,FJ41,FM3:FM69,"bajo")</f>
        <v/>
      </c>
      <c r="FS41">
        <f>IF(FM41="alto",DEGREES(ATAN(EXP(FQ41)*sref^(1-0.85)*FK41^0.85/FK41)),NA())</f>
        <v/>
      </c>
      <c r="FT41">
        <f>IF(FM41="alto",DEGREES(ATAN(EXP(FR41)*sref^(1-1.0)*FK41^1.0/FK41)),NA())</f>
        <v/>
      </c>
      <c r="FU41">
        <f>IF(FM41="alto",FS41-FN41,NA())</f>
        <v/>
      </c>
      <c r="FV41">
        <f>IF(FM41="alto",FT41-FN41,NA())</f>
        <v/>
      </c>
      <c r="HG41" t="n">
        <v>10.61375128345391</v>
      </c>
      <c r="HH41">
        <f>DEGREES(ATAN(EXP($FQ$24)*sref^(1-0.85)*HG41^0.85/HG41))</f>
        <v/>
      </c>
      <c r="HI41">
        <f>DEGREES(ATAN(EXP($FR$24)*sref^(1-1.0)*HG41^1.0/HG41))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  <c r="FJ42">
        <f>Base_mundial!A423</f>
        <v/>
      </c>
      <c r="FK42">
        <f>Base_mundial!C423</f>
        <v/>
      </c>
      <c r="FL42">
        <f>Base_mundial!D423</f>
        <v/>
      </c>
      <c r="FM42" t="inlineStr">
        <is>
          <t>alto</t>
        </is>
      </c>
      <c r="FN42">
        <f>DEGREES(ATAN(FL42/FK42))</f>
        <v/>
      </c>
      <c r="FO42">
        <f>LN(FL42)-LN(sref^(1-0.85)*FK42^0.85)</f>
        <v/>
      </c>
      <c r="FP42">
        <f>LN(FL42)-LN(FK42)</f>
        <v/>
      </c>
      <c r="FQ42">
        <f>AVERAGEIFS(FO3:FO69,FJ3:FJ69,FJ42,FM3:FM69,"bajo")</f>
        <v/>
      </c>
      <c r="FR42">
        <f>AVERAGEIFS(FP3:FP69,FJ3:FJ69,FJ42,FM3:FM69,"bajo")</f>
        <v/>
      </c>
      <c r="FS42">
        <f>IF(FM42="alto",DEGREES(ATAN(EXP(FQ42)*sref^(1-0.85)*FK42^0.85/FK42)),NA())</f>
        <v/>
      </c>
      <c r="FT42">
        <f>IF(FM42="alto",DEGREES(ATAN(EXP(FR42)*sref^(1-1.0)*FK42^1.0/FK42)),NA())</f>
        <v/>
      </c>
      <c r="FU42">
        <f>IF(FM42="alto",FS42-FN42,NA())</f>
        <v/>
      </c>
      <c r="FV42">
        <f>IF(FM42="alto",FT42-FN42,NA())</f>
        <v/>
      </c>
      <c r="HG42" t="n">
        <v>12</v>
      </c>
      <c r="HH42">
        <f>DEGREES(ATAN(EXP($FQ$24)*sref^(1-0.85)*HG42^0.85/HG42))</f>
        <v/>
      </c>
      <c r="HI42">
        <f>DEGREES(ATAN(EXP($FR$24)*sref^(1-1.0)*HG42^1.0/HG42))</f>
        <v/>
      </c>
      <c r="HK42" t="n">
        <v>9.574430370306628</v>
      </c>
      <c r="HL42" t="n">
        <v>34</v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  <c r="FJ43">
        <f>Base_mundial!A426</f>
        <v/>
      </c>
      <c r="FK43">
        <f>Base_mundial!C426</f>
        <v/>
      </c>
      <c r="FL43">
        <f>Base_mundial!D426</f>
        <v/>
      </c>
      <c r="FM43" t="inlineStr">
        <is>
          <t>bajo</t>
        </is>
      </c>
      <c r="FN43">
        <f>DEGREES(ATAN(FL43/FK43))</f>
        <v/>
      </c>
      <c r="FO43">
        <f>LN(FL43)-LN(sref^(1-0.85)*FK43^0.85)</f>
        <v/>
      </c>
      <c r="FP43">
        <f>LN(FL43)-LN(FK43)</f>
        <v/>
      </c>
      <c r="FQ43">
        <f>AVERAGEIFS(FO3:FO69,FJ3:FJ69,FJ43,FM3:FM69,"bajo")</f>
        <v/>
      </c>
      <c r="FR43">
        <f>AVERAGEIFS(FP3:FP69,FJ3:FJ69,FJ43,FM3:FM69,"bajo")</f>
        <v/>
      </c>
      <c r="FS43">
        <f>IF(FM43="alto",DEGREES(ATAN(EXP(FQ43)*sref^(1-0.85)*FK43^0.85/FK43)),NA())</f>
        <v/>
      </c>
      <c r="FT43">
        <f>IF(FM43="alto",DEGREES(ATAN(EXP(FR43)*sref^(1-1.0)*FK43^1.0/FK43)),NA())</f>
        <v/>
      </c>
      <c r="FU43">
        <f>IF(FM43="alto",FS43-FN43,NA())</f>
        <v/>
      </c>
      <c r="FV43">
        <f>IF(FM43="alto",FT43-FN43,NA())</f>
        <v/>
      </c>
      <c r="HK43" t="n">
        <v>9.574430370306628</v>
      </c>
      <c r="HL43" t="n">
        <v>56</v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  <c r="FJ44">
        <f>Base_mundial!A427</f>
        <v/>
      </c>
      <c r="FK44">
        <f>Base_mundial!C427</f>
        <v/>
      </c>
      <c r="FL44">
        <f>Base_mundial!D427</f>
        <v/>
      </c>
      <c r="FM44" t="inlineStr">
        <is>
          <t>bajo</t>
        </is>
      </c>
      <c r="FN44">
        <f>DEGREES(ATAN(FL44/FK44))</f>
        <v/>
      </c>
      <c r="FO44">
        <f>LN(FL44)-LN(sref^(1-0.85)*FK44^0.85)</f>
        <v/>
      </c>
      <c r="FP44">
        <f>LN(FL44)-LN(FK44)</f>
        <v/>
      </c>
      <c r="FQ44">
        <f>AVERAGEIFS(FO3:FO69,FJ3:FJ69,FJ44,FM3:FM69,"bajo")</f>
        <v/>
      </c>
      <c r="FR44">
        <f>AVERAGEIFS(FP3:FP69,FJ3:FJ69,FJ44,FM3:FM69,"bajo")</f>
        <v/>
      </c>
      <c r="FS44">
        <f>IF(FM44="alto",DEGREES(ATAN(EXP(FQ44)*sref^(1-0.85)*FK44^0.85/FK44)),NA())</f>
        <v/>
      </c>
      <c r="FT44">
        <f>IF(FM44="alto",DEGREES(ATAN(EXP(FR44)*sref^(1-1.0)*FK44^1.0/FK44)),NA())</f>
        <v/>
      </c>
      <c r="FU44">
        <f>IF(FM44="alto",FS44-FN44,NA())</f>
        <v/>
      </c>
      <c r="FV44">
        <f>IF(FM44="alto",FT44-FN44,NA())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  <c r="FJ45">
        <f>Base_mundial!A429</f>
        <v/>
      </c>
      <c r="FK45">
        <f>Base_mundial!C429</f>
        <v/>
      </c>
      <c r="FL45">
        <f>Base_mundial!D429</f>
        <v/>
      </c>
      <c r="FM45" t="inlineStr">
        <is>
          <t>alto</t>
        </is>
      </c>
      <c r="FN45">
        <f>DEGREES(ATAN(FL45/FK45))</f>
        <v/>
      </c>
      <c r="FO45">
        <f>LN(FL45)-LN(sref^(1-0.85)*FK45^0.85)</f>
        <v/>
      </c>
      <c r="FP45">
        <f>LN(FL45)-LN(FK45)</f>
        <v/>
      </c>
      <c r="FQ45">
        <f>AVERAGEIFS(FO3:FO69,FJ3:FJ69,FJ45,FM3:FM69,"bajo")</f>
        <v/>
      </c>
      <c r="FR45">
        <f>AVERAGEIFS(FP3:FP69,FJ3:FJ69,FJ45,FM3:FM69,"bajo")</f>
        <v/>
      </c>
      <c r="FS45">
        <f>IF(FM45="alto",DEGREES(ATAN(EXP(FQ45)*sref^(1-0.85)*FK45^0.85/FK45)),NA())</f>
        <v/>
      </c>
      <c r="FT45">
        <f>IF(FM45="alto",DEGREES(ATAN(EXP(FR45)*sref^(1-1.0)*FK45^1.0/FK45)),NA())</f>
        <v/>
      </c>
      <c r="FU45">
        <f>IF(FM45="alto",FS45-FN45,NA())</f>
        <v/>
      </c>
      <c r="FV45">
        <f>IF(FM45="alto",FT45-FN45,NA())</f>
        <v/>
      </c>
      <c r="HK45" t="n">
        <v>10.13047992665561</v>
      </c>
      <c r="HL45" t="n">
        <v>34</v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  <c r="FJ46">
        <f>Base_mundial!A430</f>
        <v/>
      </c>
      <c r="FK46">
        <f>Base_mundial!C430</f>
        <v/>
      </c>
      <c r="FL46">
        <f>Base_mundial!D430</f>
        <v/>
      </c>
      <c r="FM46" t="inlineStr">
        <is>
          <t>bajo</t>
        </is>
      </c>
      <c r="FN46">
        <f>DEGREES(ATAN(FL46/FK46))</f>
        <v/>
      </c>
      <c r="FO46">
        <f>LN(FL46)-LN(sref^(1-0.85)*FK46^0.85)</f>
        <v/>
      </c>
      <c r="FP46">
        <f>LN(FL46)-LN(FK46)</f>
        <v/>
      </c>
      <c r="FQ46">
        <f>AVERAGEIFS(FO3:FO69,FJ3:FJ69,FJ46,FM3:FM69,"bajo")</f>
        <v/>
      </c>
      <c r="FR46">
        <f>AVERAGEIFS(FP3:FP69,FJ3:FJ69,FJ46,FM3:FM69,"bajo")</f>
        <v/>
      </c>
      <c r="FS46">
        <f>IF(FM46="alto",DEGREES(ATAN(EXP(FQ46)*sref^(1-0.85)*FK46^0.85/FK46)),NA())</f>
        <v/>
      </c>
      <c r="FT46">
        <f>IF(FM46="alto",DEGREES(ATAN(EXP(FR46)*sref^(1-1.0)*FK46^1.0/FK46)),NA())</f>
        <v/>
      </c>
      <c r="FU46">
        <f>IF(FM46="alto",FS46-FN46,NA())</f>
        <v/>
      </c>
      <c r="FV46">
        <f>IF(FM46="alto",FT46-FN46,NA())</f>
        <v/>
      </c>
      <c r="HK46" t="n">
        <v>10.13047992665561</v>
      </c>
      <c r="HL46" t="n">
        <v>56</v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  <c r="FJ47">
        <f>Base_mundial!A431</f>
        <v/>
      </c>
      <c r="FK47">
        <f>Base_mundial!C431</f>
        <v/>
      </c>
      <c r="FL47">
        <f>Base_mundial!D431</f>
        <v/>
      </c>
      <c r="FM47" t="inlineStr">
        <is>
          <t>bajo</t>
        </is>
      </c>
      <c r="FN47">
        <f>DEGREES(ATAN(FL47/FK47))</f>
        <v/>
      </c>
      <c r="FO47">
        <f>LN(FL47)-LN(sref^(1-0.85)*FK47^0.85)</f>
        <v/>
      </c>
      <c r="FP47">
        <f>LN(FL47)-LN(FK47)</f>
        <v/>
      </c>
      <c r="FQ47">
        <f>AVERAGEIFS(FO3:FO69,FJ3:FJ69,FJ47,FM3:FM69,"bajo")</f>
        <v/>
      </c>
      <c r="FR47">
        <f>AVERAGEIFS(FP3:FP69,FJ3:FJ69,FJ47,FM3:FM69,"bajo")</f>
        <v/>
      </c>
      <c r="FS47">
        <f>IF(FM47="alto",DEGREES(ATAN(EXP(FQ47)*sref^(1-0.85)*FK47^0.85/FK47)),NA())</f>
        <v/>
      </c>
      <c r="FT47">
        <f>IF(FM47="alto",DEGREES(ATAN(EXP(FR47)*sref^(1-1.0)*FK47^1.0/FK47)),NA())</f>
        <v/>
      </c>
      <c r="FU47">
        <f>IF(FM47="alto",FS47-FN47,NA())</f>
        <v/>
      </c>
      <c r="FV47">
        <f>IF(FM47="alto",FT47-FN47,NA())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  <c r="FJ48">
        <f>Base_mundial!A433</f>
        <v/>
      </c>
      <c r="FK48">
        <f>Base_mundial!C433</f>
        <v/>
      </c>
      <c r="FL48">
        <f>Base_mundial!D433</f>
        <v/>
      </c>
      <c r="FM48" t="inlineStr">
        <is>
          <t>alto</t>
        </is>
      </c>
      <c r="FN48">
        <f>DEGREES(ATAN(FL48/FK48))</f>
        <v/>
      </c>
      <c r="FO48">
        <f>LN(FL48)-LN(sref^(1-0.85)*FK48^0.85)</f>
        <v/>
      </c>
      <c r="FP48">
        <f>LN(FL48)-LN(FK48)</f>
        <v/>
      </c>
      <c r="FQ48">
        <f>AVERAGEIFS(FO3:FO69,FJ3:FJ69,FJ48,FM3:FM69,"bajo")</f>
        <v/>
      </c>
      <c r="FR48">
        <f>AVERAGEIFS(FP3:FP69,FJ3:FJ69,FJ48,FM3:FM69,"bajo")</f>
        <v/>
      </c>
      <c r="FS48">
        <f>IF(FM48="alto",DEGREES(ATAN(EXP(FQ48)*sref^(1-0.85)*FK48^0.85/FK48)),NA())</f>
        <v/>
      </c>
      <c r="FT48">
        <f>IF(FM48="alto",DEGREES(ATAN(EXP(FR48)*sref^(1-1.0)*FK48^1.0/FK48)),NA())</f>
        <v/>
      </c>
      <c r="FU48">
        <f>IF(FM48="alto",FS48-FN48,NA())</f>
        <v/>
      </c>
      <c r="FV48">
        <f>IF(FM48="alto",FT48-FN48,NA())</f>
        <v/>
      </c>
      <c r="HK48" t="n">
        <v>10.71882290383042</v>
      </c>
      <c r="HL48" t="n">
        <v>34</v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  <c r="FJ49">
        <f>Base_mundial!A504</f>
        <v/>
      </c>
      <c r="FK49">
        <f>Base_mundial!C504</f>
        <v/>
      </c>
      <c r="FL49">
        <f>Base_mundial!D504</f>
        <v/>
      </c>
      <c r="FM49" t="inlineStr">
        <is>
          <t>bajo</t>
        </is>
      </c>
      <c r="FN49">
        <f>DEGREES(ATAN(FL49/FK49))</f>
        <v/>
      </c>
      <c r="FO49">
        <f>LN(FL49)-LN(sref^(1-0.85)*FK49^0.85)</f>
        <v/>
      </c>
      <c r="FP49">
        <f>LN(FL49)-LN(FK49)</f>
        <v/>
      </c>
      <c r="FQ49">
        <f>AVERAGEIFS(FO3:FO69,FJ3:FJ69,FJ49,FM3:FM69,"bajo")</f>
        <v/>
      </c>
      <c r="FR49">
        <f>AVERAGEIFS(FP3:FP69,FJ3:FJ69,FJ49,FM3:FM69,"bajo")</f>
        <v/>
      </c>
      <c r="FS49">
        <f>IF(FM49="alto",DEGREES(ATAN(EXP(FQ49)*sref^(1-0.85)*FK49^0.85/FK49)),NA())</f>
        <v/>
      </c>
      <c r="FT49">
        <f>IF(FM49="alto",DEGREES(ATAN(EXP(FR49)*sref^(1-1.0)*FK49^1.0/FK49)),NA())</f>
        <v/>
      </c>
      <c r="FU49">
        <f>IF(FM49="alto",FS49-FN49,NA())</f>
        <v/>
      </c>
      <c r="FV49">
        <f>IF(FM49="alto",FT49-FN49,NA())</f>
        <v/>
      </c>
      <c r="HK49" t="n">
        <v>10.71882290383042</v>
      </c>
      <c r="HL49" t="n">
        <v>56</v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  <c r="FJ50">
        <f>Base_mundial!A505</f>
        <v/>
      </c>
      <c r="FK50">
        <f>Base_mundial!C505</f>
        <v/>
      </c>
      <c r="FL50">
        <f>Base_mundial!D505</f>
        <v/>
      </c>
      <c r="FM50" t="inlineStr">
        <is>
          <t>bajo</t>
        </is>
      </c>
      <c r="FN50">
        <f>DEGREES(ATAN(FL50/FK50))</f>
        <v/>
      </c>
      <c r="FO50">
        <f>LN(FL50)-LN(sref^(1-0.85)*FK50^0.85)</f>
        <v/>
      </c>
      <c r="FP50">
        <f>LN(FL50)-LN(FK50)</f>
        <v/>
      </c>
      <c r="FQ50">
        <f>AVERAGEIFS(FO3:FO69,FJ3:FJ69,FJ50,FM3:FM69,"bajo")</f>
        <v/>
      </c>
      <c r="FR50">
        <f>AVERAGEIFS(FP3:FP69,FJ3:FJ69,FJ50,FM3:FM69,"bajo")</f>
        <v/>
      </c>
      <c r="FS50">
        <f>IF(FM50="alto",DEGREES(ATAN(EXP(FQ50)*sref^(1-0.85)*FK50^0.85/FK50)),NA())</f>
        <v/>
      </c>
      <c r="FT50">
        <f>IF(FM50="alto",DEGREES(ATAN(EXP(FR50)*sref^(1-1.0)*FK50^1.0/FK50)),NA())</f>
        <v/>
      </c>
      <c r="FU50">
        <f>IF(FM50="alto",FS50-FN50,NA())</f>
        <v/>
      </c>
      <c r="FV50">
        <f>IF(FM50="alto",FT50-FN50,NA())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  <c r="FJ51">
        <f>Base_mundial!A507</f>
        <v/>
      </c>
      <c r="FK51">
        <f>Base_mundial!C507</f>
        <v/>
      </c>
      <c r="FL51">
        <f>Base_mundial!D507</f>
        <v/>
      </c>
      <c r="FM51" t="inlineStr">
        <is>
          <t>alto</t>
        </is>
      </c>
      <c r="FN51">
        <f>DEGREES(ATAN(FL51/FK51))</f>
        <v/>
      </c>
      <c r="FO51">
        <f>LN(FL51)-LN(sref^(1-0.85)*FK51^0.85)</f>
        <v/>
      </c>
      <c r="FP51">
        <f>LN(FL51)-LN(FK51)</f>
        <v/>
      </c>
      <c r="FQ51">
        <f>AVERAGEIFS(FO3:FO69,FJ3:FJ69,FJ51,FM3:FM69,"bajo")</f>
        <v/>
      </c>
      <c r="FR51">
        <f>AVERAGEIFS(FP3:FP69,FJ3:FJ69,FJ51,FM3:FM69,"bajo")</f>
        <v/>
      </c>
      <c r="FS51">
        <f>IF(FM51="alto",DEGREES(ATAN(EXP(FQ51)*sref^(1-0.85)*FK51^0.85/FK51)),NA())</f>
        <v/>
      </c>
      <c r="FT51">
        <f>IF(FM51="alto",DEGREES(ATAN(EXP(FR51)*sref^(1-1.0)*FK51^1.0/FK51)),NA())</f>
        <v/>
      </c>
      <c r="FU51">
        <f>IF(FM51="alto",FS51-FN51,NA())</f>
        <v/>
      </c>
      <c r="FV51">
        <f>IF(FM51="alto",FT51-FN51,NA())</f>
        <v/>
      </c>
      <c r="HK51" t="n">
        <v>11.34133479119478</v>
      </c>
      <c r="HL51" t="n">
        <v>34</v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  <c r="FJ52">
        <f>Base_mundial!A508</f>
        <v/>
      </c>
      <c r="FK52">
        <f>Base_mundial!C508</f>
        <v/>
      </c>
      <c r="FL52">
        <f>Base_mundial!D508</f>
        <v/>
      </c>
      <c r="FM52" t="inlineStr">
        <is>
          <t>bajo</t>
        </is>
      </c>
      <c r="FN52">
        <f>DEGREES(ATAN(FL52/FK52))</f>
        <v/>
      </c>
      <c r="FO52">
        <f>LN(FL52)-LN(sref^(1-0.85)*FK52^0.85)</f>
        <v/>
      </c>
      <c r="FP52">
        <f>LN(FL52)-LN(FK52)</f>
        <v/>
      </c>
      <c r="FQ52">
        <f>AVERAGEIFS(FO3:FO69,FJ3:FJ69,FJ52,FM3:FM69,"bajo")</f>
        <v/>
      </c>
      <c r="FR52">
        <f>AVERAGEIFS(FP3:FP69,FJ3:FJ69,FJ52,FM3:FM69,"bajo")</f>
        <v/>
      </c>
      <c r="FS52">
        <f>IF(FM52="alto",DEGREES(ATAN(EXP(FQ52)*sref^(1-0.85)*FK52^0.85/FK52)),NA())</f>
        <v/>
      </c>
      <c r="FT52">
        <f>IF(FM52="alto",DEGREES(ATAN(EXP(FR52)*sref^(1-1.0)*FK52^1.0/FK52)),NA())</f>
        <v/>
      </c>
      <c r="FU52">
        <f>IF(FM52="alto",FS52-FN52,NA())</f>
        <v/>
      </c>
      <c r="FV52">
        <f>IF(FM52="alto",FT52-FN52,NA())</f>
        <v/>
      </c>
      <c r="HK52" t="n">
        <v>11.34133479119478</v>
      </c>
      <c r="HL52" t="n">
        <v>56</v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  <c r="FJ53">
        <f>Base_mundial!A509</f>
        <v/>
      </c>
      <c r="FK53">
        <f>Base_mundial!C509</f>
        <v/>
      </c>
      <c r="FL53">
        <f>Base_mundial!D509</f>
        <v/>
      </c>
      <c r="FM53" t="inlineStr">
        <is>
          <t>bajo</t>
        </is>
      </c>
      <c r="FN53">
        <f>DEGREES(ATAN(FL53/FK53))</f>
        <v/>
      </c>
      <c r="FO53">
        <f>LN(FL53)-LN(sref^(1-0.85)*FK53^0.85)</f>
        <v/>
      </c>
      <c r="FP53">
        <f>LN(FL53)-LN(FK53)</f>
        <v/>
      </c>
      <c r="FQ53">
        <f>AVERAGEIFS(FO3:FO69,FJ3:FJ69,FJ53,FM3:FM69,"bajo")</f>
        <v/>
      </c>
      <c r="FR53">
        <f>AVERAGEIFS(FP3:FP69,FJ3:FJ69,FJ53,FM3:FM69,"bajo")</f>
        <v/>
      </c>
      <c r="FS53">
        <f>IF(FM53="alto",DEGREES(ATAN(EXP(FQ53)*sref^(1-0.85)*FK53^0.85/FK53)),NA())</f>
        <v/>
      </c>
      <c r="FT53">
        <f>IF(FM53="alto",DEGREES(ATAN(EXP(FR53)*sref^(1-1.0)*FK53^1.0/FK53)),NA())</f>
        <v/>
      </c>
      <c r="FU53">
        <f>IF(FM53="alto",FS53-FN53,NA())</f>
        <v/>
      </c>
      <c r="FV53">
        <f>IF(FM53="alto",FT53-FN53,NA())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  <c r="FJ54">
        <f>Base_mundial!A511</f>
        <v/>
      </c>
      <c r="FK54">
        <f>Base_mundial!C511</f>
        <v/>
      </c>
      <c r="FL54">
        <f>Base_mundial!D511</f>
        <v/>
      </c>
      <c r="FM54" t="inlineStr">
        <is>
          <t>alto</t>
        </is>
      </c>
      <c r="FN54">
        <f>DEGREES(ATAN(FL54/FK54))</f>
        <v/>
      </c>
      <c r="FO54">
        <f>LN(FL54)-LN(sref^(1-0.85)*FK54^0.85)</f>
        <v/>
      </c>
      <c r="FP54">
        <f>LN(FL54)-LN(FK54)</f>
        <v/>
      </c>
      <c r="FQ54">
        <f>AVERAGEIFS(FO3:FO69,FJ3:FJ69,FJ54,FM3:FM69,"bajo")</f>
        <v/>
      </c>
      <c r="FR54">
        <f>AVERAGEIFS(FP3:FP69,FJ3:FJ69,FJ54,FM3:FM69,"bajo")</f>
        <v/>
      </c>
      <c r="FS54">
        <f>IF(FM54="alto",DEGREES(ATAN(EXP(FQ54)*sref^(1-0.85)*FK54^0.85/FK54)),NA())</f>
        <v/>
      </c>
      <c r="FT54">
        <f>IF(FM54="alto",DEGREES(ATAN(EXP(FR54)*sref^(1-1.0)*FK54^1.0/FK54)),NA())</f>
        <v/>
      </c>
      <c r="FU54">
        <f>IF(FM54="alto",FS54-FN54,NA())</f>
        <v/>
      </c>
      <c r="FV54">
        <f>IF(FM54="alto",FT54-FN54,NA())</f>
        <v/>
      </c>
      <c r="HK54" t="n">
        <v>12</v>
      </c>
      <c r="HL54" t="n">
        <v>34</v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  <c r="FJ55">
        <f>Base_mundial!A512</f>
        <v/>
      </c>
      <c r="FK55">
        <f>Base_mundial!C512</f>
        <v/>
      </c>
      <c r="FL55">
        <f>Base_mundial!D512</f>
        <v/>
      </c>
      <c r="FM55" t="inlineStr">
        <is>
          <t>bajo</t>
        </is>
      </c>
      <c r="FN55">
        <f>DEGREES(ATAN(FL55/FK55))</f>
        <v/>
      </c>
      <c r="FO55">
        <f>LN(FL55)-LN(sref^(1-0.85)*FK55^0.85)</f>
        <v/>
      </c>
      <c r="FP55">
        <f>LN(FL55)-LN(FK55)</f>
        <v/>
      </c>
      <c r="FQ55">
        <f>AVERAGEIFS(FO3:FO69,FJ3:FJ69,FJ55,FM3:FM69,"bajo")</f>
        <v/>
      </c>
      <c r="FR55">
        <f>AVERAGEIFS(FP3:FP69,FJ3:FJ69,FJ55,FM3:FM69,"bajo")</f>
        <v/>
      </c>
      <c r="FS55">
        <f>IF(FM55="alto",DEGREES(ATAN(EXP(FQ55)*sref^(1-0.85)*FK55^0.85/FK55)),NA())</f>
        <v/>
      </c>
      <c r="FT55">
        <f>IF(FM55="alto",DEGREES(ATAN(EXP(FR55)*sref^(1-1.0)*FK55^1.0/FK55)),NA())</f>
        <v/>
      </c>
      <c r="FU55">
        <f>IF(FM55="alto",FS55-FN55,NA())</f>
        <v/>
      </c>
      <c r="FV55">
        <f>IF(FM55="alto",FT55-FN55,NA())</f>
        <v/>
      </c>
      <c r="HK55" t="n">
        <v>12</v>
      </c>
      <c r="HL55" t="n">
        <v>56</v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  <c r="FJ56">
        <f>Base_mundial!A513</f>
        <v/>
      </c>
      <c r="FK56">
        <f>Base_mundial!C513</f>
        <v/>
      </c>
      <c r="FL56">
        <f>Base_mundial!D513</f>
        <v/>
      </c>
      <c r="FM56" t="inlineStr">
        <is>
          <t>bajo</t>
        </is>
      </c>
      <c r="FN56">
        <f>DEGREES(ATAN(FL56/FK56))</f>
        <v/>
      </c>
      <c r="FO56">
        <f>LN(FL56)-LN(sref^(1-0.85)*FK56^0.85)</f>
        <v/>
      </c>
      <c r="FP56">
        <f>LN(FL56)-LN(FK56)</f>
        <v/>
      </c>
      <c r="FQ56">
        <f>AVERAGEIFS(FO3:FO69,FJ3:FJ69,FJ56,FM3:FM69,"bajo")</f>
        <v/>
      </c>
      <c r="FR56">
        <f>AVERAGEIFS(FP3:FP69,FJ3:FJ69,FJ56,FM3:FM69,"bajo")</f>
        <v/>
      </c>
      <c r="FS56">
        <f>IF(FM56="alto",DEGREES(ATAN(EXP(FQ56)*sref^(1-0.85)*FK56^0.85/FK56)),NA())</f>
        <v/>
      </c>
      <c r="FT56">
        <f>IF(FM56="alto",DEGREES(ATAN(EXP(FR56)*sref^(1-1.0)*FK56^1.0/FK56)),NA())</f>
        <v/>
      </c>
      <c r="FU56">
        <f>IF(FM56="alto",FS56-FN56,NA())</f>
        <v/>
      </c>
      <c r="FV56">
        <f>IF(FM56="alto",FT56-FN56,NA())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  <c r="FJ57">
        <f>Base_mundial!A515</f>
        <v/>
      </c>
      <c r="FK57">
        <f>Base_mundial!C515</f>
        <v/>
      </c>
      <c r="FL57">
        <f>Base_mundial!D515</f>
        <v/>
      </c>
      <c r="FM57" t="inlineStr">
        <is>
          <t>alto</t>
        </is>
      </c>
      <c r="FN57">
        <f>DEGREES(ATAN(FL57/FK57))</f>
        <v/>
      </c>
      <c r="FO57">
        <f>LN(FL57)-LN(sref^(1-0.85)*FK57^0.85)</f>
        <v/>
      </c>
      <c r="FP57">
        <f>LN(FL57)-LN(FK57)</f>
        <v/>
      </c>
      <c r="FQ57">
        <f>AVERAGEIFS(FO3:FO69,FJ3:FJ69,FJ57,FM3:FM69,"bajo")</f>
        <v/>
      </c>
      <c r="FR57">
        <f>AVERAGEIFS(FP3:FP69,FJ3:FJ69,FJ57,FM3:FM69,"bajo")</f>
        <v/>
      </c>
      <c r="FS57">
        <f>IF(FM57="alto",DEGREES(ATAN(EXP(FQ57)*sref^(1-0.85)*FK57^0.85/FK57)),NA())</f>
        <v/>
      </c>
      <c r="FT57">
        <f>IF(FM57="alto",DEGREES(ATAN(EXP(FR57)*sref^(1-1.0)*FK57^1.0/FK57)),NA())</f>
        <v/>
      </c>
      <c r="FU57">
        <f>IF(FM57="alto",FS57-FN57,NA())</f>
        <v/>
      </c>
      <c r="FV57">
        <f>IF(FM57="alto",FT57-FN57,NA())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  <c r="FJ58">
        <f>Base_mundial!A520</f>
        <v/>
      </c>
      <c r="FK58">
        <f>Base_mundial!C520</f>
        <v/>
      </c>
      <c r="FL58">
        <f>Base_mundial!D520</f>
        <v/>
      </c>
      <c r="FM58" t="inlineStr">
        <is>
          <t>bajo</t>
        </is>
      </c>
      <c r="FN58">
        <f>DEGREES(ATAN(FL58/FK58))</f>
        <v/>
      </c>
      <c r="FO58">
        <f>LN(FL58)-LN(sref^(1-0.85)*FK58^0.85)</f>
        <v/>
      </c>
      <c r="FP58">
        <f>LN(FL58)-LN(FK58)</f>
        <v/>
      </c>
      <c r="FQ58">
        <f>AVERAGEIFS(FO3:FO69,FJ3:FJ69,FJ58,FM3:FM69,"bajo")</f>
        <v/>
      </c>
      <c r="FR58">
        <f>AVERAGEIFS(FP3:FP69,FJ3:FJ69,FJ58,FM3:FM69,"bajo")</f>
        <v/>
      </c>
      <c r="FS58">
        <f>IF(FM58="alto",DEGREES(ATAN(EXP(FQ58)*sref^(1-0.85)*FK58^0.85/FK58)),NA())</f>
        <v/>
      </c>
      <c r="FT58">
        <f>IF(FM58="alto",DEGREES(ATAN(EXP(FR58)*sref^(1-1.0)*FK58^1.0/FK58)),NA())</f>
        <v/>
      </c>
      <c r="FU58">
        <f>IF(FM58="alto",FS58-FN58,NA())</f>
        <v/>
      </c>
      <c r="FV58">
        <f>IF(FM58="alto",FT58-FN58,NA())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  <c r="FJ59">
        <f>Base_mundial!A521</f>
        <v/>
      </c>
      <c r="FK59">
        <f>Base_mundial!C521</f>
        <v/>
      </c>
      <c r="FL59">
        <f>Base_mundial!D521</f>
        <v/>
      </c>
      <c r="FM59" t="inlineStr">
        <is>
          <t>bajo</t>
        </is>
      </c>
      <c r="FN59">
        <f>DEGREES(ATAN(FL59/FK59))</f>
        <v/>
      </c>
      <c r="FO59">
        <f>LN(FL59)-LN(sref^(1-0.85)*FK59^0.85)</f>
        <v/>
      </c>
      <c r="FP59">
        <f>LN(FL59)-LN(FK59)</f>
        <v/>
      </c>
      <c r="FQ59">
        <f>AVERAGEIFS(FO3:FO69,FJ3:FJ69,FJ59,FM3:FM69,"bajo")</f>
        <v/>
      </c>
      <c r="FR59">
        <f>AVERAGEIFS(FP3:FP69,FJ3:FJ69,FJ59,FM3:FM69,"bajo")</f>
        <v/>
      </c>
      <c r="FS59">
        <f>IF(FM59="alto",DEGREES(ATAN(EXP(FQ59)*sref^(1-0.85)*FK59^0.85/FK59)),NA())</f>
        <v/>
      </c>
      <c r="FT59">
        <f>IF(FM59="alto",DEGREES(ATAN(EXP(FR59)*sref^(1-1.0)*FK59^1.0/FK59)),NA())</f>
        <v/>
      </c>
      <c r="FU59">
        <f>IF(FM59="alto",FS59-FN59,NA())</f>
        <v/>
      </c>
      <c r="FV59">
        <f>IF(FM59="alto",FT59-FN59,NA())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  <c r="FJ60">
        <f>Base_mundial!A523</f>
        <v/>
      </c>
      <c r="FK60">
        <f>Base_mundial!C523</f>
        <v/>
      </c>
      <c r="FL60">
        <f>Base_mundial!D523</f>
        <v/>
      </c>
      <c r="FM60" t="inlineStr">
        <is>
          <t>alto</t>
        </is>
      </c>
      <c r="FN60">
        <f>DEGREES(ATAN(FL60/FK60))</f>
        <v/>
      </c>
      <c r="FO60">
        <f>LN(FL60)-LN(sref^(1-0.85)*FK60^0.85)</f>
        <v/>
      </c>
      <c r="FP60">
        <f>LN(FL60)-LN(FK60)</f>
        <v/>
      </c>
      <c r="FQ60">
        <f>AVERAGEIFS(FO3:FO69,FJ3:FJ69,FJ60,FM3:FM69,"bajo")</f>
        <v/>
      </c>
      <c r="FR60">
        <f>AVERAGEIFS(FP3:FP69,FJ3:FJ69,FJ60,FM3:FM69,"bajo")</f>
        <v/>
      </c>
      <c r="FS60">
        <f>IF(FM60="alto",DEGREES(ATAN(EXP(FQ60)*sref^(1-0.85)*FK60^0.85/FK60)),NA())</f>
        <v/>
      </c>
      <c r="FT60">
        <f>IF(FM60="alto",DEGREES(ATAN(EXP(FR60)*sref^(1-1.0)*FK60^1.0/FK60)),NA())</f>
        <v/>
      </c>
      <c r="FU60">
        <f>IF(FM60="alto",FS60-FN60,NA())</f>
        <v/>
      </c>
      <c r="FV60">
        <f>IF(FM60="alto",FT60-FN60,NA())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  <c r="FJ61">
        <f>Base_mundial!A524</f>
        <v/>
      </c>
      <c r="FK61">
        <f>Base_mundial!C524</f>
        <v/>
      </c>
      <c r="FL61">
        <f>Base_mundial!D524</f>
        <v/>
      </c>
      <c r="FM61" t="inlineStr">
        <is>
          <t>bajo</t>
        </is>
      </c>
      <c r="FN61">
        <f>DEGREES(ATAN(FL61/FK61))</f>
        <v/>
      </c>
      <c r="FO61">
        <f>LN(FL61)-LN(sref^(1-0.85)*FK61^0.85)</f>
        <v/>
      </c>
      <c r="FP61">
        <f>LN(FL61)-LN(FK61)</f>
        <v/>
      </c>
      <c r="FQ61">
        <f>AVERAGEIFS(FO3:FO69,FJ3:FJ69,FJ61,FM3:FM69,"bajo")</f>
        <v/>
      </c>
      <c r="FR61">
        <f>AVERAGEIFS(FP3:FP69,FJ3:FJ69,FJ61,FM3:FM69,"bajo")</f>
        <v/>
      </c>
      <c r="FS61">
        <f>IF(FM61="alto",DEGREES(ATAN(EXP(FQ61)*sref^(1-0.85)*FK61^0.85/FK61)),NA())</f>
        <v/>
      </c>
      <c r="FT61">
        <f>IF(FM61="alto",DEGREES(ATAN(EXP(FR61)*sref^(1-1.0)*FK61^1.0/FK61)),NA())</f>
        <v/>
      </c>
      <c r="FU61">
        <f>IF(FM61="alto",FS61-FN61,NA())</f>
        <v/>
      </c>
      <c r="FV61">
        <f>IF(FM61="alto",FT61-FN61,NA())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  <c r="FJ62">
        <f>Base_mundial!A525</f>
        <v/>
      </c>
      <c r="FK62">
        <f>Base_mundial!C525</f>
        <v/>
      </c>
      <c r="FL62">
        <f>Base_mundial!D525</f>
        <v/>
      </c>
      <c r="FM62" t="inlineStr">
        <is>
          <t>bajo</t>
        </is>
      </c>
      <c r="FN62">
        <f>DEGREES(ATAN(FL62/FK62))</f>
        <v/>
      </c>
      <c r="FO62">
        <f>LN(FL62)-LN(sref^(1-0.85)*FK62^0.85)</f>
        <v/>
      </c>
      <c r="FP62">
        <f>LN(FL62)-LN(FK62)</f>
        <v/>
      </c>
      <c r="FQ62">
        <f>AVERAGEIFS(FO3:FO69,FJ3:FJ69,FJ62,FM3:FM69,"bajo")</f>
        <v/>
      </c>
      <c r="FR62">
        <f>AVERAGEIFS(FP3:FP69,FJ3:FJ69,FJ62,FM3:FM69,"bajo")</f>
        <v/>
      </c>
      <c r="FS62">
        <f>IF(FM62="alto",DEGREES(ATAN(EXP(FQ62)*sref^(1-0.85)*FK62^0.85/FK62)),NA())</f>
        <v/>
      </c>
      <c r="FT62">
        <f>IF(FM62="alto",DEGREES(ATAN(EXP(FR62)*sref^(1-1.0)*FK62^1.0/FK62)),NA())</f>
        <v/>
      </c>
      <c r="FU62">
        <f>IF(FM62="alto",FS62-FN62,NA())</f>
        <v/>
      </c>
      <c r="FV62">
        <f>IF(FM62="alto",FT62-FN62,NA())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  <c r="FJ63">
        <f>Base_mundial!A527</f>
        <v/>
      </c>
      <c r="FK63">
        <f>Base_mundial!C527</f>
        <v/>
      </c>
      <c r="FL63">
        <f>Base_mundial!D527</f>
        <v/>
      </c>
      <c r="FM63" t="inlineStr">
        <is>
          <t>alto</t>
        </is>
      </c>
      <c r="FN63">
        <f>DEGREES(ATAN(FL63/FK63))</f>
        <v/>
      </c>
      <c r="FO63">
        <f>LN(FL63)-LN(sref^(1-0.85)*FK63^0.85)</f>
        <v/>
      </c>
      <c r="FP63">
        <f>LN(FL63)-LN(FK63)</f>
        <v/>
      </c>
      <c r="FQ63">
        <f>AVERAGEIFS(FO3:FO69,FJ3:FJ69,FJ63,FM3:FM69,"bajo")</f>
        <v/>
      </c>
      <c r="FR63">
        <f>AVERAGEIFS(FP3:FP69,FJ3:FJ69,FJ63,FM3:FM69,"bajo")</f>
        <v/>
      </c>
      <c r="FS63">
        <f>IF(FM63="alto",DEGREES(ATAN(EXP(FQ63)*sref^(1-0.85)*FK63^0.85/FK63)),NA())</f>
        <v/>
      </c>
      <c r="FT63">
        <f>IF(FM63="alto",DEGREES(ATAN(EXP(FR63)*sref^(1-1.0)*FK63^1.0/FK63)),NA())</f>
        <v/>
      </c>
      <c r="FU63">
        <f>IF(FM63="alto",FS63-FN63,NA())</f>
        <v/>
      </c>
      <c r="FV63">
        <f>IF(FM63="alto",FT63-FN63,NA())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  <c r="FJ64">
        <f>Base_mundial!A528</f>
        <v/>
      </c>
      <c r="FK64">
        <f>Base_mundial!C528</f>
        <v/>
      </c>
      <c r="FL64">
        <f>Base_mundial!D528</f>
        <v/>
      </c>
      <c r="FM64" t="inlineStr">
        <is>
          <t>bajo</t>
        </is>
      </c>
      <c r="FN64">
        <f>DEGREES(ATAN(FL64/FK64))</f>
        <v/>
      </c>
      <c r="FO64">
        <f>LN(FL64)-LN(sref^(1-0.85)*FK64^0.85)</f>
        <v/>
      </c>
      <c r="FP64">
        <f>LN(FL64)-LN(FK64)</f>
        <v/>
      </c>
      <c r="FQ64">
        <f>AVERAGEIFS(FO3:FO69,FJ3:FJ69,FJ64,FM3:FM69,"bajo")</f>
        <v/>
      </c>
      <c r="FR64">
        <f>AVERAGEIFS(FP3:FP69,FJ3:FJ69,FJ64,FM3:FM69,"bajo")</f>
        <v/>
      </c>
      <c r="FS64">
        <f>IF(FM64="alto",DEGREES(ATAN(EXP(FQ64)*sref^(1-0.85)*FK64^0.85/FK64)),NA())</f>
        <v/>
      </c>
      <c r="FT64">
        <f>IF(FM64="alto",DEGREES(ATAN(EXP(FR64)*sref^(1-1.0)*FK64^1.0/FK64)),NA())</f>
        <v/>
      </c>
      <c r="FU64">
        <f>IF(FM64="alto",FS64-FN64,NA())</f>
        <v/>
      </c>
      <c r="FV64">
        <f>IF(FM64="alto",FT64-FN64,NA())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  <c r="FJ65">
        <f>Base_mundial!A529</f>
        <v/>
      </c>
      <c r="FK65">
        <f>Base_mundial!C529</f>
        <v/>
      </c>
      <c r="FL65">
        <f>Base_mundial!D529</f>
        <v/>
      </c>
      <c r="FM65" t="inlineStr">
        <is>
          <t>bajo</t>
        </is>
      </c>
      <c r="FN65">
        <f>DEGREES(ATAN(FL65/FK65))</f>
        <v/>
      </c>
      <c r="FO65">
        <f>LN(FL65)-LN(sref^(1-0.85)*FK65^0.85)</f>
        <v/>
      </c>
      <c r="FP65">
        <f>LN(FL65)-LN(FK65)</f>
        <v/>
      </c>
      <c r="FQ65">
        <f>AVERAGEIFS(FO3:FO69,FJ3:FJ69,FJ65,FM3:FM69,"bajo")</f>
        <v/>
      </c>
      <c r="FR65">
        <f>AVERAGEIFS(FP3:FP69,FJ3:FJ69,FJ65,FM3:FM69,"bajo")</f>
        <v/>
      </c>
      <c r="FS65">
        <f>IF(FM65="alto",DEGREES(ATAN(EXP(FQ65)*sref^(1-0.85)*FK65^0.85/FK65)),NA())</f>
        <v/>
      </c>
      <c r="FT65">
        <f>IF(FM65="alto",DEGREES(ATAN(EXP(FR65)*sref^(1-1.0)*FK65^1.0/FK65)),NA())</f>
        <v/>
      </c>
      <c r="FU65">
        <f>IF(FM65="alto",FS65-FN65,NA())</f>
        <v/>
      </c>
      <c r="FV65">
        <f>IF(FM65="alto",FT65-FN65,NA())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  <c r="FJ66">
        <f>Base_mundial!A531</f>
        <v/>
      </c>
      <c r="FK66">
        <f>Base_mundial!C531</f>
        <v/>
      </c>
      <c r="FL66">
        <f>Base_mundial!D531</f>
        <v/>
      </c>
      <c r="FM66" t="inlineStr">
        <is>
          <t>alto</t>
        </is>
      </c>
      <c r="FN66">
        <f>DEGREES(ATAN(FL66/FK66))</f>
        <v/>
      </c>
      <c r="FO66">
        <f>LN(FL66)-LN(sref^(1-0.85)*FK66^0.85)</f>
        <v/>
      </c>
      <c r="FP66">
        <f>LN(FL66)-LN(FK66)</f>
        <v/>
      </c>
      <c r="FQ66">
        <f>AVERAGEIFS(FO3:FO69,FJ3:FJ69,FJ66,FM3:FM69,"bajo")</f>
        <v/>
      </c>
      <c r="FR66">
        <f>AVERAGEIFS(FP3:FP69,FJ3:FJ69,FJ66,FM3:FM69,"bajo")</f>
        <v/>
      </c>
      <c r="FS66">
        <f>IF(FM66="alto",DEGREES(ATAN(EXP(FQ66)*sref^(1-0.85)*FK66^0.85/FK66)),NA())</f>
        <v/>
      </c>
      <c r="FT66">
        <f>IF(FM66="alto",DEGREES(ATAN(EXP(FR66)*sref^(1-1.0)*FK66^1.0/FK66)),NA())</f>
        <v/>
      </c>
      <c r="FU66">
        <f>IF(FM66="alto",FS66-FN66,NA())</f>
        <v/>
      </c>
      <c r="FV66">
        <f>IF(FM66="alto",FT66-FN66,NA())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  <c r="FJ67">
        <f>Base_mundial!A532</f>
        <v/>
      </c>
      <c r="FK67">
        <f>Base_mundial!C532</f>
        <v/>
      </c>
      <c r="FL67">
        <f>Base_mundial!D532</f>
        <v/>
      </c>
      <c r="FM67" t="inlineStr">
        <is>
          <t>bajo</t>
        </is>
      </c>
      <c r="FN67">
        <f>DEGREES(ATAN(FL67/FK67))</f>
        <v/>
      </c>
      <c r="FO67">
        <f>LN(FL67)-LN(sref^(1-0.85)*FK67^0.85)</f>
        <v/>
      </c>
      <c r="FP67">
        <f>LN(FL67)-LN(FK67)</f>
        <v/>
      </c>
      <c r="FQ67">
        <f>AVERAGEIFS(FO3:FO69,FJ3:FJ69,FJ67,FM3:FM69,"bajo")</f>
        <v/>
      </c>
      <c r="FR67">
        <f>AVERAGEIFS(FP3:FP69,FJ3:FJ69,FJ67,FM3:FM69,"bajo")</f>
        <v/>
      </c>
      <c r="FS67">
        <f>IF(FM67="alto",DEGREES(ATAN(EXP(FQ67)*sref^(1-0.85)*FK67^0.85/FK67)),NA())</f>
        <v/>
      </c>
      <c r="FT67">
        <f>IF(FM67="alto",DEGREES(ATAN(EXP(FR67)*sref^(1-1.0)*FK67^1.0/FK67)),NA())</f>
        <v/>
      </c>
      <c r="FU67">
        <f>IF(FM67="alto",FS67-FN67,NA())</f>
        <v/>
      </c>
      <c r="FV67">
        <f>IF(FM67="alto",FT67-FN67,NA())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  <c r="FJ68">
        <f>Base_mundial!A533</f>
        <v/>
      </c>
      <c r="FK68">
        <f>Base_mundial!C533</f>
        <v/>
      </c>
      <c r="FL68">
        <f>Base_mundial!D533</f>
        <v/>
      </c>
      <c r="FM68" t="inlineStr">
        <is>
          <t>bajo</t>
        </is>
      </c>
      <c r="FN68">
        <f>DEGREES(ATAN(FL68/FK68))</f>
        <v/>
      </c>
      <c r="FO68">
        <f>LN(FL68)-LN(sref^(1-0.85)*FK68^0.85)</f>
        <v/>
      </c>
      <c r="FP68">
        <f>LN(FL68)-LN(FK68)</f>
        <v/>
      </c>
      <c r="FQ68">
        <f>AVERAGEIFS(FO3:FO69,FJ3:FJ69,FJ68,FM3:FM69,"bajo")</f>
        <v/>
      </c>
      <c r="FR68">
        <f>AVERAGEIFS(FP3:FP69,FJ3:FJ69,FJ68,FM3:FM69,"bajo")</f>
        <v/>
      </c>
      <c r="FS68">
        <f>IF(FM68="alto",DEGREES(ATAN(EXP(FQ68)*sref^(1-0.85)*FK68^0.85/FK68)),NA())</f>
        <v/>
      </c>
      <c r="FT68">
        <f>IF(FM68="alto",DEGREES(ATAN(EXP(FR68)*sref^(1-1.0)*FK68^1.0/FK68)),NA())</f>
        <v/>
      </c>
      <c r="FU68">
        <f>IF(FM68="alto",FS68-FN68,NA())</f>
        <v/>
      </c>
      <c r="FV68">
        <f>IF(FM68="alto",FT68-FN68,NA())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  <c r="FJ69">
        <f>Base_mundial!A535</f>
        <v/>
      </c>
      <c r="FK69">
        <f>Base_mundial!C535</f>
        <v/>
      </c>
      <c r="FL69">
        <f>Base_mundial!D535</f>
        <v/>
      </c>
      <c r="FM69" t="inlineStr">
        <is>
          <t>alto</t>
        </is>
      </c>
      <c r="FN69">
        <f>DEGREES(ATAN(FL69/FK69))</f>
        <v/>
      </c>
      <c r="FO69">
        <f>LN(FL69)-LN(sref^(1-0.85)*FK69^0.85)</f>
        <v/>
      </c>
      <c r="FP69">
        <f>LN(FL69)-LN(FK69)</f>
        <v/>
      </c>
      <c r="FQ69">
        <f>AVERAGEIFS(FO3:FO69,FJ3:FJ69,FJ69,FM3:FM69,"bajo")</f>
        <v/>
      </c>
      <c r="FR69">
        <f>AVERAGEIFS(FP3:FP69,FJ3:FJ69,FJ69,FM3:FM69,"bajo")</f>
        <v/>
      </c>
      <c r="FS69">
        <f>IF(FM69="alto",DEGREES(ATAN(EXP(FQ69)*sref^(1-0.85)*FK69^0.85/FK69)),NA())</f>
        <v/>
      </c>
      <c r="FT69">
        <f>IF(FM69="alto",DEGREES(ATAN(EXP(FR69)*sref^(1-1.0)*FK69^1.0/FK69)),NA())</f>
        <v/>
      </c>
      <c r="FU69">
        <f>IF(FM69="alto",FS69-FN69,NA())</f>
        <v/>
      </c>
      <c r="FV69">
        <f>IF(FM69="alto",FT69-FN69,NA())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2026-10-13T22:55:15Z</dcterms:created>
  <dcterms:modified xmlns:dcterms="http://purl.org/dc/terms/" xmlns:xsi="http://www.w3.org/2001/XMLSchema-instance" xsi:type="dcterms:W3CDTF">2026-10-13T22:55:17Z</dcterms:modified>
</cp:coreProperties>
</file>