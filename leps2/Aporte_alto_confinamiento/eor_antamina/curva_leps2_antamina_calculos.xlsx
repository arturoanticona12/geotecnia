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me" sheetId="1" state="visible" r:id="rId1"/>
    <sheet xmlns:r="http://schemas.openxmlformats.org/officeDocument/2006/relationships" name="Figuras" sheetId="2" state="visible" r:id="rId2"/>
    <sheet xmlns:r="http://schemas.openxmlformats.org/officeDocument/2006/relationships" name="Parametros" sheetId="3" state="visible" r:id="rId3"/>
    <sheet xmlns:r="http://schemas.openxmlformats.org/officeDocument/2006/relationships" name="Ensayos" sheetId="4" state="visible" r:id="rId4"/>
    <sheet xmlns:r="http://schemas.openxmlformats.org/officeDocument/2006/relationships" name="Curva" sheetId="5" state="visible" r:id="rId5"/>
    <sheet xmlns:r="http://schemas.openxmlformats.org/officeDocument/2006/relationships" name="phi1_vs_e" sheetId="6" state="visible" r:id="rId6"/>
    <sheet xmlns:r="http://schemas.openxmlformats.org/officeDocument/2006/relationships" name="Hipotesis_m" sheetId="7" state="visible" r:id="rId7"/>
    <sheet xmlns:r="http://schemas.openxmlformats.org/officeDocument/2006/relationships" name="Base_mundial" sheetId="8" state="visible" r:id="rId8"/>
    <sheet xmlns:r="http://schemas.openxmlformats.org/officeDocument/2006/relationships" name="Ajuste" sheetId="9" state="visible" r:id="rId9"/>
    <sheet xmlns:r="http://schemas.openxmlformats.org/officeDocument/2006/relationships" name="FLAC_tangente" sheetId="10" state="visible" r:id="rId10"/>
    <sheet xmlns:r="http://schemas.openxmlformats.org/officeDocument/2006/relationships" name="Relacion_vacios" sheetId="11" state="visible" r:id="rId11"/>
    <sheet xmlns:r="http://schemas.openxmlformats.org/officeDocument/2006/relationships" name="Perfiles_e" sheetId="12" state="visible" r:id="rId12"/>
    <sheet xmlns:r="http://schemas.openxmlformats.org/officeDocument/2006/relationships" name="Edometros" sheetId="13" state="visible" r:id="rId13"/>
    <sheet xmlns:r="http://schemas.openxmlformats.org/officeDocument/2006/relationships" name="Tamano_particula" sheetId="14" state="visible" r:id="rId14"/>
    <sheet xmlns:r="http://schemas.openxmlformats.org/officeDocument/2006/relationships" name="Datos_figuras" sheetId="15" state="visible" r:id="rId15"/>
  </sheets>
  <definedNames>
    <definedName name="pe0">Parametros!$B$2</definedName>
    <definedName name="omega">Parametros!$B$3</definedName>
    <definedName name="m_">Parametros!$B$4</definedName>
    <definedName name="e_base">Parametros!$B$5</definedName>
    <definedName name="pa">Parametros!$B$6</definedName>
    <definedName name="sref">Parametros!$B$7</definedName>
    <definedName name="tope">Parametros!$B$9</definedName>
    <definedName name="cc_bajo">Parametros!$B$19</definedName>
    <definedName name="cc_alto">Parametros!$B$20</definedName>
    <definedName name="sv_piso">Parametros!$B$21</definedName>
    <definedName name="c_ds">Parametros!$B$22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1F4E9E"/>
    </font>
    <font/>
    <font>
      <i val="1"/>
    </font>
  </fonts>
  <fills count="4">
    <fill>
      <patternFill/>
    </fill>
    <fill>
      <patternFill patternType="gray125"/>
    </fill>
    <fill>
      <patternFill patternType="solid">
        <fgColor rgb="00E8E6F2"/>
      </patternFill>
    </fill>
    <fill>
      <patternFill patternType="solid">
        <fgColor rgb="00EA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3"/>
  <chart>
    <plotArea>
      <scatterChart>
        <scatterStyle val="lineMarker"/>
        <ser>
          <idx val="0"/>
          <order val="0"/>
          <tx>
            <v>Curva propuesta: φ′1 = 48.5° − 20°·e</v>
          </tx>
          <spPr>
            <a:ln xmlns:a="http://schemas.openxmlformats.org/drawingml/2006/main" w="27940">
              <a:solidFill>
                <a:srgbClr val="4A3A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'Datos_figuras'!$BS$3:$BS$4</f>
            </numRef>
          </xVal>
          <yVal>
            <numRef>
              <f>'Datos_figuras'!$BT$3:$BT$4</f>
            </numRef>
          </yVal>
          <smooth val="0"/>
        </ser>
        <ser>
          <idx val="1"/>
          <order val="1"/>
          <tx>
            <v>Leps (1970), envolvente superior (φ′1 = 46°)</v>
          </tx>
          <spPr>
            <a:ln xmlns:a="http://schemas.openxmlformats.org/drawingml/2006/main" w="12700">
              <a:solidFill>
                <a:srgbClr val="8A8984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'Datos_figuras'!$BS$3:$BS$4</f>
            </numRef>
          </xVal>
          <yVal>
            <numRef>
              <f>'Datos_figuras'!$BU$3:$BU$4</f>
            </numRef>
          </yVal>
          <smooth val="0"/>
        </ser>
        <ser>
          <idx val="2"/>
          <order val="2"/>
          <tx>
            <v>Leps (1970), envolvente media (φ′1 = 41°)</v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'Datos_figuras'!$BS$3:$BS$4</f>
            </numRef>
          </xVal>
          <yVal>
            <numRef>
              <f>'Datos_figuras'!$BV$3:$BV$4</f>
            </numRef>
          </yVal>
          <smooth val="0"/>
        </ser>
        <ser>
          <idx val="3"/>
          <order val="3"/>
          <tx>
            <v>Leps (1970), envolvente inferior (φ′1 = 36°)</v>
          </tx>
          <spPr>
            <a:ln xmlns:a="http://schemas.openxmlformats.org/drawingml/2006/main" w="12700">
              <a:solidFill>
                <a:srgbClr val="8A8984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'Datos_figuras'!$BS$3:$BS$4</f>
            </numRef>
          </xVal>
          <yVal>
            <numRef>
              <f>'Datos_figuras'!$BW$3:$BW$4</f>
            </numRef>
          </yVal>
          <smooth val="0"/>
        </ser>
        <ser>
          <idx val="4"/>
          <order val="4"/>
          <tx>
            <v>Cota inferior de Indraratna et al. (1993) (φ′1 = 33°)</v>
          </tx>
          <spPr>
            <a:ln xmlns:a="http://schemas.openxmlformats.org/drawingml/2006/main" w="12700">
              <a:solidFill>
                <a:srgbClr val="8A89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'Datos_figuras'!$BS$3:$BS$4</f>
            </numRef>
          </xVal>
          <yVal>
            <numRef>
              <f>'Datos_figuras'!$BX$3:$BX$4</f>
            </numRef>
          </yVal>
          <smooth val="0"/>
        </ser>
        <ser>
          <idx val="5"/>
          <order val="5"/>
          <tx>
            <v>Mármol, triaxial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A78D6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'Datos_figuras'!$BI$3:$BI$15</f>
            </numRef>
          </xVal>
          <yVal>
            <numRef>
              <f>'Datos_figuras'!$BJ$3:$BJ$15</f>
            </numRef>
          </yVal>
          <smooth val="0"/>
        </ser>
        <ser>
          <idx val="6"/>
          <order val="6"/>
          <tx>
            <v>Mármol, corte directo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15240">
                <a:solidFill>
                  <a:srgbClr val="2A78D6"/>
                </a:solidFill>
                <a:prstDash val="solid"/>
              </a:ln>
            </spPr>
          </marker>
          <xVal>
            <numRef>
              <f>'Datos_figuras'!$BI$3:$BI$15</f>
            </numRef>
          </xVal>
          <yVal>
            <numRef>
              <f>'Datos_figuras'!$BK$3:$BK$15</f>
            </numRef>
          </yVal>
          <smooth val="0"/>
        </ser>
        <ser>
          <idx val="7"/>
          <order val="7"/>
          <tx>
            <v>Hornfels, triaxial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EB6834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'Datos_figuras'!$BI$3:$BI$15</f>
            </numRef>
          </xVal>
          <yVal>
            <numRef>
              <f>'Datos_figuras'!$BL$3:$BL$15</f>
            </numRef>
          </yVal>
          <smooth val="0"/>
        </ser>
        <ser>
          <idx val="8"/>
          <order val="8"/>
          <tx>
            <v>Hornfels, corte directo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noFill xmlns:a="http://schemas.openxmlformats.org/drawingml/2006/main"/>
              <a:ln xmlns:a="http://schemas.openxmlformats.org/drawingml/2006/main" w="15240">
                <a:solidFill>
                  <a:srgbClr val="EB6834"/>
                </a:solidFill>
                <a:prstDash val="solid"/>
              </a:ln>
            </spPr>
          </marker>
          <xVal>
            <numRef>
              <f>'Datos_figuras'!$BI$3:$BI$15</f>
            </numRef>
          </xVal>
          <yVal>
            <numRef>
              <f>'Datos_figuras'!$BM$3:$BM$15</f>
            </numRef>
          </yVal>
          <smooth val="0"/>
        </ser>
        <ser>
          <idx val="9"/>
          <order val="9"/>
          <tx>
            <v>Intrusivo, triaxial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7"/>
            <spPr>
              <a:solidFill xmlns:a="http://schemas.openxmlformats.org/drawingml/2006/main">
                <a:srgbClr val="1BAF7A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'Datos_figuras'!$BI$3:$BI$15</f>
            </numRef>
          </xVal>
          <yVal>
            <numRef>
              <f>'Datos_figuras'!$BN$3:$BN$15</f>
            </numRef>
          </yVal>
          <smooth val="0"/>
        </ser>
        <ser>
          <idx val="10"/>
          <order val="10"/>
          <tx>
            <v>Intrusivo, corte directo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7"/>
            <spPr>
              <a:noFill xmlns:a="http://schemas.openxmlformats.org/drawingml/2006/main"/>
              <a:ln xmlns:a="http://schemas.openxmlformats.org/drawingml/2006/main" w="15240">
                <a:solidFill>
                  <a:srgbClr val="1BAF7A"/>
                </a:solidFill>
                <a:prstDash val="solid"/>
              </a:ln>
            </spPr>
          </marker>
          <xVal>
            <numRef>
              <f>'Datos_figuras'!$BI$3:$BI$15</f>
            </numRef>
          </xVal>
          <yVal>
            <numRef>
              <f>'Datos_figuras'!$BO$3:$BO$15</f>
            </numRef>
          </yVal>
          <smooth val="0"/>
        </ser>
        <ser>
          <idx val="11"/>
          <order val="11"/>
          <tx>
            <v>Mezclas, triaxial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7"/>
            <spPr>
              <a:solidFill xmlns:a="http://schemas.openxmlformats.org/drawingml/2006/main">
                <a:srgbClr val="EDA100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'Datos_figuras'!$BI$3:$BI$15</f>
            </numRef>
          </xVal>
          <yVal>
            <numRef>
              <f>'Datos_figuras'!$BP$3:$BP$15</f>
            </numRef>
          </yVal>
          <smooth val="0"/>
        </ser>
        <ser>
          <idx val="12"/>
          <order val="12"/>
          <tx>
            <v>Mezclas, corte directo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7"/>
            <spPr>
              <a:noFill xmlns:a="http://schemas.openxmlformats.org/drawingml/2006/main"/>
              <a:ln xmlns:a="http://schemas.openxmlformats.org/drawingml/2006/main" w="15240">
                <a:solidFill>
                  <a:srgbClr val="EDA100"/>
                </a:solidFill>
                <a:prstDash val="solid"/>
              </a:ln>
            </spPr>
          </marker>
          <xVal>
            <numRef>
              <f>'Datos_figuras'!$BI$3:$BI$15</f>
            </numRef>
          </xVal>
          <yVal>
            <numRef>
              <f>'Datos_figuras'!$BQ$3:$BQ$15</f>
            </numRef>
          </yVal>
          <smooth val="0"/>
        </ser>
        <axId val="10"/>
        <axId val="20"/>
      </scatterChart>
      <valAx>
        <axId val="10"/>
        <scaling>
          <orientation val="minMax"/>
          <max val="0.55"/>
          <min val="0.2"/>
        </scaling>
        <delete val="0"/>
        <axPos val="l"/>
        <majorGridlines>
          <spPr>
            <a:ln xmlns:a="http://schemas.openxmlformats.org/drawingml/2006/main" w="762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Relación de vacíos inicial del ensayo, e0 (media del set)</a:t>
                </a:r>
              </a:p>
            </rich>
          </tx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8A898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20"/>
        <crosses val="min"/>
      </valAx>
      <valAx>
        <axId val="20"/>
        <scaling>
          <orientation val="minMax"/>
          <max val="50"/>
          <min val="32"/>
        </scaling>
        <delete val="0"/>
        <axPos val="l"/>
        <majorGridlines>
          <spPr>
            <a:ln xmlns:a="http://schemas.openxmlformats.org/drawingml/2006/main" w="762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φ′1 del set (°), ángulo secante a σ′n = 10pa</a:t>
                </a:r>
              </a:p>
            </rich>
          </tx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8A898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10"/>
        <crosses val="min"/>
        <majorUnit val="2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plotArea>
      <scatterChart>
        <scatterStyle val="lineMarker"/>
        <ser>
          <idx val="0"/>
          <order val="0"/>
          <tx>
            <v>4.62–7.86 MPa: sin ensayos de Antamina</v>
          </tx>
          <spPr>
            <a:ln xmlns:a="http://schemas.openxmlformats.org/drawingml/2006/main" w="57150">
              <a:solidFill>
                <a:srgbClr val="EFEEE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'Datos_figuras'!$W$3:$W$80</f>
            </numRef>
          </xVal>
          <yVal>
            <numRef>
              <f>'Datos_figuras'!$X$3:$X$80</f>
            </numRef>
          </yVal>
          <smooth val="0"/>
        </ser>
        <ser>
          <idx val="1"/>
          <order val="1"/>
          <tx>
            <v>Sobre 7.86 MPa: extrapolación</v>
          </tx>
          <spPr>
            <a:ln xmlns:a="http://schemas.openxmlformats.org/drawingml/2006/main" w="9525">
              <a:solidFill>
                <a:srgbClr val="D2D1C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'Datos_figuras'!$Y$3:$Y$80</f>
            </numRef>
          </xVal>
          <yVal>
            <numRef>
              <f>'Datos_figuras'!$Z$3:$Z$80</f>
            </numRef>
          </yVal>
          <smooth val="0"/>
        </ser>
        <ser>
          <idx val="2"/>
          <order val="2"/>
          <tx>
            <v>Incertidumbre de la curva</v>
          </tx>
          <spPr>
            <a:ln xmlns:a="http://schemas.openxmlformats.org/drawingml/2006/main" w="50800">
              <a:solidFill>
                <a:srgbClr val="E3E0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'Datos_figuras'!$Q$3:$Q$392</f>
            </numRef>
          </xVal>
          <yVal>
            <numRef>
              <f>'Datos_figuras'!$R$3:$R$392</f>
            </numRef>
          </yVal>
          <smooth val="0"/>
        </ser>
        <ser>
          <idx val="3"/>
          <order val="3"/>
          <tx>
            <v>Base mundial de Leps 2.0 (Cylwik et al., 2025), llevada a e = 0.45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9C8C2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'Datos_figuras'!$BE$3:$BE$688</f>
            </numRef>
          </xVal>
          <yVal>
            <numRef>
              <f>'Datos_figuras'!$BF$3:$BF$688</f>
            </numRef>
          </yVal>
          <smooth val="0"/>
        </ser>
        <ser>
          <idx val="4"/>
          <order val="4"/>
          <tx>
            <v>Leps (1970), envolvente superior</v>
          </tx>
          <spPr>
            <a:ln xmlns:a="http://schemas.openxmlformats.org/drawingml/2006/main" w="13970">
              <a:solidFill>
                <a:srgbClr val="8A8984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'Datos_figuras'!$G$3:$G$118</f>
            </numRef>
          </yVal>
          <smooth val="0"/>
        </ser>
        <ser>
          <idx val="5"/>
          <order val="5"/>
          <tx>
            <v>Leps (1970), envolvente media</v>
          </tx>
          <spPr>
            <a:ln xmlns:a="http://schemas.openxmlformats.org/drawingml/2006/main" w="1397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'Datos_figuras'!$H$3:$H$118</f>
            </numRef>
          </yVal>
          <smooth val="0"/>
        </ser>
        <ser>
          <idx val="6"/>
          <order val="6"/>
          <tx>
            <v>Leps (1970), envolvente inferior</v>
          </tx>
          <spPr>
            <a:ln xmlns:a="http://schemas.openxmlformats.org/drawingml/2006/main" w="13970">
              <a:solidFill>
                <a:srgbClr val="8A8984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'Datos_figuras'!$I$3:$I$118</f>
            </numRef>
          </yVal>
          <smooth val="0"/>
        </ser>
        <ser>
          <idx val="7"/>
          <order val="7"/>
          <tx>
            <v>Cota inferior de Indraratna et al. (1993)</v>
          </tx>
          <spPr>
            <a:ln xmlns:a="http://schemas.openxmlformats.org/drawingml/2006/main" w="13970">
              <a:solidFill>
                <a:srgbClr val="8A89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'Datos_figuras'!$J$3:$J$118</f>
            </numRef>
          </yVal>
          <smooth val="0"/>
        </ser>
        <ser>
          <idx val="8"/>
          <order val="8"/>
          <tx>
            <v>Curva propuesta (m = 0.85), con tope de 42°</v>
          </tx>
          <spPr>
            <a:ln xmlns:a="http://schemas.openxmlformats.org/drawingml/2006/main" w="30480">
              <a:solidFill>
                <a:srgbClr val="4A3A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'Datos_figuras'!$C$3:$C$118</f>
            </numRef>
          </yVal>
          <smooth val="0"/>
        </ser>
        <ser>
          <idx val="9"/>
          <order val="9"/>
          <tx>
            <v>Curva sin tope</v>
          </tx>
          <spPr>
            <a:ln xmlns:a="http://schemas.openxmlformats.org/drawingml/2006/main" w="15240">
              <a:solidFill>
                <a:srgbClr val="4A3AA7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'Datos_figuras'!$D$3:$D$118</f>
            </numRef>
          </yVal>
          <smooth val="0"/>
        </ser>
        <ser>
          <idx val="10"/>
          <order val="10"/>
          <tx>
            <v>Mármol, triaxial drenado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'Datos_figuras'!$AN$3:$AN$39</f>
            </numRef>
          </yVal>
          <smooth val="0"/>
        </ser>
        <ser>
          <idx val="11"/>
          <order val="11"/>
          <tx>
            <v>Mármol, corte directo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 w="15240">
                <a:solidFill>
                  <a:srgbClr val="2A78D6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'Datos_figuras'!$AO$3:$AO$39</f>
            </numRef>
          </yVal>
          <smooth val="0"/>
        </ser>
        <ser>
          <idx val="12"/>
          <order val="12"/>
          <tx>
            <v>Hornfels, triaxial drenado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EB6834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'Datos_figuras'!$AP$3:$AP$39</f>
            </numRef>
          </yVal>
          <smooth val="0"/>
        </ser>
        <ser>
          <idx val="13"/>
          <order val="13"/>
          <tx>
            <v>Hornfels, corte directo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6"/>
            <spPr>
              <a:noFill xmlns:a="http://schemas.openxmlformats.org/drawingml/2006/main"/>
              <a:ln xmlns:a="http://schemas.openxmlformats.org/drawingml/2006/main" w="15240">
                <a:solidFill>
                  <a:srgbClr val="EB6834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'Datos_figuras'!$AQ$3:$AQ$39</f>
            </numRef>
          </yVal>
          <smooth val="0"/>
        </ser>
        <ser>
          <idx val="14"/>
          <order val="14"/>
          <tx>
            <v>Intrusivo, triaxial drenado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1BAF7A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'Datos_figuras'!$AR$3:$AR$39</f>
            </numRef>
          </yVal>
          <smooth val="0"/>
        </ser>
        <ser>
          <idx val="15"/>
          <order val="15"/>
          <tx>
            <v>Intrusivo, corte directo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6"/>
            <spPr>
              <a:noFill xmlns:a="http://schemas.openxmlformats.org/drawingml/2006/main"/>
              <a:ln xmlns:a="http://schemas.openxmlformats.org/drawingml/2006/main" w="15240">
                <a:solidFill>
                  <a:srgbClr val="1BAF7A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'Datos_figuras'!$AS$3:$AS$39</f>
            </numRef>
          </yVal>
          <smooth val="0"/>
        </ser>
        <ser>
          <idx val="16"/>
          <order val="16"/>
          <tx>
            <v>Mezclas (Golder Associates Perú, 2021; Anddes Geolab, 2024), triaxial drenado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EDA100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'Datos_figuras'!$AT$3:$AT$39</f>
            </numRef>
          </yVal>
          <smooth val="0"/>
        </ser>
        <ser>
          <idx val="17"/>
          <order val="17"/>
          <tx>
            <v>Mezclas (Golder Associates Perú, 2021; Anddes Geolab, 2024), corte directo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6"/>
            <spPr>
              <a:noFill xmlns:a="http://schemas.openxmlformats.org/drawingml/2006/main"/>
              <a:ln xmlns:a="http://schemas.openxmlformats.org/drawingml/2006/main" w="15240">
                <a:solidFill>
                  <a:srgbClr val="EDA100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'Datos_figuras'!$AU$3:$AU$39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5"/>
          <min val="0.1"/>
        </scaling>
        <delete val="0"/>
        <axPos val="l"/>
        <majorGridlines>
          <spPr>
            <a:ln xmlns:a="http://schemas.openxmlformats.org/drawingml/2006/main" w="762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Esfuerzo normal efectivo en el plano de falla, σ′n (MPa)</a:t>
                </a:r>
              </a:p>
            </rich>
          </tx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8A898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20"/>
        <crosses val="min"/>
      </valAx>
      <valAx>
        <axId val="20"/>
        <scaling>
          <orientation val="minMax"/>
          <max val="56"/>
          <min val="22"/>
        </scaling>
        <delete val="0"/>
        <axPos val="l"/>
        <majorGridlines>
          <spPr>
            <a:ln xmlns:a="http://schemas.openxmlformats.org/drawingml/2006/main" w="762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Ángulo de fricción secante, φ′s (°), a e = 0.45</a:t>
                </a:r>
              </a:p>
            </rich>
          </tx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8A898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10"/>
        <crosses val="min"/>
        <majorUnit val="5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plotArea>
      <scatterChart>
        <scatterStyle val="lineMarker"/>
        <ser>
          <idx val="0"/>
          <order val="0"/>
          <tx>
            <v>Incertidumbre de la curva</v>
          </tx>
          <spPr>
            <a:ln xmlns:a="http://schemas.openxmlformats.org/drawingml/2006/main" w="50800">
              <a:solidFill>
                <a:srgbClr val="E3E0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'Datos_figuras'!$Q$3:$Q$392</f>
            </numRef>
          </xVal>
          <yVal>
            <numRef>
              <f>'Datos_figuras'!$R$3:$R$392</f>
            </numRef>
          </yVal>
          <smooth val="0"/>
        </ser>
        <ser>
          <idx val="1"/>
          <order val="1"/>
          <tx>
            <v>Curva propuesta (m = 0.85)</v>
          </tx>
          <spPr>
            <a:ln xmlns:a="http://schemas.openxmlformats.org/drawingml/2006/main" w="27940">
              <a:solidFill>
                <a:srgbClr val="4A3A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'Datos_figuras'!$B$3:$B$118</f>
            </numRef>
          </yVal>
          <smooth val="0"/>
        </ser>
        <ser>
          <idx val="2"/>
          <order val="2"/>
          <tx>
            <v>Leps (1970), envolvente superior</v>
          </tx>
          <spPr>
            <a:ln xmlns:a="http://schemas.openxmlformats.org/drawingml/2006/main" w="13970">
              <a:solidFill>
                <a:srgbClr val="8A8984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'Datos_figuras'!$G$3:$G$118</f>
            </numRef>
          </yVal>
          <smooth val="0"/>
        </ser>
        <ser>
          <idx val="3"/>
          <order val="3"/>
          <tx>
            <v>Leps (1970), envolvente media</v>
          </tx>
          <spPr>
            <a:ln xmlns:a="http://schemas.openxmlformats.org/drawingml/2006/main" w="1397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'Datos_figuras'!$H$3:$H$118</f>
            </numRef>
          </yVal>
          <smooth val="0"/>
        </ser>
        <ser>
          <idx val="4"/>
          <order val="4"/>
          <tx>
            <v>Leps (1970), envolvente inferior</v>
          </tx>
          <spPr>
            <a:ln xmlns:a="http://schemas.openxmlformats.org/drawingml/2006/main" w="13970">
              <a:solidFill>
                <a:srgbClr val="8A8984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'Datos_figuras'!$I$3:$I$118</f>
            </numRef>
          </yVal>
          <smooth val="0"/>
        </ser>
        <ser>
          <idx val="5"/>
          <order val="5"/>
          <tx>
            <v>Cota inferior de Indraratna et al. (1993)</v>
          </tx>
          <spPr>
            <a:ln xmlns:a="http://schemas.openxmlformats.org/drawingml/2006/main" w="13970">
              <a:solidFill>
                <a:srgbClr val="8A89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'Datos_figuras'!$J$3:$J$118</f>
            </numRef>
          </yVal>
          <smooth val="0"/>
        </ser>
        <ser>
          <idx val="6"/>
          <order val="6"/>
          <tx>
            <v>Ensayos del ajuste (37: triaxial CD y corte directo)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52514E"/>
              </a:solidFill>
              <a:ln xmlns:a="http://schemas.openxmlformats.org/drawingml/2006/main" w="7620">
                <a:solidFill>
                  <a:srgbClr val="52514E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'Datos_figuras'!$AM$3:$AM$39</f>
            </numRef>
          </yVal>
          <smooth val="0"/>
        </ser>
        <ser>
          <idx val="7"/>
          <order val="7"/>
          <tx>
            <v>Triaxiales CU, Anddes (2024), 6 in (15)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6"/>
            <spPr>
              <a:noFill xmlns:a="http://schemas.openxmlformats.org/drawingml/2006/main"/>
              <a:ln xmlns:a="http://schemas.openxmlformats.org/drawingml/2006/main" w="15240">
                <a:solidFill>
                  <a:srgbClr val="E87BA4"/>
                </a:solidFill>
                <a:prstDash val="solid"/>
              </a:ln>
            </spPr>
          </marker>
          <xVal>
            <numRef>
              <f>'Datos_figuras'!$CN$3:$CN$38</f>
            </numRef>
          </xVal>
          <yVal>
            <numRef>
              <f>'Datos_figuras'!$CO$3:$CO$38</f>
            </numRef>
          </yVal>
          <smooth val="0"/>
        </ser>
        <ser>
          <idx val="8"/>
          <order val="8"/>
          <tx>
            <v>Triaxiales CU, Golder (2010), fase A (21)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6"/>
            <spPr>
              <a:noFill xmlns:a="http://schemas.openxmlformats.org/drawingml/2006/main"/>
              <a:ln xmlns:a="http://schemas.openxmlformats.org/drawingml/2006/main" w="15240">
                <a:solidFill>
                  <a:srgbClr val="008300"/>
                </a:solidFill>
                <a:prstDash val="solid"/>
              </a:ln>
            </spPr>
          </marker>
          <xVal>
            <numRef>
              <f>'Datos_figuras'!$CN$3:$CN$38</f>
            </numRef>
          </xVal>
          <yVal>
            <numRef>
              <f>'Datos_figuras'!$CP$3:$CP$38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8"/>
          <min val="0.1"/>
        </scaling>
        <delete val="0"/>
        <axPos val="l"/>
        <majorGridlines>
          <spPr>
            <a:ln xmlns:a="http://schemas.openxmlformats.org/drawingml/2006/main" w="762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Esfuerzo normal efectivo en el plano de falla, σ′n (MPa)</a:t>
                </a:r>
              </a:p>
            </rich>
          </tx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8A898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20"/>
        <crosses val="min"/>
      </valAx>
      <valAx>
        <axId val="20"/>
        <scaling>
          <orientation val="minMax"/>
          <max val="60"/>
          <min val="15"/>
        </scaling>
        <delete val="0"/>
        <axPos val="l"/>
        <majorGridlines>
          <spPr>
            <a:ln xmlns:a="http://schemas.openxmlformats.org/drawingml/2006/main" w="762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Ángulo de fricción secante, φ′s (°), a e = 0.45</a:t>
                </a:r>
              </a:p>
            </rich>
          </tx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8A898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10"/>
        <crosses val="min"/>
        <majorUnit val="5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plotArea>
      <scatterChart>
        <scatterStyle val="lineMarker"/>
        <ser>
          <idx val="0"/>
          <order val="0"/>
          <tx>
            <v>Hornfels, probeta de 1.0 m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EB6834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'Datos_figuras'!$CR$3:$CR$18</f>
            </numRef>
          </xVal>
          <yVal>
            <numRef>
              <f>'Datos_figuras'!$CT$3:$CT$18</f>
            </numRef>
          </yVal>
          <smooth val="0"/>
        </ser>
        <ser>
          <idx val="1"/>
          <order val="1"/>
          <tx>
            <v>Hornfels, probeta de 6 in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noFill xmlns:a="http://schemas.openxmlformats.org/drawingml/2006/main"/>
              <a:ln xmlns:a="http://schemas.openxmlformats.org/drawingml/2006/main" w="15240">
                <a:solidFill>
                  <a:srgbClr val="EB6834"/>
                </a:solidFill>
                <a:prstDash val="solid"/>
              </a:ln>
            </spPr>
          </marker>
          <xVal>
            <numRef>
              <f>'Datos_figuras'!$CR$3:$CR$18</f>
            </numRef>
          </xVal>
          <yVal>
            <numRef>
              <f>'Datos_figuras'!$CU$3:$CU$18</f>
            </numRef>
          </yVal>
          <smooth val="0"/>
        </ser>
        <ser>
          <idx val="2"/>
          <order val="2"/>
          <tx>
            <v>Intrusivo, probeta de 0.6 m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7"/>
            <spPr>
              <a:solidFill xmlns:a="http://schemas.openxmlformats.org/drawingml/2006/main">
                <a:srgbClr val="1BAF7A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'Datos_figuras'!$CR$3:$CR$18</f>
            </numRef>
          </xVal>
          <yVal>
            <numRef>
              <f>'Datos_figuras'!$CV$3:$CV$18</f>
            </numRef>
          </yVal>
          <smooth val="0"/>
        </ser>
        <ser>
          <idx val="3"/>
          <order val="3"/>
          <tx>
            <v>Mármol, probeta de 1.0 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A78D6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'Datos_figuras'!$CR$3:$CR$18</f>
            </numRef>
          </xVal>
          <yVal>
            <numRef>
              <f>'Datos_figuras'!$CW$3:$CW$18</f>
            </numRef>
          </yVal>
          <smooth val="0"/>
        </ser>
        <ser>
          <idx val="4"/>
          <order val="4"/>
          <tx>
            <v>Mármol, probeta de 6 in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15240">
                <a:solidFill>
                  <a:srgbClr val="2A78D6"/>
                </a:solidFill>
                <a:prstDash val="solid"/>
              </a:ln>
            </spPr>
          </marker>
          <xVal>
            <numRef>
              <f>'Datos_figuras'!$CR$3:$CR$18</f>
            </numRef>
          </xVal>
          <yVal>
            <numRef>
              <f>'Datos_figuras'!$CX$3:$CX$18</f>
            </numRef>
          </yVal>
          <smooth val="0"/>
        </ser>
        <ser>
          <idx val="5"/>
          <order val="5"/>
          <tx>
            <v>Tendencia lineal (r = 0.79)</v>
          </tx>
          <spPr>
            <a:ln xmlns:a="http://schemas.openxmlformats.org/drawingml/2006/main" w="1270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'Datos_figuras'!$CZ$3:$CZ$4</f>
            </numRef>
          </xVal>
          <yVal>
            <numRef>
              <f>'Datos_figuras'!$DA$3:$DA$4</f>
            </numRef>
          </yVal>
          <smooth val="0"/>
        </ser>
        <axId val="10"/>
        <axId val="20"/>
      </scatterChart>
      <valAx>
        <axId val="10"/>
        <scaling>
          <orientation val="minMax"/>
          <max val="2.7"/>
          <min val="0"/>
        </scaling>
        <delete val="0"/>
        <axPos val="l"/>
        <majorGridlines>
          <spPr>
            <a:ln xmlns:a="http://schemas.openxmlformats.org/drawingml/2006/main" w="762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Esfuerzo efectivo de confinamiento, σ′3 (MPa)</a:t>
                </a:r>
              </a:p>
            </rich>
          </tx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8A898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20"/>
        <crosses val="min"/>
        <majorUnit val="0.5"/>
      </valAx>
      <valAx>
        <axId val="20"/>
        <scaling>
          <orientation val="minMax"/>
          <max val="45"/>
          <min val="0"/>
        </scaling>
        <delete val="0"/>
        <axPos val="l"/>
        <majorGridlines>
          <spPr>
            <a:ln xmlns:a="http://schemas.openxmlformats.org/drawingml/2006/main" w="762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 de rotura de Marsal, Bg (%)</a:t>
                </a:r>
              </a:p>
            </rich>
          </tx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8A898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10"/>
        <crosses val="min"/>
        <majorUnit val="5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plotArea>
      <scatterChart>
        <scatterStyle val="lineMarker"/>
        <ser>
          <idx val="0"/>
          <order val="0"/>
          <tx>
            <v>4.62–7.86 MPa: sin ensayos de Antamina</v>
          </tx>
          <spPr>
            <a:ln xmlns:a="http://schemas.openxmlformats.org/drawingml/2006/main" w="57150">
              <a:solidFill>
                <a:srgbClr val="EFEEE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'Datos_figuras'!$AB$3:$AB$80</f>
            </numRef>
          </xVal>
          <yVal>
            <numRef>
              <f>'Datos_figuras'!$AC$3:$AC$80</f>
            </numRef>
          </yVal>
          <smooth val="0"/>
        </ser>
        <ser>
          <idx val="1"/>
          <order val="1"/>
          <tx>
            <v>Sobre 7.86 MPa: extrapolación</v>
          </tx>
          <spPr>
            <a:ln xmlns:a="http://schemas.openxmlformats.org/drawingml/2006/main" w="9525">
              <a:solidFill>
                <a:srgbClr val="D2D1C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'Datos_figuras'!$AD$3:$AD$80</f>
            </numRef>
          </xVal>
          <yVal>
            <numRef>
              <f>'Datos_figuras'!$AE$3:$AE$80</f>
            </numRef>
          </yVal>
          <smooth val="0"/>
        </ser>
        <ser>
          <idx val="2"/>
          <order val="2"/>
          <tx>
            <v>Incertidumbre de la curva</v>
          </tx>
          <spPr>
            <a:ln xmlns:a="http://schemas.openxmlformats.org/drawingml/2006/main" w="38100">
              <a:solidFill>
                <a:srgbClr val="E3E0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'Datos_figuras'!$T$3:$T$512</f>
            </numRef>
          </xVal>
          <yVal>
            <numRef>
              <f>'Datos_figuras'!$U$3:$U$512</f>
            </numRef>
          </yVal>
          <smooth val="0"/>
        </ser>
        <ser>
          <idx val="3"/>
          <order val="3"/>
          <tx>
            <v>Base mundial de Leps 2.0 (Cylwik et al., 2025), llevada a e = 0.45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9C8C2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'Datos_figuras'!$BE$3:$BE$688</f>
            </numRef>
          </xVal>
          <yVal>
            <numRef>
              <f>'Datos_figuras'!$BG$3:$BG$688</f>
            </numRef>
          </yVal>
          <smooth val="0"/>
        </ser>
        <ser>
          <idx val="4"/>
          <order val="4"/>
          <tx>
            <v>Leps (1970), envolvente superior</v>
          </tx>
          <spPr>
            <a:ln xmlns:a="http://schemas.openxmlformats.org/drawingml/2006/main" w="13970">
              <a:solidFill>
                <a:srgbClr val="8A8984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'Datos_figuras'!$L$3:$L$118</f>
            </numRef>
          </yVal>
          <smooth val="0"/>
        </ser>
        <ser>
          <idx val="5"/>
          <order val="5"/>
          <tx>
            <v>Leps (1970), envolvente media</v>
          </tx>
          <spPr>
            <a:ln xmlns:a="http://schemas.openxmlformats.org/drawingml/2006/main" w="1397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'Datos_figuras'!$M$3:$M$118</f>
            </numRef>
          </yVal>
          <smooth val="0"/>
        </ser>
        <ser>
          <idx val="6"/>
          <order val="6"/>
          <tx>
            <v>Leps (1970), envolvente inferior</v>
          </tx>
          <spPr>
            <a:ln xmlns:a="http://schemas.openxmlformats.org/drawingml/2006/main" w="13970">
              <a:solidFill>
                <a:srgbClr val="8A8984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'Datos_figuras'!$N$3:$N$118</f>
            </numRef>
          </yVal>
          <smooth val="0"/>
        </ser>
        <ser>
          <idx val="7"/>
          <order val="7"/>
          <tx>
            <v>Cota inferior de Indraratna et al. (1993)</v>
          </tx>
          <spPr>
            <a:ln xmlns:a="http://schemas.openxmlformats.org/drawingml/2006/main" w="13970">
              <a:solidFill>
                <a:srgbClr val="8A89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'Datos_figuras'!$O$3:$O$118</f>
            </numRef>
          </yVal>
          <smooth val="0"/>
        </ser>
        <ser>
          <idx val="8"/>
          <order val="8"/>
          <tx>
            <v>Curva propuesta, e = 0.45, con tope de 42°</v>
          </tx>
          <spPr>
            <a:ln xmlns:a="http://schemas.openxmlformats.org/drawingml/2006/main" w="30480">
              <a:solidFill>
                <a:srgbClr val="4A3A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'Datos_figuras'!$K$3:$K$118</f>
            </numRef>
          </yVal>
          <smooth val="0"/>
        </ser>
        <ser>
          <idx val="9"/>
          <order val="9"/>
          <tx>
            <v>Mármol, triaxial drenado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'Datos_figuras'!$AV$3:$AV$39</f>
            </numRef>
          </yVal>
          <smooth val="0"/>
        </ser>
        <ser>
          <idx val="10"/>
          <order val="10"/>
          <tx>
            <v>Mármol, corte directo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 w="15240">
                <a:solidFill>
                  <a:srgbClr val="2A78D6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'Datos_figuras'!$AW$3:$AW$39</f>
            </numRef>
          </yVal>
          <smooth val="0"/>
        </ser>
        <ser>
          <idx val="11"/>
          <order val="11"/>
          <tx>
            <v>Hornfels, triaxial drenado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EB6834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'Datos_figuras'!$AX$3:$AX$39</f>
            </numRef>
          </yVal>
          <smooth val="0"/>
        </ser>
        <ser>
          <idx val="12"/>
          <order val="12"/>
          <tx>
            <v>Hornfels, corte directo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6"/>
            <spPr>
              <a:noFill xmlns:a="http://schemas.openxmlformats.org/drawingml/2006/main"/>
              <a:ln xmlns:a="http://schemas.openxmlformats.org/drawingml/2006/main" w="15240">
                <a:solidFill>
                  <a:srgbClr val="EB6834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'Datos_figuras'!$AY$3:$AY$39</f>
            </numRef>
          </yVal>
          <smooth val="0"/>
        </ser>
        <ser>
          <idx val="13"/>
          <order val="13"/>
          <tx>
            <v>Intrusivo, triaxial drenado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1BAF7A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'Datos_figuras'!$AZ$3:$AZ$39</f>
            </numRef>
          </yVal>
          <smooth val="0"/>
        </ser>
        <ser>
          <idx val="14"/>
          <order val="14"/>
          <tx>
            <v>Intrusivo, corte directo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6"/>
            <spPr>
              <a:noFill xmlns:a="http://schemas.openxmlformats.org/drawingml/2006/main"/>
              <a:ln xmlns:a="http://schemas.openxmlformats.org/drawingml/2006/main" w="15240">
                <a:solidFill>
                  <a:srgbClr val="1BAF7A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'Datos_figuras'!$BA$3:$BA$39</f>
            </numRef>
          </yVal>
          <smooth val="0"/>
        </ser>
        <ser>
          <idx val="15"/>
          <order val="15"/>
          <tx>
            <v>Mezclas (Golder Associates Perú, 2021; Anddes Geolab, 2024), triaxial drenado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EDA100"/>
              </a:solidFill>
              <a:ln xmlns:a="http://schemas.openxmlformats.org/drawingml/2006/main" w="7620">
                <a:solidFill>
                  <a:srgbClr val="FCFCFB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'Datos_figuras'!$BB$3:$BB$39</f>
            </numRef>
          </yVal>
          <smooth val="0"/>
        </ser>
        <ser>
          <idx val="16"/>
          <order val="16"/>
          <tx>
            <v>Mezclas (Golder Associates Perú, 2021; Anddes Geolab, 2024), corte directo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6"/>
            <spPr>
              <a:noFill xmlns:a="http://schemas.openxmlformats.org/drawingml/2006/main"/>
              <a:ln xmlns:a="http://schemas.openxmlformats.org/drawingml/2006/main" w="15240">
                <a:solidFill>
                  <a:srgbClr val="EDA100"/>
                </a:solidFill>
                <a:prstDash val="solid"/>
              </a:ln>
            </spPr>
          </marker>
          <xVal>
            <numRef>
              <f>'Datos_figuras'!$AL$3:$AL$39</f>
            </numRef>
          </xVal>
          <yVal>
            <numRef>
              <f>'Datos_figuras'!$BC$3:$BC$39</f>
            </numRef>
          </yVal>
          <smooth val="0"/>
        </ser>
        <axId val="10"/>
        <axId val="20"/>
      </scatterChart>
      <valAx>
        <axId val="10"/>
        <scaling>
          <orientation val="minMax"/>
          <max val="15"/>
          <min val="0"/>
        </scaling>
        <delete val="0"/>
        <axPos val="l"/>
        <majorGridlines>
          <spPr>
            <a:ln xmlns:a="http://schemas.openxmlformats.org/drawingml/2006/main" w="762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Esfuerzo normal efectivo en el plano de falla, σ′n (MPa)</a:t>
                </a:r>
              </a:p>
            </rich>
          </tx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8A898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20"/>
        <crosses val="min"/>
        <majorUnit val="2"/>
      </valAx>
      <valAx>
        <axId val="20"/>
        <scaling>
          <orientation val="minMax"/>
          <max val="10.5"/>
          <min val="0"/>
        </scaling>
        <delete val="0"/>
        <axPos val="l"/>
        <majorGridlines>
          <spPr>
            <a:ln xmlns:a="http://schemas.openxmlformats.org/drawingml/2006/main" w="762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Resistencia al corte, τ (MPa)</a:t>
                </a:r>
              </a:p>
            </rich>
          </tx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8A898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10"/>
        <crosses val="min"/>
        <majorUnit val="2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plotArea>
      <scatterChart>
        <scatterStyle val="lineMarker"/>
        <ser>
          <idx val="0"/>
          <order val="0"/>
          <tx>
            <v>e = 0.45 constante (base)</v>
          </tx>
          <spPr>
            <a:ln xmlns:a="http://schemas.openxmlformats.org/drawingml/2006/main" w="25400">
              <a:solidFill>
                <a:srgbClr val="4A3A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'Datos_figuras'!$CE$3:$CE$4</f>
            </numRef>
          </xVal>
          <yVal>
            <numRef>
              <f>'Datos_figuras'!$CD$3:$CD$4</f>
            </numRef>
          </yVal>
          <smooth val="0"/>
        </ser>
        <ser>
          <idx val="1"/>
          <order val="1"/>
          <tx>
            <v>Perfil A, compresibilidad de Antamina</v>
          </tx>
          <spPr>
            <a:ln xmlns:a="http://schemas.openxmlformats.org/drawingml/2006/main" w="25400">
              <a:solidFill>
                <a:srgbClr val="E87BA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'Datos_figuras'!$CA$3:$CA$73</f>
            </numRef>
          </xVal>
          <yVal>
            <numRef>
              <f>'Datos_figuras'!$BZ$3:$BZ$73</f>
            </numRef>
          </yVal>
          <smooth val="0"/>
        </ser>
        <ser>
          <idx val="2"/>
          <order val="2"/>
          <tx>
            <v>Perfil V, Valenzuela et al. (2008)</v>
          </tx>
          <spPr>
            <a:ln xmlns:a="http://schemas.openxmlformats.org/drawingml/2006/main" w="25400">
              <a:solidFill>
                <a:srgbClr val="0083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'Datos_figuras'!$CB$3:$CB$73</f>
            </numRef>
          </xVal>
          <yVal>
            <numRef>
              <f>'Datos_figuras'!$BZ$3:$BZ$73</f>
            </numRef>
          </yVal>
          <smooth val="0"/>
        </ser>
        <axId val="10"/>
        <axId val="20"/>
      </scatterChart>
      <valAx>
        <axId val="10"/>
        <scaling>
          <orientation val="minMax"/>
          <max val="0.7"/>
          <min val="0.08"/>
        </scaling>
        <delete val="0"/>
        <axPos val="l"/>
        <majorGridlines>
          <spPr>
            <a:ln xmlns:a="http://schemas.openxmlformats.org/drawingml/2006/main" w="762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Relación de vacíos, e</a:t>
                </a:r>
              </a:p>
            </rich>
          </tx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8A898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20"/>
        <crosses val="max"/>
        <majorUnit val="0.1"/>
      </valAx>
      <valAx>
        <axId val="20"/>
        <scaling>
          <orientation val="maxMin"/>
          <max val="700"/>
          <min val="0"/>
        </scaling>
        <delete val="0"/>
        <axPos val="l"/>
        <majorGridlines>
          <spPr>
            <a:ln xmlns:a="http://schemas.openxmlformats.org/drawingml/2006/main" w="762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Profundidad bajo la superficie (m)</a:t>
                </a:r>
              </a:p>
            </rich>
          </tx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8A898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10"/>
        <crosses val="min"/>
        <majorUnit val="10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plotArea>
      <scatterChart>
        <scatterStyle val="lineMarker"/>
        <ser>
          <idx val="0"/>
          <order val="0"/>
          <tx>
            <v>4.62–7.86 MPa: sin ensayos de Antamina</v>
          </tx>
          <spPr>
            <a:ln xmlns:a="http://schemas.openxmlformats.org/drawingml/2006/main" w="57150">
              <a:solidFill>
                <a:srgbClr val="EFEEE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'Datos_figuras'!$AG$3:$AG$80</f>
            </numRef>
          </xVal>
          <yVal>
            <numRef>
              <f>'Datos_figuras'!$AH$3:$AH$80</f>
            </numRef>
          </yVal>
          <smooth val="0"/>
        </ser>
        <ser>
          <idx val="1"/>
          <order val="1"/>
          <tx>
            <v>Sobre 7.86 MPa: extrapolación</v>
          </tx>
          <spPr>
            <a:ln xmlns:a="http://schemas.openxmlformats.org/drawingml/2006/main" w="9525">
              <a:solidFill>
                <a:srgbClr val="D2D1C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'Datos_figuras'!$AI$3:$AI$80</f>
            </numRef>
          </xVal>
          <yVal>
            <numRef>
              <f>'Datos_figuras'!$AJ$3:$AJ$80</f>
            </numRef>
          </yVal>
          <smooth val="0"/>
        </ser>
        <ser>
          <idx val="2"/>
          <order val="2"/>
          <tx>
            <v>Leps (1970), envolvente superior</v>
          </tx>
          <spPr>
            <a:ln xmlns:a="http://schemas.openxmlformats.org/drawingml/2006/main" w="13970">
              <a:solidFill>
                <a:srgbClr val="8A8984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'Datos_figuras'!$G$3:$G$118</f>
            </numRef>
          </yVal>
          <smooth val="0"/>
        </ser>
        <ser>
          <idx val="3"/>
          <order val="3"/>
          <tx>
            <v>Leps (1970), envolvente media</v>
          </tx>
          <spPr>
            <a:ln xmlns:a="http://schemas.openxmlformats.org/drawingml/2006/main" w="1397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'Datos_figuras'!$H$3:$H$118</f>
            </numRef>
          </yVal>
          <smooth val="0"/>
        </ser>
        <ser>
          <idx val="4"/>
          <order val="4"/>
          <tx>
            <v>Leps (1970), envolvente inferior</v>
          </tx>
          <spPr>
            <a:ln xmlns:a="http://schemas.openxmlformats.org/drawingml/2006/main" w="13970">
              <a:solidFill>
                <a:srgbClr val="8A8984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'Datos_figuras'!$I$3:$I$118</f>
            </numRef>
          </yVal>
          <smooth val="0"/>
        </ser>
        <ser>
          <idx val="5"/>
          <order val="5"/>
          <tx>
            <v>Cota inferior de Indraratna et al. (1993)</v>
          </tx>
          <spPr>
            <a:ln xmlns:a="http://schemas.openxmlformats.org/drawingml/2006/main" w="13970">
              <a:solidFill>
                <a:srgbClr val="8A89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'Datos_figuras'!$A$3:$A$118</f>
            </numRef>
          </xVal>
          <yVal>
            <numRef>
              <f>'Datos_figuras'!$J$3:$J$118</f>
            </numRef>
          </yVal>
          <smooth val="0"/>
        </ser>
        <ser>
          <idx val="6"/>
          <order val="6"/>
          <tx>
            <v>e = 0.45 constante (base)</v>
          </tx>
          <spPr>
            <a:ln xmlns:a="http://schemas.openxmlformats.org/drawingml/2006/main" w="27940">
              <a:solidFill>
                <a:srgbClr val="4A3A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'Datos_figuras'!$CG$3:$CG$92</f>
            </numRef>
          </xVal>
          <yVal>
            <numRef>
              <f>'Datos_figuras'!$CJ$3:$CJ$92</f>
            </numRef>
          </yVal>
          <smooth val="0"/>
        </ser>
        <ser>
          <idx val="7"/>
          <order val="7"/>
          <tx>
            <v>Perfil A, compresibilidad de Antamina</v>
          </tx>
          <spPr>
            <a:ln xmlns:a="http://schemas.openxmlformats.org/drawingml/2006/main" w="25400">
              <a:solidFill>
                <a:srgbClr val="E87BA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'Datos_figuras'!$CG$3:$CG$92</f>
            </numRef>
          </xVal>
          <yVal>
            <numRef>
              <f>'Datos_figuras'!$CK$3:$CK$92</f>
            </numRef>
          </yVal>
          <smooth val="0"/>
        </ser>
        <ser>
          <idx val="8"/>
          <order val="8"/>
          <tx>
            <v>Perfil V, Valenzuela et al. (2008)</v>
          </tx>
          <spPr>
            <a:ln xmlns:a="http://schemas.openxmlformats.org/drawingml/2006/main" w="25400">
              <a:solidFill>
                <a:srgbClr val="0083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'Datos_figuras'!$CG$3:$CG$92</f>
            </numRef>
          </xVal>
          <yVal>
            <numRef>
              <f>'Datos_figuras'!$CL$3:$CL$92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5"/>
          <min val="0.1"/>
        </scaling>
        <delete val="0"/>
        <axPos val="l"/>
        <majorGridlines>
          <spPr>
            <a:ln xmlns:a="http://schemas.openxmlformats.org/drawingml/2006/main" w="762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σ′n (MPa)</a:t>
                </a:r>
              </a:p>
            </rich>
          </tx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8A898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20"/>
        <crosses val="min"/>
      </valAx>
      <valAx>
        <axId val="20"/>
        <scaling>
          <orientation val="minMax"/>
          <max val="58"/>
          <min val="22"/>
        </scaling>
        <delete val="0"/>
        <axPos val="l"/>
        <majorGridlines>
          <spPr>
            <a:ln xmlns:a="http://schemas.openxmlformats.org/drawingml/2006/main" w="762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φ′s (°), curva propuesta</a:t>
                </a:r>
              </a:p>
            </rich>
          </tx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8A898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10"/>
        <crosses val="min"/>
        <majorUnit val="5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61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33</row>
      <rowOff>0</rowOff>
    </from>
    <ext cx="612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67</row>
      <rowOff>0</rowOff>
    </from>
    <ext cx="612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99</row>
      <rowOff>0</rowOff>
    </from>
    <ext cx="61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125</row>
      <rowOff>0</rowOff>
    </from>
    <ext cx="6120000" cy="50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</col>
      <colOff>0</colOff>
      <row>157</row>
      <rowOff>0</rowOff>
    </from>
    <ext cx="306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9</col>
      <colOff>0</colOff>
      <row>157</row>
      <rowOff>0</rowOff>
    </from>
    <ext cx="4500000" cy="43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Curva de resistencia Leps 2.0 del desmonte ROM de Antamina: datos, cálculos y curvas (memo de Stantec, 12 de octubre de 2026)</t>
        </is>
      </c>
    </row>
    <row r="2">
      <c r="A2" t="inlineStr"/>
    </row>
    <row r="3">
      <c r="A3" t="inlineStr">
        <is>
          <t>Las celdas en azul de la hoja Parametros son las entradas; todo lo demás se calcula con fórmulas a partir de ellas (nombres definidos: pe0, omega, m_, e_base, sref, tope).</t>
        </is>
      </c>
    </row>
    <row r="4">
      <c r="A4" t="inlineStr">
        <is>
          <t>Leps 2.0 (Cylwik et al. 2025, Ec. 26): τ = tan(φ′e=0 − ω·e)·(10pa)^(1−m)·σ′n^m; φ′s = atan(τ/σ′n). La curva se aplica con un tope de 42° en φ′s (τ ≤ σ′n·tan 42°).</t>
        </is>
      </c>
    </row>
    <row r="5">
      <c r="A5" t="inlineStr">
        <is>
          <t>Unidades: esfuerzos en MPa; ángulos en grados.</t>
        </is>
      </c>
    </row>
    <row r="6">
      <c r="A6" t="inlineStr"/>
    </row>
    <row r="7">
      <c r="A7" t="inlineStr">
        <is>
          <t>Hojas:</t>
        </is>
      </c>
    </row>
    <row r="8">
      <c r="A8" t="inlineStr">
        <is>
          <t xml:space="preserve">  Parametros: parámetros de la curva propuesta, hipótesis de curvatura y controles con la composición del DDE y la de LE2.</t>
        </is>
      </c>
    </row>
    <row r="9">
      <c r="A9" t="inlineStr">
        <is>
          <t xml:space="preserve">  Ensayos: los 120 ensayos de resistencia con su uso (ajuste, contraste, no usado), esfuerzos de falla, conversión de Leps 2.0 (fórmula) y corrección a e base (Ec. 27).</t>
        </is>
      </c>
    </row>
    <row r="10">
      <c r="A10" t="inlineStr">
        <is>
          <t xml:space="preserve">  Figuras: las seis figuras del memo como gráficos de Excel, con la misma numeración (datos y fórmulas en Datos_figuras).</t>
        </is>
      </c>
    </row>
    <row r="11">
      <c r="A11" t="inlineStr">
        <is>
          <t xml:space="preserve">  Curva: curva propuesta a e base, 0.55, 0.65 y perfiles A y V; tope de 42° en todas las curvas de Leps 2.0; banda de incertidumbre (sin tope); cotas de Indraratna et al. (1993) y Hawley y Cunning (2017); recta de 37°; sensibilidad del DDE; gráficos.</t>
        </is>
      </c>
    </row>
    <row r="12">
      <c r="A12" t="inlineStr">
        <is>
          <t xml:space="preserve">  phi1_vs_e: φ′1 de cada ensayo y por set contra e, φ′e=0 por set y su media (el nivel de la curva), con la recta de la curva propuesta, las envolventes de Leps (1970) y la cota de Indraratna et al. (1993).</t>
        </is>
      </c>
    </row>
    <row r="13">
      <c r="A13" t="inlineStr">
        <is>
          <t xml:space="preserve">  Hipotesis_m: φ′s según la hipótesis de curvatura (m del intervalo al 90 % y P10–P90 entre materiales de la base mundial, y m = 1 de Antamina sola como sensibilidad).</t>
        </is>
      </c>
    </row>
    <row r="14">
      <c r="A14" t="inlineStr">
        <is>
          <t xml:space="preserve">  Base_mundial: los ensayos de la base de Leps 2.0 (sin los censurados, como en el memo) frente a la curva evaluada a su propia e (Δφ′s) y conteos por rango de esfuerzo.</t>
        </is>
      </c>
    </row>
    <row r="15">
      <c r="A15" t="inlineStr">
        <is>
          <t xml:space="preserve">  FLAC_tangente: Mohr-Coulomb tangente a la curva según σ′3 (para verificar la implementación en FLAC2D).</t>
        </is>
      </c>
    </row>
    <row r="16">
      <c r="A16" t="inlineStr">
        <is>
          <t xml:space="preserve">  Relacion_vacios: e de colocación calculada con los pesos unitarios de los estudios de Antamina.</t>
        </is>
      </c>
    </row>
    <row r="17">
      <c r="A17" t="inlineStr">
        <is>
          <t xml:space="preserve">  Perfiles_e: e y σ′v con la profundidad (perfiles A y V).</t>
        </is>
      </c>
    </row>
    <row r="18">
      <c r="A18" t="inlineStr">
        <is>
          <t xml:space="preserve">  Edometros: edómetros de desmonte de Antamina y e resultante con la ley del perfil A.</t>
        </is>
      </c>
    </row>
    <row r="19">
      <c r="A19" t="inlineStr">
        <is>
          <t xml:space="preserve">  Tamano_particula: sensibilidad al tamaño (Frossard et al. 2012).</t>
        </is>
      </c>
    </row>
    <row r="20">
      <c r="A20" t="inlineStr"/>
    </row>
    <row r="21">
      <c r="A21" t="inlineStr">
        <is>
          <t>Fuentes: base de ensayos de Antamina verificada contra los PDF (datos_antamina/base, verificacion_ocr); base mundial de Cylwik et al. (2025);</t>
        </is>
      </c>
    </row>
    <row r="22">
      <c r="A22" t="inlineStr">
        <is>
          <t>Informe final de estudio del DDE (Stantec 2026, IFF-115-G-0001 Rev. B) para la composición de control y la sensibilidad de 33°/30°.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57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>
      <c r="B1" s="1" t="inlineStr">
        <is>
          <t>Figuras del memorándum, recalculadas con las fórmulas de este libro (datos en Datos_figuras). La banda y la zona gris se dibujan con segmentos verticales; el rayado, con segmentos diagonales.</t>
        </is>
      </c>
    </row>
    <row r="3">
      <c r="B3" s="2" t="inlineStr">
        <is>
          <t>Figura 1. φ′1 de cada set de Antamina frente a su e0 media, y la recta de la curva propuesta</t>
        </is>
      </c>
    </row>
    <row r="33">
      <c r="B33" s="2" t="inlineStr">
        <is>
          <t>Figura 2. Curva propuesta y su banda de incertidumbre, con los ensayos del ajuste y la base mundial llevados a e base</t>
        </is>
      </c>
    </row>
    <row r="67">
      <c r="B67" s="2" t="inlineStr">
        <is>
          <t>Figura 3. Contraste de la curva propuesta con los triaxiales CU de desmonte ROM no usados en el ajuste</t>
        </is>
      </c>
    </row>
    <row r="99">
      <c r="B99" s="2" t="inlineStr">
        <is>
          <t>Figura 4. Índice de rotura de Marsal (1967) en los triaxiales drenados del ajuste</t>
        </is>
      </c>
    </row>
    <row r="125">
      <c r="B125" s="2" t="inlineStr">
        <is>
          <t>Figura 5. Curva propuesta y su banda de incertidumbre en τ–σ′n</t>
        </is>
      </c>
    </row>
    <row r="157">
      <c r="B157" s="2" t="inlineStr">
        <is>
          <t>Figura 6. (a) Relación de vacíos con la profundidad; (b) ángulo de fricción secante de la curva propuesta con cada supuesto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90" customWidth="1" min="4" max="4"/>
  </cols>
  <sheetData>
    <row r="1">
      <c r="A1" s="3" t="inlineStr">
        <is>
          <t>Parámetro</t>
        </is>
      </c>
      <c r="B1" s="3" t="inlineStr">
        <is>
          <t>Valor</t>
        </is>
      </c>
      <c r="C1" s="3" t="inlineStr">
        <is>
          <t>Unidad</t>
        </is>
      </c>
      <c r="D1" s="3" t="inlineStr">
        <is>
          <t>Nota</t>
        </is>
      </c>
    </row>
    <row r="2">
      <c r="A2" t="inlineStr">
        <is>
          <t>φ′e=0, curva propuesta</t>
        </is>
      </c>
      <c r="B2" s="4" t="n">
        <v>48.47048190770352</v>
      </c>
      <c r="C2" t="inlineStr">
        <is>
          <t>°</t>
        </is>
      </c>
      <c r="D2" t="inlineStr">
        <is>
          <t>Media de φ′1 + 20·e0 de los 13 sets con m = 0.85, todos con igual peso (a33; ver phi1_vs_e)</t>
        </is>
      </c>
    </row>
    <row r="3">
      <c r="A3" t="inlineStr">
        <is>
          <t>ω</t>
        </is>
      </c>
      <c r="B3" s="4" t="n">
        <v>20</v>
      </c>
      <c r="C3" t="inlineStr">
        <is>
          <t>°</t>
        </is>
      </c>
      <c r="D3" t="inlineStr">
        <is>
          <t>Leps 2.0, Ec. 25</t>
        </is>
      </c>
    </row>
    <row r="4">
      <c r="A4" t="inlineStr">
        <is>
          <t>m (curvatura)</t>
        </is>
      </c>
      <c r="B4" s="4" t="n">
        <v>0.85</v>
      </c>
      <c r="C4" t="inlineStr">
        <is>
          <t>-</t>
        </is>
      </c>
      <c r="D4" t="inlineStr">
        <is>
          <t>Sin sesgo en los ensayos mundiales de mayor esfuerzo (a31; IC 90 % 0.834–0.862)</t>
        </is>
      </c>
    </row>
    <row r="5">
      <c r="A5" t="inlineStr">
        <is>
          <t>e base de colocación</t>
        </is>
      </c>
      <c r="B5" s="4" t="n">
        <v>0.45</v>
      </c>
      <c r="C5" t="inlineStr">
        <is>
          <t>-</t>
        </is>
      </c>
      <c r="D5" t="inlineStr">
        <is>
          <t>Desmonte ROM (sección 7 del memo)</t>
        </is>
      </c>
    </row>
    <row r="6">
      <c r="A6" t="inlineStr">
        <is>
          <t>pa</t>
        </is>
      </c>
      <c r="B6" s="4" t="n">
        <v>0.1013</v>
      </c>
      <c r="C6" t="inlineStr">
        <is>
          <t>MPa</t>
        </is>
      </c>
      <c r="D6" t="inlineStr">
        <is>
          <t>Presión atmosférica</t>
        </is>
      </c>
    </row>
    <row r="7">
      <c r="A7" t="inlineStr">
        <is>
          <t>10·pa</t>
        </is>
      </c>
      <c r="B7" s="5">
        <f>10*pa</f>
        <v/>
      </c>
      <c r="C7" t="inlineStr">
        <is>
          <t>MPa</t>
        </is>
      </c>
      <c r="D7" t="inlineStr">
        <is>
          <t>Esfuerzo de referencia</t>
        </is>
      </c>
    </row>
    <row r="8">
      <c r="A8" t="inlineStr">
        <is>
          <t>φ′1 a e base</t>
        </is>
      </c>
      <c r="B8">
        <f>pe0-omega*e_base</f>
        <v/>
      </c>
      <c r="C8" t="inlineStr">
        <is>
          <t>°</t>
        </is>
      </c>
    </row>
    <row r="9">
      <c r="A9" t="inlineStr">
        <is>
          <t>Tope de φ′s</t>
        </is>
      </c>
      <c r="B9" s="4" t="n">
        <v>42</v>
      </c>
      <c r="C9" t="inlineStr">
        <is>
          <t>°</t>
        </is>
      </c>
      <c r="D9" t="inlineStr">
        <is>
          <t>Ángulo secante máximo de la curva (bajo confinamiento; sección 7 del memo)</t>
        </is>
      </c>
    </row>
    <row r="10">
      <c r="A10" s="2" t="inlineStr">
        <is>
          <t>Hipótesis de curvatura</t>
        </is>
      </c>
    </row>
    <row r="11">
      <c r="A11" t="inlineStr">
        <is>
          <t>Hipótesis</t>
        </is>
      </c>
      <c r="B11" t="inlineStr">
        <is>
          <t>m</t>
        </is>
      </c>
      <c r="C11" t="inlineStr">
        <is>
          <t>φ′e=0 (°)</t>
        </is>
      </c>
      <c r="D11" t="inlineStr">
        <is>
          <t>Nota</t>
        </is>
      </c>
      <c r="E11" t="inlineStr">
        <is>
          <t>φ′e=0 P5 (°)</t>
        </is>
      </c>
      <c r="F11" t="inlineStr">
        <is>
          <t>φ′e=0 P95 (°)</t>
        </is>
      </c>
    </row>
    <row r="12">
      <c r="A12" t="inlineStr">
        <is>
          <t>m P90 entre materiales</t>
        </is>
      </c>
      <c r="B12" t="n">
        <v>0.923</v>
      </c>
      <c r="C12" t="n">
        <v>48.24035893291905</v>
      </c>
      <c r="D12" t="inlineStr">
        <is>
          <t>Nivel reajustado a los ensayos de Antamina con esa m (a33)</t>
        </is>
      </c>
      <c r="E12" t="n">
        <v>46.5623440480554</v>
      </c>
      <c r="F12" t="n">
        <v>50.02548039308512</v>
      </c>
    </row>
    <row r="13">
      <c r="A13" t="inlineStr">
        <is>
          <t>m alto (IC 90 %)</t>
        </is>
      </c>
      <c r="B13" t="n">
        <v>0.862</v>
      </c>
      <c r="C13" t="n">
        <v>48.43051857138057</v>
      </c>
      <c r="D13" t="inlineStr">
        <is>
          <t>Nivel reajustado a los ensayos de Antamina con esa m (a33)</t>
        </is>
      </c>
      <c r="E13" t="n">
        <v>46.51306505838177</v>
      </c>
      <c r="F13" t="n">
        <v>50.43221557042018</v>
      </c>
    </row>
    <row r="14">
      <c r="A14" t="inlineStr">
        <is>
          <t>Curva propuesta</t>
        </is>
      </c>
      <c r="B14" t="n">
        <v>0.85</v>
      </c>
      <c r="C14" t="n">
        <v>48.47048190770352</v>
      </c>
      <c r="D14" t="inlineStr">
        <is>
          <t>Nivel reajustado a los ensayos de Antamina con esa m (a33)</t>
        </is>
      </c>
      <c r="E14" t="n">
        <v>46.35652201010235</v>
      </c>
      <c r="F14" t="n">
        <v>50.52661718305876</v>
      </c>
    </row>
    <row r="15">
      <c r="A15" t="inlineStr">
        <is>
          <t>m bajo (IC 90 %)</t>
        </is>
      </c>
      <c r="B15" t="n">
        <v>0.834</v>
      </c>
      <c r="C15" t="n">
        <v>48.52514813219322</v>
      </c>
      <c r="D15" t="inlineStr">
        <is>
          <t>Nivel reajustado a los ensayos de Antamina con esa m (a33)</t>
        </is>
      </c>
      <c r="E15" t="n">
        <v>46.39820472858209</v>
      </c>
      <c r="F15" t="n">
        <v>50.63382438516361</v>
      </c>
    </row>
    <row r="16">
      <c r="A16" t="inlineStr">
        <is>
          <t>m P10 entre materiales</t>
        </is>
      </c>
      <c r="B16" t="n">
        <v>0.787</v>
      </c>
      <c r="C16" t="n">
        <v>48.6953452579273</v>
      </c>
      <c r="D16" t="inlineStr">
        <is>
          <t>Nivel reajustado a los ensayos de Antamina con esa m (a33)</t>
        </is>
      </c>
      <c r="E16" t="n">
        <v>46.30383995626894</v>
      </c>
      <c r="F16" t="n">
        <v>51.12412447634013</v>
      </c>
    </row>
    <row r="17">
      <c r="A17" t="inlineStr">
        <is>
          <t>Antamina sola (m = 1), sensibilidad</t>
        </is>
      </c>
      <c r="B17" t="n">
        <v>1</v>
      </c>
      <c r="C17" t="n">
        <v>48.02892682288794</v>
      </c>
      <c r="D17" t="inlineStr">
        <is>
          <t>Nivel reajustado a los ensayos de Antamina con esa m (a33)</t>
        </is>
      </c>
      <c r="E17" t="n">
        <v>46.49327318786349</v>
      </c>
      <c r="F17" t="n">
        <v>49.64224486767613</v>
      </c>
    </row>
    <row r="19">
      <c r="A19" t="inlineStr">
        <is>
          <t>Cc perfil A, 0.2–0.8 MPa</t>
        </is>
      </c>
      <c r="B19" s="4" t="n">
        <v>0.07474338213496551</v>
      </c>
      <c r="C19" t="inlineStr">
        <is>
          <t>-</t>
        </is>
      </c>
      <c r="D19" t="inlineStr">
        <is>
          <t>Edómetro de mármol suelto (a13)</t>
        </is>
      </c>
    </row>
    <row r="20">
      <c r="A20" t="inlineStr">
        <is>
          <t>Cc perfil A, 1.2–4.8 MPa</t>
        </is>
      </c>
      <c r="B20" s="4" t="n">
        <v>0.1145612523015702</v>
      </c>
      <c r="C20" t="inlineStr">
        <is>
          <t>-</t>
        </is>
      </c>
      <c r="D20" t="inlineStr">
        <is>
          <t>Edómetro de mármol suelto (a13)</t>
        </is>
      </c>
    </row>
    <row r="21">
      <c r="A21" t="inlineStr">
        <is>
          <t>σ′v mínima de la ley del perfil A</t>
        </is>
      </c>
      <c r="B21" s="4" t="n">
        <v>0.05</v>
      </c>
      <c r="C21" t="inlineStr">
        <is>
          <t>MPa</t>
        </is>
      </c>
      <c r="D21" t="inlineStr">
        <is>
          <t>a13</t>
        </is>
      </c>
    </row>
    <row r="22">
      <c r="A22" t="inlineStr">
        <is>
          <t>Peso del residuo del corte directo</t>
        </is>
      </c>
      <c r="B22" s="4" t="n">
        <v>1.64458487283376</v>
      </c>
      <c r="C22" t="inlineStr">
        <is>
          <t>-</t>
        </is>
      </c>
      <c r="D22" t="inlineStr">
        <is>
          <t>Iguala la sensibilidad al ángulo de ln q y ln τ (a9)</t>
        </is>
      </c>
    </row>
    <row r="23">
      <c r="A23" t="inlineStr">
        <is>
          <t>Control: φ′e=0 con la composición del DDE (44/56)</t>
        </is>
      </c>
      <c r="B23" t="n">
        <v>48.42184409138804</v>
      </c>
      <c r="C23" t="inlineStr">
        <is>
          <t>°</t>
        </is>
      </c>
      <c r="D23" t="inlineStr">
        <is>
          <t>IFF-115-G-0001 Rev. B, Tabla 3-1: intrusivo y exoskarn 44 %, hornfels y mármol 56 % (repartido por igual)</t>
        </is>
      </c>
    </row>
    <row r="24">
      <c r="A24" t="inlineStr">
        <is>
          <t>Control: φ′e=0 con la composición de LE2</t>
        </is>
      </c>
      <c r="B24" t="n">
        <v>47.08993869594659</v>
      </c>
      <c r="C24" t="inlineStr">
        <is>
          <t>°</t>
        </is>
      </c>
      <c r="D24" t="inlineStr">
        <is>
          <t>MR2024, períodos ≥2035: mármol 37.8 %, hornfels 15.5 %, intrusivo 17.0 %, caliza y margas 29.6 % (sin ensayos; asimiladas al mármol)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1" customWidth="1" min="4" max="4"/>
    <col width="18" customWidth="1" min="5" max="5"/>
    <col width="26" customWidth="1" min="6" max="6"/>
    <col width="34" customWidth="1" min="7" max="7"/>
    <col width="7" customWidth="1" min="8" max="8"/>
    <col width="8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  <col width="9" customWidth="1" min="16" max="16"/>
    <col width="14" customWidth="1" min="17" max="17"/>
    <col width="9" customWidth="1" min="18" max="18"/>
    <col width="7" customWidth="1" min="19" max="19"/>
    <col width="34" customWidth="1" min="20" max="20"/>
    <col width="7" customWidth="1" min="21" max="21"/>
    <col width="11" customWidth="1" min="22" max="22"/>
    <col width="11" customWidth="1" min="23" max="23"/>
  </cols>
  <sheetData>
    <row r="1">
      <c r="A1" s="3" t="inlineStr">
        <is>
          <t>Fuente</t>
        </is>
      </c>
      <c r="B1" s="3" t="inlineStr">
        <is>
          <t>Set</t>
        </is>
      </c>
      <c r="C1" s="3" t="inlineStr">
        <is>
          <t>Ensayo (id)</t>
        </is>
      </c>
      <c r="D1" s="3" t="inlineStr">
        <is>
          <t>Litología</t>
        </is>
      </c>
      <c r="E1" s="3" t="inlineStr">
        <is>
          <t>Tipo</t>
        </is>
      </c>
      <c r="F1" s="3" t="inlineStr">
        <is>
          <t>Uso</t>
        </is>
      </c>
      <c r="G1" s="3" t="inlineStr">
        <is>
          <t>Motivo</t>
        </is>
      </c>
      <c r="H1" s="3" t="inlineStr">
        <is>
          <t>D (m)</t>
        </is>
      </c>
      <c r="I1" s="3" t="inlineStr">
        <is>
          <t>Dmax (mm)</t>
        </is>
      </c>
      <c r="J1" s="3" t="inlineStr">
        <is>
          <t>e0</t>
        </is>
      </c>
      <c r="K1" s="3" t="inlineStr">
        <is>
          <t>σ′3 (MPa)</t>
        </is>
      </c>
      <c r="L1" s="3" t="inlineStr">
        <is>
          <t>σ′1 (MPa)</t>
        </is>
      </c>
      <c r="M1" s="3" t="inlineStr">
        <is>
          <t>σ′n (MPa)</t>
        </is>
      </c>
      <c r="N1" s="3" t="inlineStr">
        <is>
          <t>τ (MPa)</t>
        </is>
      </c>
      <c r="O1" s="3" t="inlineStr">
        <is>
          <t>φ′s (°)</t>
        </is>
      </c>
      <c r="P1" s="3" t="inlineStr">
        <is>
          <t>φ′s a e base (°)</t>
        </is>
      </c>
      <c r="Q1" s="3" t="inlineStr">
        <is>
          <t>φ′s predicha por la curva (mismo σ′n y e0 del ensayo) (°)</t>
        </is>
      </c>
      <c r="R1" s="3" t="inlineStr">
        <is>
          <t>Δφ′s ensayo − curva (°)</t>
        </is>
      </c>
      <c r="S1" s="3" t="inlineStr">
        <is>
          <t>εa (%)</t>
        </is>
      </c>
      <c r="T1" s="3" t="inlineStr">
        <is>
          <t>Criterio de falla</t>
        </is>
      </c>
      <c r="U1" s="3" t="inlineStr">
        <is>
          <t>Página</t>
        </is>
      </c>
      <c r="V1" s="3" t="inlineStr">
        <is>
          <t>φ′1 del ensayo a su e0 (°)</t>
        </is>
      </c>
      <c r="W1" s="3" t="inlineStr">
        <is>
          <t>φ′1 del ensayo a e base (°)</t>
        </is>
      </c>
    </row>
    <row r="2">
      <c r="A2" t="inlineStr">
        <is>
          <t>G2012</t>
        </is>
      </c>
      <c r="B2" t="inlineStr">
        <is>
          <t>G2012-MN-C</t>
        </is>
      </c>
      <c r="C2" t="inlineStr">
        <is>
          <t>Test 1 / Probeta 1 (σ'c = 5 kg/cm²)</t>
        </is>
      </c>
      <c r="D2" t="inlineStr">
        <is>
          <t>Mármol</t>
        </is>
      </c>
      <c r="E2" t="inlineStr">
        <is>
          <t>Triaxial CD</t>
        </is>
      </c>
      <c r="F2" t="inlineStr">
        <is>
          <t>Ajuste de la curva propuesta</t>
        </is>
      </c>
      <c r="G2" t="inlineStr"/>
      <c r="H2" t="n">
        <v>1</v>
      </c>
      <c r="I2" t="n">
        <v>177.8</v>
      </c>
      <c r="J2" t="n">
        <v>0.3119684466019417</v>
      </c>
      <c r="K2" t="n">
        <v>0.4903</v>
      </c>
      <c r="L2" t="n">
        <v>2.2712</v>
      </c>
      <c r="M2">
        <f>(L2+K2)/2-(L2-K2)/2*((SQRT(4*m_*(m_-1)*(L2-K2)^2+(L2+K2)^2)-(L2+K2))/(2*(m_-1)*(L2-K2)))</f>
        <v/>
      </c>
      <c r="N2">
        <f>(L2-K2)/2*SQRT(1-((SQRT(4*m_*(m_-1)*(L2-K2)^2+(L2+K2)^2)-(L2+K2))/(2*(m_-1)*(L2-K2)))^2)</f>
        <v/>
      </c>
      <c r="O2">
        <f>DEGREES(ATAN(N2/M2))</f>
        <v/>
      </c>
      <c r="P2">
        <f>O2-omega*(e_base-J2)</f>
        <v/>
      </c>
      <c r="Q2">
        <f>DEGREES(ATAN(TAN(RADIANS(pe0-omega*J2))*(M2/sref)^(m_-1)))</f>
        <v/>
      </c>
      <c r="R2">
        <f>O2-Q2</f>
        <v/>
      </c>
      <c r="S2" t="n">
        <v>17.27</v>
      </c>
      <c r="T2" t="inlineStr">
        <is>
          <t>CD: máximo desviador</t>
        </is>
      </c>
      <c r="U2" t="inlineStr">
        <is>
          <t>7;29;27;28;17;10</t>
        </is>
      </c>
      <c r="V2">
        <f>DEGREES(ATAN(TAN(RADIANS(O2))*(M2/sref)^(1-m_)))</f>
        <v/>
      </c>
      <c r="W2">
        <f>V2-omega*(e_base-J2)</f>
        <v/>
      </c>
    </row>
    <row r="3">
      <c r="A3" t="inlineStr">
        <is>
          <t>G2012</t>
        </is>
      </c>
      <c r="B3" t="inlineStr">
        <is>
          <t>G2012-MN-C</t>
        </is>
      </c>
      <c r="C3" t="inlineStr">
        <is>
          <t>Test 2 / Probeta 2 (σ'c = 5 kg/cm²)</t>
        </is>
      </c>
      <c r="D3" t="inlineStr">
        <is>
          <t>Mármol</t>
        </is>
      </c>
      <c r="E3" t="inlineStr">
        <is>
          <t>Triaxial CD</t>
        </is>
      </c>
      <c r="F3" t="inlineStr">
        <is>
          <t>Ajuste de la curva propuesta</t>
        </is>
      </c>
      <c r="G3" t="inlineStr"/>
      <c r="H3" t="n">
        <v>1</v>
      </c>
      <c r="I3" t="n">
        <v>177.8</v>
      </c>
      <c r="J3" t="n">
        <v>0.3119684466019417</v>
      </c>
      <c r="K3" t="n">
        <v>0.4903</v>
      </c>
      <c r="L3" t="n">
        <v>2.1928</v>
      </c>
      <c r="M3">
        <f>(L3+K3)/2-(L3-K3)/2*((SQRT(4*m_*(m_-1)*(L3-K3)^2+(L3+K3)^2)-(L3+K3))/(2*(m_-1)*(L3-K3)))</f>
        <v/>
      </c>
      <c r="N3">
        <f>(L3-K3)/2*SQRT(1-((SQRT(4*m_*(m_-1)*(L3-K3)^2+(L3+K3)^2)-(L3+K3))/(2*(m_-1)*(L3-K3)))^2)</f>
        <v/>
      </c>
      <c r="O3">
        <f>DEGREES(ATAN(N3/M3))</f>
        <v/>
      </c>
      <c r="P3">
        <f>O3-omega*(e_base-J3)</f>
        <v/>
      </c>
      <c r="Q3">
        <f>DEGREES(ATAN(TAN(RADIANS(pe0-omega*J3))*(M3/sref)^(m_-1)))</f>
        <v/>
      </c>
      <c r="R3">
        <f>O3-Q3</f>
        <v/>
      </c>
      <c r="S3" t="n">
        <v>18.26</v>
      </c>
      <c r="T3" t="inlineStr">
        <is>
          <t>CD: máximo desviador</t>
        </is>
      </c>
      <c r="U3" t="inlineStr">
        <is>
          <t>7;40;27;28;17;10</t>
        </is>
      </c>
      <c r="V3">
        <f>DEGREES(ATAN(TAN(RADIANS(O3))*(M3/sref)^(1-m_)))</f>
        <v/>
      </c>
      <c r="W3">
        <f>V3-omega*(e_base-J3)</f>
        <v/>
      </c>
    </row>
    <row r="4">
      <c r="A4" t="inlineStr">
        <is>
          <t>G2012</t>
        </is>
      </c>
      <c r="B4" t="inlineStr">
        <is>
          <t>G2012-MN-C</t>
        </is>
      </c>
      <c r="C4" t="inlineStr">
        <is>
          <t>Test 3 / Probeta 3 (σ'c = 10 kg/cm²)</t>
        </is>
      </c>
      <c r="D4" t="inlineStr">
        <is>
          <t>Mármol</t>
        </is>
      </c>
      <c r="E4" t="inlineStr">
        <is>
          <t>Triaxial CD</t>
        </is>
      </c>
      <c r="F4" t="inlineStr">
        <is>
          <t>Ajuste de la curva propuesta</t>
        </is>
      </c>
      <c r="G4" t="inlineStr"/>
      <c r="H4" t="n">
        <v>1</v>
      </c>
      <c r="I4" t="n">
        <v>177.8</v>
      </c>
      <c r="J4" t="n">
        <v>0.3119684466019417</v>
      </c>
      <c r="K4" t="n">
        <v>0.9807</v>
      </c>
      <c r="L4" t="n">
        <v>3.8972</v>
      </c>
      <c r="M4">
        <f>(L4+K4)/2-(L4-K4)/2*((SQRT(4*m_*(m_-1)*(L4-K4)^2+(L4+K4)^2)-(L4+K4))/(2*(m_-1)*(L4-K4)))</f>
        <v/>
      </c>
      <c r="N4">
        <f>(L4-K4)/2*SQRT(1-((SQRT(4*m_*(m_-1)*(L4-K4)^2+(L4+K4)^2)-(L4+K4))/(2*(m_-1)*(L4-K4)))^2)</f>
        <v/>
      </c>
      <c r="O4">
        <f>DEGREES(ATAN(N4/M4))</f>
        <v/>
      </c>
      <c r="P4">
        <f>O4-omega*(e_base-J4)</f>
        <v/>
      </c>
      <c r="Q4">
        <f>DEGREES(ATAN(TAN(RADIANS(pe0-omega*J4))*(M4/sref)^(m_-1)))</f>
        <v/>
      </c>
      <c r="R4">
        <f>O4-Q4</f>
        <v/>
      </c>
      <c r="S4" t="n">
        <v>18</v>
      </c>
      <c r="T4" t="inlineStr">
        <is>
          <t>CD: máximo desviador</t>
        </is>
      </c>
      <c r="U4" t="inlineStr">
        <is>
          <t>7;52;27;28;17;10</t>
        </is>
      </c>
      <c r="V4">
        <f>DEGREES(ATAN(TAN(RADIANS(O4))*(M4/sref)^(1-m_)))</f>
        <v/>
      </c>
      <c r="W4">
        <f>V4-omega*(e_base-J4)</f>
        <v/>
      </c>
    </row>
    <row r="5">
      <c r="A5" t="inlineStr">
        <is>
          <t>G2012</t>
        </is>
      </c>
      <c r="B5" t="inlineStr">
        <is>
          <t>G2012-MN-C</t>
        </is>
      </c>
      <c r="C5" t="inlineStr">
        <is>
          <t>Test 4 / Probeta 4 (σ'c = 20 kg/cm²)</t>
        </is>
      </c>
      <c r="D5" t="inlineStr">
        <is>
          <t>Mármol</t>
        </is>
      </c>
      <c r="E5" t="inlineStr">
        <is>
          <t>Triaxial CD</t>
        </is>
      </c>
      <c r="F5" t="inlineStr">
        <is>
          <t>Ajuste de la curva propuesta</t>
        </is>
      </c>
      <c r="G5" t="inlineStr"/>
      <c r="H5" t="n">
        <v>1</v>
      </c>
      <c r="I5" t="n">
        <v>177.8</v>
      </c>
      <c r="J5" t="n">
        <v>0.3119684466019417</v>
      </c>
      <c r="K5" t="n">
        <v>1.9613</v>
      </c>
      <c r="L5" t="n">
        <v>7.7786</v>
      </c>
      <c r="M5">
        <f>(L5+K5)/2-(L5-K5)/2*((SQRT(4*m_*(m_-1)*(L5-K5)^2+(L5+K5)^2)-(L5+K5))/(2*(m_-1)*(L5-K5)))</f>
        <v/>
      </c>
      <c r="N5">
        <f>(L5-K5)/2*SQRT(1-((SQRT(4*m_*(m_-1)*(L5-K5)^2+(L5+K5)^2)-(L5+K5))/(2*(m_-1)*(L5-K5)))^2)</f>
        <v/>
      </c>
      <c r="O5">
        <f>DEGREES(ATAN(N5/M5))</f>
        <v/>
      </c>
      <c r="P5">
        <f>O5-omega*(e_base-J5)</f>
        <v/>
      </c>
      <c r="Q5">
        <f>DEGREES(ATAN(TAN(RADIANS(pe0-omega*J5))*(M5/sref)^(m_-1)))</f>
        <v/>
      </c>
      <c r="R5">
        <f>O5-Q5</f>
        <v/>
      </c>
      <c r="S5" t="n">
        <v>19.59</v>
      </c>
      <c r="T5" t="inlineStr">
        <is>
          <t>CD: máximo desviador</t>
        </is>
      </c>
      <c r="U5" t="inlineStr">
        <is>
          <t>7;55;27;28;17;10</t>
        </is>
      </c>
      <c r="V5">
        <f>DEGREES(ATAN(TAN(RADIANS(O5))*(M5/sref)^(1-m_)))</f>
        <v/>
      </c>
      <c r="W5">
        <f>V5-omega*(e_base-J5)</f>
        <v/>
      </c>
    </row>
    <row r="6">
      <c r="A6" t="inlineStr">
        <is>
          <t>G2012</t>
        </is>
      </c>
      <c r="B6" t="inlineStr">
        <is>
          <t>G2012-MN-C</t>
        </is>
      </c>
      <c r="C6" t="inlineStr">
        <is>
          <t>Test 5 / Probeta 5 (σ'c = 20 kg/cm²)</t>
        </is>
      </c>
      <c r="D6" t="inlineStr">
        <is>
          <t>Mármol</t>
        </is>
      </c>
      <c r="E6" t="inlineStr">
        <is>
          <t>Triaxial CD</t>
        </is>
      </c>
      <c r="F6" t="inlineStr">
        <is>
          <t>Ajuste de la curva propuesta</t>
        </is>
      </c>
      <c r="G6" t="inlineStr"/>
      <c r="H6" t="n">
        <v>1</v>
      </c>
      <c r="I6" t="n">
        <v>177.8</v>
      </c>
      <c r="J6" t="n">
        <v>0.3119684466019417</v>
      </c>
      <c r="K6" t="n">
        <v>1.9613</v>
      </c>
      <c r="L6" t="n">
        <v>8.2905</v>
      </c>
      <c r="M6">
        <f>(L6+K6)/2-(L6-K6)/2*((SQRT(4*m_*(m_-1)*(L6-K6)^2+(L6+K6)^2)-(L6+K6))/(2*(m_-1)*(L6-K6)))</f>
        <v/>
      </c>
      <c r="N6">
        <f>(L6-K6)/2*SQRT(1-((SQRT(4*m_*(m_-1)*(L6-K6)^2+(L6+K6)^2)-(L6+K6))/(2*(m_-1)*(L6-K6)))^2)</f>
        <v/>
      </c>
      <c r="O6">
        <f>DEGREES(ATAN(N6/M6))</f>
        <v/>
      </c>
      <c r="P6">
        <f>O6-omega*(e_base-J6)</f>
        <v/>
      </c>
      <c r="Q6">
        <f>DEGREES(ATAN(TAN(RADIANS(pe0-omega*J6))*(M6/sref)^(m_-1)))</f>
        <v/>
      </c>
      <c r="R6">
        <f>O6-Q6</f>
        <v/>
      </c>
      <c r="S6" t="n">
        <v>17.78</v>
      </c>
      <c r="T6" t="inlineStr">
        <is>
          <t>CD: máximo desviador</t>
        </is>
      </c>
      <c r="U6" t="inlineStr">
        <is>
          <t>7;70;27;28;17;10</t>
        </is>
      </c>
      <c r="V6">
        <f>DEGREES(ATAN(TAN(RADIANS(O6))*(M6/sref)^(1-m_)))</f>
        <v/>
      </c>
      <c r="W6">
        <f>V6-omega*(e_base-J6)</f>
        <v/>
      </c>
    </row>
    <row r="7">
      <c r="A7" t="inlineStr">
        <is>
          <t>G2021</t>
        </is>
      </c>
      <c r="B7" t="inlineStr">
        <is>
          <t>G21-DESM-COMP</t>
        </is>
      </c>
      <c r="C7" t="inlineStr">
        <is>
          <t>II0471-E1</t>
        </is>
      </c>
      <c r="D7" t="inlineStr">
        <is>
          <t>Mezcla</t>
        </is>
      </c>
      <c r="E7" t="inlineStr">
        <is>
          <t>Triaxial CD</t>
        </is>
      </c>
      <c r="F7" t="inlineStr">
        <is>
          <t>Ajuste de la curva propuesta</t>
        </is>
      </c>
      <c r="G7" t="inlineStr"/>
      <c r="H7" t="n">
        <v>0.1524</v>
      </c>
      <c r="I7" t="n">
        <v>25.4</v>
      </c>
      <c r="J7" t="n">
        <v>0.3222733833484463</v>
      </c>
      <c r="K7" t="n">
        <v>0.098</v>
      </c>
      <c r="L7" t="n">
        <v>0.381</v>
      </c>
      <c r="M7">
        <f>(L7+K7)/2-(L7-K7)/2*((SQRT(4*m_*(m_-1)*(L7-K7)^2+(L7+K7)^2)-(L7+K7))/(2*(m_-1)*(L7-K7)))</f>
        <v/>
      </c>
      <c r="N7">
        <f>(L7-K7)/2*SQRT(1-((SQRT(4*m_*(m_-1)*(L7-K7)^2+(L7+K7)^2)-(L7+K7))/(2*(m_-1)*(L7-K7)))^2)</f>
        <v/>
      </c>
      <c r="O7">
        <f>DEGREES(ATAN(N7/M7))</f>
        <v/>
      </c>
      <c r="P7">
        <f>O7-omega*(e_base-J7)</f>
        <v/>
      </c>
      <c r="Q7">
        <f>DEGREES(ATAN(TAN(RADIANS(pe0-omega*J7))*(M7/sref)^(m_-1)))</f>
        <v/>
      </c>
      <c r="R7">
        <f>O7-Q7</f>
        <v/>
      </c>
      <c r="S7" t="n">
        <v>3.99</v>
      </c>
      <c r="T7" t="inlineStr">
        <is>
          <t>CD: máximo desviador</t>
        </is>
      </c>
      <c r="U7" t="inlineStr">
        <is>
          <t>20;108;46</t>
        </is>
      </c>
      <c r="V7">
        <f>DEGREES(ATAN(TAN(RADIANS(O7))*(M7/sref)^(1-m_)))</f>
        <v/>
      </c>
      <c r="W7">
        <f>V7-omega*(e_base-J7)</f>
        <v/>
      </c>
    </row>
    <row r="8">
      <c r="A8" t="inlineStr">
        <is>
          <t>G2021</t>
        </is>
      </c>
      <c r="B8" t="inlineStr">
        <is>
          <t>G21-DESM-COMP</t>
        </is>
      </c>
      <c r="C8" t="inlineStr">
        <is>
          <t>II0471-E2</t>
        </is>
      </c>
      <c r="D8" t="inlineStr">
        <is>
          <t>Mezcla</t>
        </is>
      </c>
      <c r="E8" t="inlineStr">
        <is>
          <t>Triaxial CD</t>
        </is>
      </c>
      <c r="F8" t="inlineStr">
        <is>
          <t>Ajuste de la curva propuesta</t>
        </is>
      </c>
      <c r="G8" t="inlineStr"/>
      <c r="H8" t="n">
        <v>0.1524</v>
      </c>
      <c r="I8" t="n">
        <v>25.4</v>
      </c>
      <c r="J8" t="n">
        <v>0.3222733833484463</v>
      </c>
      <c r="K8" t="n">
        <v>0.399</v>
      </c>
      <c r="L8" t="n">
        <v>1.917</v>
      </c>
      <c r="M8">
        <f>(L8+K8)/2-(L8-K8)/2*((SQRT(4*m_*(m_-1)*(L8-K8)^2+(L8+K8)^2)-(L8+K8))/(2*(m_-1)*(L8-K8)))</f>
        <v/>
      </c>
      <c r="N8">
        <f>(L8-K8)/2*SQRT(1-((SQRT(4*m_*(m_-1)*(L8-K8)^2+(L8+K8)^2)-(L8+K8))/(2*(m_-1)*(L8-K8)))^2)</f>
        <v/>
      </c>
      <c r="O8">
        <f>DEGREES(ATAN(N8/M8))</f>
        <v/>
      </c>
      <c r="P8">
        <f>O8-omega*(e_base-J8)</f>
        <v/>
      </c>
      <c r="Q8">
        <f>DEGREES(ATAN(TAN(RADIANS(pe0-omega*J8))*(M8/sref)^(m_-1)))</f>
        <v/>
      </c>
      <c r="R8">
        <f>O8-Q8</f>
        <v/>
      </c>
      <c r="S8" t="n">
        <v>20.21</v>
      </c>
      <c r="T8" t="inlineStr">
        <is>
          <t>CD: máximo desviador</t>
        </is>
      </c>
      <c r="U8" t="inlineStr">
        <is>
          <t>20;109;46</t>
        </is>
      </c>
      <c r="V8">
        <f>DEGREES(ATAN(TAN(RADIANS(O8))*(M8/sref)^(1-m_)))</f>
        <v/>
      </c>
      <c r="W8">
        <f>V8-omega*(e_base-J8)</f>
        <v/>
      </c>
    </row>
    <row r="9">
      <c r="A9" t="inlineStr">
        <is>
          <t>G2021</t>
        </is>
      </c>
      <c r="B9" t="inlineStr">
        <is>
          <t>G21-DESM-COMP</t>
        </is>
      </c>
      <c r="C9" t="inlineStr">
        <is>
          <t>II0471-E3</t>
        </is>
      </c>
      <c r="D9" t="inlineStr">
        <is>
          <t>Mezcla</t>
        </is>
      </c>
      <c r="E9" t="inlineStr">
        <is>
          <t>Triaxial CD</t>
        </is>
      </c>
      <c r="F9" t="inlineStr">
        <is>
          <t>Ajuste de la curva propuesta</t>
        </is>
      </c>
      <c r="G9" t="inlineStr"/>
      <c r="H9" t="n">
        <v>0.1524</v>
      </c>
      <c r="I9" t="n">
        <v>25.4</v>
      </c>
      <c r="J9" t="n">
        <v>0.323565296766471</v>
      </c>
      <c r="K9" t="n">
        <v>1.2</v>
      </c>
      <c r="L9" t="n">
        <v>5.847</v>
      </c>
      <c r="M9">
        <f>(L9+K9)/2-(L9-K9)/2*((SQRT(4*m_*(m_-1)*(L9-K9)^2+(L9+K9)^2)-(L9+K9))/(2*(m_-1)*(L9-K9)))</f>
        <v/>
      </c>
      <c r="N9">
        <f>(L9-K9)/2*SQRT(1-((SQRT(4*m_*(m_-1)*(L9-K9)^2+(L9+K9)^2)-(L9+K9))/(2*(m_-1)*(L9-K9)))^2)</f>
        <v/>
      </c>
      <c r="O9">
        <f>DEGREES(ATAN(N9/M9))</f>
        <v/>
      </c>
      <c r="P9">
        <f>O9-omega*(e_base-J9)</f>
        <v/>
      </c>
      <c r="Q9">
        <f>DEGREES(ATAN(TAN(RADIANS(pe0-omega*J9))*(M9/sref)^(m_-1)))</f>
        <v/>
      </c>
      <c r="R9">
        <f>O9-Q9</f>
        <v/>
      </c>
      <c r="S9" t="n">
        <v>12.09</v>
      </c>
      <c r="T9" t="inlineStr">
        <is>
          <t>CD: máximo desviador</t>
        </is>
      </c>
      <c r="U9" t="inlineStr">
        <is>
          <t>20;110;46</t>
        </is>
      </c>
      <c r="V9">
        <f>DEGREES(ATAN(TAN(RADIANS(O9))*(M9/sref)^(1-m_)))</f>
        <v/>
      </c>
      <c r="W9">
        <f>V9-omega*(e_base-J9)</f>
        <v/>
      </c>
    </row>
    <row r="10">
      <c r="A10" t="inlineStr">
        <is>
          <t>W2022</t>
        </is>
      </c>
      <c r="B10" t="inlineStr">
        <is>
          <t>HF-1.0m-IDIEM-mono</t>
        </is>
      </c>
      <c r="C10" t="inlineStr">
        <is>
          <t>Tabla 3 Hornfels Probeta 1 = IDIEM 1.555.677-B.2 PROBETA 1</t>
        </is>
      </c>
      <c r="D10" t="inlineStr">
        <is>
          <t>Hornfels</t>
        </is>
      </c>
      <c r="E10" t="inlineStr">
        <is>
          <t>Triaxial CD</t>
        </is>
      </c>
      <c r="F10" t="inlineStr">
        <is>
          <t>Ajuste de la curva propuesta</t>
        </is>
      </c>
      <c r="G10" t="inlineStr"/>
      <c r="H10" t="n">
        <v>1</v>
      </c>
      <c r="I10" t="n">
        <v>177.8</v>
      </c>
      <c r="J10" t="n">
        <v>0.3317313106796116</v>
      </c>
      <c r="K10" t="n">
        <v>0.981</v>
      </c>
      <c r="L10" t="n">
        <v>4.878</v>
      </c>
      <c r="M10">
        <f>(L10+K10)/2-(L10-K10)/2*((SQRT(4*m_*(m_-1)*(L10-K10)^2+(L10+K10)^2)-(L10+K10))/(2*(m_-1)*(L10-K10)))</f>
        <v/>
      </c>
      <c r="N10">
        <f>(L10-K10)/2*SQRT(1-((SQRT(4*m_*(m_-1)*(L10-K10)^2+(L10+K10)^2)-(L10+K10))/(2*(m_-1)*(L10-K10)))^2)</f>
        <v/>
      </c>
      <c r="O10">
        <f>DEGREES(ATAN(N10/M10))</f>
        <v/>
      </c>
      <c r="P10">
        <f>O10-omega*(e_base-J10)</f>
        <v/>
      </c>
      <c r="Q10">
        <f>DEGREES(ATAN(TAN(RADIANS(pe0-omega*J10))*(M10/sref)^(m_-1)))</f>
        <v/>
      </c>
      <c r="R10">
        <f>O10-Q10</f>
        <v/>
      </c>
      <c r="S10" t="n">
        <v>13.13</v>
      </c>
      <c r="T10" t="inlineStr">
        <is>
          <t>CD: máximo desviador</t>
        </is>
      </c>
      <c r="U10" t="inlineStr">
        <is>
          <t>10;233-236;62-63;41</t>
        </is>
      </c>
      <c r="V10">
        <f>DEGREES(ATAN(TAN(RADIANS(O10))*(M10/sref)^(1-m_)))</f>
        <v/>
      </c>
      <c r="W10">
        <f>V10-omega*(e_base-J10)</f>
        <v/>
      </c>
    </row>
    <row r="11">
      <c r="A11" t="inlineStr">
        <is>
          <t>W2022</t>
        </is>
      </c>
      <c r="B11" t="inlineStr">
        <is>
          <t>HF-1.0m-IDIEM-mono</t>
        </is>
      </c>
      <c r="C11" t="inlineStr">
        <is>
          <t>Tabla 3 Hornfels Probeta 2 = IDIEM 1.555.677-B.2 PROBETA 2</t>
        </is>
      </c>
      <c r="D11" t="inlineStr">
        <is>
          <t>Hornfels</t>
        </is>
      </c>
      <c r="E11" t="inlineStr">
        <is>
          <t>Triaxial CD</t>
        </is>
      </c>
      <c r="F11" t="inlineStr">
        <is>
          <t>Ajuste de la curva propuesta</t>
        </is>
      </c>
      <c r="G11" t="inlineStr"/>
      <c r="H11" t="n">
        <v>1</v>
      </c>
      <c r="I11" t="n">
        <v>177.8</v>
      </c>
      <c r="J11" t="n">
        <v>0.3317313106796116</v>
      </c>
      <c r="K11" t="n">
        <v>1.961</v>
      </c>
      <c r="L11" t="n">
        <v>11.021</v>
      </c>
      <c r="M11">
        <f>(L11+K11)/2-(L11-K11)/2*((SQRT(4*m_*(m_-1)*(L11-K11)^2+(L11+K11)^2)-(L11+K11))/(2*(m_-1)*(L11-K11)))</f>
        <v/>
      </c>
      <c r="N11">
        <f>(L11-K11)/2*SQRT(1-((SQRT(4*m_*(m_-1)*(L11-K11)^2+(L11+K11)^2)-(L11+K11))/(2*(m_-1)*(L11-K11)))^2)</f>
        <v/>
      </c>
      <c r="O11">
        <f>DEGREES(ATAN(N11/M11))</f>
        <v/>
      </c>
      <c r="P11">
        <f>O11-omega*(e_base-J11)</f>
        <v/>
      </c>
      <c r="Q11">
        <f>DEGREES(ATAN(TAN(RADIANS(pe0-omega*J11))*(M11/sref)^(m_-1)))</f>
        <v/>
      </c>
      <c r="R11">
        <f>O11-Q11</f>
        <v/>
      </c>
      <c r="S11" t="n">
        <v>19.04</v>
      </c>
      <c r="T11" t="inlineStr">
        <is>
          <t>CD: máximo desviador</t>
        </is>
      </c>
      <c r="U11" t="inlineStr">
        <is>
          <t>10;238-243;62-63;41</t>
        </is>
      </c>
      <c r="V11">
        <f>DEGREES(ATAN(TAN(RADIANS(O11))*(M11/sref)^(1-m_)))</f>
        <v/>
      </c>
      <c r="W11">
        <f>V11-omega*(e_base-J11)</f>
        <v/>
      </c>
    </row>
    <row r="12">
      <c r="A12" t="inlineStr">
        <is>
          <t>W2022</t>
        </is>
      </c>
      <c r="B12" t="inlineStr">
        <is>
          <t>HF-1.0m-IDIEM-mono</t>
        </is>
      </c>
      <c r="C12" t="inlineStr">
        <is>
          <t>Tabla 3 Hornfels Probeta 3 = IDIEM 1.555.677-B.2 PROBETA 3</t>
        </is>
      </c>
      <c r="D12" t="inlineStr">
        <is>
          <t>Hornfels</t>
        </is>
      </c>
      <c r="E12" t="inlineStr">
        <is>
          <t>Triaxial CD</t>
        </is>
      </c>
      <c r="F12" t="inlineStr">
        <is>
          <t>Ajuste de la curva propuesta</t>
        </is>
      </c>
      <c r="G12" t="inlineStr"/>
      <c r="H12" t="n">
        <v>1</v>
      </c>
      <c r="I12" t="n">
        <v>177.8</v>
      </c>
      <c r="J12" t="n">
        <v>0.3317313106796116</v>
      </c>
      <c r="K12" t="n">
        <v>2.452</v>
      </c>
      <c r="L12" t="n">
        <v>14.382</v>
      </c>
      <c r="M12">
        <f>(L12+K12)/2-(L12-K12)/2*((SQRT(4*m_*(m_-1)*(L12-K12)^2+(L12+K12)^2)-(L12+K12))/(2*(m_-1)*(L12-K12)))</f>
        <v/>
      </c>
      <c r="N12">
        <f>(L12-K12)/2*SQRT(1-((SQRT(4*m_*(m_-1)*(L12-K12)^2+(L12+K12)^2)-(L12+K12))/(2*(m_-1)*(L12-K12)))^2)</f>
        <v/>
      </c>
      <c r="O12">
        <f>DEGREES(ATAN(N12/M12))</f>
        <v/>
      </c>
      <c r="P12">
        <f>O12-omega*(e_base-J12)</f>
        <v/>
      </c>
      <c r="Q12">
        <f>DEGREES(ATAN(TAN(RADIANS(pe0-omega*J12))*(M12/sref)^(m_-1)))</f>
        <v/>
      </c>
      <c r="R12">
        <f>O12-Q12</f>
        <v/>
      </c>
      <c r="S12" t="n">
        <v>17.83</v>
      </c>
      <c r="T12" t="inlineStr">
        <is>
          <t>CD: máximo desviador</t>
        </is>
      </c>
      <c r="U12" t="inlineStr">
        <is>
          <t>10;245-250;62-63;41</t>
        </is>
      </c>
      <c r="V12">
        <f>DEGREES(ATAN(TAN(RADIANS(O12))*(M12/sref)^(1-m_)))</f>
        <v/>
      </c>
      <c r="W12">
        <f>V12-omega*(e_base-J12)</f>
        <v/>
      </c>
    </row>
    <row r="13">
      <c r="A13" t="inlineStr">
        <is>
          <t>W2022</t>
        </is>
      </c>
      <c r="B13" t="inlineStr">
        <is>
          <t>HF-1.0m-IDIEM-cd</t>
        </is>
      </c>
      <c r="C13" t="inlineStr">
        <is>
          <t>Tabla 3 Hornfels Probeta 4 = IDIEM 1.555.677-E PROBETA 1</t>
        </is>
      </c>
      <c r="D13" t="inlineStr">
        <is>
          <t>Hornfels</t>
        </is>
      </c>
      <c r="E13" t="inlineStr">
        <is>
          <t>Triaxial CD carga-descarga</t>
        </is>
      </c>
      <c r="F13" t="inlineStr">
        <is>
          <t>Ajuste de la curva propuesta</t>
        </is>
      </c>
      <c r="G13" t="inlineStr"/>
      <c r="H13" t="n">
        <v>1</v>
      </c>
      <c r="I13" t="n">
        <v>177.8</v>
      </c>
      <c r="J13" t="n">
        <v>0.3574302325581395</v>
      </c>
      <c r="K13" t="n">
        <v>0.981</v>
      </c>
      <c r="L13" t="n">
        <v>4.801</v>
      </c>
      <c r="M13">
        <f>(L13+K13)/2-(L13-K13)/2*((SQRT(4*m_*(m_-1)*(L13-K13)^2+(L13+K13)^2)-(L13+K13))/(2*(m_-1)*(L13-K13)))</f>
        <v/>
      </c>
      <c r="N13">
        <f>(L13-K13)/2*SQRT(1-((SQRT(4*m_*(m_-1)*(L13-K13)^2+(L13+K13)^2)-(L13+K13))/(2*(m_-1)*(L13-K13)))^2)</f>
        <v/>
      </c>
      <c r="O13">
        <f>DEGREES(ATAN(N13/M13))</f>
        <v/>
      </c>
      <c r="P13">
        <f>O13-omega*(e_base-J13)</f>
        <v/>
      </c>
      <c r="Q13">
        <f>DEGREES(ATAN(TAN(RADIANS(pe0-omega*J13))*(M13/sref)^(m_-1)))</f>
        <v/>
      </c>
      <c r="R13">
        <f>O13-Q13</f>
        <v/>
      </c>
      <c r="S13" t="n">
        <v>19.15</v>
      </c>
      <c r="T13" t="inlineStr">
        <is>
          <t>CD: máximo desviador</t>
        </is>
      </c>
      <c r="U13" t="inlineStr">
        <is>
          <t>10;106-117;62-63;41</t>
        </is>
      </c>
      <c r="V13">
        <f>DEGREES(ATAN(TAN(RADIANS(O13))*(M13/sref)^(1-m_)))</f>
        <v/>
      </c>
      <c r="W13">
        <f>V13-omega*(e_base-J13)</f>
        <v/>
      </c>
    </row>
    <row r="14">
      <c r="A14" t="inlineStr">
        <is>
          <t>W2022</t>
        </is>
      </c>
      <c r="B14" t="inlineStr">
        <is>
          <t>HF-1.0m-IDIEM-cd</t>
        </is>
      </c>
      <c r="C14" t="inlineStr">
        <is>
          <t>Tabla 3 Hornfels Probeta 5 = IDIEM 1.555.677-E PROBETA 2</t>
        </is>
      </c>
      <c r="D14" t="inlineStr">
        <is>
          <t>Hornfels</t>
        </is>
      </c>
      <c r="E14" t="inlineStr">
        <is>
          <t>Triaxial CD carga-descarga</t>
        </is>
      </c>
      <c r="F14" t="inlineStr">
        <is>
          <t>Ajuste de la curva propuesta</t>
        </is>
      </c>
      <c r="G14" t="inlineStr"/>
      <c r="H14" t="n">
        <v>1</v>
      </c>
      <c r="I14" t="n">
        <v>177.8</v>
      </c>
      <c r="J14" t="n">
        <v>0.3574302325581395</v>
      </c>
      <c r="K14" t="n">
        <v>1.961</v>
      </c>
      <c r="L14" t="n">
        <v>11.664</v>
      </c>
      <c r="M14">
        <f>(L14+K14)/2-(L14-K14)/2*((SQRT(4*m_*(m_-1)*(L14-K14)^2+(L14+K14)^2)-(L14+K14))/(2*(m_-1)*(L14-K14)))</f>
        <v/>
      </c>
      <c r="N14">
        <f>(L14-K14)/2*SQRT(1-((SQRT(4*m_*(m_-1)*(L14-K14)^2+(L14+K14)^2)-(L14+K14))/(2*(m_-1)*(L14-K14)))^2)</f>
        <v/>
      </c>
      <c r="O14">
        <f>DEGREES(ATAN(N14/M14))</f>
        <v/>
      </c>
      <c r="P14">
        <f>O14-omega*(e_base-J14)</f>
        <v/>
      </c>
      <c r="Q14">
        <f>DEGREES(ATAN(TAN(RADIANS(pe0-omega*J14))*(M14/sref)^(m_-1)))</f>
        <v/>
      </c>
      <c r="R14">
        <f>O14-Q14</f>
        <v/>
      </c>
      <c r="S14" t="n">
        <v>18.8</v>
      </c>
      <c r="T14" t="inlineStr">
        <is>
          <t>CD: máximo desviador</t>
        </is>
      </c>
      <c r="U14" t="inlineStr">
        <is>
          <t>10;119-167;62-63;41</t>
        </is>
      </c>
      <c r="V14">
        <f>DEGREES(ATAN(TAN(RADIANS(O14))*(M14/sref)^(1-m_)))</f>
        <v/>
      </c>
      <c r="W14">
        <f>V14-omega*(e_base-J14)</f>
        <v/>
      </c>
    </row>
    <row r="15">
      <c r="A15" t="inlineStr">
        <is>
          <t>W2022</t>
        </is>
      </c>
      <c r="B15" t="inlineStr">
        <is>
          <t>HF-1.0m-IDIEM-cd</t>
        </is>
      </c>
      <c r="C15" t="inlineStr">
        <is>
          <t>Tabla 3 Hornfels Probeta 6 = IDIEM 1.555.677-E PROBETA 3</t>
        </is>
      </c>
      <c r="D15" t="inlineStr">
        <is>
          <t>Hornfels</t>
        </is>
      </c>
      <c r="E15" t="inlineStr">
        <is>
          <t>Triaxial CD carga-descarga</t>
        </is>
      </c>
      <c r="F15" t="inlineStr">
        <is>
          <t>Ajuste de la curva propuesta</t>
        </is>
      </c>
      <c r="G15" t="inlineStr"/>
      <c r="H15" t="n">
        <v>1</v>
      </c>
      <c r="I15" t="n">
        <v>177.8</v>
      </c>
      <c r="J15" t="n">
        <v>0.3574302325581395</v>
      </c>
      <c r="K15" t="n">
        <v>2.452</v>
      </c>
      <c r="L15" t="n">
        <v>15.381</v>
      </c>
      <c r="M15">
        <f>(L15+K15)/2-(L15-K15)/2*((SQRT(4*m_*(m_-1)*(L15-K15)^2+(L15+K15)^2)-(L15+K15))/(2*(m_-1)*(L15-K15)))</f>
        <v/>
      </c>
      <c r="N15">
        <f>(L15-K15)/2*SQRT(1-((SQRT(4*m_*(m_-1)*(L15-K15)^2+(L15+K15)^2)-(L15+K15))/(2*(m_-1)*(L15-K15)))^2)</f>
        <v/>
      </c>
      <c r="O15">
        <f>DEGREES(ATAN(N15/M15))</f>
        <v/>
      </c>
      <c r="P15">
        <f>O15-omega*(e_base-J15)</f>
        <v/>
      </c>
      <c r="Q15">
        <f>DEGREES(ATAN(TAN(RADIANS(pe0-omega*J15))*(M15/sref)^(m_-1)))</f>
        <v/>
      </c>
      <c r="R15">
        <f>O15-Q15</f>
        <v/>
      </c>
      <c r="S15" t="n">
        <v>18.98</v>
      </c>
      <c r="T15" t="inlineStr">
        <is>
          <t>CD: máximo desviador</t>
        </is>
      </c>
      <c r="U15" t="inlineStr">
        <is>
          <t>10;169-227;62-63;41</t>
        </is>
      </c>
      <c r="V15">
        <f>DEGREES(ATAN(TAN(RADIANS(O15))*(M15/sref)^(1-m_)))</f>
        <v/>
      </c>
      <c r="W15">
        <f>V15-omega*(e_base-J15)</f>
        <v/>
      </c>
    </row>
    <row r="16">
      <c r="A16" t="inlineStr">
        <is>
          <t>W2022</t>
        </is>
      </c>
      <c r="B16" t="inlineStr">
        <is>
          <t>HF-0.15m-Golder</t>
        </is>
      </c>
      <c r="C16" t="inlineStr">
        <is>
          <t>Tabla 3 Hornfels Probeta 7 = CID 6" HR (Golder B21-132)</t>
        </is>
      </c>
      <c r="D16" t="inlineStr">
        <is>
          <t>Hornfels</t>
        </is>
      </c>
      <c r="E16" t="inlineStr">
        <is>
          <t>Triaxial CD carga-descarga</t>
        </is>
      </c>
      <c r="F16" t="inlineStr">
        <is>
          <t>Ajuste de la curva propuesta</t>
        </is>
      </c>
      <c r="G16" t="inlineStr"/>
      <c r="H16" t="n">
        <v>0.152</v>
      </c>
      <c r="I16" t="n">
        <v>25.4</v>
      </c>
      <c r="J16" t="n">
        <v>0.3330255102040818</v>
      </c>
      <c r="K16" t="n">
        <v>0.977</v>
      </c>
      <c r="L16" t="n">
        <v>5.076</v>
      </c>
      <c r="M16">
        <f>(L16+K16)/2-(L16-K16)/2*((SQRT(4*m_*(m_-1)*(L16-K16)^2+(L16+K16)^2)-(L16+K16))/(2*(m_-1)*(L16-K16)))</f>
        <v/>
      </c>
      <c r="N16">
        <f>(L16-K16)/2*SQRT(1-((SQRT(4*m_*(m_-1)*(L16-K16)^2+(L16+K16)^2)-(L16+K16))/(2*(m_-1)*(L16-K16)))^2)</f>
        <v/>
      </c>
      <c r="O16">
        <f>DEGREES(ATAN(N16/M16))</f>
        <v/>
      </c>
      <c r="P16">
        <f>O16-omega*(e_base-J16)</f>
        <v/>
      </c>
      <c r="Q16">
        <f>DEGREES(ATAN(TAN(RADIANS(pe0-omega*J16))*(M16/sref)^(m_-1)))</f>
        <v/>
      </c>
      <c r="R16">
        <f>O16-Q16</f>
        <v/>
      </c>
      <c r="S16" t="n">
        <v>11.44</v>
      </c>
      <c r="T16" t="inlineStr">
        <is>
          <t>CD: máximo desviador</t>
        </is>
      </c>
      <c r="U16" t="inlineStr">
        <is>
          <t>10;350;353;351;6;41</t>
        </is>
      </c>
      <c r="V16">
        <f>DEGREES(ATAN(TAN(RADIANS(O16))*(M16/sref)^(1-m_)))</f>
        <v/>
      </c>
      <c r="W16">
        <f>V16-omega*(e_base-J16)</f>
        <v/>
      </c>
    </row>
    <row r="17">
      <c r="A17" t="inlineStr">
        <is>
          <t>W2022</t>
        </is>
      </c>
      <c r="B17" t="inlineStr">
        <is>
          <t>MN-0.15m-Golder</t>
        </is>
      </c>
      <c r="C17" t="inlineStr">
        <is>
          <t>Tabla 3 Mármol Negro Probeta 6 = CID 6" MR (Golder B21-132)</t>
        </is>
      </c>
      <c r="D17" t="inlineStr">
        <is>
          <t>Mármol</t>
        </is>
      </c>
      <c r="E17" t="inlineStr">
        <is>
          <t>Triaxial CD carga-descarga</t>
        </is>
      </c>
      <c r="F17" t="inlineStr">
        <is>
          <t>Ajuste de la curva propuesta</t>
        </is>
      </c>
      <c r="G17" t="inlineStr"/>
      <c r="H17" t="n">
        <v>0.1519</v>
      </c>
      <c r="I17" t="n">
        <v>25.4</v>
      </c>
      <c r="J17" t="n">
        <v>0.326782032400589</v>
      </c>
      <c r="K17" t="n">
        <v>0.982</v>
      </c>
      <c r="L17" t="n">
        <v>4.805</v>
      </c>
      <c r="M17">
        <f>(L17+K17)/2-(L17-K17)/2*((SQRT(4*m_*(m_-1)*(L17-K17)^2+(L17+K17)^2)-(L17+K17))/(2*(m_-1)*(L17-K17)))</f>
        <v/>
      </c>
      <c r="N17">
        <f>(L17-K17)/2*SQRT(1-((SQRT(4*m_*(m_-1)*(L17-K17)^2+(L17+K17)^2)-(L17+K17))/(2*(m_-1)*(L17-K17)))^2)</f>
        <v/>
      </c>
      <c r="O17">
        <f>DEGREES(ATAN(N17/M17))</f>
        <v/>
      </c>
      <c r="P17">
        <f>O17-omega*(e_base-J17)</f>
        <v/>
      </c>
      <c r="Q17">
        <f>DEGREES(ATAN(TAN(RADIANS(pe0-omega*J17))*(M17/sref)^(m_-1)))</f>
        <v/>
      </c>
      <c r="R17">
        <f>O17-Q17</f>
        <v/>
      </c>
      <c r="S17" t="n">
        <v>18.51</v>
      </c>
      <c r="T17" t="inlineStr">
        <is>
          <t>CD: máximo desviador</t>
        </is>
      </c>
      <c r="U17" t="inlineStr">
        <is>
          <t>10;357;355;7;41</t>
        </is>
      </c>
      <c r="V17">
        <f>DEGREES(ATAN(TAN(RADIANS(O17))*(M17/sref)^(1-m_)))</f>
        <v/>
      </c>
      <c r="W17">
        <f>V17-omega*(e_base-J17)</f>
        <v/>
      </c>
    </row>
    <row r="18">
      <c r="A18" t="inlineStr">
        <is>
          <t>W2024</t>
        </is>
      </c>
      <c r="B18" t="inlineStr">
        <is>
          <t>WSP24_C4_MON</t>
        </is>
      </c>
      <c r="C18" t="inlineStr">
        <is>
          <t>IDIEM 1.914.482-B Codisposal 4 Probeta 1 (TX M) Pc 5 kgf/cm2</t>
        </is>
      </c>
      <c r="D18" t="inlineStr">
        <is>
          <t>Intrusivo</t>
        </is>
      </c>
      <c r="E18" t="inlineStr">
        <is>
          <t>Triaxial CD</t>
        </is>
      </c>
      <c r="F18" t="inlineStr">
        <is>
          <t>Ajuste de la curva propuesta</t>
        </is>
      </c>
      <c r="G18" t="inlineStr"/>
      <c r="H18" t="n">
        <v>0.6</v>
      </c>
      <c r="I18" t="n">
        <v>101.6</v>
      </c>
      <c r="J18" t="n">
        <v>0.3540000000000001</v>
      </c>
      <c r="K18" t="n">
        <v>0.4903</v>
      </c>
      <c r="L18" t="n">
        <v>2.128</v>
      </c>
      <c r="M18">
        <f>(L18+K18)/2-(L18-K18)/2*((SQRT(4*m_*(m_-1)*(L18-K18)^2+(L18+K18)^2)-(L18+K18))/(2*(m_-1)*(L18-K18)))</f>
        <v/>
      </c>
      <c r="N18">
        <f>(L18-K18)/2*SQRT(1-((SQRT(4*m_*(m_-1)*(L18-K18)^2+(L18+K18)^2)-(L18+K18))/(2*(m_-1)*(L18-K18)))^2)</f>
        <v/>
      </c>
      <c r="O18">
        <f>DEGREES(ATAN(N18/M18))</f>
        <v/>
      </c>
      <c r="P18">
        <f>O18-omega*(e_base-J18)</f>
        <v/>
      </c>
      <c r="Q18">
        <f>DEGREES(ATAN(TAN(RADIANS(pe0-omega*J18))*(M18/sref)^(m_-1)))</f>
        <v/>
      </c>
      <c r="R18">
        <f>O18-Q18</f>
        <v/>
      </c>
      <c r="S18" t="n">
        <v>12.42</v>
      </c>
      <c r="T18" t="inlineStr">
        <is>
          <t>CD: máximo desviador</t>
        </is>
      </c>
      <c r="U18" t="inlineStr">
        <is>
          <t>111;112;15;93;36;132</t>
        </is>
      </c>
      <c r="V18">
        <f>DEGREES(ATAN(TAN(RADIANS(O18))*(M18/sref)^(1-m_)))</f>
        <v/>
      </c>
      <c r="W18">
        <f>V18-omega*(e_base-J18)</f>
        <v/>
      </c>
    </row>
    <row r="19">
      <c r="A19" t="inlineStr">
        <is>
          <t>W2024</t>
        </is>
      </c>
      <c r="B19" t="inlineStr">
        <is>
          <t>WSP24_C4_MON</t>
        </is>
      </c>
      <c r="C19" t="inlineStr">
        <is>
          <t>IDIEM 1.914.482-B Codisposal 4 Probeta 2 (TX M) Pc 10 kgf/cm2</t>
        </is>
      </c>
      <c r="D19" t="inlineStr">
        <is>
          <t>Intrusivo</t>
        </is>
      </c>
      <c r="E19" t="inlineStr">
        <is>
          <t>Triaxial CD</t>
        </is>
      </c>
      <c r="F19" t="inlineStr">
        <is>
          <t>Ajuste de la curva propuesta</t>
        </is>
      </c>
      <c r="G19" t="inlineStr"/>
      <c r="H19" t="n">
        <v>0.6</v>
      </c>
      <c r="I19" t="n">
        <v>101.6</v>
      </c>
      <c r="J19" t="n">
        <v>0.3540000000000001</v>
      </c>
      <c r="K19" t="n">
        <v>0.9807</v>
      </c>
      <c r="L19" t="n">
        <v>4.369800000000001</v>
      </c>
      <c r="M19">
        <f>(L19+K19)/2-(L19-K19)/2*((SQRT(4*m_*(m_-1)*(L19-K19)^2+(L19+K19)^2)-(L19+K19))/(2*(m_-1)*(L19-K19)))</f>
        <v/>
      </c>
      <c r="N19">
        <f>(L19-K19)/2*SQRT(1-((SQRT(4*m_*(m_-1)*(L19-K19)^2+(L19+K19)^2)-(L19+K19))/(2*(m_-1)*(L19-K19)))^2)</f>
        <v/>
      </c>
      <c r="O19">
        <f>DEGREES(ATAN(N19/M19))</f>
        <v/>
      </c>
      <c r="P19">
        <f>O19-omega*(e_base-J19)</f>
        <v/>
      </c>
      <c r="Q19">
        <f>DEGREES(ATAN(TAN(RADIANS(pe0-omega*J19))*(M19/sref)^(m_-1)))</f>
        <v/>
      </c>
      <c r="R19">
        <f>O19-Q19</f>
        <v/>
      </c>
      <c r="S19" t="n">
        <v>20.7</v>
      </c>
      <c r="T19" t="inlineStr">
        <is>
          <t>CD: máximo desviador</t>
        </is>
      </c>
      <c r="U19" t="inlineStr">
        <is>
          <t>114;115;15;93;36;132</t>
        </is>
      </c>
      <c r="V19">
        <f>DEGREES(ATAN(TAN(RADIANS(O19))*(M19/sref)^(1-m_)))</f>
        <v/>
      </c>
      <c r="W19">
        <f>V19-omega*(e_base-J19)</f>
        <v/>
      </c>
    </row>
    <row r="20">
      <c r="A20" t="inlineStr">
        <is>
          <t>W2024</t>
        </is>
      </c>
      <c r="B20" t="inlineStr">
        <is>
          <t>WSP24_C4_MON</t>
        </is>
      </c>
      <c r="C20" t="inlineStr">
        <is>
          <t>IDIEM 1.914.482-B Codisposal 4 Probeta 3 (TX M) Pc 20 kgf/cm2</t>
        </is>
      </c>
      <c r="D20" t="inlineStr">
        <is>
          <t>Intrusivo</t>
        </is>
      </c>
      <c r="E20" t="inlineStr">
        <is>
          <t>Triaxial CD</t>
        </is>
      </c>
      <c r="F20" t="inlineStr">
        <is>
          <t>Ajuste de la curva propuesta</t>
        </is>
      </c>
      <c r="G20" t="inlineStr"/>
      <c r="H20" t="n">
        <v>0.6</v>
      </c>
      <c r="I20" t="n">
        <v>101.6</v>
      </c>
      <c r="J20" t="n">
        <v>0.3540000000000001</v>
      </c>
      <c r="K20" t="n">
        <v>1.9613</v>
      </c>
      <c r="L20" t="n">
        <v>8.9849</v>
      </c>
      <c r="M20">
        <f>(L20+K20)/2-(L20-K20)/2*((SQRT(4*m_*(m_-1)*(L20-K20)^2+(L20+K20)^2)-(L20+K20))/(2*(m_-1)*(L20-K20)))</f>
        <v/>
      </c>
      <c r="N20">
        <f>(L20-K20)/2*SQRT(1-((SQRT(4*m_*(m_-1)*(L20-K20)^2+(L20+K20)^2)-(L20+K20))/(2*(m_-1)*(L20-K20)))^2)</f>
        <v/>
      </c>
      <c r="O20">
        <f>DEGREES(ATAN(N20/M20))</f>
        <v/>
      </c>
      <c r="P20">
        <f>O20-omega*(e_base-J20)</f>
        <v/>
      </c>
      <c r="Q20">
        <f>DEGREES(ATAN(TAN(RADIANS(pe0-omega*J20))*(M20/sref)^(m_-1)))</f>
        <v/>
      </c>
      <c r="R20">
        <f>O20-Q20</f>
        <v/>
      </c>
      <c r="S20" t="n">
        <v>19.43</v>
      </c>
      <c r="T20" t="inlineStr">
        <is>
          <t>CD: máximo desviador</t>
        </is>
      </c>
      <c r="U20" t="inlineStr">
        <is>
          <t>117;118;15;93;36;132</t>
        </is>
      </c>
      <c r="V20">
        <f>DEGREES(ATAN(TAN(RADIANS(O20))*(M20/sref)^(1-m_)))</f>
        <v/>
      </c>
      <c r="W20">
        <f>V20-omega*(e_base-J20)</f>
        <v/>
      </c>
    </row>
    <row r="21">
      <c r="A21" t="inlineStr">
        <is>
          <t>I2025</t>
        </is>
      </c>
      <c r="B21" t="inlineStr">
        <is>
          <t>Codisposal 1 (100% Intrusivo)</t>
        </is>
      </c>
      <c r="C21" t="inlineStr">
        <is>
          <t>Probeta 1</t>
        </is>
      </c>
      <c r="D21" t="inlineStr">
        <is>
          <t>Intrusivo</t>
        </is>
      </c>
      <c r="E21" t="inlineStr">
        <is>
          <t>Triaxial CD</t>
        </is>
      </c>
      <c r="F21" t="inlineStr">
        <is>
          <t>Ajuste de la curva propuesta</t>
        </is>
      </c>
      <c r="G21" t="inlineStr"/>
      <c r="H21" t="n">
        <v>1</v>
      </c>
      <c r="I21" t="n">
        <v>177.8</v>
      </c>
      <c r="J21" t="n">
        <v>0.2895864077669905</v>
      </c>
      <c r="K21" t="n">
        <v>0.4903</v>
      </c>
      <c r="L21" t="n">
        <v>2.1712</v>
      </c>
      <c r="M21">
        <f>(L21+K21)/2-(L21-K21)/2*((SQRT(4*m_*(m_-1)*(L21-K21)^2+(L21+K21)^2)-(L21+K21))/(2*(m_-1)*(L21-K21)))</f>
        <v/>
      </c>
      <c r="N21">
        <f>(L21-K21)/2*SQRT(1-((SQRT(4*m_*(m_-1)*(L21-K21)^2+(L21+K21)^2)-(L21+K21))/(2*(m_-1)*(L21-K21)))^2)</f>
        <v/>
      </c>
      <c r="O21">
        <f>DEGREES(ATAN(N21/M21))</f>
        <v/>
      </c>
      <c r="P21">
        <f>O21-omega*(e_base-J21)</f>
        <v/>
      </c>
      <c r="Q21">
        <f>DEGREES(ATAN(TAN(RADIANS(pe0-omega*J21))*(M21/sref)^(m_-1)))</f>
        <v/>
      </c>
      <c r="R21">
        <f>O21-Q21</f>
        <v/>
      </c>
      <c r="S21" t="n">
        <v>3.98</v>
      </c>
      <c r="T21" t="inlineStr">
        <is>
          <t>CD: máximo desviador</t>
        </is>
      </c>
      <c r="U21" t="inlineStr">
        <is>
          <t>10-14;15;8;29</t>
        </is>
      </c>
      <c r="V21">
        <f>DEGREES(ATAN(TAN(RADIANS(O21))*(M21/sref)^(1-m_)))</f>
        <v/>
      </c>
      <c r="W21">
        <f>V21-omega*(e_base-J21)</f>
        <v/>
      </c>
    </row>
    <row r="22">
      <c r="A22" t="inlineStr">
        <is>
          <t>I2025</t>
        </is>
      </c>
      <c r="B22" t="inlineStr">
        <is>
          <t>Codisposal 1 (100% Intrusivo)</t>
        </is>
      </c>
      <c r="C22" t="inlineStr">
        <is>
          <t>Probeta 2</t>
        </is>
      </c>
      <c r="D22" t="inlineStr">
        <is>
          <t>Intrusivo</t>
        </is>
      </c>
      <c r="E22" t="inlineStr">
        <is>
          <t>Triaxial CD</t>
        </is>
      </c>
      <c r="F22" t="inlineStr">
        <is>
          <t>Ajuste de la curva propuesta</t>
        </is>
      </c>
      <c r="G22" t="inlineStr"/>
      <c r="H22" t="n">
        <v>1</v>
      </c>
      <c r="I22" t="n">
        <v>177.8</v>
      </c>
      <c r="J22" t="n">
        <v>0.2895864077669905</v>
      </c>
      <c r="K22" t="n">
        <v>0.9807</v>
      </c>
      <c r="L22" t="n">
        <v>4.4287</v>
      </c>
      <c r="M22">
        <f>(L22+K22)/2-(L22-K22)/2*((SQRT(4*m_*(m_-1)*(L22-K22)^2+(L22+K22)^2)-(L22+K22))/(2*(m_-1)*(L22-K22)))</f>
        <v/>
      </c>
      <c r="N22">
        <f>(L22-K22)/2*SQRT(1-((SQRT(4*m_*(m_-1)*(L22-K22)^2+(L22+K22)^2)-(L22+K22))/(2*(m_-1)*(L22-K22)))^2)</f>
        <v/>
      </c>
      <c r="O22">
        <f>DEGREES(ATAN(N22/M22))</f>
        <v/>
      </c>
      <c r="P22">
        <f>O22-omega*(e_base-J22)</f>
        <v/>
      </c>
      <c r="Q22">
        <f>DEGREES(ATAN(TAN(RADIANS(pe0-omega*J22))*(M22/sref)^(m_-1)))</f>
        <v/>
      </c>
      <c r="R22">
        <f>O22-Q22</f>
        <v/>
      </c>
      <c r="S22" t="n">
        <v>12.97</v>
      </c>
      <c r="T22" t="inlineStr">
        <is>
          <t>CD: máximo desviador</t>
        </is>
      </c>
      <c r="U22" t="inlineStr">
        <is>
          <t>16-20;21;8;29</t>
        </is>
      </c>
      <c r="V22">
        <f>DEGREES(ATAN(TAN(RADIANS(O22))*(M22/sref)^(1-m_)))</f>
        <v/>
      </c>
      <c r="W22">
        <f>V22-omega*(e_base-J22)</f>
        <v/>
      </c>
    </row>
    <row r="23">
      <c r="A23" t="inlineStr">
        <is>
          <t>I2025</t>
        </is>
      </c>
      <c r="B23" t="inlineStr">
        <is>
          <t>Codisposal 1 (100% Intrusivo)</t>
        </is>
      </c>
      <c r="C23" t="inlineStr">
        <is>
          <t>Probeta 3</t>
        </is>
      </c>
      <c r="D23" t="inlineStr">
        <is>
          <t>Intrusivo</t>
        </is>
      </c>
      <c r="E23" t="inlineStr">
        <is>
          <t>Triaxial CD</t>
        </is>
      </c>
      <c r="F23" t="inlineStr">
        <is>
          <t>Ajuste de la curva propuesta</t>
        </is>
      </c>
      <c r="G23" t="inlineStr"/>
      <c r="H23" t="n">
        <v>1</v>
      </c>
      <c r="I23" t="n">
        <v>177.8</v>
      </c>
      <c r="J23" t="n">
        <v>0.2895864077669905</v>
      </c>
      <c r="K23" t="n">
        <v>1.9613</v>
      </c>
      <c r="L23" t="n">
        <v>8.6867</v>
      </c>
      <c r="M23">
        <f>(L23+K23)/2-(L23-K23)/2*((SQRT(4*m_*(m_-1)*(L23-K23)^2+(L23+K23)^2)-(L23+K23))/(2*(m_-1)*(L23-K23)))</f>
        <v/>
      </c>
      <c r="N23">
        <f>(L23-K23)/2*SQRT(1-((SQRT(4*m_*(m_-1)*(L23-K23)^2+(L23+K23)^2)-(L23+K23))/(2*(m_-1)*(L23-K23)))^2)</f>
        <v/>
      </c>
      <c r="O23">
        <f>DEGREES(ATAN(N23/M23))</f>
        <v/>
      </c>
      <c r="P23">
        <f>O23-omega*(e_base-J23)</f>
        <v/>
      </c>
      <c r="Q23">
        <f>DEGREES(ATAN(TAN(RADIANS(pe0-omega*J23))*(M23/sref)^(m_-1)))</f>
        <v/>
      </c>
      <c r="R23">
        <f>O23-Q23</f>
        <v/>
      </c>
      <c r="S23" t="n">
        <v>11.18</v>
      </c>
      <c r="T23" t="inlineStr">
        <is>
          <t>CD: máximo desviador</t>
        </is>
      </c>
      <c r="U23" t="inlineStr">
        <is>
          <t>22-27;28;8;29</t>
        </is>
      </c>
      <c r="V23">
        <f>DEGREES(ATAN(TAN(RADIANS(O23))*(M23/sref)^(1-m_)))</f>
        <v/>
      </c>
      <c r="W23">
        <f>V23-omega*(e_base-J23)</f>
        <v/>
      </c>
    </row>
    <row r="24">
      <c r="A24" t="inlineStr">
        <is>
          <t>A2024DS</t>
        </is>
      </c>
      <c r="B24" t="inlineStr">
        <is>
          <t>Ruma 02</t>
        </is>
      </c>
      <c r="C24" t="inlineStr">
        <is>
          <t>LSDS Ruma 02 (H-1 al H-12) σn=300</t>
        </is>
      </c>
      <c r="D24" t="inlineStr">
        <is>
          <t>Hornfels</t>
        </is>
      </c>
      <c r="E24" t="inlineStr">
        <is>
          <t>Corte directo CD</t>
        </is>
      </c>
      <c r="F24" t="inlineStr">
        <is>
          <t>Ajuste de la curva propuesta</t>
        </is>
      </c>
      <c r="G24" t="inlineStr"/>
      <c r="H24" t="n">
        <v>0.31</v>
      </c>
      <c r="I24" t="n">
        <v>25.4</v>
      </c>
      <c r="J24" t="n">
        <v>0.3316666666666665</v>
      </c>
      <c r="M24" t="n">
        <v>0.3</v>
      </c>
      <c r="N24" t="n">
        <v>0.2557</v>
      </c>
      <c r="O24">
        <f>DEGREES(ATAN(N24/M24))</f>
        <v/>
      </c>
      <c r="P24">
        <f>O24-omega*(e_base-J24)</f>
        <v/>
      </c>
      <c r="Q24">
        <f>DEGREES(ATAN(TAN(RADIANS(pe0-omega*J24))*(M24/sref)^(m_-1)))</f>
        <v/>
      </c>
      <c r="R24">
        <f>O24-Q24</f>
        <v/>
      </c>
      <c r="T24" t="inlineStr">
        <is>
          <t>CD: τ pico</t>
        </is>
      </c>
      <c r="V24">
        <f>DEGREES(ATAN(TAN(RADIANS(O24))*(M24/sref)^(1-m_)))</f>
        <v/>
      </c>
      <c r="W24">
        <f>V24-omega*(e_base-J24)</f>
        <v/>
      </c>
    </row>
    <row r="25">
      <c r="A25" t="inlineStr">
        <is>
          <t>A2024DS</t>
        </is>
      </c>
      <c r="B25" t="inlineStr">
        <is>
          <t>Ruma 02</t>
        </is>
      </c>
      <c r="C25" t="inlineStr">
        <is>
          <t>LSDS Ruma 02 (H-1 al H-12) σn=600</t>
        </is>
      </c>
      <c r="D25" t="inlineStr">
        <is>
          <t>Hornfels</t>
        </is>
      </c>
      <c r="E25" t="inlineStr">
        <is>
          <t>Corte directo CD</t>
        </is>
      </c>
      <c r="F25" t="inlineStr">
        <is>
          <t>Ajuste de la curva propuesta</t>
        </is>
      </c>
      <c r="G25" t="inlineStr"/>
      <c r="H25" t="n">
        <v>0.31</v>
      </c>
      <c r="I25" t="n">
        <v>25.4</v>
      </c>
      <c r="J25" t="n">
        <v>0.3316666666666665</v>
      </c>
      <c r="M25" t="n">
        <v>0.6</v>
      </c>
      <c r="N25" t="n">
        <v>0.4761000000000002</v>
      </c>
      <c r="O25">
        <f>DEGREES(ATAN(N25/M25))</f>
        <v/>
      </c>
      <c r="P25">
        <f>O25-omega*(e_base-J25)</f>
        <v/>
      </c>
      <c r="Q25">
        <f>DEGREES(ATAN(TAN(RADIANS(pe0-omega*J25))*(M25/sref)^(m_-1)))</f>
        <v/>
      </c>
      <c r="R25">
        <f>O25-Q25</f>
        <v/>
      </c>
      <c r="T25" t="inlineStr">
        <is>
          <t>CD: τ pico</t>
        </is>
      </c>
      <c r="V25">
        <f>DEGREES(ATAN(TAN(RADIANS(O25))*(M25/sref)^(1-m_)))</f>
        <v/>
      </c>
      <c r="W25">
        <f>V25-omega*(e_base-J25)</f>
        <v/>
      </c>
    </row>
    <row r="26">
      <c r="A26" t="inlineStr">
        <is>
          <t>A2024DS</t>
        </is>
      </c>
      <c r="B26" t="inlineStr">
        <is>
          <t>Ruma 02</t>
        </is>
      </c>
      <c r="C26" t="inlineStr">
        <is>
          <t>LSDS Ruma 02 (H-1 al H-12) σn=1200</t>
        </is>
      </c>
      <c r="D26" t="inlineStr">
        <is>
          <t>Hornfels</t>
        </is>
      </c>
      <c r="E26" t="inlineStr">
        <is>
          <t>Corte directo CD</t>
        </is>
      </c>
      <c r="F26" t="inlineStr">
        <is>
          <t>Ajuste de la curva propuesta</t>
        </is>
      </c>
      <c r="G26" t="inlineStr"/>
      <c r="H26" t="n">
        <v>0.31</v>
      </c>
      <c r="I26" t="n">
        <v>25.4</v>
      </c>
      <c r="J26" t="n">
        <v>0.3316666666666665</v>
      </c>
      <c r="M26" t="n">
        <v>1.2</v>
      </c>
      <c r="N26" t="n">
        <v>0.9981</v>
      </c>
      <c r="O26">
        <f>DEGREES(ATAN(N26/M26))</f>
        <v/>
      </c>
      <c r="P26">
        <f>O26-omega*(e_base-J26)</f>
        <v/>
      </c>
      <c r="Q26">
        <f>DEGREES(ATAN(TAN(RADIANS(pe0-omega*J26))*(M26/sref)^(m_-1)))</f>
        <v/>
      </c>
      <c r="R26">
        <f>O26-Q26</f>
        <v/>
      </c>
      <c r="T26" t="inlineStr">
        <is>
          <t>CD: τ pico</t>
        </is>
      </c>
      <c r="V26">
        <f>DEGREES(ATAN(TAN(RADIANS(O26))*(M26/sref)^(1-m_)))</f>
        <v/>
      </c>
      <c r="W26">
        <f>V26-omega*(e_base-J26)</f>
        <v/>
      </c>
    </row>
    <row r="27">
      <c r="A27" t="inlineStr">
        <is>
          <t>A2024DS</t>
        </is>
      </c>
      <c r="B27" t="inlineStr">
        <is>
          <t>Ruma 03 / Fase 10 A</t>
        </is>
      </c>
      <c r="C27" t="inlineStr">
        <is>
          <t>LSDS Ruma 03 / Fase 10 A (I-1 al I-12) σn=300</t>
        </is>
      </c>
      <c r="D27" t="inlineStr">
        <is>
          <t>Intrusivo</t>
        </is>
      </c>
      <c r="E27" t="inlineStr">
        <is>
          <t>Corte directo CD</t>
        </is>
      </c>
      <c r="F27" t="inlineStr">
        <is>
          <t>Ajuste de la curva propuesta</t>
        </is>
      </c>
      <c r="G27" t="inlineStr"/>
      <c r="H27" t="n">
        <v>0.31</v>
      </c>
      <c r="I27" t="n">
        <v>25.4</v>
      </c>
      <c r="J27" t="n">
        <v>0.4096824570536179</v>
      </c>
      <c r="M27" t="n">
        <v>0.3</v>
      </c>
      <c r="N27" t="n">
        <v>0.2281</v>
      </c>
      <c r="O27">
        <f>DEGREES(ATAN(N27/M27))</f>
        <v/>
      </c>
      <c r="P27">
        <f>O27-omega*(e_base-J27)</f>
        <v/>
      </c>
      <c r="Q27">
        <f>DEGREES(ATAN(TAN(RADIANS(pe0-omega*J27))*(M27/sref)^(m_-1)))</f>
        <v/>
      </c>
      <c r="R27">
        <f>O27-Q27</f>
        <v/>
      </c>
      <c r="T27" t="inlineStr">
        <is>
          <t>CD: τ pico</t>
        </is>
      </c>
      <c r="V27">
        <f>DEGREES(ATAN(TAN(RADIANS(O27))*(M27/sref)^(1-m_)))</f>
        <v/>
      </c>
      <c r="W27">
        <f>V27-omega*(e_base-J27)</f>
        <v/>
      </c>
    </row>
    <row r="28">
      <c r="A28" t="inlineStr">
        <is>
          <t>A2024DS</t>
        </is>
      </c>
      <c r="B28" t="inlineStr">
        <is>
          <t>Ruma 03 / Fase 10 A</t>
        </is>
      </c>
      <c r="C28" t="inlineStr">
        <is>
          <t>LSDS Ruma 03 / Fase 10 A (I-1 al I-12) σn=600</t>
        </is>
      </c>
      <c r="D28" t="inlineStr">
        <is>
          <t>Intrusivo</t>
        </is>
      </c>
      <c r="E28" t="inlineStr">
        <is>
          <t>Corte directo CD</t>
        </is>
      </c>
      <c r="F28" t="inlineStr">
        <is>
          <t>Ajuste de la curva propuesta</t>
        </is>
      </c>
      <c r="G28" t="inlineStr"/>
      <c r="H28" t="n">
        <v>0.31</v>
      </c>
      <c r="I28" t="n">
        <v>25.4</v>
      </c>
      <c r="J28" t="n">
        <v>0.4096824570536179</v>
      </c>
      <c r="M28" t="n">
        <v>0.6</v>
      </c>
      <c r="N28" t="n">
        <v>0.4681</v>
      </c>
      <c r="O28">
        <f>DEGREES(ATAN(N28/M28))</f>
        <v/>
      </c>
      <c r="P28">
        <f>O28-omega*(e_base-J28)</f>
        <v/>
      </c>
      <c r="Q28">
        <f>DEGREES(ATAN(TAN(RADIANS(pe0-omega*J28))*(M28/sref)^(m_-1)))</f>
        <v/>
      </c>
      <c r="R28">
        <f>O28-Q28</f>
        <v/>
      </c>
      <c r="T28" t="inlineStr">
        <is>
          <t>CD: τ pico</t>
        </is>
      </c>
      <c r="V28">
        <f>DEGREES(ATAN(TAN(RADIANS(O28))*(M28/sref)^(1-m_)))</f>
        <v/>
      </c>
      <c r="W28">
        <f>V28-omega*(e_base-J28)</f>
        <v/>
      </c>
    </row>
    <row r="29">
      <c r="A29" t="inlineStr">
        <is>
          <t>A2024DS</t>
        </is>
      </c>
      <c r="B29" t="inlineStr">
        <is>
          <t>Ruma 03 / Fase 10 A</t>
        </is>
      </c>
      <c r="C29" t="inlineStr">
        <is>
          <t>LSDS Ruma 03 / Fase 10 A (I-1 al I-12) σn=1200</t>
        </is>
      </c>
      <c r="D29" t="inlineStr">
        <is>
          <t>Intrusivo</t>
        </is>
      </c>
      <c r="E29" t="inlineStr">
        <is>
          <t>Corte directo CD</t>
        </is>
      </c>
      <c r="F29" t="inlineStr">
        <is>
          <t>Ajuste de la curva propuesta</t>
        </is>
      </c>
      <c r="G29" t="inlineStr"/>
      <c r="H29" t="n">
        <v>0.31</v>
      </c>
      <c r="I29" t="n">
        <v>25.4</v>
      </c>
      <c r="J29" t="n">
        <v>0.4096824570536179</v>
      </c>
      <c r="M29" t="n">
        <v>1.2</v>
      </c>
      <c r="N29" t="n">
        <v>0.9451000000000001</v>
      </c>
      <c r="O29">
        <f>DEGREES(ATAN(N29/M29))</f>
        <v/>
      </c>
      <c r="P29">
        <f>O29-omega*(e_base-J29)</f>
        <v/>
      </c>
      <c r="Q29">
        <f>DEGREES(ATAN(TAN(RADIANS(pe0-omega*J29))*(M29/sref)^(m_-1)))</f>
        <v/>
      </c>
      <c r="R29">
        <f>O29-Q29</f>
        <v/>
      </c>
      <c r="T29" t="inlineStr">
        <is>
          <t>CD: τ pico</t>
        </is>
      </c>
      <c r="V29">
        <f>DEGREES(ATAN(TAN(RADIANS(O29))*(M29/sref)^(1-m_)))</f>
        <v/>
      </c>
      <c r="W29">
        <f>V29-omega*(e_base-J29)</f>
        <v/>
      </c>
    </row>
    <row r="30">
      <c r="A30" t="inlineStr">
        <is>
          <t>A2024DS</t>
        </is>
      </c>
      <c r="B30" t="inlineStr">
        <is>
          <t>Ruma 01</t>
        </is>
      </c>
      <c r="C30" t="inlineStr">
        <is>
          <t>LSDS Ruma 01 (M-1 al M-13) σn=300</t>
        </is>
      </c>
      <c r="D30" t="inlineStr">
        <is>
          <t>Mármol</t>
        </is>
      </c>
      <c r="E30" t="inlineStr">
        <is>
          <t>Corte directo CD</t>
        </is>
      </c>
      <c r="F30" t="inlineStr">
        <is>
          <t>Ajuste de la curva propuesta</t>
        </is>
      </c>
      <c r="G30" t="inlineStr"/>
      <c r="H30" t="n">
        <v>0.31</v>
      </c>
      <c r="I30" t="n">
        <v>25.4</v>
      </c>
      <c r="J30" t="n">
        <v>0.2620247366010078</v>
      </c>
      <c r="M30" t="n">
        <v>0.3</v>
      </c>
      <c r="N30" t="n">
        <v>0.2195</v>
      </c>
      <c r="O30">
        <f>DEGREES(ATAN(N30/M30))</f>
        <v/>
      </c>
      <c r="P30">
        <f>O30-omega*(e_base-J30)</f>
        <v/>
      </c>
      <c r="Q30">
        <f>DEGREES(ATAN(TAN(RADIANS(pe0-omega*J30))*(M30/sref)^(m_-1)))</f>
        <v/>
      </c>
      <c r="R30">
        <f>O30-Q30</f>
        <v/>
      </c>
      <c r="T30" t="inlineStr">
        <is>
          <t>CD: τ pico</t>
        </is>
      </c>
      <c r="V30">
        <f>DEGREES(ATAN(TAN(RADIANS(O30))*(M30/sref)^(1-m_)))</f>
        <v/>
      </c>
      <c r="W30">
        <f>V30-omega*(e_base-J30)</f>
        <v/>
      </c>
    </row>
    <row r="31">
      <c r="A31" t="inlineStr">
        <is>
          <t>A2024DS</t>
        </is>
      </c>
      <c r="B31" t="inlineStr">
        <is>
          <t>Ruma 01</t>
        </is>
      </c>
      <c r="C31" t="inlineStr">
        <is>
          <t>LSDS Ruma 01 (M-1 al M-13) σn=600</t>
        </is>
      </c>
      <c r="D31" t="inlineStr">
        <is>
          <t>Mármol</t>
        </is>
      </c>
      <c r="E31" t="inlineStr">
        <is>
          <t>Corte directo CD</t>
        </is>
      </c>
      <c r="F31" t="inlineStr">
        <is>
          <t>Ajuste de la curva propuesta</t>
        </is>
      </c>
      <c r="G31" t="inlineStr"/>
      <c r="H31" t="n">
        <v>0.31</v>
      </c>
      <c r="I31" t="n">
        <v>25.4</v>
      </c>
      <c r="J31" t="n">
        <v>0.2620247366010078</v>
      </c>
      <c r="M31" t="n">
        <v>0.6</v>
      </c>
      <c r="N31" t="n">
        <v>0.4695</v>
      </c>
      <c r="O31">
        <f>DEGREES(ATAN(N31/M31))</f>
        <v/>
      </c>
      <c r="P31">
        <f>O31-omega*(e_base-J31)</f>
        <v/>
      </c>
      <c r="Q31">
        <f>DEGREES(ATAN(TAN(RADIANS(pe0-omega*J31))*(M31/sref)^(m_-1)))</f>
        <v/>
      </c>
      <c r="R31">
        <f>O31-Q31</f>
        <v/>
      </c>
      <c r="T31" t="inlineStr">
        <is>
          <t>CD: τ pico</t>
        </is>
      </c>
      <c r="V31">
        <f>DEGREES(ATAN(TAN(RADIANS(O31))*(M31/sref)^(1-m_)))</f>
        <v/>
      </c>
      <c r="W31">
        <f>V31-omega*(e_base-J31)</f>
        <v/>
      </c>
    </row>
    <row r="32">
      <c r="A32" t="inlineStr">
        <is>
          <t>A2024DS</t>
        </is>
      </c>
      <c r="B32" t="inlineStr">
        <is>
          <t>Ruma 01</t>
        </is>
      </c>
      <c r="C32" t="inlineStr">
        <is>
          <t>LSDS Ruma 01 (M-1 al M-13) σn=1200</t>
        </is>
      </c>
      <c r="D32" t="inlineStr">
        <is>
          <t>Mármol</t>
        </is>
      </c>
      <c r="E32" t="inlineStr">
        <is>
          <t>Corte directo CD</t>
        </is>
      </c>
      <c r="F32" t="inlineStr">
        <is>
          <t>Ajuste de la curva propuesta</t>
        </is>
      </c>
      <c r="G32" t="inlineStr"/>
      <c r="H32" t="n">
        <v>0.31</v>
      </c>
      <c r="I32" t="n">
        <v>25.4</v>
      </c>
      <c r="J32" t="n">
        <v>0.2620247366010078</v>
      </c>
      <c r="M32" t="n">
        <v>1.2</v>
      </c>
      <c r="N32" t="n">
        <v>0.9843000000000002</v>
      </c>
      <c r="O32">
        <f>DEGREES(ATAN(N32/M32))</f>
        <v/>
      </c>
      <c r="P32">
        <f>O32-omega*(e_base-J32)</f>
        <v/>
      </c>
      <c r="Q32">
        <f>DEGREES(ATAN(TAN(RADIANS(pe0-omega*J32))*(M32/sref)^(m_-1)))</f>
        <v/>
      </c>
      <c r="R32">
        <f>O32-Q32</f>
        <v/>
      </c>
      <c r="T32" t="inlineStr">
        <is>
          <t>CD: τ pico</t>
        </is>
      </c>
      <c r="V32">
        <f>DEGREES(ATAN(TAN(RADIANS(O32))*(M32/sref)^(1-m_)))</f>
        <v/>
      </c>
      <c r="W32">
        <f>V32-omega*(e_base-J32)</f>
        <v/>
      </c>
    </row>
    <row r="33">
      <c r="A33" t="inlineStr">
        <is>
          <t>A2024DS</t>
        </is>
      </c>
      <c r="B33" t="inlineStr">
        <is>
          <t>Pila 01 (Mármol + Hornfels)</t>
        </is>
      </c>
      <c r="C33" t="inlineStr">
        <is>
          <t>LSDS Pila 01 (Mármol + Hornfels) σn=300</t>
        </is>
      </c>
      <c r="D33" t="inlineStr">
        <is>
          <t>Mezcla</t>
        </is>
      </c>
      <c r="E33" t="inlineStr">
        <is>
          <t>Corte directo CD</t>
        </is>
      </c>
      <c r="F33" t="inlineStr">
        <is>
          <t>Ajuste de la curva propuesta</t>
        </is>
      </c>
      <c r="G33" t="inlineStr"/>
      <c r="H33" t="n">
        <v>0.31</v>
      </c>
      <c r="I33" t="n">
        <v>25.4</v>
      </c>
      <c r="J33" t="n">
        <v>0.3255730659025788</v>
      </c>
      <c r="M33" t="n">
        <v>0.3</v>
      </c>
      <c r="N33" t="n">
        <v>0.3562999999999999</v>
      </c>
      <c r="O33">
        <f>DEGREES(ATAN(N33/M33))</f>
        <v/>
      </c>
      <c r="P33">
        <f>O33-omega*(e_base-J33)</f>
        <v/>
      </c>
      <c r="Q33">
        <f>DEGREES(ATAN(TAN(RADIANS(pe0-omega*J33))*(M33/sref)^(m_-1)))</f>
        <v/>
      </c>
      <c r="R33">
        <f>O33-Q33</f>
        <v/>
      </c>
      <c r="T33" t="inlineStr">
        <is>
          <t>CD: τ pico</t>
        </is>
      </c>
      <c r="V33">
        <f>DEGREES(ATAN(TAN(RADIANS(O33))*(M33/sref)^(1-m_)))</f>
        <v/>
      </c>
      <c r="W33">
        <f>V33-omega*(e_base-J33)</f>
        <v/>
      </c>
    </row>
    <row r="34">
      <c r="A34" t="inlineStr">
        <is>
          <t>A2024DS</t>
        </is>
      </c>
      <c r="B34" t="inlineStr">
        <is>
          <t>Pila 01 (Mármol + Hornfels)</t>
        </is>
      </c>
      <c r="C34" t="inlineStr">
        <is>
          <t>LSDS Pila 01 (Mármol + Hornfels) σn=600</t>
        </is>
      </c>
      <c r="D34" t="inlineStr">
        <is>
          <t>Mezcla</t>
        </is>
      </c>
      <c r="E34" t="inlineStr">
        <is>
          <t>Corte directo CD</t>
        </is>
      </c>
      <c r="F34" t="inlineStr">
        <is>
          <t>Ajuste de la curva propuesta</t>
        </is>
      </c>
      <c r="G34" t="inlineStr"/>
      <c r="H34" t="n">
        <v>0.31</v>
      </c>
      <c r="I34" t="n">
        <v>25.4</v>
      </c>
      <c r="J34" t="n">
        <v>0.3255730659025788</v>
      </c>
      <c r="M34" t="n">
        <v>0.6</v>
      </c>
      <c r="N34" t="n">
        <v>0.6253</v>
      </c>
      <c r="O34">
        <f>DEGREES(ATAN(N34/M34))</f>
        <v/>
      </c>
      <c r="P34">
        <f>O34-omega*(e_base-J34)</f>
        <v/>
      </c>
      <c r="Q34">
        <f>DEGREES(ATAN(TAN(RADIANS(pe0-omega*J34))*(M34/sref)^(m_-1)))</f>
        <v/>
      </c>
      <c r="R34">
        <f>O34-Q34</f>
        <v/>
      </c>
      <c r="T34" t="inlineStr">
        <is>
          <t>CD: τ pico</t>
        </is>
      </c>
      <c r="V34">
        <f>DEGREES(ATAN(TAN(RADIANS(O34))*(M34/sref)^(1-m_)))</f>
        <v/>
      </c>
      <c r="W34">
        <f>V34-omega*(e_base-J34)</f>
        <v/>
      </c>
    </row>
    <row r="35">
      <c r="A35" t="inlineStr">
        <is>
          <t>A2024DS</t>
        </is>
      </c>
      <c r="B35" t="inlineStr">
        <is>
          <t>Pila 01 (Mármol + Hornfels)</t>
        </is>
      </c>
      <c r="C35" t="inlineStr">
        <is>
          <t>LSDS Pila 01 (Mármol + Hornfels) σn=1000</t>
        </is>
      </c>
      <c r="D35" t="inlineStr">
        <is>
          <t>Mezcla</t>
        </is>
      </c>
      <c r="E35" t="inlineStr">
        <is>
          <t>Corte directo CD</t>
        </is>
      </c>
      <c r="F35" t="inlineStr">
        <is>
          <t>Ajuste de la curva propuesta</t>
        </is>
      </c>
      <c r="G35" t="inlineStr"/>
      <c r="H35" t="n">
        <v>0.31</v>
      </c>
      <c r="I35" t="n">
        <v>25.4</v>
      </c>
      <c r="J35" t="n">
        <v>0.3255730659025788</v>
      </c>
      <c r="M35" t="n">
        <v>1</v>
      </c>
      <c r="N35" t="n">
        <v>0.9473</v>
      </c>
      <c r="O35">
        <f>DEGREES(ATAN(N35/M35))</f>
        <v/>
      </c>
      <c r="P35">
        <f>O35-omega*(e_base-J35)</f>
        <v/>
      </c>
      <c r="Q35">
        <f>DEGREES(ATAN(TAN(RADIANS(pe0-omega*J35))*(M35/sref)^(m_-1)))</f>
        <v/>
      </c>
      <c r="R35">
        <f>O35-Q35</f>
        <v/>
      </c>
      <c r="T35" t="inlineStr">
        <is>
          <t>CD: τ pico</t>
        </is>
      </c>
      <c r="V35">
        <f>DEGREES(ATAN(TAN(RADIANS(O35))*(M35/sref)^(1-m_)))</f>
        <v/>
      </c>
      <c r="W35">
        <f>V35-omega*(e_base-J35)</f>
        <v/>
      </c>
    </row>
    <row r="36">
      <c r="A36" t="inlineStr">
        <is>
          <t>A2024DS</t>
        </is>
      </c>
      <c r="B36" t="inlineStr">
        <is>
          <t>Pila 02 (Intrusivo)</t>
        </is>
      </c>
      <c r="C36" t="inlineStr">
        <is>
          <t>LSDS Pila 02 (Intrusivo) σn=300</t>
        </is>
      </c>
      <c r="D36" t="inlineStr">
        <is>
          <t>Intrusivo</t>
        </is>
      </c>
      <c r="E36" t="inlineStr">
        <is>
          <t>Corte directo CD</t>
        </is>
      </c>
      <c r="F36" t="inlineStr">
        <is>
          <t>Ajuste de la curva propuesta</t>
        </is>
      </c>
      <c r="G36" t="inlineStr"/>
      <c r="H36" t="n">
        <v>0.31</v>
      </c>
      <c r="I36" t="n">
        <v>25.4</v>
      </c>
      <c r="J36" t="n">
        <v>0.478973238667395</v>
      </c>
      <c r="M36" t="n">
        <v>0.3</v>
      </c>
      <c r="N36" t="n">
        <v>0.3539</v>
      </c>
      <c r="O36">
        <f>DEGREES(ATAN(N36/M36))</f>
        <v/>
      </c>
      <c r="P36">
        <f>O36-omega*(e_base-J36)</f>
        <v/>
      </c>
      <c r="Q36">
        <f>DEGREES(ATAN(TAN(RADIANS(pe0-omega*J36))*(M36/sref)^(m_-1)))</f>
        <v/>
      </c>
      <c r="R36">
        <f>O36-Q36</f>
        <v/>
      </c>
      <c r="T36" t="inlineStr">
        <is>
          <t>CD: τ pico</t>
        </is>
      </c>
      <c r="V36">
        <f>DEGREES(ATAN(TAN(RADIANS(O36))*(M36/sref)^(1-m_)))</f>
        <v/>
      </c>
      <c r="W36">
        <f>V36-omega*(e_base-J36)</f>
        <v/>
      </c>
    </row>
    <row r="37">
      <c r="A37" t="inlineStr">
        <is>
          <t>A2024DS</t>
        </is>
      </c>
      <c r="B37" t="inlineStr">
        <is>
          <t>Pila 02 (Intrusivo)</t>
        </is>
      </c>
      <c r="C37" t="inlineStr">
        <is>
          <t>LSDS Pila 02 (Intrusivo) σn=600</t>
        </is>
      </c>
      <c r="D37" t="inlineStr">
        <is>
          <t>Intrusivo</t>
        </is>
      </c>
      <c r="E37" t="inlineStr">
        <is>
          <t>Corte directo CD</t>
        </is>
      </c>
      <c r="F37" t="inlineStr">
        <is>
          <t>Ajuste de la curva propuesta</t>
        </is>
      </c>
      <c r="G37" t="inlineStr"/>
      <c r="H37" t="n">
        <v>0.31</v>
      </c>
      <c r="I37" t="n">
        <v>25.4</v>
      </c>
      <c r="J37" t="n">
        <v>0.478973238667395</v>
      </c>
      <c r="M37" t="n">
        <v>0.6</v>
      </c>
      <c r="N37" t="n">
        <v>0.6337</v>
      </c>
      <c r="O37">
        <f>DEGREES(ATAN(N37/M37))</f>
        <v/>
      </c>
      <c r="P37">
        <f>O37-omega*(e_base-J37)</f>
        <v/>
      </c>
      <c r="Q37">
        <f>DEGREES(ATAN(TAN(RADIANS(pe0-omega*J37))*(M37/sref)^(m_-1)))</f>
        <v/>
      </c>
      <c r="R37">
        <f>O37-Q37</f>
        <v/>
      </c>
      <c r="T37" t="inlineStr">
        <is>
          <t>CD: τ pico</t>
        </is>
      </c>
      <c r="V37">
        <f>DEGREES(ATAN(TAN(RADIANS(O37))*(M37/sref)^(1-m_)))</f>
        <v/>
      </c>
      <c r="W37">
        <f>V37-omega*(e_base-J37)</f>
        <v/>
      </c>
    </row>
    <row r="38">
      <c r="A38" t="inlineStr">
        <is>
          <t>A2024DS</t>
        </is>
      </c>
      <c r="B38" t="inlineStr">
        <is>
          <t>Pila 02 (Intrusivo)</t>
        </is>
      </c>
      <c r="C38" t="inlineStr">
        <is>
          <t>LSDS Pila 02 (Intrusivo) σn=1200</t>
        </is>
      </c>
      <c r="D38" t="inlineStr">
        <is>
          <t>Intrusivo</t>
        </is>
      </c>
      <c r="E38" t="inlineStr">
        <is>
          <t>Corte directo CD</t>
        </is>
      </c>
      <c r="F38" t="inlineStr">
        <is>
          <t>Ajuste de la curva propuesta</t>
        </is>
      </c>
      <c r="G38" t="inlineStr"/>
      <c r="H38" t="n">
        <v>0.31</v>
      </c>
      <c r="I38" t="n">
        <v>25.4</v>
      </c>
      <c r="J38" t="n">
        <v>0.478973238667395</v>
      </c>
      <c r="M38" t="n">
        <v>1.2</v>
      </c>
      <c r="N38" t="n">
        <v>1.0192</v>
      </c>
      <c r="O38">
        <f>DEGREES(ATAN(N38/M38))</f>
        <v/>
      </c>
      <c r="P38">
        <f>O38-omega*(e_base-J38)</f>
        <v/>
      </c>
      <c r="Q38">
        <f>DEGREES(ATAN(TAN(RADIANS(pe0-omega*J38))*(M38/sref)^(m_-1)))</f>
        <v/>
      </c>
      <c r="R38">
        <f>O38-Q38</f>
        <v/>
      </c>
      <c r="T38" t="inlineStr">
        <is>
          <t>CD: τ pico</t>
        </is>
      </c>
      <c r="V38">
        <f>DEGREES(ATAN(TAN(RADIANS(O38))*(M38/sref)^(1-m_)))</f>
        <v/>
      </c>
      <c r="W38">
        <f>V38-omega*(e_base-J38)</f>
        <v/>
      </c>
    </row>
    <row r="39">
      <c r="A39" t="inlineStr">
        <is>
          <t>G2010</t>
        </is>
      </c>
      <c r="B39" t="inlineStr">
        <is>
          <t>G2010-A-MN-2.8in</t>
        </is>
      </c>
      <c r="C39" t="inlineStr">
        <is>
          <t>GL-481-09 Prueba Nº 1 (σ3c=324 kPa)</t>
        </is>
      </c>
      <c r="D39" t="inlineStr">
        <is>
          <t>Mármol</t>
        </is>
      </c>
      <c r="E39" t="inlineStr">
        <is>
          <t>Triaxial CU</t>
        </is>
      </c>
      <c r="F39" t="inlineStr">
        <is>
          <t>Contraste</t>
        </is>
      </c>
      <c r="G39" t="inlineStr">
        <is>
          <t>triaxial no drenado (CU), máximo desviador</t>
        </is>
      </c>
      <c r="H39" t="n">
        <v>0.07140000000000001</v>
      </c>
      <c r="I39" t="n">
        <v>9.5</v>
      </c>
      <c r="J39" t="n">
        <v>0.29</v>
      </c>
      <c r="K39" t="n">
        <v>0.619</v>
      </c>
      <c r="L39" t="n">
        <v>2.838</v>
      </c>
      <c r="M39">
        <f>(L39+K39)/2-(L39-K39)/2*((SQRT(4*m_*(m_-1)*(L39-K39)^2+(L39+K39)^2)-(L39+K39))/(2*(m_-1)*(L39-K39)))</f>
        <v/>
      </c>
      <c r="N39">
        <f>(L39-K39)/2*SQRT(1-((SQRT(4*m_*(m_-1)*(L39-K39)^2+(L39+K39)^2)-(L39+K39))/(2*(m_-1)*(L39-K39)))^2)</f>
        <v/>
      </c>
      <c r="O39">
        <f>DEGREES(ATAN(N39/M39))</f>
        <v/>
      </c>
      <c r="P39">
        <f>O39-omega*(e_base-J39)</f>
        <v/>
      </c>
      <c r="Q39">
        <f>DEGREES(ATAN(TAN(RADIANS(pe0-omega*J39))*(M39/sref)^(m_-1)))</f>
        <v/>
      </c>
      <c r="R39">
        <f>O39-Q39</f>
        <v/>
      </c>
      <c r="S39" t="n">
        <v>8.300000000000001</v>
      </c>
      <c r="T39" t="inlineStr">
        <is>
          <t>CU: máximo desviador (la fuente no permite máxima oblicuidad)</t>
        </is>
      </c>
      <c r="U39" t="inlineStr">
        <is>
          <t>82;84;8;9;49</t>
        </is>
      </c>
      <c r="V39">
        <f>DEGREES(ATAN(TAN(RADIANS(O39))*(M39/sref)^(1-m_)))</f>
        <v/>
      </c>
      <c r="W39">
        <f>V39-omega*(e_base-J39)</f>
        <v/>
      </c>
    </row>
    <row r="40">
      <c r="A40" t="inlineStr">
        <is>
          <t>G2010</t>
        </is>
      </c>
      <c r="B40" t="inlineStr">
        <is>
          <t>G2010-A-MN-2.8in</t>
        </is>
      </c>
      <c r="C40" t="inlineStr">
        <is>
          <t>GL-481-09 Prueba Nº 2 (σ3c=788 kPa)</t>
        </is>
      </c>
      <c r="D40" t="inlineStr">
        <is>
          <t>Mármol</t>
        </is>
      </c>
      <c r="E40" t="inlineStr">
        <is>
          <t>Triaxial CU</t>
        </is>
      </c>
      <c r="F40" t="inlineStr">
        <is>
          <t>Contraste</t>
        </is>
      </c>
      <c r="G40" t="inlineStr">
        <is>
          <t>triaxial no drenado (CU), máximo desviador</t>
        </is>
      </c>
      <c r="H40" t="n">
        <v>0.07149999999999999</v>
      </c>
      <c r="I40" t="n">
        <v>9.5</v>
      </c>
      <c r="J40" t="n">
        <v>0.295</v>
      </c>
      <c r="K40" t="n">
        <v>0.717</v>
      </c>
      <c r="L40" t="n">
        <v>3.111</v>
      </c>
      <c r="M40">
        <f>(L40+K40)/2-(L40-K40)/2*((SQRT(4*m_*(m_-1)*(L40-K40)^2+(L40+K40)^2)-(L40+K40))/(2*(m_-1)*(L40-K40)))</f>
        <v/>
      </c>
      <c r="N40">
        <f>(L40-K40)/2*SQRT(1-((SQRT(4*m_*(m_-1)*(L40-K40)^2+(L40+K40)^2)-(L40+K40))/(2*(m_-1)*(L40-K40)))^2)</f>
        <v/>
      </c>
      <c r="O40">
        <f>DEGREES(ATAN(N40/M40))</f>
        <v/>
      </c>
      <c r="P40">
        <f>O40-omega*(e_base-J40)</f>
        <v/>
      </c>
      <c r="Q40">
        <f>DEGREES(ATAN(TAN(RADIANS(pe0-omega*J40))*(M40/sref)^(m_-1)))</f>
        <v/>
      </c>
      <c r="R40">
        <f>O40-Q40</f>
        <v/>
      </c>
      <c r="S40" t="n">
        <v>7.6</v>
      </c>
      <c r="T40" t="inlineStr">
        <is>
          <t>CU: máximo desviador (la fuente no permite máxima oblicuidad)</t>
        </is>
      </c>
      <c r="U40" t="inlineStr">
        <is>
          <t>82;84;8;9;49</t>
        </is>
      </c>
      <c r="V40">
        <f>DEGREES(ATAN(TAN(RADIANS(O40))*(M40/sref)^(1-m_)))</f>
        <v/>
      </c>
      <c r="W40">
        <f>V40-omega*(e_base-J40)</f>
        <v/>
      </c>
    </row>
    <row r="41">
      <c r="A41" t="inlineStr">
        <is>
          <t>G2010</t>
        </is>
      </c>
      <c r="B41" t="inlineStr">
        <is>
          <t>G2010-A-MN-2.8in</t>
        </is>
      </c>
      <c r="C41" t="inlineStr">
        <is>
          <t>GL-481-09 Prueba Nº 3 (σ3c=1570 kPa)</t>
        </is>
      </c>
      <c r="D41" t="inlineStr">
        <is>
          <t>Mármol</t>
        </is>
      </c>
      <c r="E41" t="inlineStr">
        <is>
          <t>Triaxial CU</t>
        </is>
      </c>
      <c r="F41" t="inlineStr">
        <is>
          <t>Contraste</t>
        </is>
      </c>
      <c r="G41" t="inlineStr">
        <is>
          <t>triaxial no drenado (CU), máximo desviador</t>
        </is>
      </c>
      <c r="H41" t="n">
        <v>0.07140000000000001</v>
      </c>
      <c r="I41" t="n">
        <v>9.5</v>
      </c>
      <c r="J41" t="n">
        <v>0.29</v>
      </c>
      <c r="K41" t="n">
        <v>0.869</v>
      </c>
      <c r="L41" t="n">
        <v>3.606</v>
      </c>
      <c r="M41">
        <f>(L41+K41)/2-(L41-K41)/2*((SQRT(4*m_*(m_-1)*(L41-K41)^2+(L41+K41)^2)-(L41+K41))/(2*(m_-1)*(L41-K41)))</f>
        <v/>
      </c>
      <c r="N41">
        <f>(L41-K41)/2*SQRT(1-((SQRT(4*m_*(m_-1)*(L41-K41)^2+(L41+K41)^2)-(L41+K41))/(2*(m_-1)*(L41-K41)))^2)</f>
        <v/>
      </c>
      <c r="O41">
        <f>DEGREES(ATAN(N41/M41))</f>
        <v/>
      </c>
      <c r="P41">
        <f>O41-omega*(e_base-J41)</f>
        <v/>
      </c>
      <c r="Q41">
        <f>DEGREES(ATAN(TAN(RADIANS(pe0-omega*J41))*(M41/sref)^(m_-1)))</f>
        <v/>
      </c>
      <c r="R41">
        <f>O41-Q41</f>
        <v/>
      </c>
      <c r="S41" t="n">
        <v>5.3</v>
      </c>
      <c r="T41" t="inlineStr">
        <is>
          <t>CU: máximo desviador (la fuente no permite máxima oblicuidad)</t>
        </is>
      </c>
      <c r="U41" t="inlineStr">
        <is>
          <t>82;84;8;9;49</t>
        </is>
      </c>
      <c r="V41">
        <f>DEGREES(ATAN(TAN(RADIANS(O41))*(M41/sref)^(1-m_)))</f>
        <v/>
      </c>
      <c r="W41">
        <f>V41-omega*(e_base-J41)</f>
        <v/>
      </c>
    </row>
    <row r="42">
      <c r="A42" t="inlineStr">
        <is>
          <t>G2010</t>
        </is>
      </c>
      <c r="B42" t="inlineStr">
        <is>
          <t>G2010-A-HG-2.8in</t>
        </is>
      </c>
      <c r="C42" t="inlineStr">
        <is>
          <t>GL-482-09 Prueba Nº 1 (σ3c=393 kPa)</t>
        </is>
      </c>
      <c r="D42" t="inlineStr">
        <is>
          <t>Hornfels</t>
        </is>
      </c>
      <c r="E42" t="inlineStr">
        <is>
          <t>Triaxial CU</t>
        </is>
      </c>
      <c r="F42" t="inlineStr">
        <is>
          <t>Contraste</t>
        </is>
      </c>
      <c r="G42" t="inlineStr">
        <is>
          <t>triaxial no drenado (CU), máximo desviador</t>
        </is>
      </c>
      <c r="H42" t="n">
        <v>0.0717</v>
      </c>
      <c r="I42" t="n">
        <v>9.5</v>
      </c>
      <c r="J42" t="n">
        <v>0.377</v>
      </c>
      <c r="K42" t="n">
        <v>0.216</v>
      </c>
      <c r="L42" t="n">
        <v>0.922</v>
      </c>
      <c r="M42">
        <f>(L42+K42)/2-(L42-K42)/2*((SQRT(4*m_*(m_-1)*(L42-K42)^2+(L42+K42)^2)-(L42+K42))/(2*(m_-1)*(L42-K42)))</f>
        <v/>
      </c>
      <c r="N42">
        <f>(L42-K42)/2*SQRT(1-((SQRT(4*m_*(m_-1)*(L42-K42)^2+(L42+K42)^2)-(L42+K42))/(2*(m_-1)*(L42-K42)))^2)</f>
        <v/>
      </c>
      <c r="O42">
        <f>DEGREES(ATAN(N42/M42))</f>
        <v/>
      </c>
      <c r="P42">
        <f>O42-omega*(e_base-J42)</f>
        <v/>
      </c>
      <c r="Q42">
        <f>DEGREES(ATAN(TAN(RADIANS(pe0-omega*J42))*(M42/sref)^(m_-1)))</f>
        <v/>
      </c>
      <c r="R42">
        <f>O42-Q42</f>
        <v/>
      </c>
      <c r="S42" t="n">
        <v>1.9</v>
      </c>
      <c r="T42" t="inlineStr">
        <is>
          <t>CU: máximo desviador (la fuente no permite máxima oblicuidad)</t>
        </is>
      </c>
      <c r="U42" t="inlineStr">
        <is>
          <t>87;89;8;9;49</t>
        </is>
      </c>
      <c r="V42">
        <f>DEGREES(ATAN(TAN(RADIANS(O42))*(M42/sref)^(1-m_)))</f>
        <v/>
      </c>
      <c r="W42">
        <f>V42-omega*(e_base-J42)</f>
        <v/>
      </c>
    </row>
    <row r="43">
      <c r="A43" t="inlineStr">
        <is>
          <t>G2010</t>
        </is>
      </c>
      <c r="B43" t="inlineStr">
        <is>
          <t>G2010-A-HG-2.8in</t>
        </is>
      </c>
      <c r="C43" t="inlineStr">
        <is>
          <t>GL-482-09 Prueba Nº 2 (σ3c=786 kPa)</t>
        </is>
      </c>
      <c r="D43" t="inlineStr">
        <is>
          <t>Hornfels</t>
        </is>
      </c>
      <c r="E43" t="inlineStr">
        <is>
          <t>Triaxial CU</t>
        </is>
      </c>
      <c r="F43" t="inlineStr">
        <is>
          <t>Contraste</t>
        </is>
      </c>
      <c r="G43" t="inlineStr">
        <is>
          <t>triaxial no drenado (CU), máximo desviador</t>
        </is>
      </c>
      <c r="H43" t="n">
        <v>0.0717</v>
      </c>
      <c r="I43" t="n">
        <v>9.5</v>
      </c>
      <c r="J43" t="n">
        <v>0.377</v>
      </c>
      <c r="K43" t="n">
        <v>0.303</v>
      </c>
      <c r="L43" t="n">
        <v>1.207</v>
      </c>
      <c r="M43">
        <f>(L43+K43)/2-(L43-K43)/2*((SQRT(4*m_*(m_-1)*(L43-K43)^2+(L43+K43)^2)-(L43+K43))/(2*(m_-1)*(L43-K43)))</f>
        <v/>
      </c>
      <c r="N43">
        <f>(L43-K43)/2*SQRT(1-((SQRT(4*m_*(m_-1)*(L43-K43)^2+(L43+K43)^2)-(L43+K43))/(2*(m_-1)*(L43-K43)))^2)</f>
        <v/>
      </c>
      <c r="O43">
        <f>DEGREES(ATAN(N43/M43))</f>
        <v/>
      </c>
      <c r="P43">
        <f>O43-omega*(e_base-J43)</f>
        <v/>
      </c>
      <c r="Q43">
        <f>DEGREES(ATAN(TAN(RADIANS(pe0-omega*J43))*(M43/sref)^(m_-1)))</f>
        <v/>
      </c>
      <c r="R43">
        <f>O43-Q43</f>
        <v/>
      </c>
      <c r="S43" t="n">
        <v>1.8</v>
      </c>
      <c r="T43" t="inlineStr">
        <is>
          <t>CU: máximo desviador (la fuente no permite máxima oblicuidad)</t>
        </is>
      </c>
      <c r="U43" t="inlineStr">
        <is>
          <t>87;89;8;9;49</t>
        </is>
      </c>
      <c r="V43">
        <f>DEGREES(ATAN(TAN(RADIANS(O43))*(M43/sref)^(1-m_)))</f>
        <v/>
      </c>
      <c r="W43">
        <f>V43-omega*(e_base-J43)</f>
        <v/>
      </c>
    </row>
    <row r="44">
      <c r="A44" t="inlineStr">
        <is>
          <t>G2010</t>
        </is>
      </c>
      <c r="B44" t="inlineStr">
        <is>
          <t>G2010-A-HG-2.8in</t>
        </is>
      </c>
      <c r="C44" t="inlineStr">
        <is>
          <t>GL-482-09 Prueba Nº 3 (σ3c=1577 kPa)</t>
        </is>
      </c>
      <c r="D44" t="inlineStr">
        <is>
          <t>Hornfels</t>
        </is>
      </c>
      <c r="E44" t="inlineStr">
        <is>
          <t>Triaxial CU</t>
        </is>
      </c>
      <c r="F44" t="inlineStr">
        <is>
          <t>Contraste</t>
        </is>
      </c>
      <c r="G44" t="inlineStr">
        <is>
          <t>triaxial no drenado (CU), máximo desviador</t>
        </is>
      </c>
      <c r="H44" t="n">
        <v>0.0717</v>
      </c>
      <c r="I44" t="n">
        <v>9.5</v>
      </c>
      <c r="J44" t="n">
        <v>0.377</v>
      </c>
      <c r="K44" t="n">
        <v>0.535</v>
      </c>
      <c r="L44" t="n">
        <v>2.071</v>
      </c>
      <c r="M44">
        <f>(L44+K44)/2-(L44-K44)/2*((SQRT(4*m_*(m_-1)*(L44-K44)^2+(L44+K44)^2)-(L44+K44))/(2*(m_-1)*(L44-K44)))</f>
        <v/>
      </c>
      <c r="N44">
        <f>(L44-K44)/2*SQRT(1-((SQRT(4*m_*(m_-1)*(L44-K44)^2+(L44+K44)^2)-(L44+K44))/(2*(m_-1)*(L44-K44)))^2)</f>
        <v/>
      </c>
      <c r="O44">
        <f>DEGREES(ATAN(N44/M44))</f>
        <v/>
      </c>
      <c r="P44">
        <f>O44-omega*(e_base-J44)</f>
        <v/>
      </c>
      <c r="Q44">
        <f>DEGREES(ATAN(TAN(RADIANS(pe0-omega*J44))*(M44/sref)^(m_-1)))</f>
        <v/>
      </c>
      <c r="R44">
        <f>O44-Q44</f>
        <v/>
      </c>
      <c r="S44" t="n">
        <v>2.5</v>
      </c>
      <c r="T44" t="inlineStr">
        <is>
          <t>CU: máximo desviador (la fuente no permite máxima oblicuidad)</t>
        </is>
      </c>
      <c r="U44" t="inlineStr">
        <is>
          <t>87;89;8;9;49</t>
        </is>
      </c>
      <c r="V44">
        <f>DEGREES(ATAN(TAN(RADIANS(O44))*(M44/sref)^(1-m_)))</f>
        <v/>
      </c>
      <c r="W44">
        <f>V44-omega*(e_base-J44)</f>
        <v/>
      </c>
    </row>
    <row r="45">
      <c r="A45" t="inlineStr">
        <is>
          <t>G2010</t>
        </is>
      </c>
      <c r="B45" t="inlineStr">
        <is>
          <t>G2010-A-INT-2.8in</t>
        </is>
      </c>
      <c r="C45" t="inlineStr">
        <is>
          <t>GL-483-09 Prueba Nº 1 (σ3c=394 kPa)</t>
        </is>
      </c>
      <c r="D45" t="inlineStr">
        <is>
          <t>Intrusivo</t>
        </is>
      </c>
      <c r="E45" t="inlineStr">
        <is>
          <t>Triaxial CU</t>
        </is>
      </c>
      <c r="F45" t="inlineStr">
        <is>
          <t>Contraste</t>
        </is>
      </c>
      <c r="G45" t="inlineStr">
        <is>
          <t>triaxial no drenado (CU), máximo desviador</t>
        </is>
      </c>
      <c r="H45" t="n">
        <v>0.0717</v>
      </c>
      <c r="I45" t="n">
        <v>9.5</v>
      </c>
      <c r="J45" t="n">
        <v>0.434</v>
      </c>
      <c r="K45" t="n">
        <v>0.261</v>
      </c>
      <c r="L45" t="n">
        <v>1.13</v>
      </c>
      <c r="M45">
        <f>(L45+K45)/2-(L45-K45)/2*((SQRT(4*m_*(m_-1)*(L45-K45)^2+(L45+K45)^2)-(L45+K45))/(2*(m_-1)*(L45-K45)))</f>
        <v/>
      </c>
      <c r="N45">
        <f>(L45-K45)/2*SQRT(1-((SQRT(4*m_*(m_-1)*(L45-K45)^2+(L45+K45)^2)-(L45+K45))/(2*(m_-1)*(L45-K45)))^2)</f>
        <v/>
      </c>
      <c r="O45">
        <f>DEGREES(ATAN(N45/M45))</f>
        <v/>
      </c>
      <c r="P45">
        <f>O45-omega*(e_base-J45)</f>
        <v/>
      </c>
      <c r="Q45">
        <f>DEGREES(ATAN(TAN(RADIANS(pe0-omega*J45))*(M45/sref)^(m_-1)))</f>
        <v/>
      </c>
      <c r="R45">
        <f>O45-Q45</f>
        <v/>
      </c>
      <c r="S45" t="n">
        <v>1.6</v>
      </c>
      <c r="T45" t="inlineStr">
        <is>
          <t>CU: máximo desviador (la fuente no permite máxima oblicuidad)</t>
        </is>
      </c>
      <c r="U45" t="inlineStr">
        <is>
          <t>92;94;8;9;49</t>
        </is>
      </c>
      <c r="V45">
        <f>DEGREES(ATAN(TAN(RADIANS(O45))*(M45/sref)^(1-m_)))</f>
        <v/>
      </c>
      <c r="W45">
        <f>V45-omega*(e_base-J45)</f>
        <v/>
      </c>
    </row>
    <row r="46">
      <c r="A46" t="inlineStr">
        <is>
          <t>G2010</t>
        </is>
      </c>
      <c r="B46" t="inlineStr">
        <is>
          <t>G2010-A-INT-2.8in</t>
        </is>
      </c>
      <c r="C46" t="inlineStr">
        <is>
          <t>GL-483-09 Prueba Nº 2 (σ3c=788 kPa)</t>
        </is>
      </c>
      <c r="D46" t="inlineStr">
        <is>
          <t>Intrusivo</t>
        </is>
      </c>
      <c r="E46" t="inlineStr">
        <is>
          <t>Triaxial CU</t>
        </is>
      </c>
      <c r="F46" t="inlineStr">
        <is>
          <t>Contraste</t>
        </is>
      </c>
      <c r="G46" t="inlineStr">
        <is>
          <t>triaxial no drenado (CU), máximo desviador</t>
        </is>
      </c>
      <c r="H46" t="n">
        <v>0.0717</v>
      </c>
      <c r="I46" t="n">
        <v>9.5</v>
      </c>
      <c r="J46" t="n">
        <v>0.434</v>
      </c>
      <c r="K46" t="n">
        <v>0.393</v>
      </c>
      <c r="L46" t="n">
        <v>1.578</v>
      </c>
      <c r="M46">
        <f>(L46+K46)/2-(L46-K46)/2*((SQRT(4*m_*(m_-1)*(L46-K46)^2+(L46+K46)^2)-(L46+K46))/(2*(m_-1)*(L46-K46)))</f>
        <v/>
      </c>
      <c r="N46">
        <f>(L46-K46)/2*SQRT(1-((SQRT(4*m_*(m_-1)*(L46-K46)^2+(L46+K46)^2)-(L46+K46))/(2*(m_-1)*(L46-K46)))^2)</f>
        <v/>
      </c>
      <c r="O46">
        <f>DEGREES(ATAN(N46/M46))</f>
        <v/>
      </c>
      <c r="P46">
        <f>O46-omega*(e_base-J46)</f>
        <v/>
      </c>
      <c r="Q46">
        <f>DEGREES(ATAN(TAN(RADIANS(pe0-omega*J46))*(M46/sref)^(m_-1)))</f>
        <v/>
      </c>
      <c r="R46">
        <f>O46-Q46</f>
        <v/>
      </c>
      <c r="S46" t="n">
        <v>1.9</v>
      </c>
      <c r="T46" t="inlineStr">
        <is>
          <t>CU: máximo desviador (la fuente no permite máxima oblicuidad)</t>
        </is>
      </c>
      <c r="U46" t="inlineStr">
        <is>
          <t>92;94;8;9;49</t>
        </is>
      </c>
      <c r="V46">
        <f>DEGREES(ATAN(TAN(RADIANS(O46))*(M46/sref)^(1-m_)))</f>
        <v/>
      </c>
      <c r="W46">
        <f>V46-omega*(e_base-J46)</f>
        <v/>
      </c>
    </row>
    <row r="47">
      <c r="A47" t="inlineStr">
        <is>
          <t>G2010</t>
        </is>
      </c>
      <c r="B47" t="inlineStr">
        <is>
          <t>G2010-A-INT-2.8in</t>
        </is>
      </c>
      <c r="C47" t="inlineStr">
        <is>
          <t>GL-483-09 Prueba Nº 3 (σ3c=1570 kPa)</t>
        </is>
      </c>
      <c r="D47" t="inlineStr">
        <is>
          <t>Intrusivo</t>
        </is>
      </c>
      <c r="E47" t="inlineStr">
        <is>
          <t>Triaxial CU</t>
        </is>
      </c>
      <c r="F47" t="inlineStr">
        <is>
          <t>Contraste</t>
        </is>
      </c>
      <c r="G47" t="inlineStr">
        <is>
          <t>triaxial no drenado (CU), máximo desviador</t>
        </is>
      </c>
      <c r="H47" t="n">
        <v>0.0717</v>
      </c>
      <c r="I47" t="n">
        <v>9.5</v>
      </c>
      <c r="J47" t="n">
        <v>0.434</v>
      </c>
      <c r="K47" t="n">
        <v>0.528</v>
      </c>
      <c r="L47" t="n">
        <v>1.934</v>
      </c>
      <c r="M47">
        <f>(L47+K47)/2-(L47-K47)/2*((SQRT(4*m_*(m_-1)*(L47-K47)^2+(L47+K47)^2)-(L47+K47))/(2*(m_-1)*(L47-K47)))</f>
        <v/>
      </c>
      <c r="N47">
        <f>(L47-K47)/2*SQRT(1-((SQRT(4*m_*(m_-1)*(L47-K47)^2+(L47+K47)^2)-(L47+K47))/(2*(m_-1)*(L47-K47)))^2)</f>
        <v/>
      </c>
      <c r="O47">
        <f>DEGREES(ATAN(N47/M47))</f>
        <v/>
      </c>
      <c r="P47">
        <f>O47-omega*(e_base-J47)</f>
        <v/>
      </c>
      <c r="Q47">
        <f>DEGREES(ATAN(TAN(RADIANS(pe0-omega*J47))*(M47/sref)^(m_-1)))</f>
        <v/>
      </c>
      <c r="R47">
        <f>O47-Q47</f>
        <v/>
      </c>
      <c r="S47" t="n">
        <v>1.7</v>
      </c>
      <c r="T47" t="inlineStr">
        <is>
          <t>CU: máximo desviador (la fuente no permite máxima oblicuidad)</t>
        </is>
      </c>
      <c r="U47" t="inlineStr">
        <is>
          <t>92;94;8;9;49</t>
        </is>
      </c>
      <c r="V47">
        <f>DEGREES(ATAN(TAN(RADIANS(O47))*(M47/sref)^(1-m_)))</f>
        <v/>
      </c>
      <c r="W47">
        <f>V47-omega*(e_base-J47)</f>
        <v/>
      </c>
    </row>
    <row r="48">
      <c r="A48" t="inlineStr">
        <is>
          <t>G2010</t>
        </is>
      </c>
      <c r="B48" t="inlineStr">
        <is>
          <t>G2010-A-EXO-2.8in</t>
        </is>
      </c>
      <c r="C48" t="inlineStr">
        <is>
          <t>GL-484-09 Prueba Nº 1 (σ3c=394 kPa)</t>
        </is>
      </c>
      <c r="D48" t="inlineStr">
        <is>
          <t>Skarn</t>
        </is>
      </c>
      <c r="E48" t="inlineStr">
        <is>
          <t>Triaxial CU</t>
        </is>
      </c>
      <c r="F48" t="inlineStr">
        <is>
          <t>Contraste</t>
        </is>
      </c>
      <c r="G48" t="inlineStr">
        <is>
          <t>triaxial no drenado (CU), máximo desviador</t>
        </is>
      </c>
      <c r="H48" t="n">
        <v>0.07140000000000001</v>
      </c>
      <c r="I48" t="n">
        <v>9.5</v>
      </c>
      <c r="J48" t="n">
        <v>0.532</v>
      </c>
      <c r="K48" t="n">
        <v>0.193</v>
      </c>
      <c r="L48" t="n">
        <v>0.5649999999999999</v>
      </c>
      <c r="M48">
        <f>(L48+K48)/2-(L48-K48)/2*((SQRT(4*m_*(m_-1)*(L48-K48)^2+(L48+K48)^2)-(L48+K48))/(2*(m_-1)*(L48-K48)))</f>
        <v/>
      </c>
      <c r="N48">
        <f>(L48-K48)/2*SQRT(1-((SQRT(4*m_*(m_-1)*(L48-K48)^2+(L48+K48)^2)-(L48+K48))/(2*(m_-1)*(L48-K48)))^2)</f>
        <v/>
      </c>
      <c r="O48">
        <f>DEGREES(ATAN(N48/M48))</f>
        <v/>
      </c>
      <c r="P48">
        <f>O48-omega*(e_base-J48)</f>
        <v/>
      </c>
      <c r="Q48">
        <f>DEGREES(ATAN(TAN(RADIANS(pe0-omega*J48))*(M48/sref)^(m_-1)))</f>
        <v/>
      </c>
      <c r="R48">
        <f>O48-Q48</f>
        <v/>
      </c>
      <c r="S48" t="n">
        <v>1.1</v>
      </c>
      <c r="T48" t="inlineStr">
        <is>
          <t>CU: máximo desviador (la fuente no permite máxima oblicuidad)</t>
        </is>
      </c>
      <c r="U48" t="inlineStr">
        <is>
          <t>97;99;8;9;49</t>
        </is>
      </c>
      <c r="V48">
        <f>DEGREES(ATAN(TAN(RADIANS(O48))*(M48/sref)^(1-m_)))</f>
        <v/>
      </c>
      <c r="W48">
        <f>V48-omega*(e_base-J48)</f>
        <v/>
      </c>
    </row>
    <row r="49">
      <c r="A49" t="inlineStr">
        <is>
          <t>G2010</t>
        </is>
      </c>
      <c r="B49" t="inlineStr">
        <is>
          <t>G2010-A-EXO-2.8in</t>
        </is>
      </c>
      <c r="C49" t="inlineStr">
        <is>
          <t>GL-484-09 Prueba Nº 2 (σ3c=787 kPa)</t>
        </is>
      </c>
      <c r="D49" t="inlineStr">
        <is>
          <t>Skarn</t>
        </is>
      </c>
      <c r="E49" t="inlineStr">
        <is>
          <t>Triaxial CU</t>
        </is>
      </c>
      <c r="F49" t="inlineStr">
        <is>
          <t>Contraste</t>
        </is>
      </c>
      <c r="G49" t="inlineStr">
        <is>
          <t>triaxial no drenado (CU), máximo desviador</t>
        </is>
      </c>
      <c r="H49" t="n">
        <v>0.07140000000000001</v>
      </c>
      <c r="I49" t="n">
        <v>9.5</v>
      </c>
      <c r="J49" t="n">
        <v>0.531</v>
      </c>
      <c r="K49" t="n">
        <v>0.317</v>
      </c>
      <c r="L49" t="n">
        <v>0.884</v>
      </c>
      <c r="M49">
        <f>(L49+K49)/2-(L49-K49)/2*((SQRT(4*m_*(m_-1)*(L49-K49)^2+(L49+K49)^2)-(L49+K49))/(2*(m_-1)*(L49-K49)))</f>
        <v/>
      </c>
      <c r="N49">
        <f>(L49-K49)/2*SQRT(1-((SQRT(4*m_*(m_-1)*(L49-K49)^2+(L49+K49)^2)-(L49+K49))/(2*(m_-1)*(L49-K49)))^2)</f>
        <v/>
      </c>
      <c r="O49">
        <f>DEGREES(ATAN(N49/M49))</f>
        <v/>
      </c>
      <c r="P49">
        <f>O49-omega*(e_base-J49)</f>
        <v/>
      </c>
      <c r="Q49">
        <f>DEGREES(ATAN(TAN(RADIANS(pe0-omega*J49))*(M49/sref)^(m_-1)))</f>
        <v/>
      </c>
      <c r="R49">
        <f>O49-Q49</f>
        <v/>
      </c>
      <c r="S49" t="n">
        <v>1.2</v>
      </c>
      <c r="T49" t="inlineStr">
        <is>
          <t>CU: máximo desviador (la fuente no permite máxima oblicuidad)</t>
        </is>
      </c>
      <c r="U49" t="inlineStr">
        <is>
          <t>97;99;8;9;49</t>
        </is>
      </c>
      <c r="V49">
        <f>DEGREES(ATAN(TAN(RADIANS(O49))*(M49/sref)^(1-m_)))</f>
        <v/>
      </c>
      <c r="W49">
        <f>V49-omega*(e_base-J49)</f>
        <v/>
      </c>
    </row>
    <row r="50">
      <c r="A50" t="inlineStr">
        <is>
          <t>G2010</t>
        </is>
      </c>
      <c r="B50" t="inlineStr">
        <is>
          <t>G2010-A-EXO-2.8in</t>
        </is>
      </c>
      <c r="C50" t="inlineStr">
        <is>
          <t>GL-484-09 Prueba Nº 3 (σ3c=1573 kPa)</t>
        </is>
      </c>
      <c r="D50" t="inlineStr">
        <is>
          <t>Skarn</t>
        </is>
      </c>
      <c r="E50" t="inlineStr">
        <is>
          <t>Triaxial CU</t>
        </is>
      </c>
      <c r="F50" t="inlineStr">
        <is>
          <t>Contraste</t>
        </is>
      </c>
      <c r="G50" t="inlineStr">
        <is>
          <t>triaxial no drenado (CU), máximo desviador</t>
        </is>
      </c>
      <c r="H50" t="n">
        <v>0.07140000000000001</v>
      </c>
      <c r="I50" t="n">
        <v>9.5</v>
      </c>
      <c r="J50" t="n">
        <v>0.532</v>
      </c>
      <c r="K50" t="n">
        <v>0.486</v>
      </c>
      <c r="L50" t="n">
        <v>1.409</v>
      </c>
      <c r="M50">
        <f>(L50+K50)/2-(L50-K50)/2*((SQRT(4*m_*(m_-1)*(L50-K50)^2+(L50+K50)^2)-(L50+K50))/(2*(m_-1)*(L50-K50)))</f>
        <v/>
      </c>
      <c r="N50">
        <f>(L50-K50)/2*SQRT(1-((SQRT(4*m_*(m_-1)*(L50-K50)^2+(L50+K50)^2)-(L50+K50))/(2*(m_-1)*(L50-K50)))^2)</f>
        <v/>
      </c>
      <c r="O50">
        <f>DEGREES(ATAN(N50/M50))</f>
        <v/>
      </c>
      <c r="P50">
        <f>O50-omega*(e_base-J50)</f>
        <v/>
      </c>
      <c r="Q50">
        <f>DEGREES(ATAN(TAN(RADIANS(pe0-omega*J50))*(M50/sref)^(m_-1)))</f>
        <v/>
      </c>
      <c r="R50">
        <f>O50-Q50</f>
        <v/>
      </c>
      <c r="S50" t="n">
        <v>1.3</v>
      </c>
      <c r="T50" t="inlineStr">
        <is>
          <t>CU: máximo desviador (la fuente no permite máxima oblicuidad)</t>
        </is>
      </c>
      <c r="U50" t="inlineStr">
        <is>
          <t>97;99;8;9;49</t>
        </is>
      </c>
      <c r="V50">
        <f>DEGREES(ATAN(TAN(RADIANS(O50))*(M50/sref)^(1-m_)))</f>
        <v/>
      </c>
      <c r="W50">
        <f>V50-omega*(e_base-J50)</f>
        <v/>
      </c>
    </row>
    <row r="51">
      <c r="A51" t="inlineStr">
        <is>
          <t>G2010</t>
        </is>
      </c>
      <c r="B51" t="inlineStr">
        <is>
          <t>G2010-A-HG-4in</t>
        </is>
      </c>
      <c r="C51" t="inlineStr">
        <is>
          <t>GL-482-09 Prueba Nº 1 (σ3c=392 kPa)</t>
        </is>
      </c>
      <c r="D51" t="inlineStr">
        <is>
          <t>Hornfels</t>
        </is>
      </c>
      <c r="E51" t="inlineStr">
        <is>
          <t>Triaxial CU</t>
        </is>
      </c>
      <c r="F51" t="inlineStr">
        <is>
          <t>Contraste</t>
        </is>
      </c>
      <c r="G51" t="inlineStr">
        <is>
          <t>triaxial no drenado (CU), máximo desviador</t>
        </is>
      </c>
      <c r="H51" t="n">
        <v>0.1022</v>
      </c>
      <c r="I51" t="n">
        <v>15.9</v>
      </c>
      <c r="J51" t="n">
        <v>0.377</v>
      </c>
      <c r="K51" t="n">
        <v>0.224</v>
      </c>
      <c r="L51" t="n">
        <v>1.049</v>
      </c>
      <c r="M51">
        <f>(L51+K51)/2-(L51-K51)/2*((SQRT(4*m_*(m_-1)*(L51-K51)^2+(L51+K51)^2)-(L51+K51))/(2*(m_-1)*(L51-K51)))</f>
        <v/>
      </c>
      <c r="N51">
        <f>(L51-K51)/2*SQRT(1-((SQRT(4*m_*(m_-1)*(L51-K51)^2+(L51+K51)^2)-(L51+K51))/(2*(m_-1)*(L51-K51)))^2)</f>
        <v/>
      </c>
      <c r="O51">
        <f>DEGREES(ATAN(N51/M51))</f>
        <v/>
      </c>
      <c r="P51">
        <f>O51-omega*(e_base-J51)</f>
        <v/>
      </c>
      <c r="Q51">
        <f>DEGREES(ATAN(TAN(RADIANS(pe0-omega*J51))*(M51/sref)^(m_-1)))</f>
        <v/>
      </c>
      <c r="R51">
        <f>O51-Q51</f>
        <v/>
      </c>
      <c r="S51" t="n">
        <v>1</v>
      </c>
      <c r="T51" t="inlineStr">
        <is>
          <t>CU: máximo desviador (la fuente no permite máxima oblicuidad)</t>
        </is>
      </c>
      <c r="U51" t="inlineStr">
        <is>
          <t>102;104;8;9;49</t>
        </is>
      </c>
      <c r="V51">
        <f>DEGREES(ATAN(TAN(RADIANS(O51))*(M51/sref)^(1-m_)))</f>
        <v/>
      </c>
      <c r="W51">
        <f>V51-omega*(e_base-J51)</f>
        <v/>
      </c>
    </row>
    <row r="52">
      <c r="A52" t="inlineStr">
        <is>
          <t>G2010</t>
        </is>
      </c>
      <c r="B52" t="inlineStr">
        <is>
          <t>G2010-A-HG-4in</t>
        </is>
      </c>
      <c r="C52" t="inlineStr">
        <is>
          <t>GL-482-09 Prueba Nº 2 (σ3c=591 kPa)</t>
        </is>
      </c>
      <c r="D52" t="inlineStr">
        <is>
          <t>Hornfels</t>
        </is>
      </c>
      <c r="E52" t="inlineStr">
        <is>
          <t>Triaxial CU</t>
        </is>
      </c>
      <c r="F52" t="inlineStr">
        <is>
          <t>Contraste</t>
        </is>
      </c>
      <c r="G52" t="inlineStr">
        <is>
          <t>triaxial no drenado (CU), máximo desviador</t>
        </is>
      </c>
      <c r="H52" t="n">
        <v>0.1022</v>
      </c>
      <c r="I52" t="n">
        <v>15.9</v>
      </c>
      <c r="J52" t="n">
        <v>0.381</v>
      </c>
      <c r="K52" t="n">
        <v>0.242</v>
      </c>
      <c r="L52" t="n">
        <v>1.087</v>
      </c>
      <c r="M52">
        <f>(L52+K52)/2-(L52-K52)/2*((SQRT(4*m_*(m_-1)*(L52-K52)^2+(L52+K52)^2)-(L52+K52))/(2*(m_-1)*(L52-K52)))</f>
        <v/>
      </c>
      <c r="N52">
        <f>(L52-K52)/2*SQRT(1-((SQRT(4*m_*(m_-1)*(L52-K52)^2+(L52+K52)^2)-(L52+K52))/(2*(m_-1)*(L52-K52)))^2)</f>
        <v/>
      </c>
      <c r="O52">
        <f>DEGREES(ATAN(N52/M52))</f>
        <v/>
      </c>
      <c r="P52">
        <f>O52-omega*(e_base-J52)</f>
        <v/>
      </c>
      <c r="Q52">
        <f>DEGREES(ATAN(TAN(RADIANS(pe0-omega*J52))*(M52/sref)^(m_-1)))</f>
        <v/>
      </c>
      <c r="R52">
        <f>O52-Q52</f>
        <v/>
      </c>
      <c r="S52" t="n">
        <v>0.8</v>
      </c>
      <c r="T52" t="inlineStr">
        <is>
          <t>CU: máximo desviador (la fuente no permite máxima oblicuidad)</t>
        </is>
      </c>
      <c r="U52" t="inlineStr">
        <is>
          <t>102;104;8;9;49</t>
        </is>
      </c>
      <c r="V52">
        <f>DEGREES(ATAN(TAN(RADIANS(O52))*(M52/sref)^(1-m_)))</f>
        <v/>
      </c>
      <c r="W52">
        <f>V52-omega*(e_base-J52)</f>
        <v/>
      </c>
    </row>
    <row r="53">
      <c r="A53" t="inlineStr">
        <is>
          <t>G2010</t>
        </is>
      </c>
      <c r="B53" t="inlineStr">
        <is>
          <t>G2010-A-HG-4in</t>
        </is>
      </c>
      <c r="C53" t="inlineStr">
        <is>
          <t>GL-482-09 Prueba Nº 3 (σ3c=785 kPa)</t>
        </is>
      </c>
      <c r="D53" t="inlineStr">
        <is>
          <t>Hornfels</t>
        </is>
      </c>
      <c r="E53" t="inlineStr">
        <is>
          <t>Triaxial CU</t>
        </is>
      </c>
      <c r="F53" t="inlineStr">
        <is>
          <t>Contraste</t>
        </is>
      </c>
      <c r="G53" t="inlineStr">
        <is>
          <t>triaxial no drenado (CU), máximo desviador</t>
        </is>
      </c>
      <c r="H53" t="n">
        <v>0.1022</v>
      </c>
      <c r="I53" t="n">
        <v>15.9</v>
      </c>
      <c r="J53" t="n">
        <v>0.377</v>
      </c>
      <c r="K53" t="n">
        <v>0.401</v>
      </c>
      <c r="L53" t="n">
        <v>1.338</v>
      </c>
      <c r="M53">
        <f>(L53+K53)/2-(L53-K53)/2*((SQRT(4*m_*(m_-1)*(L53-K53)^2+(L53+K53)^2)-(L53+K53))/(2*(m_-1)*(L53-K53)))</f>
        <v/>
      </c>
      <c r="N53">
        <f>(L53-K53)/2*SQRT(1-((SQRT(4*m_*(m_-1)*(L53-K53)^2+(L53+K53)^2)-(L53+K53))/(2*(m_-1)*(L53-K53)))^2)</f>
        <v/>
      </c>
      <c r="O53">
        <f>DEGREES(ATAN(N53/M53))</f>
        <v/>
      </c>
      <c r="P53">
        <f>O53-omega*(e_base-J53)</f>
        <v/>
      </c>
      <c r="Q53">
        <f>DEGREES(ATAN(TAN(RADIANS(pe0-omega*J53))*(M53/sref)^(m_-1)))</f>
        <v/>
      </c>
      <c r="R53">
        <f>O53-Q53</f>
        <v/>
      </c>
      <c r="S53" t="n">
        <v>1</v>
      </c>
      <c r="T53" t="inlineStr">
        <is>
          <t>CU: máximo desviador (la fuente no permite máxima oblicuidad)</t>
        </is>
      </c>
      <c r="U53" t="inlineStr">
        <is>
          <t>102;104;8;9;49</t>
        </is>
      </c>
      <c r="V53">
        <f>DEGREES(ATAN(TAN(RADIANS(O53))*(M53/sref)^(1-m_)))</f>
        <v/>
      </c>
      <c r="W53">
        <f>V53-omega*(e_base-J53)</f>
        <v/>
      </c>
    </row>
    <row r="54">
      <c r="A54" t="inlineStr">
        <is>
          <t>G2010</t>
        </is>
      </c>
      <c r="B54" t="inlineStr">
        <is>
          <t>G2010-A-INT-4in</t>
        </is>
      </c>
      <c r="C54" t="inlineStr">
        <is>
          <t>GL-483-09 Prueba Nº 1 (σ3c=393 kPa)</t>
        </is>
      </c>
      <c r="D54" t="inlineStr">
        <is>
          <t>Intrusivo</t>
        </is>
      </c>
      <c r="E54" t="inlineStr">
        <is>
          <t>Triaxial CU</t>
        </is>
      </c>
      <c r="F54" t="inlineStr">
        <is>
          <t>Contraste</t>
        </is>
      </c>
      <c r="G54" t="inlineStr">
        <is>
          <t>triaxial no drenado (CU), máximo desviador</t>
        </is>
      </c>
      <c r="H54" t="n">
        <v>0.1022</v>
      </c>
      <c r="I54" t="n">
        <v>15.9</v>
      </c>
      <c r="J54" t="n">
        <v>0.435</v>
      </c>
      <c r="K54" t="n">
        <v>0.099</v>
      </c>
      <c r="L54" t="n">
        <v>0.367</v>
      </c>
      <c r="M54">
        <f>(L54+K54)/2-(L54-K54)/2*((SQRT(4*m_*(m_-1)*(L54-K54)^2+(L54+K54)^2)-(L54+K54))/(2*(m_-1)*(L54-K54)))</f>
        <v/>
      </c>
      <c r="N54">
        <f>(L54-K54)/2*SQRT(1-((SQRT(4*m_*(m_-1)*(L54-K54)^2+(L54+K54)^2)-(L54+K54))/(2*(m_-1)*(L54-K54)))^2)</f>
        <v/>
      </c>
      <c r="O54">
        <f>DEGREES(ATAN(N54/M54))</f>
        <v/>
      </c>
      <c r="P54">
        <f>O54-omega*(e_base-J54)</f>
        <v/>
      </c>
      <c r="Q54">
        <f>DEGREES(ATAN(TAN(RADIANS(pe0-omega*J54))*(M54/sref)^(m_-1)))</f>
        <v/>
      </c>
      <c r="R54">
        <f>O54-Q54</f>
        <v/>
      </c>
      <c r="S54" t="n">
        <v>1.4</v>
      </c>
      <c r="T54" t="inlineStr">
        <is>
          <t>CU: máximo desviador (la fuente no permite máxima oblicuidad)</t>
        </is>
      </c>
      <c r="U54" t="inlineStr">
        <is>
          <t>107;109;8;9;49</t>
        </is>
      </c>
      <c r="V54">
        <f>DEGREES(ATAN(TAN(RADIANS(O54))*(M54/sref)^(1-m_)))</f>
        <v/>
      </c>
      <c r="W54">
        <f>V54-omega*(e_base-J54)</f>
        <v/>
      </c>
    </row>
    <row r="55">
      <c r="A55" t="inlineStr">
        <is>
          <t>G2010</t>
        </is>
      </c>
      <c r="B55" t="inlineStr">
        <is>
          <t>G2010-A-INT-4in</t>
        </is>
      </c>
      <c r="C55" t="inlineStr">
        <is>
          <t>GL-483-09 Prueba Nº 2 (σ3c=590 kPa)</t>
        </is>
      </c>
      <c r="D55" t="inlineStr">
        <is>
          <t>Intrusivo</t>
        </is>
      </c>
      <c r="E55" t="inlineStr">
        <is>
          <t>Triaxial CU</t>
        </is>
      </c>
      <c r="F55" t="inlineStr">
        <is>
          <t>Contraste</t>
        </is>
      </c>
      <c r="G55" t="inlineStr">
        <is>
          <t>triaxial no drenado (CU), máximo desviador</t>
        </is>
      </c>
      <c r="H55" t="n">
        <v>0.1022</v>
      </c>
      <c r="I55" t="n">
        <v>15.9</v>
      </c>
      <c r="J55" t="n">
        <v>0.435</v>
      </c>
      <c r="K55" t="n">
        <v>0.167</v>
      </c>
      <c r="L55" t="n">
        <v>0.664</v>
      </c>
      <c r="M55">
        <f>(L55+K55)/2-(L55-K55)/2*((SQRT(4*m_*(m_-1)*(L55-K55)^2+(L55+K55)^2)-(L55+K55))/(2*(m_-1)*(L55-K55)))</f>
        <v/>
      </c>
      <c r="N55">
        <f>(L55-K55)/2*SQRT(1-((SQRT(4*m_*(m_-1)*(L55-K55)^2+(L55+K55)^2)-(L55+K55))/(2*(m_-1)*(L55-K55)))^2)</f>
        <v/>
      </c>
      <c r="O55">
        <f>DEGREES(ATAN(N55/M55))</f>
        <v/>
      </c>
      <c r="P55">
        <f>O55-omega*(e_base-J55)</f>
        <v/>
      </c>
      <c r="Q55">
        <f>DEGREES(ATAN(TAN(RADIANS(pe0-omega*J55))*(M55/sref)^(m_-1)))</f>
        <v/>
      </c>
      <c r="R55">
        <f>O55-Q55</f>
        <v/>
      </c>
      <c r="S55" t="n">
        <v>2.2</v>
      </c>
      <c r="T55" t="inlineStr">
        <is>
          <t>CU: máximo desviador (la fuente no permite máxima oblicuidad)</t>
        </is>
      </c>
      <c r="U55" t="inlineStr">
        <is>
          <t>107;109;8;9;49</t>
        </is>
      </c>
      <c r="V55">
        <f>DEGREES(ATAN(TAN(RADIANS(O55))*(M55/sref)^(1-m_)))</f>
        <v/>
      </c>
      <c r="W55">
        <f>V55-omega*(e_base-J55)</f>
        <v/>
      </c>
    </row>
    <row r="56">
      <c r="A56" t="inlineStr">
        <is>
          <t>G2010</t>
        </is>
      </c>
      <c r="B56" t="inlineStr">
        <is>
          <t>G2010-A-INT-4in</t>
        </is>
      </c>
      <c r="C56" t="inlineStr">
        <is>
          <t>GL-483-09 Prueba Nº 3 (σ3c=786 kPa)</t>
        </is>
      </c>
      <c r="D56" t="inlineStr">
        <is>
          <t>Intrusivo</t>
        </is>
      </c>
      <c r="E56" t="inlineStr">
        <is>
          <t>Triaxial CU</t>
        </is>
      </c>
      <c r="F56" t="inlineStr">
        <is>
          <t>Contraste</t>
        </is>
      </c>
      <c r="G56" t="inlineStr">
        <is>
          <t>triaxial no drenado (CU), máximo desviador</t>
        </is>
      </c>
      <c r="H56" t="n">
        <v>0.1022</v>
      </c>
      <c r="I56" t="n">
        <v>15.9</v>
      </c>
      <c r="J56" t="n">
        <v>0.435</v>
      </c>
      <c r="K56" t="n">
        <v>0.183</v>
      </c>
      <c r="L56" t="n">
        <v>0.828</v>
      </c>
      <c r="M56">
        <f>(L56+K56)/2-(L56-K56)/2*((SQRT(4*m_*(m_-1)*(L56-K56)^2+(L56+K56)^2)-(L56+K56))/(2*(m_-1)*(L56-K56)))</f>
        <v/>
      </c>
      <c r="N56">
        <f>(L56-K56)/2*SQRT(1-((SQRT(4*m_*(m_-1)*(L56-K56)^2+(L56+K56)^2)-(L56+K56))/(2*(m_-1)*(L56-K56)))^2)</f>
        <v/>
      </c>
      <c r="O56">
        <f>DEGREES(ATAN(N56/M56))</f>
        <v/>
      </c>
      <c r="P56">
        <f>O56-omega*(e_base-J56)</f>
        <v/>
      </c>
      <c r="Q56">
        <f>DEGREES(ATAN(TAN(RADIANS(pe0-omega*J56))*(M56/sref)^(m_-1)))</f>
        <v/>
      </c>
      <c r="R56">
        <f>O56-Q56</f>
        <v/>
      </c>
      <c r="S56" t="n">
        <v>14.6</v>
      </c>
      <c r="T56" t="inlineStr">
        <is>
          <t>CU: máximo desviador (la fuente no permite máxima oblicuidad)</t>
        </is>
      </c>
      <c r="U56" t="inlineStr">
        <is>
          <t>107;109;8;9;49</t>
        </is>
      </c>
      <c r="V56">
        <f>DEGREES(ATAN(TAN(RADIANS(O56))*(M56/sref)^(1-m_)))</f>
        <v/>
      </c>
      <c r="W56">
        <f>V56-omega*(e_base-J56)</f>
        <v/>
      </c>
    </row>
    <row r="57">
      <c r="A57" t="inlineStr">
        <is>
          <t>G2010</t>
        </is>
      </c>
      <c r="B57" t="inlineStr">
        <is>
          <t>G2010-A-EXO-4in</t>
        </is>
      </c>
      <c r="C57" t="inlineStr">
        <is>
          <t>GL-484-09 Prueba Nº 1 (σ3c=392 kPa)</t>
        </is>
      </c>
      <c r="D57" t="inlineStr">
        <is>
          <t>Skarn</t>
        </is>
      </c>
      <c r="E57" t="inlineStr">
        <is>
          <t>Triaxial CU</t>
        </is>
      </c>
      <c r="F57" t="inlineStr">
        <is>
          <t>Contraste</t>
        </is>
      </c>
      <c r="G57" t="inlineStr">
        <is>
          <t>triaxial no drenado (CU), máximo desviador</t>
        </is>
      </c>
      <c r="H57" t="n">
        <v>0.1007</v>
      </c>
      <c r="I57" t="n">
        <v>15.9</v>
      </c>
      <c r="J57" t="n">
        <v>0.598</v>
      </c>
      <c r="K57" t="n">
        <v>0.156</v>
      </c>
      <c r="L57" t="n">
        <v>0.512</v>
      </c>
      <c r="M57">
        <f>(L57+K57)/2-(L57-K57)/2*((SQRT(4*m_*(m_-1)*(L57-K57)^2+(L57+K57)^2)-(L57+K57))/(2*(m_-1)*(L57-K57)))</f>
        <v/>
      </c>
      <c r="N57">
        <f>(L57-K57)/2*SQRT(1-((SQRT(4*m_*(m_-1)*(L57-K57)^2+(L57+K57)^2)-(L57+K57))/(2*(m_-1)*(L57-K57)))^2)</f>
        <v/>
      </c>
      <c r="O57">
        <f>DEGREES(ATAN(N57/M57))</f>
        <v/>
      </c>
      <c r="P57">
        <f>O57-omega*(e_base-J57)</f>
        <v/>
      </c>
      <c r="Q57">
        <f>DEGREES(ATAN(TAN(RADIANS(pe0-omega*J57))*(M57/sref)^(m_-1)))</f>
        <v/>
      </c>
      <c r="R57">
        <f>O57-Q57</f>
        <v/>
      </c>
      <c r="S57" t="n">
        <v>1.4</v>
      </c>
      <c r="T57" t="inlineStr">
        <is>
          <t>CU: máximo desviador (la fuente no permite máxima oblicuidad)</t>
        </is>
      </c>
      <c r="U57" t="inlineStr">
        <is>
          <t>112;114;8;9;49</t>
        </is>
      </c>
      <c r="V57">
        <f>DEGREES(ATAN(TAN(RADIANS(O57))*(M57/sref)^(1-m_)))</f>
        <v/>
      </c>
      <c r="W57">
        <f>V57-omega*(e_base-J57)</f>
        <v/>
      </c>
    </row>
    <row r="58">
      <c r="A58" t="inlineStr">
        <is>
          <t>G2010</t>
        </is>
      </c>
      <c r="B58" t="inlineStr">
        <is>
          <t>G2010-A-EXO-4in</t>
        </is>
      </c>
      <c r="C58" t="inlineStr">
        <is>
          <t>GL-484-09 Prueba Nº 2 (σ3c=588 kPa)</t>
        </is>
      </c>
      <c r="D58" t="inlineStr">
        <is>
          <t>Skarn</t>
        </is>
      </c>
      <c r="E58" t="inlineStr">
        <is>
          <t>Triaxial CU</t>
        </is>
      </c>
      <c r="F58" t="inlineStr">
        <is>
          <t>Contraste</t>
        </is>
      </c>
      <c r="G58" t="inlineStr">
        <is>
          <t>triaxial no drenado (CU), máximo desviador</t>
        </is>
      </c>
      <c r="H58" t="n">
        <v>0.1011</v>
      </c>
      <c r="I58" t="n">
        <v>15.9</v>
      </c>
      <c r="J58" t="n">
        <v>0.695</v>
      </c>
      <c r="K58" t="n">
        <v>0.232</v>
      </c>
      <c r="L58" t="n">
        <v>0.663</v>
      </c>
      <c r="M58">
        <f>(L58+K58)/2-(L58-K58)/2*((SQRT(4*m_*(m_-1)*(L58-K58)^2+(L58+K58)^2)-(L58+K58))/(2*(m_-1)*(L58-K58)))</f>
        <v/>
      </c>
      <c r="N58">
        <f>(L58-K58)/2*SQRT(1-((SQRT(4*m_*(m_-1)*(L58-K58)^2+(L58+K58)^2)-(L58+K58))/(2*(m_-1)*(L58-K58)))^2)</f>
        <v/>
      </c>
      <c r="O58">
        <f>DEGREES(ATAN(N58/M58))</f>
        <v/>
      </c>
      <c r="P58">
        <f>O58-omega*(e_base-J58)</f>
        <v/>
      </c>
      <c r="Q58">
        <f>DEGREES(ATAN(TAN(RADIANS(pe0-omega*J58))*(M58/sref)^(m_-1)))</f>
        <v/>
      </c>
      <c r="R58">
        <f>O58-Q58</f>
        <v/>
      </c>
      <c r="S58" t="n">
        <v>1.7</v>
      </c>
      <c r="T58" t="inlineStr">
        <is>
          <t>CU: máximo desviador (la fuente no permite máxima oblicuidad)</t>
        </is>
      </c>
      <c r="U58" t="inlineStr">
        <is>
          <t>112;114;8;9;49</t>
        </is>
      </c>
      <c r="V58">
        <f>DEGREES(ATAN(TAN(RADIANS(O58))*(M58/sref)^(1-m_)))</f>
        <v/>
      </c>
      <c r="W58">
        <f>V58-omega*(e_base-J58)</f>
        <v/>
      </c>
    </row>
    <row r="59">
      <c r="A59" t="inlineStr">
        <is>
          <t>G2010</t>
        </is>
      </c>
      <c r="B59" t="inlineStr">
        <is>
          <t>G2010-A-EXO-4in</t>
        </is>
      </c>
      <c r="C59" t="inlineStr">
        <is>
          <t>GL-484-09 Prueba Nº 3 (σ3c=783 kPa)</t>
        </is>
      </c>
      <c r="D59" t="inlineStr">
        <is>
          <t>Skarn</t>
        </is>
      </c>
      <c r="E59" t="inlineStr">
        <is>
          <t>Triaxial CU</t>
        </is>
      </c>
      <c r="F59" t="inlineStr">
        <is>
          <t>Contraste</t>
        </is>
      </c>
      <c r="G59" t="inlineStr">
        <is>
          <t>triaxial no drenado (CU), máximo desviador</t>
        </is>
      </c>
      <c r="H59" t="n">
        <v>0.1011</v>
      </c>
      <c r="I59" t="n">
        <v>15.9</v>
      </c>
      <c r="J59" t="n">
        <v>0.703</v>
      </c>
      <c r="K59" t="n">
        <v>0.358</v>
      </c>
      <c r="L59" t="n">
        <v>1.019</v>
      </c>
      <c r="M59">
        <f>(L59+K59)/2-(L59-K59)/2*((SQRT(4*m_*(m_-1)*(L59-K59)^2+(L59+K59)^2)-(L59+K59))/(2*(m_-1)*(L59-K59)))</f>
        <v/>
      </c>
      <c r="N59">
        <f>(L59-K59)/2*SQRT(1-((SQRT(4*m_*(m_-1)*(L59-K59)^2+(L59+K59)^2)-(L59+K59))/(2*(m_-1)*(L59-K59)))^2)</f>
        <v/>
      </c>
      <c r="O59">
        <f>DEGREES(ATAN(N59/M59))</f>
        <v/>
      </c>
      <c r="P59">
        <f>O59-omega*(e_base-J59)</f>
        <v/>
      </c>
      <c r="Q59">
        <f>DEGREES(ATAN(TAN(RADIANS(pe0-omega*J59))*(M59/sref)^(m_-1)))</f>
        <v/>
      </c>
      <c r="R59">
        <f>O59-Q59</f>
        <v/>
      </c>
      <c r="S59" t="n">
        <v>1.2</v>
      </c>
      <c r="T59" t="inlineStr">
        <is>
          <t>CU: máximo desviador (la fuente no permite máxima oblicuidad)</t>
        </is>
      </c>
      <c r="U59" t="inlineStr">
        <is>
          <t>112;114;8;9;49</t>
        </is>
      </c>
      <c r="V59">
        <f>DEGREES(ATAN(TAN(RADIANS(O59))*(M59/sref)^(1-m_)))</f>
        <v/>
      </c>
      <c r="W59">
        <f>V59-omega*(e_base-J59)</f>
        <v/>
      </c>
    </row>
    <row r="60">
      <c r="A60" t="inlineStr">
        <is>
          <t>A2024</t>
        </is>
      </c>
      <c r="B60" t="inlineStr">
        <is>
          <t>Ruma 01 (M-1 al M-13)</t>
        </is>
      </c>
      <c r="C60" t="inlineStr">
        <is>
          <t>500 kPa (Esf. efect. inicial)</t>
        </is>
      </c>
      <c r="D60" t="inlineStr">
        <is>
          <t>Mármol</t>
        </is>
      </c>
      <c r="E60" t="inlineStr">
        <is>
          <t>Triaxial CU</t>
        </is>
      </c>
      <c r="F60" t="inlineStr">
        <is>
          <t>Contraste</t>
        </is>
      </c>
      <c r="G60" t="inlineStr">
        <is>
          <t>triaxial no drenado (CU), máxima oblicuidad</t>
        </is>
      </c>
      <c r="H60" t="n">
        <v>0.152</v>
      </c>
      <c r="J60" t="n">
        <v>0.262603116406966</v>
      </c>
      <c r="K60" t="n">
        <v>0.07920000000000001</v>
      </c>
      <c r="L60" t="n">
        <v>0.4548999999999999</v>
      </c>
      <c r="M60">
        <f>(L60+K60)/2-(L60-K60)/2*((SQRT(4*m_*(m_-1)*(L60-K60)^2+(L60+K60)^2)-(L60+K60))/(2*(m_-1)*(L60-K60)))</f>
        <v/>
      </c>
      <c r="N60">
        <f>(L60-K60)/2*SQRT(1-((SQRT(4*m_*(m_-1)*(L60-K60)^2+(L60+K60)^2)-(L60+K60))/(2*(m_-1)*(L60-K60)))^2)</f>
        <v/>
      </c>
      <c r="O60">
        <f>DEGREES(ATAN(N60/M60))</f>
        <v/>
      </c>
      <c r="P60">
        <f>O60-omega*(e_base-J60)</f>
        <v/>
      </c>
      <c r="Q60">
        <f>DEGREES(ATAN(TAN(RADIANS(pe0-omega*J60))*(M60/sref)^(m_-1)))</f>
        <v/>
      </c>
      <c r="R60">
        <f>O60-Q60</f>
        <v/>
      </c>
      <c r="S60" t="n">
        <v>15</v>
      </c>
      <c r="T60" t="inlineStr">
        <is>
          <t>CU: máxima oblicuidad σ′1/σ′3</t>
        </is>
      </c>
      <c r="U60" t="inlineStr">
        <is>
          <t>5;1;7</t>
        </is>
      </c>
      <c r="V60">
        <f>DEGREES(ATAN(TAN(RADIANS(O60))*(M60/sref)^(1-m_)))</f>
        <v/>
      </c>
      <c r="W60">
        <f>V60-omega*(e_base-J60)</f>
        <v/>
      </c>
    </row>
    <row r="61">
      <c r="A61" t="inlineStr">
        <is>
          <t>A2024</t>
        </is>
      </c>
      <c r="B61" t="inlineStr">
        <is>
          <t>Ruma 01 (M-1 al M-13)</t>
        </is>
      </c>
      <c r="C61" t="inlineStr">
        <is>
          <t>1000 kPa (Esf. efect. inicial)</t>
        </is>
      </c>
      <c r="D61" t="inlineStr">
        <is>
          <t>Mármol</t>
        </is>
      </c>
      <c r="E61" t="inlineStr">
        <is>
          <t>Triaxial CU</t>
        </is>
      </c>
      <c r="F61" t="inlineStr">
        <is>
          <t>Contraste</t>
        </is>
      </c>
      <c r="G61" t="inlineStr">
        <is>
          <t>triaxial no drenado (CU), máxima oblicuidad</t>
        </is>
      </c>
      <c r="H61" t="n">
        <v>0.152</v>
      </c>
      <c r="J61" t="n">
        <v>0.262603116406966</v>
      </c>
      <c r="K61" t="n">
        <v>0.1069</v>
      </c>
      <c r="L61" t="n">
        <v>1.0006</v>
      </c>
      <c r="M61">
        <f>(L61+K61)/2-(L61-K61)/2*((SQRT(4*m_*(m_-1)*(L61-K61)^2+(L61+K61)^2)-(L61+K61))/(2*(m_-1)*(L61-K61)))</f>
        <v/>
      </c>
      <c r="N61">
        <f>(L61-K61)/2*SQRT(1-((SQRT(4*m_*(m_-1)*(L61-K61)^2+(L61+K61)^2)-(L61+K61))/(2*(m_-1)*(L61-K61)))^2)</f>
        <v/>
      </c>
      <c r="O61">
        <f>DEGREES(ATAN(N61/M61))</f>
        <v/>
      </c>
      <c r="P61">
        <f>O61-omega*(e_base-J61)</f>
        <v/>
      </c>
      <c r="Q61">
        <f>DEGREES(ATAN(TAN(RADIANS(pe0-omega*J61))*(M61/sref)^(m_-1)))</f>
        <v/>
      </c>
      <c r="R61">
        <f>O61-Q61</f>
        <v/>
      </c>
      <c r="S61" t="n">
        <v>15</v>
      </c>
      <c r="T61" t="inlineStr">
        <is>
          <t>CU: máxima oblicuidad σ′1/σ′3</t>
        </is>
      </c>
      <c r="U61" t="inlineStr">
        <is>
          <t>4;1;7</t>
        </is>
      </c>
      <c r="V61">
        <f>DEGREES(ATAN(TAN(RADIANS(O61))*(M61/sref)^(1-m_)))</f>
        <v/>
      </c>
      <c r="W61">
        <f>V61-omega*(e_base-J61)</f>
        <v/>
      </c>
    </row>
    <row r="62">
      <c r="A62" t="inlineStr">
        <is>
          <t>A2024</t>
        </is>
      </c>
      <c r="B62" t="inlineStr">
        <is>
          <t>Ruma 01 (M-1 al M-13)</t>
        </is>
      </c>
      <c r="C62" t="inlineStr">
        <is>
          <t>2000 kPa (Esf. efect. inicial)</t>
        </is>
      </c>
      <c r="D62" t="inlineStr">
        <is>
          <t>Mármol</t>
        </is>
      </c>
      <c r="E62" t="inlineStr">
        <is>
          <t>Triaxial CU</t>
        </is>
      </c>
      <c r="F62" t="inlineStr">
        <is>
          <t>Contraste</t>
        </is>
      </c>
      <c r="G62" t="inlineStr">
        <is>
          <t>triaxial no drenado (CU), máxima oblicuidad</t>
        </is>
      </c>
      <c r="H62" t="n">
        <v>0.152</v>
      </c>
      <c r="J62" t="n">
        <v>0.262603116406966</v>
      </c>
      <c r="K62" t="n">
        <v>0.4188</v>
      </c>
      <c r="L62" t="n">
        <v>2.4371</v>
      </c>
      <c r="M62">
        <f>(L62+K62)/2-(L62-K62)/2*((SQRT(4*m_*(m_-1)*(L62-K62)^2+(L62+K62)^2)-(L62+K62))/(2*(m_-1)*(L62-K62)))</f>
        <v/>
      </c>
      <c r="N62">
        <f>(L62-K62)/2*SQRT(1-((SQRT(4*m_*(m_-1)*(L62-K62)^2+(L62+K62)^2)-(L62+K62))/(2*(m_-1)*(L62-K62)))^2)</f>
        <v/>
      </c>
      <c r="O62">
        <f>DEGREES(ATAN(N62/M62))</f>
        <v/>
      </c>
      <c r="P62">
        <f>O62-omega*(e_base-J62)</f>
        <v/>
      </c>
      <c r="Q62">
        <f>DEGREES(ATAN(TAN(RADIANS(pe0-omega*J62))*(M62/sref)^(m_-1)))</f>
        <v/>
      </c>
      <c r="R62">
        <f>O62-Q62</f>
        <v/>
      </c>
      <c r="S62" t="n">
        <v>15</v>
      </c>
      <c r="T62" t="inlineStr">
        <is>
          <t>CU: máxima oblicuidad σ′1/σ′3</t>
        </is>
      </c>
      <c r="U62" t="inlineStr">
        <is>
          <t>3;1;7</t>
        </is>
      </c>
      <c r="V62">
        <f>DEGREES(ATAN(TAN(RADIANS(O62))*(M62/sref)^(1-m_)))</f>
        <v/>
      </c>
      <c r="W62">
        <f>V62-omega*(e_base-J62)</f>
        <v/>
      </c>
    </row>
    <row r="63">
      <c r="A63" t="inlineStr">
        <is>
          <t>A2024</t>
        </is>
      </c>
      <c r="B63" t="inlineStr">
        <is>
          <t>Ruma 02 (H-1 al H-12)</t>
        </is>
      </c>
      <c r="C63" t="inlineStr">
        <is>
          <t>500 kPa (Esf. efect. inicial)</t>
        </is>
      </c>
      <c r="D63" t="inlineStr">
        <is>
          <t>Hornfels</t>
        </is>
      </c>
      <c r="E63" t="inlineStr">
        <is>
          <t>Triaxial CU</t>
        </is>
      </c>
      <c r="F63" t="inlineStr">
        <is>
          <t>Contraste</t>
        </is>
      </c>
      <c r="G63" t="inlineStr">
        <is>
          <t>triaxial no drenado (CU), máxima oblicuidad</t>
        </is>
      </c>
      <c r="H63" t="n">
        <v>0.152</v>
      </c>
      <c r="J63" t="n">
        <v>0.3316666666666665</v>
      </c>
      <c r="K63" t="n">
        <v>0.07190000000000001</v>
      </c>
      <c r="L63" t="n">
        <v>0.6273</v>
      </c>
      <c r="M63">
        <f>(L63+K63)/2-(L63-K63)/2*((SQRT(4*m_*(m_-1)*(L63-K63)^2+(L63+K63)^2)-(L63+K63))/(2*(m_-1)*(L63-K63)))</f>
        <v/>
      </c>
      <c r="N63">
        <f>(L63-K63)/2*SQRT(1-((SQRT(4*m_*(m_-1)*(L63-K63)^2+(L63+K63)^2)-(L63+K63))/(2*(m_-1)*(L63-K63)))^2)</f>
        <v/>
      </c>
      <c r="O63">
        <f>DEGREES(ATAN(N63/M63))</f>
        <v/>
      </c>
      <c r="P63">
        <f>O63-omega*(e_base-J63)</f>
        <v/>
      </c>
      <c r="Q63">
        <f>DEGREES(ATAN(TAN(RADIANS(pe0-omega*J63))*(M63/sref)^(m_-1)))</f>
        <v/>
      </c>
      <c r="R63">
        <f>O63-Q63</f>
        <v/>
      </c>
      <c r="S63" t="n">
        <v>15</v>
      </c>
      <c r="T63" t="inlineStr">
        <is>
          <t>CU: máxima oblicuidad σ′1/σ′3</t>
        </is>
      </c>
      <c r="U63" t="inlineStr">
        <is>
          <t>5;1;7</t>
        </is>
      </c>
      <c r="V63">
        <f>DEGREES(ATAN(TAN(RADIANS(O63))*(M63/sref)^(1-m_)))</f>
        <v/>
      </c>
      <c r="W63">
        <f>V63-omega*(e_base-J63)</f>
        <v/>
      </c>
    </row>
    <row r="64">
      <c r="A64" t="inlineStr">
        <is>
          <t>A2024</t>
        </is>
      </c>
      <c r="B64" t="inlineStr">
        <is>
          <t>Ruma 02 (H-1 al H-12)</t>
        </is>
      </c>
      <c r="C64" t="inlineStr">
        <is>
          <t>1000 kPa (Esf. efect. inicial)</t>
        </is>
      </c>
      <c r="D64" t="inlineStr">
        <is>
          <t>Hornfels</t>
        </is>
      </c>
      <c r="E64" t="inlineStr">
        <is>
          <t>Triaxial CU</t>
        </is>
      </c>
      <c r="F64" t="inlineStr">
        <is>
          <t>Contraste</t>
        </is>
      </c>
      <c r="G64" t="inlineStr">
        <is>
          <t>triaxial no drenado (CU), máxima oblicuidad</t>
        </is>
      </c>
      <c r="H64" t="n">
        <v>0.152</v>
      </c>
      <c r="J64" t="n">
        <v>0.3316666666666665</v>
      </c>
      <c r="K64" t="n">
        <v>0.0949</v>
      </c>
      <c r="L64" t="n">
        <v>1.077</v>
      </c>
      <c r="M64">
        <f>(L64+K64)/2-(L64-K64)/2*((SQRT(4*m_*(m_-1)*(L64-K64)^2+(L64+K64)^2)-(L64+K64))/(2*(m_-1)*(L64-K64)))</f>
        <v/>
      </c>
      <c r="N64">
        <f>(L64-K64)/2*SQRT(1-((SQRT(4*m_*(m_-1)*(L64-K64)^2+(L64+K64)^2)-(L64+K64))/(2*(m_-1)*(L64-K64)))^2)</f>
        <v/>
      </c>
      <c r="O64">
        <f>DEGREES(ATAN(N64/M64))</f>
        <v/>
      </c>
      <c r="P64">
        <f>O64-omega*(e_base-J64)</f>
        <v/>
      </c>
      <c r="Q64">
        <f>DEGREES(ATAN(TAN(RADIANS(pe0-omega*J64))*(M64/sref)^(m_-1)))</f>
        <v/>
      </c>
      <c r="R64">
        <f>O64-Q64</f>
        <v/>
      </c>
      <c r="S64" t="n">
        <v>15</v>
      </c>
      <c r="T64" t="inlineStr">
        <is>
          <t>CU: máxima oblicuidad σ′1/σ′3</t>
        </is>
      </c>
      <c r="U64" t="inlineStr">
        <is>
          <t>4;1;7</t>
        </is>
      </c>
      <c r="V64">
        <f>DEGREES(ATAN(TAN(RADIANS(O64))*(M64/sref)^(1-m_)))</f>
        <v/>
      </c>
      <c r="W64">
        <f>V64-omega*(e_base-J64)</f>
        <v/>
      </c>
    </row>
    <row r="65">
      <c r="A65" t="inlineStr">
        <is>
          <t>A2024</t>
        </is>
      </c>
      <c r="B65" t="inlineStr">
        <is>
          <t>Ruma 02 (H-1 al H-12)</t>
        </is>
      </c>
      <c r="C65" t="inlineStr">
        <is>
          <t>2000 kPa (Esf. efect. inicial)</t>
        </is>
      </c>
      <c r="D65" t="inlineStr">
        <is>
          <t>Hornfels</t>
        </is>
      </c>
      <c r="E65" t="inlineStr">
        <is>
          <t>Triaxial CU</t>
        </is>
      </c>
      <c r="F65" t="inlineStr">
        <is>
          <t>Contraste</t>
        </is>
      </c>
      <c r="G65" t="inlineStr">
        <is>
          <t>triaxial no drenado (CU), máxima oblicuidad</t>
        </is>
      </c>
      <c r="H65" t="n">
        <v>0.152</v>
      </c>
      <c r="J65" t="n">
        <v>0.3316666666666665</v>
      </c>
      <c r="K65" t="n">
        <v>0.311</v>
      </c>
      <c r="L65" t="n">
        <v>1.8956</v>
      </c>
      <c r="M65">
        <f>(L65+K65)/2-(L65-K65)/2*((SQRT(4*m_*(m_-1)*(L65-K65)^2+(L65+K65)^2)-(L65+K65))/(2*(m_-1)*(L65-K65)))</f>
        <v/>
      </c>
      <c r="N65">
        <f>(L65-K65)/2*SQRT(1-((SQRT(4*m_*(m_-1)*(L65-K65)^2+(L65+K65)^2)-(L65+K65))/(2*(m_-1)*(L65-K65)))^2)</f>
        <v/>
      </c>
      <c r="O65">
        <f>DEGREES(ATAN(N65/M65))</f>
        <v/>
      </c>
      <c r="P65">
        <f>O65-omega*(e_base-J65)</f>
        <v/>
      </c>
      <c r="Q65">
        <f>DEGREES(ATAN(TAN(RADIANS(pe0-omega*J65))*(M65/sref)^(m_-1)))</f>
        <v/>
      </c>
      <c r="R65">
        <f>O65-Q65</f>
        <v/>
      </c>
      <c r="S65" t="n">
        <v>15</v>
      </c>
      <c r="T65" t="inlineStr">
        <is>
          <t>CU: máxima oblicuidad σ′1/σ′3</t>
        </is>
      </c>
      <c r="U65" t="inlineStr">
        <is>
          <t>3;1;7</t>
        </is>
      </c>
      <c r="V65">
        <f>DEGREES(ATAN(TAN(RADIANS(O65))*(M65/sref)^(1-m_)))</f>
        <v/>
      </c>
      <c r="W65">
        <f>V65-omega*(e_base-J65)</f>
        <v/>
      </c>
    </row>
    <row r="66">
      <c r="A66" t="inlineStr">
        <is>
          <t>A2024</t>
        </is>
      </c>
      <c r="B66" t="inlineStr">
        <is>
          <t>Ruma 03 / Fase 10 A (I-1 al I-12)</t>
        </is>
      </c>
      <c r="C66" t="inlineStr">
        <is>
          <t>500 kPa (Esf. efect. inicial)</t>
        </is>
      </c>
      <c r="D66" t="inlineStr">
        <is>
          <t>Intrusivo</t>
        </is>
      </c>
      <c r="E66" t="inlineStr">
        <is>
          <t>Triaxial CU</t>
        </is>
      </c>
      <c r="F66" t="inlineStr">
        <is>
          <t>Contraste</t>
        </is>
      </c>
      <c r="G66" t="inlineStr">
        <is>
          <t>triaxial no drenado (CU), máxima oblicuidad</t>
        </is>
      </c>
      <c r="H66" t="n">
        <v>0.152</v>
      </c>
      <c r="J66" t="n">
        <v>0.4096824570536179</v>
      </c>
      <c r="K66" t="n">
        <v>0.1227999999999999</v>
      </c>
      <c r="L66" t="n">
        <v>0.8416</v>
      </c>
      <c r="M66">
        <f>(L66+K66)/2-(L66-K66)/2*((SQRT(4*m_*(m_-1)*(L66-K66)^2+(L66+K66)^2)-(L66+K66))/(2*(m_-1)*(L66-K66)))</f>
        <v/>
      </c>
      <c r="N66">
        <f>(L66-K66)/2*SQRT(1-((SQRT(4*m_*(m_-1)*(L66-K66)^2+(L66+K66)^2)-(L66+K66))/(2*(m_-1)*(L66-K66)))^2)</f>
        <v/>
      </c>
      <c r="O66">
        <f>DEGREES(ATAN(N66/M66))</f>
        <v/>
      </c>
      <c r="P66">
        <f>O66-omega*(e_base-J66)</f>
        <v/>
      </c>
      <c r="Q66">
        <f>DEGREES(ATAN(TAN(RADIANS(pe0-omega*J66))*(M66/sref)^(m_-1)))</f>
        <v/>
      </c>
      <c r="R66">
        <f>O66-Q66</f>
        <v/>
      </c>
      <c r="S66" t="n">
        <v>15</v>
      </c>
      <c r="T66" t="inlineStr">
        <is>
          <t>CU: máxima oblicuidad σ′1/σ′3</t>
        </is>
      </c>
      <c r="U66" t="inlineStr">
        <is>
          <t>5;1;7</t>
        </is>
      </c>
      <c r="V66">
        <f>DEGREES(ATAN(TAN(RADIANS(O66))*(M66/sref)^(1-m_)))</f>
        <v/>
      </c>
      <c r="W66">
        <f>V66-omega*(e_base-J66)</f>
        <v/>
      </c>
    </row>
    <row r="67">
      <c r="A67" t="inlineStr">
        <is>
          <t>A2024</t>
        </is>
      </c>
      <c r="B67" t="inlineStr">
        <is>
          <t>Ruma 03 / Fase 10 A (I-1 al I-12)</t>
        </is>
      </c>
      <c r="C67" t="inlineStr">
        <is>
          <t>1000 kPa (Esf. efect. inicial)</t>
        </is>
      </c>
      <c r="D67" t="inlineStr">
        <is>
          <t>Intrusivo</t>
        </is>
      </c>
      <c r="E67" t="inlineStr">
        <is>
          <t>Triaxial CU</t>
        </is>
      </c>
      <c r="F67" t="inlineStr">
        <is>
          <t>Contraste</t>
        </is>
      </c>
      <c r="G67" t="inlineStr">
        <is>
          <t>triaxial no drenado (CU), máxima oblicuidad</t>
        </is>
      </c>
      <c r="H67" t="n">
        <v>0.152</v>
      </c>
      <c r="J67" t="n">
        <v>0.4096824570536179</v>
      </c>
      <c r="K67" t="n">
        <v>0.132</v>
      </c>
      <c r="L67" t="n">
        <v>1.1158</v>
      </c>
      <c r="M67">
        <f>(L67+K67)/2-(L67-K67)/2*((SQRT(4*m_*(m_-1)*(L67-K67)^2+(L67+K67)^2)-(L67+K67))/(2*(m_-1)*(L67-K67)))</f>
        <v/>
      </c>
      <c r="N67">
        <f>(L67-K67)/2*SQRT(1-((SQRT(4*m_*(m_-1)*(L67-K67)^2+(L67+K67)^2)-(L67+K67))/(2*(m_-1)*(L67-K67)))^2)</f>
        <v/>
      </c>
      <c r="O67">
        <f>DEGREES(ATAN(N67/M67))</f>
        <v/>
      </c>
      <c r="P67">
        <f>O67-omega*(e_base-J67)</f>
        <v/>
      </c>
      <c r="Q67">
        <f>DEGREES(ATAN(TAN(RADIANS(pe0-omega*J67))*(M67/sref)^(m_-1)))</f>
        <v/>
      </c>
      <c r="R67">
        <f>O67-Q67</f>
        <v/>
      </c>
      <c r="S67" t="n">
        <v>15</v>
      </c>
      <c r="T67" t="inlineStr">
        <is>
          <t>CU: máxima oblicuidad σ′1/σ′3</t>
        </is>
      </c>
      <c r="U67" t="inlineStr">
        <is>
          <t>4;1;7</t>
        </is>
      </c>
      <c r="V67">
        <f>DEGREES(ATAN(TAN(RADIANS(O67))*(M67/sref)^(1-m_)))</f>
        <v/>
      </c>
      <c r="W67">
        <f>V67-omega*(e_base-J67)</f>
        <v/>
      </c>
    </row>
    <row r="68">
      <c r="A68" t="inlineStr">
        <is>
          <t>A2024</t>
        </is>
      </c>
      <c r="B68" t="inlineStr">
        <is>
          <t>Ruma 03 / Fase 10 A (I-1 al I-12)</t>
        </is>
      </c>
      <c r="C68" t="inlineStr">
        <is>
          <t>2000 kPa (Esf. efect. inicial)</t>
        </is>
      </c>
      <c r="D68" t="inlineStr">
        <is>
          <t>Intrusivo</t>
        </is>
      </c>
      <c r="E68" t="inlineStr">
        <is>
          <t>Triaxial CU</t>
        </is>
      </c>
      <c r="F68" t="inlineStr">
        <is>
          <t>Contraste</t>
        </is>
      </c>
      <c r="G68" t="inlineStr">
        <is>
          <t>triaxial no drenado (CU), máxima oblicuidad</t>
        </is>
      </c>
      <c r="H68" t="n">
        <v>0.152</v>
      </c>
      <c r="J68" t="n">
        <v>0.4096824570536179</v>
      </c>
      <c r="K68" t="n">
        <v>0.2858</v>
      </c>
      <c r="L68" t="n">
        <v>1.9658</v>
      </c>
      <c r="M68">
        <f>(L68+K68)/2-(L68-K68)/2*((SQRT(4*m_*(m_-1)*(L68-K68)^2+(L68+K68)^2)-(L68+K68))/(2*(m_-1)*(L68-K68)))</f>
        <v/>
      </c>
      <c r="N68">
        <f>(L68-K68)/2*SQRT(1-((SQRT(4*m_*(m_-1)*(L68-K68)^2+(L68+K68)^2)-(L68+K68))/(2*(m_-1)*(L68-K68)))^2)</f>
        <v/>
      </c>
      <c r="O68">
        <f>DEGREES(ATAN(N68/M68))</f>
        <v/>
      </c>
      <c r="P68">
        <f>O68-omega*(e_base-J68)</f>
        <v/>
      </c>
      <c r="Q68">
        <f>DEGREES(ATAN(TAN(RADIANS(pe0-omega*J68))*(M68/sref)^(m_-1)))</f>
        <v/>
      </c>
      <c r="R68">
        <f>O68-Q68</f>
        <v/>
      </c>
      <c r="S68" t="n">
        <v>15</v>
      </c>
      <c r="T68" t="inlineStr">
        <is>
          <t>CU: máxima oblicuidad σ′1/σ′3</t>
        </is>
      </c>
      <c r="U68" t="inlineStr">
        <is>
          <t>3;1;7</t>
        </is>
      </c>
      <c r="V68">
        <f>DEGREES(ATAN(TAN(RADIANS(O68))*(M68/sref)^(1-m_)))</f>
        <v/>
      </c>
      <c r="W68">
        <f>V68-omega*(e_base-J68)</f>
        <v/>
      </c>
    </row>
    <row r="69">
      <c r="A69" t="inlineStr">
        <is>
          <t>A2024</t>
        </is>
      </c>
      <c r="B69" t="inlineStr">
        <is>
          <t>Pila 01 (MP1-B-M-1, MP1-B-M2, MP1-B-M3, MP1-H-Material B)</t>
        </is>
      </c>
      <c r="C69" t="inlineStr">
        <is>
          <t>500 kPa (Esf. efect. inicial)</t>
        </is>
      </c>
      <c r="D69" t="inlineStr">
        <is>
          <t>Mezcla</t>
        </is>
      </c>
      <c r="E69" t="inlineStr">
        <is>
          <t>Triaxial CU</t>
        </is>
      </c>
      <c r="F69" t="inlineStr">
        <is>
          <t>Contraste</t>
        </is>
      </c>
      <c r="G69" t="inlineStr">
        <is>
          <t>triaxial no drenado (CU), máxima oblicuidad</t>
        </is>
      </c>
      <c r="H69" t="n">
        <v>0.152</v>
      </c>
      <c r="J69" t="n">
        <v>0.3255730659025788</v>
      </c>
      <c r="K69" t="n">
        <v>0.0982</v>
      </c>
      <c r="L69" t="n">
        <v>0.6822999999999999</v>
      </c>
      <c r="M69">
        <f>(L69+K69)/2-(L69-K69)/2*((SQRT(4*m_*(m_-1)*(L69-K69)^2+(L69+K69)^2)-(L69+K69))/(2*(m_-1)*(L69-K69)))</f>
        <v/>
      </c>
      <c r="N69">
        <f>(L69-K69)/2*SQRT(1-((SQRT(4*m_*(m_-1)*(L69-K69)^2+(L69+K69)^2)-(L69+K69))/(2*(m_-1)*(L69-K69)))^2)</f>
        <v/>
      </c>
      <c r="O69">
        <f>DEGREES(ATAN(N69/M69))</f>
        <v/>
      </c>
      <c r="P69">
        <f>O69-omega*(e_base-J69)</f>
        <v/>
      </c>
      <c r="Q69">
        <f>DEGREES(ATAN(TAN(RADIANS(pe0-omega*J69))*(M69/sref)^(m_-1)))</f>
        <v/>
      </c>
      <c r="R69">
        <f>O69-Q69</f>
        <v/>
      </c>
      <c r="S69" t="n">
        <v>15</v>
      </c>
      <c r="T69" t="inlineStr">
        <is>
          <t>CU: máxima oblicuidad σ′1/σ′3</t>
        </is>
      </c>
      <c r="U69" t="inlineStr">
        <is>
          <t>5;1;7</t>
        </is>
      </c>
      <c r="V69">
        <f>DEGREES(ATAN(TAN(RADIANS(O69))*(M69/sref)^(1-m_)))</f>
        <v/>
      </c>
      <c r="W69">
        <f>V69-omega*(e_base-J69)</f>
        <v/>
      </c>
    </row>
    <row r="70">
      <c r="A70" t="inlineStr">
        <is>
          <t>A2024</t>
        </is>
      </c>
      <c r="B70" t="inlineStr">
        <is>
          <t>Pila 01 (MP1-B-M-1, MP1-B-M2, MP1-B-M3, MP1-H-Material B)</t>
        </is>
      </c>
      <c r="C70" t="inlineStr">
        <is>
          <t>1000 kPa (Esf. efect. inicial)</t>
        </is>
      </c>
      <c r="D70" t="inlineStr">
        <is>
          <t>Mezcla</t>
        </is>
      </c>
      <c r="E70" t="inlineStr">
        <is>
          <t>Triaxial CU</t>
        </is>
      </c>
      <c r="F70" t="inlineStr">
        <is>
          <t>Contraste</t>
        </is>
      </c>
      <c r="G70" t="inlineStr">
        <is>
          <t>triaxial no drenado (CU), máxima oblicuidad</t>
        </is>
      </c>
      <c r="H70" t="n">
        <v>0.152</v>
      </c>
      <c r="J70" t="n">
        <v>0.3255730659025788</v>
      </c>
      <c r="K70" t="n">
        <v>0.1984</v>
      </c>
      <c r="L70" t="n">
        <v>1.4123</v>
      </c>
      <c r="M70">
        <f>(L70+K70)/2-(L70-K70)/2*((SQRT(4*m_*(m_-1)*(L70-K70)^2+(L70+K70)^2)-(L70+K70))/(2*(m_-1)*(L70-K70)))</f>
        <v/>
      </c>
      <c r="N70">
        <f>(L70-K70)/2*SQRT(1-((SQRT(4*m_*(m_-1)*(L70-K70)^2+(L70+K70)^2)-(L70+K70))/(2*(m_-1)*(L70-K70)))^2)</f>
        <v/>
      </c>
      <c r="O70">
        <f>DEGREES(ATAN(N70/M70))</f>
        <v/>
      </c>
      <c r="P70">
        <f>O70-omega*(e_base-J70)</f>
        <v/>
      </c>
      <c r="Q70">
        <f>DEGREES(ATAN(TAN(RADIANS(pe0-omega*J70))*(M70/sref)^(m_-1)))</f>
        <v/>
      </c>
      <c r="R70">
        <f>O70-Q70</f>
        <v/>
      </c>
      <c r="S70" t="n">
        <v>15</v>
      </c>
      <c r="T70" t="inlineStr">
        <is>
          <t>CU: máxima oblicuidad σ′1/σ′3</t>
        </is>
      </c>
      <c r="U70" t="inlineStr">
        <is>
          <t>4;1;7</t>
        </is>
      </c>
      <c r="V70">
        <f>DEGREES(ATAN(TAN(RADIANS(O70))*(M70/sref)^(1-m_)))</f>
        <v/>
      </c>
      <c r="W70">
        <f>V70-omega*(e_base-J70)</f>
        <v/>
      </c>
    </row>
    <row r="71">
      <c r="A71" t="inlineStr">
        <is>
          <t>A2024</t>
        </is>
      </c>
      <c r="B71" t="inlineStr">
        <is>
          <t>Pila 01 (MP1-B-M-1, MP1-B-M2, MP1-B-M3, MP1-H-Material B)</t>
        </is>
      </c>
      <c r="C71" t="inlineStr">
        <is>
          <t>2000 kPa (Esf. efect. inicial)</t>
        </is>
      </c>
      <c r="D71" t="inlineStr">
        <is>
          <t>Mezcla</t>
        </is>
      </c>
      <c r="E71" t="inlineStr">
        <is>
          <t>Triaxial CU</t>
        </is>
      </c>
      <c r="F71" t="inlineStr">
        <is>
          <t>Contraste</t>
        </is>
      </c>
      <c r="G71" t="inlineStr">
        <is>
          <t>triaxial no drenado (CU), máxima oblicuidad</t>
        </is>
      </c>
      <c r="H71" t="n">
        <v>0.152</v>
      </c>
      <c r="J71" t="n">
        <v>0.3255730659025788</v>
      </c>
      <c r="K71" t="n">
        <v>0.6857000000000001</v>
      </c>
      <c r="L71" t="n">
        <v>3.7535</v>
      </c>
      <c r="M71">
        <f>(L71+K71)/2-(L71-K71)/2*((SQRT(4*m_*(m_-1)*(L71-K71)^2+(L71+K71)^2)-(L71+K71))/(2*(m_-1)*(L71-K71)))</f>
        <v/>
      </c>
      <c r="N71">
        <f>(L71-K71)/2*SQRT(1-((SQRT(4*m_*(m_-1)*(L71-K71)^2+(L71+K71)^2)-(L71+K71))/(2*(m_-1)*(L71-K71)))^2)</f>
        <v/>
      </c>
      <c r="O71">
        <f>DEGREES(ATAN(N71/M71))</f>
        <v/>
      </c>
      <c r="P71">
        <f>O71-omega*(e_base-J71)</f>
        <v/>
      </c>
      <c r="Q71">
        <f>DEGREES(ATAN(TAN(RADIANS(pe0-omega*J71))*(M71/sref)^(m_-1)))</f>
        <v/>
      </c>
      <c r="R71">
        <f>O71-Q71</f>
        <v/>
      </c>
      <c r="S71" t="n">
        <v>15</v>
      </c>
      <c r="T71" t="inlineStr">
        <is>
          <t>CU: máxima oblicuidad σ′1/σ′3</t>
        </is>
      </c>
      <c r="U71" t="inlineStr">
        <is>
          <t>3;1;7</t>
        </is>
      </c>
      <c r="V71">
        <f>DEGREES(ATAN(TAN(RADIANS(O71))*(M71/sref)^(1-m_)))</f>
        <v/>
      </c>
      <c r="W71">
        <f>V71-omega*(e_base-J71)</f>
        <v/>
      </c>
    </row>
    <row r="72">
      <c r="A72" t="inlineStr">
        <is>
          <t>A2024</t>
        </is>
      </c>
      <c r="B72" t="inlineStr">
        <is>
          <t>Pila 02 (MP2-A-M-1 a MP2-A-M-5, MP2-H-Material A)</t>
        </is>
      </c>
      <c r="C72" t="inlineStr">
        <is>
          <t>500 kPa (Esf. efect. inicial)</t>
        </is>
      </c>
      <c r="D72" t="inlineStr">
        <is>
          <t>Intrusivo</t>
        </is>
      </c>
      <c r="E72" t="inlineStr">
        <is>
          <t>Triaxial CU</t>
        </is>
      </c>
      <c r="F72" t="inlineStr">
        <is>
          <t>Contraste</t>
        </is>
      </c>
      <c r="G72" t="inlineStr">
        <is>
          <t>triaxial no drenado (CU), máxima oblicuidad</t>
        </is>
      </c>
      <c r="H72" t="n">
        <v>0.152</v>
      </c>
      <c r="J72" t="n">
        <v>0.478973238667395</v>
      </c>
      <c r="K72" t="n">
        <v>0.1141</v>
      </c>
      <c r="L72" t="n">
        <v>0.7131000000000001</v>
      </c>
      <c r="M72">
        <f>(L72+K72)/2-(L72-K72)/2*((SQRT(4*m_*(m_-1)*(L72-K72)^2+(L72+K72)^2)-(L72+K72))/(2*(m_-1)*(L72-K72)))</f>
        <v/>
      </c>
      <c r="N72">
        <f>(L72-K72)/2*SQRT(1-((SQRT(4*m_*(m_-1)*(L72-K72)^2+(L72+K72)^2)-(L72+K72))/(2*(m_-1)*(L72-K72)))^2)</f>
        <v/>
      </c>
      <c r="O72">
        <f>DEGREES(ATAN(N72/M72))</f>
        <v/>
      </c>
      <c r="P72">
        <f>O72-omega*(e_base-J72)</f>
        <v/>
      </c>
      <c r="Q72">
        <f>DEGREES(ATAN(TAN(RADIANS(pe0-omega*J72))*(M72/sref)^(m_-1)))</f>
        <v/>
      </c>
      <c r="R72">
        <f>O72-Q72</f>
        <v/>
      </c>
      <c r="S72" t="n">
        <v>15</v>
      </c>
      <c r="T72" t="inlineStr">
        <is>
          <t>CU: máxima oblicuidad σ′1/σ′3</t>
        </is>
      </c>
      <c r="U72" t="inlineStr">
        <is>
          <t>5;1;7</t>
        </is>
      </c>
      <c r="V72">
        <f>DEGREES(ATAN(TAN(RADIANS(O72))*(M72/sref)^(1-m_)))</f>
        <v/>
      </c>
      <c r="W72">
        <f>V72-omega*(e_base-J72)</f>
        <v/>
      </c>
    </row>
    <row r="73">
      <c r="A73" t="inlineStr">
        <is>
          <t>A2024</t>
        </is>
      </c>
      <c r="B73" t="inlineStr">
        <is>
          <t>Pila 02 (MP2-A-M-1 a MP2-A-M-5, MP2-H-Material A)</t>
        </is>
      </c>
      <c r="C73" t="inlineStr">
        <is>
          <t>1000 kPa (Esf. efect. inicial)</t>
        </is>
      </c>
      <c r="D73" t="inlineStr">
        <is>
          <t>Intrusivo</t>
        </is>
      </c>
      <c r="E73" t="inlineStr">
        <is>
          <t>Triaxial CU</t>
        </is>
      </c>
      <c r="F73" t="inlineStr">
        <is>
          <t>Contraste</t>
        </is>
      </c>
      <c r="G73" t="inlineStr">
        <is>
          <t>triaxial no drenado (CU), máxima oblicuidad</t>
        </is>
      </c>
      <c r="H73" t="n">
        <v>0.152</v>
      </c>
      <c r="J73" t="n">
        <v>0.478973238667395</v>
      </c>
      <c r="K73" t="n">
        <v>0.2289</v>
      </c>
      <c r="L73" t="n">
        <v>1.5975</v>
      </c>
      <c r="M73">
        <f>(L73+K73)/2-(L73-K73)/2*((SQRT(4*m_*(m_-1)*(L73-K73)^2+(L73+K73)^2)-(L73+K73))/(2*(m_-1)*(L73-K73)))</f>
        <v/>
      </c>
      <c r="N73">
        <f>(L73-K73)/2*SQRT(1-((SQRT(4*m_*(m_-1)*(L73-K73)^2+(L73+K73)^2)-(L73+K73))/(2*(m_-1)*(L73-K73)))^2)</f>
        <v/>
      </c>
      <c r="O73">
        <f>DEGREES(ATAN(N73/M73))</f>
        <v/>
      </c>
      <c r="P73">
        <f>O73-omega*(e_base-J73)</f>
        <v/>
      </c>
      <c r="Q73">
        <f>DEGREES(ATAN(TAN(RADIANS(pe0-omega*J73))*(M73/sref)^(m_-1)))</f>
        <v/>
      </c>
      <c r="R73">
        <f>O73-Q73</f>
        <v/>
      </c>
      <c r="S73" t="n">
        <v>15</v>
      </c>
      <c r="T73" t="inlineStr">
        <is>
          <t>CU: máxima oblicuidad σ′1/σ′3</t>
        </is>
      </c>
      <c r="U73" t="inlineStr">
        <is>
          <t>4;1;7</t>
        </is>
      </c>
      <c r="V73">
        <f>DEGREES(ATAN(TAN(RADIANS(O73))*(M73/sref)^(1-m_)))</f>
        <v/>
      </c>
      <c r="W73">
        <f>V73-omega*(e_base-J73)</f>
        <v/>
      </c>
    </row>
    <row r="74">
      <c r="A74" t="inlineStr">
        <is>
          <t>A2024</t>
        </is>
      </c>
      <c r="B74" t="inlineStr">
        <is>
          <t>Pila 02 (MP2-A-M-1 a MP2-A-M-5, MP2-H-Material A)</t>
        </is>
      </c>
      <c r="C74" t="inlineStr">
        <is>
          <t>2000 kPa (Esf. efect. inicial)</t>
        </is>
      </c>
      <c r="D74" t="inlineStr">
        <is>
          <t>Intrusivo</t>
        </is>
      </c>
      <c r="E74" t="inlineStr">
        <is>
          <t>Triaxial CU</t>
        </is>
      </c>
      <c r="F74" t="inlineStr">
        <is>
          <t>Contraste</t>
        </is>
      </c>
      <c r="G74" t="inlineStr">
        <is>
          <t>triaxial no drenado (CU), máxima oblicuidad</t>
        </is>
      </c>
      <c r="H74" t="n">
        <v>0.152</v>
      </c>
      <c r="J74" t="n">
        <v>0.478973238667395</v>
      </c>
      <c r="K74" t="n">
        <v>0.6343</v>
      </c>
      <c r="L74" t="n">
        <v>3.417</v>
      </c>
      <c r="M74">
        <f>(L74+K74)/2-(L74-K74)/2*((SQRT(4*m_*(m_-1)*(L74-K74)^2+(L74+K74)^2)-(L74+K74))/(2*(m_-1)*(L74-K74)))</f>
        <v/>
      </c>
      <c r="N74">
        <f>(L74-K74)/2*SQRT(1-((SQRT(4*m_*(m_-1)*(L74-K74)^2+(L74+K74)^2)-(L74+K74))/(2*(m_-1)*(L74-K74)))^2)</f>
        <v/>
      </c>
      <c r="O74">
        <f>DEGREES(ATAN(N74/M74))</f>
        <v/>
      </c>
      <c r="P74">
        <f>O74-omega*(e_base-J74)</f>
        <v/>
      </c>
      <c r="Q74">
        <f>DEGREES(ATAN(TAN(RADIANS(pe0-omega*J74))*(M74/sref)^(m_-1)))</f>
        <v/>
      </c>
      <c r="R74">
        <f>O74-Q74</f>
        <v/>
      </c>
      <c r="S74" t="n">
        <v>15</v>
      </c>
      <c r="T74" t="inlineStr">
        <is>
          <t>CU: máxima oblicuidad σ′1/σ′3</t>
        </is>
      </c>
      <c r="U74" t="inlineStr">
        <is>
          <t>3;1;7</t>
        </is>
      </c>
      <c r="V74">
        <f>DEGREES(ATAN(TAN(RADIANS(O74))*(M74/sref)^(1-m_)))</f>
        <v/>
      </c>
      <c r="W74">
        <f>V74-omega*(e_base-J74)</f>
        <v/>
      </c>
    </row>
    <row r="75">
      <c r="A75" t="inlineStr">
        <is>
          <t>G2010</t>
        </is>
      </c>
      <c r="B75" t="inlineStr">
        <is>
          <t>G2010-B-MN-2.8in</t>
        </is>
      </c>
      <c r="C75" t="inlineStr">
        <is>
          <t>GL-481-09 Prueba Nº 1 (σ3c=391 kPa)</t>
        </is>
      </c>
      <c r="D75" t="inlineStr">
        <is>
          <t>Mármol</t>
        </is>
      </c>
      <c r="E75" t="inlineStr">
        <is>
          <t>Triaxial CU</t>
        </is>
      </c>
      <c r="F75" t="inlineStr">
        <is>
          <t>No usado</t>
        </is>
      </c>
      <c r="G75" t="inlineStr">
        <is>
          <t>material chancado (fase B)</t>
        </is>
      </c>
      <c r="H75" t="n">
        <v>0.07149999999999999</v>
      </c>
      <c r="I75" t="n">
        <v>9.5</v>
      </c>
      <c r="J75" t="n">
        <v>0.278</v>
      </c>
      <c r="K75" t="n">
        <v>0.715</v>
      </c>
      <c r="L75" t="n">
        <v>3.491</v>
      </c>
      <c r="M75">
        <f>(L75+K75)/2-(L75-K75)/2*((SQRT(4*m_*(m_-1)*(L75-K75)^2+(L75+K75)^2)-(L75+K75))/(2*(m_-1)*(L75-K75)))</f>
        <v/>
      </c>
      <c r="N75">
        <f>(L75-K75)/2*SQRT(1-((SQRT(4*m_*(m_-1)*(L75-K75)^2+(L75+K75)^2)-(L75+K75))/(2*(m_-1)*(L75-K75)))^2)</f>
        <v/>
      </c>
      <c r="O75">
        <f>DEGREES(ATAN(N75/M75))</f>
        <v/>
      </c>
      <c r="P75">
        <f>O75-omega*(e_base-J75)</f>
        <v/>
      </c>
      <c r="Q75">
        <f>DEGREES(ATAN(TAN(RADIANS(pe0-omega*J75))*(M75/sref)^(m_-1)))</f>
        <v/>
      </c>
      <c r="R75">
        <f>O75-Q75</f>
        <v/>
      </c>
      <c r="S75" t="n">
        <v>5.8</v>
      </c>
      <c r="T75" t="inlineStr">
        <is>
          <t>CU: máximo desviador (la fuente no permite máxima oblicuidad)</t>
        </is>
      </c>
      <c r="U75" t="inlineStr">
        <is>
          <t>117;119;8;10;49</t>
        </is>
      </c>
      <c r="V75">
        <f>DEGREES(ATAN(TAN(RADIANS(O75))*(M75/sref)^(1-m_)))</f>
        <v/>
      </c>
      <c r="W75">
        <f>V75-omega*(e_base-J75)</f>
        <v/>
      </c>
    </row>
    <row r="76">
      <c r="A76" t="inlineStr">
        <is>
          <t>G2010</t>
        </is>
      </c>
      <c r="B76" t="inlineStr">
        <is>
          <t>G2010-B-MN-2.8in</t>
        </is>
      </c>
      <c r="C76" t="inlineStr">
        <is>
          <t>GL-481-09 Prueba Nº 2 (σ3c=788 kPa)</t>
        </is>
      </c>
      <c r="D76" t="inlineStr">
        <is>
          <t>Mármol</t>
        </is>
      </c>
      <c r="E76" t="inlineStr">
        <is>
          <t>Triaxial CU</t>
        </is>
      </c>
      <c r="F76" t="inlineStr">
        <is>
          <t>No usado</t>
        </is>
      </c>
      <c r="G76" t="inlineStr">
        <is>
          <t>material chancado (fase B)</t>
        </is>
      </c>
      <c r="H76" t="n">
        <v>0.07140000000000001</v>
      </c>
      <c r="I76" t="n">
        <v>9.5</v>
      </c>
      <c r="J76" t="n">
        <v>0.273</v>
      </c>
      <c r="K76" t="n">
        <v>0.823</v>
      </c>
      <c r="L76" t="n">
        <v>3.727</v>
      </c>
      <c r="M76">
        <f>(L76+K76)/2-(L76-K76)/2*((SQRT(4*m_*(m_-1)*(L76-K76)^2+(L76+K76)^2)-(L76+K76))/(2*(m_-1)*(L76-K76)))</f>
        <v/>
      </c>
      <c r="N76">
        <f>(L76-K76)/2*SQRT(1-((SQRT(4*m_*(m_-1)*(L76-K76)^2+(L76+K76)^2)-(L76+K76))/(2*(m_-1)*(L76-K76)))^2)</f>
        <v/>
      </c>
      <c r="O76">
        <f>DEGREES(ATAN(N76/M76))</f>
        <v/>
      </c>
      <c r="P76">
        <f>O76-omega*(e_base-J76)</f>
        <v/>
      </c>
      <c r="Q76">
        <f>DEGREES(ATAN(TAN(RADIANS(pe0-omega*J76))*(M76/sref)^(m_-1)))</f>
        <v/>
      </c>
      <c r="R76">
        <f>O76-Q76</f>
        <v/>
      </c>
      <c r="S76" t="n">
        <v>5.1</v>
      </c>
      <c r="T76" t="inlineStr">
        <is>
          <t>CU: máximo desviador (la fuente no permite máxima oblicuidad)</t>
        </is>
      </c>
      <c r="U76" t="inlineStr">
        <is>
          <t>117;119;8;10;49</t>
        </is>
      </c>
      <c r="V76">
        <f>DEGREES(ATAN(TAN(RADIANS(O76))*(M76/sref)^(1-m_)))</f>
        <v/>
      </c>
      <c r="W76">
        <f>V76-omega*(e_base-J76)</f>
        <v/>
      </c>
    </row>
    <row r="77">
      <c r="A77" t="inlineStr">
        <is>
          <t>G2010</t>
        </is>
      </c>
      <c r="B77" t="inlineStr">
        <is>
          <t>G2010-B-MN-2.8in</t>
        </is>
      </c>
      <c r="C77" t="inlineStr">
        <is>
          <t>GL-481-09 Prueba Nº 3 (σ3c=1577 kPa)</t>
        </is>
      </c>
      <c r="D77" t="inlineStr">
        <is>
          <t>Mármol</t>
        </is>
      </c>
      <c r="E77" t="inlineStr">
        <is>
          <t>Triaxial CU</t>
        </is>
      </c>
      <c r="F77" t="inlineStr">
        <is>
          <t>No usado</t>
        </is>
      </c>
      <c r="G77" t="inlineStr">
        <is>
          <t>material chancado (fase B)</t>
        </is>
      </c>
      <c r="H77" t="n">
        <v>0.07140000000000001</v>
      </c>
      <c r="I77" t="n">
        <v>9.5</v>
      </c>
      <c r="J77" t="n">
        <v>0.273</v>
      </c>
      <c r="K77" t="n">
        <v>1.028</v>
      </c>
      <c r="L77" t="n">
        <v>4.617</v>
      </c>
      <c r="M77">
        <f>(L77+K77)/2-(L77-K77)/2*((SQRT(4*m_*(m_-1)*(L77-K77)^2+(L77+K77)^2)-(L77+K77))/(2*(m_-1)*(L77-K77)))</f>
        <v/>
      </c>
      <c r="N77">
        <f>(L77-K77)/2*SQRT(1-((SQRT(4*m_*(m_-1)*(L77-K77)^2+(L77+K77)^2)-(L77+K77))/(2*(m_-1)*(L77-K77)))^2)</f>
        <v/>
      </c>
      <c r="O77">
        <f>DEGREES(ATAN(N77/M77))</f>
        <v/>
      </c>
      <c r="P77">
        <f>O77-omega*(e_base-J77)</f>
        <v/>
      </c>
      <c r="Q77">
        <f>DEGREES(ATAN(TAN(RADIANS(pe0-omega*J77))*(M77/sref)^(m_-1)))</f>
        <v/>
      </c>
      <c r="R77">
        <f>O77-Q77</f>
        <v/>
      </c>
      <c r="S77" t="n">
        <v>6.3</v>
      </c>
      <c r="T77" t="inlineStr">
        <is>
          <t>CU: máximo desviador (la fuente no permite máxima oblicuidad)</t>
        </is>
      </c>
      <c r="U77" t="inlineStr">
        <is>
          <t>117;119;8;10;49</t>
        </is>
      </c>
      <c r="V77">
        <f>DEGREES(ATAN(TAN(RADIANS(O77))*(M77/sref)^(1-m_)))</f>
        <v/>
      </c>
      <c r="W77">
        <f>V77-omega*(e_base-J77)</f>
        <v/>
      </c>
    </row>
    <row r="78">
      <c r="A78" t="inlineStr">
        <is>
          <t>G2010</t>
        </is>
      </c>
      <c r="B78" t="inlineStr">
        <is>
          <t>G2010-B-HG-2.8in</t>
        </is>
      </c>
      <c r="C78" t="inlineStr">
        <is>
          <t>GL-482-09 Prueba Nº 1 (σ3c=387 kPa)</t>
        </is>
      </c>
      <c r="D78" t="inlineStr">
        <is>
          <t>Hornfels</t>
        </is>
      </c>
      <c r="E78" t="inlineStr">
        <is>
          <t>Triaxial CU</t>
        </is>
      </c>
      <c r="F78" t="inlineStr">
        <is>
          <t>No usado</t>
        </is>
      </c>
      <c r="G78" t="inlineStr">
        <is>
          <t>material chancado (fase B)</t>
        </is>
      </c>
      <c r="H78" t="n">
        <v>0.07149999999999999</v>
      </c>
      <c r="I78" t="n">
        <v>9.5</v>
      </c>
      <c r="J78" t="n">
        <v>0.312</v>
      </c>
      <c r="K78" t="n">
        <v>0.095</v>
      </c>
      <c r="L78" t="n">
        <v>0.521</v>
      </c>
      <c r="M78">
        <f>(L78+K78)/2-(L78-K78)/2*((SQRT(4*m_*(m_-1)*(L78-K78)^2+(L78+K78)^2)-(L78+K78))/(2*(m_-1)*(L78-K78)))</f>
        <v/>
      </c>
      <c r="N78">
        <f>(L78-K78)/2*SQRT(1-((SQRT(4*m_*(m_-1)*(L78-K78)^2+(L78+K78)^2)-(L78+K78))/(2*(m_-1)*(L78-K78)))^2)</f>
        <v/>
      </c>
      <c r="O78">
        <f>DEGREES(ATAN(N78/M78))</f>
        <v/>
      </c>
      <c r="P78">
        <f>O78-omega*(e_base-J78)</f>
        <v/>
      </c>
      <c r="Q78">
        <f>DEGREES(ATAN(TAN(RADIANS(pe0-omega*J78))*(M78/sref)^(m_-1)))</f>
        <v/>
      </c>
      <c r="R78">
        <f>O78-Q78</f>
        <v/>
      </c>
      <c r="S78" t="n">
        <v>1.3</v>
      </c>
      <c r="T78" t="inlineStr">
        <is>
          <t>CU: máximo desviador (la fuente no permite máxima oblicuidad)</t>
        </is>
      </c>
      <c r="U78" t="inlineStr">
        <is>
          <t>122;124;8;10;49</t>
        </is>
      </c>
      <c r="V78">
        <f>DEGREES(ATAN(TAN(RADIANS(O78))*(M78/sref)^(1-m_)))</f>
        <v/>
      </c>
      <c r="W78">
        <f>V78-omega*(e_base-J78)</f>
        <v/>
      </c>
    </row>
    <row r="79">
      <c r="A79" t="inlineStr">
        <is>
          <t>G2010</t>
        </is>
      </c>
      <c r="B79" t="inlineStr">
        <is>
          <t>G2010-B-HG-2.8in</t>
        </is>
      </c>
      <c r="C79" t="inlineStr">
        <is>
          <t>GL-482-09 Prueba Nº 2 (σ3c=786 kPa)</t>
        </is>
      </c>
      <c r="D79" t="inlineStr">
        <is>
          <t>Hornfels</t>
        </is>
      </c>
      <c r="E79" t="inlineStr">
        <is>
          <t>Triaxial CU</t>
        </is>
      </c>
      <c r="F79" t="inlineStr">
        <is>
          <t>No usado</t>
        </is>
      </c>
      <c r="G79" t="inlineStr">
        <is>
          <t>material chancado (fase B)</t>
        </is>
      </c>
      <c r="H79" t="n">
        <v>0.07149999999999999</v>
      </c>
      <c r="I79" t="n">
        <v>9.5</v>
      </c>
      <c r="J79" t="n">
        <v>0.312</v>
      </c>
      <c r="K79" t="n">
        <v>0.269</v>
      </c>
      <c r="L79" t="n">
        <v>1.029</v>
      </c>
      <c r="M79">
        <f>(L79+K79)/2-(L79-K79)/2*((SQRT(4*m_*(m_-1)*(L79-K79)^2+(L79+K79)^2)-(L79+K79))/(2*(m_-1)*(L79-K79)))</f>
        <v/>
      </c>
      <c r="N79">
        <f>(L79-K79)/2*SQRT(1-((SQRT(4*m_*(m_-1)*(L79-K79)^2+(L79+K79)^2)-(L79+K79))/(2*(m_-1)*(L79-K79)))^2)</f>
        <v/>
      </c>
      <c r="O79">
        <f>DEGREES(ATAN(N79/M79))</f>
        <v/>
      </c>
      <c r="P79">
        <f>O79-omega*(e_base-J79)</f>
        <v/>
      </c>
      <c r="Q79">
        <f>DEGREES(ATAN(TAN(RADIANS(pe0-omega*J79))*(M79/sref)^(m_-1)))</f>
        <v/>
      </c>
      <c r="R79">
        <f>O79-Q79</f>
        <v/>
      </c>
      <c r="S79" t="n">
        <v>1</v>
      </c>
      <c r="T79" t="inlineStr">
        <is>
          <t>CU: máximo desviador (la fuente no permite máxima oblicuidad)</t>
        </is>
      </c>
      <c r="U79" t="inlineStr">
        <is>
          <t>122;124;8;10;49</t>
        </is>
      </c>
      <c r="V79">
        <f>DEGREES(ATAN(TAN(RADIANS(O79))*(M79/sref)^(1-m_)))</f>
        <v/>
      </c>
      <c r="W79">
        <f>V79-omega*(e_base-J79)</f>
        <v/>
      </c>
    </row>
    <row r="80">
      <c r="A80" t="inlineStr">
        <is>
          <t>G2010</t>
        </is>
      </c>
      <c r="B80" t="inlineStr">
        <is>
          <t>G2010-B-HG-2.8in</t>
        </is>
      </c>
      <c r="C80" t="inlineStr">
        <is>
          <t>GL-482-09 Prueba Nº 3 (σ3c=1576 kPa)</t>
        </is>
      </c>
      <c r="D80" t="inlineStr">
        <is>
          <t>Hornfels</t>
        </is>
      </c>
      <c r="E80" t="inlineStr">
        <is>
          <t>Triaxial CU</t>
        </is>
      </c>
      <c r="F80" t="inlineStr">
        <is>
          <t>No usado</t>
        </is>
      </c>
      <c r="G80" t="inlineStr">
        <is>
          <t>material chancado (fase B)</t>
        </is>
      </c>
      <c r="H80" t="n">
        <v>0.07149999999999999</v>
      </c>
      <c r="I80" t="n">
        <v>9.5</v>
      </c>
      <c r="J80" t="n">
        <v>0.311</v>
      </c>
      <c r="K80" t="n">
        <v>0.401</v>
      </c>
      <c r="L80" t="n">
        <v>1.899</v>
      </c>
      <c r="M80">
        <f>(L80+K80)/2-(L80-K80)/2*((SQRT(4*m_*(m_-1)*(L80-K80)^2+(L80+K80)^2)-(L80+K80))/(2*(m_-1)*(L80-K80)))</f>
        <v/>
      </c>
      <c r="N80">
        <f>(L80-K80)/2*SQRT(1-((SQRT(4*m_*(m_-1)*(L80-K80)^2+(L80+K80)^2)-(L80+K80))/(2*(m_-1)*(L80-K80)))^2)</f>
        <v/>
      </c>
      <c r="O80">
        <f>DEGREES(ATAN(N80/M80))</f>
        <v/>
      </c>
      <c r="P80">
        <f>O80-omega*(e_base-J80)</f>
        <v/>
      </c>
      <c r="Q80">
        <f>DEGREES(ATAN(TAN(RADIANS(pe0-omega*J80))*(M80/sref)^(m_-1)))</f>
        <v/>
      </c>
      <c r="R80">
        <f>O80-Q80</f>
        <v/>
      </c>
      <c r="S80" t="n">
        <v>15.2</v>
      </c>
      <c r="T80" t="inlineStr">
        <is>
          <t>CU: máximo desviador (la fuente no permite máxima oblicuidad)</t>
        </is>
      </c>
      <c r="U80" t="inlineStr">
        <is>
          <t>122;124;8;10;49</t>
        </is>
      </c>
      <c r="V80">
        <f>DEGREES(ATAN(TAN(RADIANS(O80))*(M80/sref)^(1-m_)))</f>
        <v/>
      </c>
      <c r="W80">
        <f>V80-omega*(e_base-J80)</f>
        <v/>
      </c>
    </row>
    <row r="81">
      <c r="A81" t="inlineStr">
        <is>
          <t>G2010</t>
        </is>
      </c>
      <c r="B81" t="inlineStr">
        <is>
          <t>G2010-B-INT-2.8in</t>
        </is>
      </c>
      <c r="C81" t="inlineStr">
        <is>
          <t>GL-483-09 Prueba Nº 1 (σ3c=390 kPa)</t>
        </is>
      </c>
      <c r="D81" t="inlineStr">
        <is>
          <t>Intrusivo</t>
        </is>
      </c>
      <c r="E81" t="inlineStr">
        <is>
          <t>Triaxial CU</t>
        </is>
      </c>
      <c r="F81" t="inlineStr">
        <is>
          <t>No usado</t>
        </is>
      </c>
      <c r="G81" t="inlineStr">
        <is>
          <t>material chancado (fase B)</t>
        </is>
      </c>
      <c r="H81" t="n">
        <v>0.07149999999999999</v>
      </c>
      <c r="I81" t="n">
        <v>9.5</v>
      </c>
      <c r="J81" t="n">
        <v>0.358</v>
      </c>
      <c r="K81" t="n">
        <v>0.169</v>
      </c>
      <c r="L81" t="n">
        <v>0.752</v>
      </c>
      <c r="M81">
        <f>(L81+K81)/2-(L81-K81)/2*((SQRT(4*m_*(m_-1)*(L81-K81)^2+(L81+K81)^2)-(L81+K81))/(2*(m_-1)*(L81-K81)))</f>
        <v/>
      </c>
      <c r="N81">
        <f>(L81-K81)/2*SQRT(1-((SQRT(4*m_*(m_-1)*(L81-K81)^2+(L81+K81)^2)-(L81+K81))/(2*(m_-1)*(L81-K81)))^2)</f>
        <v/>
      </c>
      <c r="O81">
        <f>DEGREES(ATAN(N81/M81))</f>
        <v/>
      </c>
      <c r="P81">
        <f>O81-omega*(e_base-J81)</f>
        <v/>
      </c>
      <c r="Q81">
        <f>DEGREES(ATAN(TAN(RADIANS(pe0-omega*J81))*(M81/sref)^(m_-1)))</f>
        <v/>
      </c>
      <c r="R81">
        <f>O81-Q81</f>
        <v/>
      </c>
      <c r="S81" t="n">
        <v>1</v>
      </c>
      <c r="T81" t="inlineStr">
        <is>
          <t>CU: máximo desviador (la fuente no permite máxima oblicuidad)</t>
        </is>
      </c>
      <c r="U81" t="inlineStr">
        <is>
          <t>127;129;8;10;49</t>
        </is>
      </c>
      <c r="V81">
        <f>DEGREES(ATAN(TAN(RADIANS(O81))*(M81/sref)^(1-m_)))</f>
        <v/>
      </c>
      <c r="W81">
        <f>V81-omega*(e_base-J81)</f>
        <v/>
      </c>
    </row>
    <row r="82">
      <c r="A82" t="inlineStr">
        <is>
          <t>G2010</t>
        </is>
      </c>
      <c r="B82" t="inlineStr">
        <is>
          <t>G2010-B-INT-2.8in</t>
        </is>
      </c>
      <c r="C82" t="inlineStr">
        <is>
          <t>GL-483-09 Prueba Nº 2 (σ3c=785 kPa)</t>
        </is>
      </c>
      <c r="D82" t="inlineStr">
        <is>
          <t>Intrusivo</t>
        </is>
      </c>
      <c r="E82" t="inlineStr">
        <is>
          <t>Triaxial CU</t>
        </is>
      </c>
      <c r="F82" t="inlineStr">
        <is>
          <t>No usado</t>
        </is>
      </c>
      <c r="G82" t="inlineStr">
        <is>
          <t>material chancado (fase B)</t>
        </is>
      </c>
      <c r="H82" t="n">
        <v>0.07149999999999999</v>
      </c>
      <c r="I82" t="n">
        <v>9.5</v>
      </c>
      <c r="J82" t="n">
        <v>0.358</v>
      </c>
      <c r="K82" t="n">
        <v>0.384</v>
      </c>
      <c r="L82" t="n">
        <v>1.499</v>
      </c>
      <c r="M82">
        <f>(L82+K82)/2-(L82-K82)/2*((SQRT(4*m_*(m_-1)*(L82-K82)^2+(L82+K82)^2)-(L82+K82))/(2*(m_-1)*(L82-K82)))</f>
        <v/>
      </c>
      <c r="N82">
        <f>(L82-K82)/2*SQRT(1-((SQRT(4*m_*(m_-1)*(L82-K82)^2+(L82+K82)^2)-(L82+K82))/(2*(m_-1)*(L82-K82)))^2)</f>
        <v/>
      </c>
      <c r="O82">
        <f>DEGREES(ATAN(N82/M82))</f>
        <v/>
      </c>
      <c r="P82">
        <f>O82-omega*(e_base-J82)</f>
        <v/>
      </c>
      <c r="Q82">
        <f>DEGREES(ATAN(TAN(RADIANS(pe0-omega*J82))*(M82/sref)^(m_-1)))</f>
        <v/>
      </c>
      <c r="R82">
        <f>O82-Q82</f>
        <v/>
      </c>
      <c r="S82" t="n">
        <v>1.6</v>
      </c>
      <c r="T82" t="inlineStr">
        <is>
          <t>CU: máximo desviador (la fuente no permite máxima oblicuidad)</t>
        </is>
      </c>
      <c r="U82" t="inlineStr">
        <is>
          <t>127;129;8;10;49</t>
        </is>
      </c>
      <c r="V82">
        <f>DEGREES(ATAN(TAN(RADIANS(O82))*(M82/sref)^(1-m_)))</f>
        <v/>
      </c>
      <c r="W82">
        <f>V82-omega*(e_base-J82)</f>
        <v/>
      </c>
    </row>
    <row r="83">
      <c r="A83" t="inlineStr">
        <is>
          <t>G2010</t>
        </is>
      </c>
      <c r="B83" t="inlineStr">
        <is>
          <t>G2010-B-INT-2.8in</t>
        </is>
      </c>
      <c r="C83" t="inlineStr">
        <is>
          <t>GL-483-09 Prueba Nº 3 (σ3c=1568 kPa)</t>
        </is>
      </c>
      <c r="D83" t="inlineStr">
        <is>
          <t>Intrusivo</t>
        </is>
      </c>
      <c r="E83" t="inlineStr">
        <is>
          <t>Triaxial CU</t>
        </is>
      </c>
      <c r="F83" t="inlineStr">
        <is>
          <t>No usado</t>
        </is>
      </c>
      <c r="G83" t="inlineStr">
        <is>
          <t>material chancado (fase B)</t>
        </is>
      </c>
      <c r="H83" t="n">
        <v>0.07149999999999999</v>
      </c>
      <c r="I83" t="n">
        <v>9.5</v>
      </c>
      <c r="J83" t="n">
        <v>0.358</v>
      </c>
      <c r="K83" t="n">
        <v>0.495</v>
      </c>
      <c r="L83" t="n">
        <v>1.898</v>
      </c>
      <c r="M83">
        <f>(L83+K83)/2-(L83-K83)/2*((SQRT(4*m_*(m_-1)*(L83-K83)^2+(L83+K83)^2)-(L83+K83))/(2*(m_-1)*(L83-K83)))</f>
        <v/>
      </c>
      <c r="N83">
        <f>(L83-K83)/2*SQRT(1-((SQRT(4*m_*(m_-1)*(L83-K83)^2+(L83+K83)^2)-(L83+K83))/(2*(m_-1)*(L83-K83)))^2)</f>
        <v/>
      </c>
      <c r="O83">
        <f>DEGREES(ATAN(N83/M83))</f>
        <v/>
      </c>
      <c r="P83">
        <f>O83-omega*(e_base-J83)</f>
        <v/>
      </c>
      <c r="Q83">
        <f>DEGREES(ATAN(TAN(RADIANS(pe0-omega*J83))*(M83/sref)^(m_-1)))</f>
        <v/>
      </c>
      <c r="R83">
        <f>O83-Q83</f>
        <v/>
      </c>
      <c r="S83" t="n">
        <v>1.5</v>
      </c>
      <c r="T83" t="inlineStr">
        <is>
          <t>CU: máximo desviador (la fuente no permite máxima oblicuidad)</t>
        </is>
      </c>
      <c r="U83" t="inlineStr">
        <is>
          <t>127;129;8;10;49</t>
        </is>
      </c>
      <c r="V83">
        <f>DEGREES(ATAN(TAN(RADIANS(O83))*(M83/sref)^(1-m_)))</f>
        <v/>
      </c>
      <c r="W83">
        <f>V83-omega*(e_base-J83)</f>
        <v/>
      </c>
    </row>
    <row r="84">
      <c r="A84" t="inlineStr">
        <is>
          <t>G2010</t>
        </is>
      </c>
      <c r="B84" t="inlineStr">
        <is>
          <t>G2010-B-EXO-2.8in</t>
        </is>
      </c>
      <c r="C84" t="inlineStr">
        <is>
          <t>GL-484-09 Prueba Nº 1 (σ3c=393 kPa)</t>
        </is>
      </c>
      <c r="D84" t="inlineStr">
        <is>
          <t>Skarn</t>
        </is>
      </c>
      <c r="E84" t="inlineStr">
        <is>
          <t>Triaxial CU</t>
        </is>
      </c>
      <c r="F84" t="inlineStr">
        <is>
          <t>No usado</t>
        </is>
      </c>
      <c r="G84" t="inlineStr">
        <is>
          <t>material chancado (fase B)</t>
        </is>
      </c>
      <c r="H84" t="n">
        <v>0.07149999999999999</v>
      </c>
      <c r="I84" t="n">
        <v>9.5</v>
      </c>
      <c r="J84" t="n">
        <v>0.417</v>
      </c>
      <c r="K84" t="n">
        <v>0.191</v>
      </c>
      <c r="L84" t="n">
        <v>0.793</v>
      </c>
      <c r="M84">
        <f>(L84+K84)/2-(L84-K84)/2*((SQRT(4*m_*(m_-1)*(L84-K84)^2+(L84+K84)^2)-(L84+K84))/(2*(m_-1)*(L84-K84)))</f>
        <v/>
      </c>
      <c r="N84">
        <f>(L84-K84)/2*SQRT(1-((SQRT(4*m_*(m_-1)*(L84-K84)^2+(L84+K84)^2)-(L84+K84))/(2*(m_-1)*(L84-K84)))^2)</f>
        <v/>
      </c>
      <c r="O84">
        <f>DEGREES(ATAN(N84/M84))</f>
        <v/>
      </c>
      <c r="P84">
        <f>O84-omega*(e_base-J84)</f>
        <v/>
      </c>
      <c r="Q84">
        <f>DEGREES(ATAN(TAN(RADIANS(pe0-omega*J84))*(M84/sref)^(m_-1)))</f>
        <v/>
      </c>
      <c r="R84">
        <f>O84-Q84</f>
        <v/>
      </c>
      <c r="S84" t="n">
        <v>0.9</v>
      </c>
      <c r="T84" t="inlineStr">
        <is>
          <t>CU: máximo desviador (la fuente no permite máxima oblicuidad)</t>
        </is>
      </c>
      <c r="U84" t="inlineStr">
        <is>
          <t>132;134;8;10;49</t>
        </is>
      </c>
      <c r="V84">
        <f>DEGREES(ATAN(TAN(RADIANS(O84))*(M84/sref)^(1-m_)))</f>
        <v/>
      </c>
      <c r="W84">
        <f>V84-omega*(e_base-J84)</f>
        <v/>
      </c>
    </row>
    <row r="85">
      <c r="A85" t="inlineStr">
        <is>
          <t>G2010</t>
        </is>
      </c>
      <c r="B85" t="inlineStr">
        <is>
          <t>G2010-B-EXO-2.8in</t>
        </is>
      </c>
      <c r="C85" t="inlineStr">
        <is>
          <t>GL-484-09 Prueba Nº 2 (σ3c=784 kPa)</t>
        </is>
      </c>
      <c r="D85" t="inlineStr">
        <is>
          <t>Skarn</t>
        </is>
      </c>
      <c r="E85" t="inlineStr">
        <is>
          <t>Triaxial CU</t>
        </is>
      </c>
      <c r="F85" t="inlineStr">
        <is>
          <t>No usado</t>
        </is>
      </c>
      <c r="G85" t="inlineStr">
        <is>
          <t>material chancado (fase B)</t>
        </is>
      </c>
      <c r="H85" t="n">
        <v>0.07149999999999999</v>
      </c>
      <c r="I85" t="n">
        <v>9.5</v>
      </c>
      <c r="J85" t="n">
        <v>0.416</v>
      </c>
      <c r="K85" t="n">
        <v>0.309</v>
      </c>
      <c r="L85" t="n">
        <v>1.168</v>
      </c>
      <c r="M85">
        <f>(L85+K85)/2-(L85-K85)/2*((SQRT(4*m_*(m_-1)*(L85-K85)^2+(L85+K85)^2)-(L85+K85))/(2*(m_-1)*(L85-K85)))</f>
        <v/>
      </c>
      <c r="N85">
        <f>(L85-K85)/2*SQRT(1-((SQRT(4*m_*(m_-1)*(L85-K85)^2+(L85+K85)^2)-(L85+K85))/(2*(m_-1)*(L85-K85)))^2)</f>
        <v/>
      </c>
      <c r="O85">
        <f>DEGREES(ATAN(N85/M85))</f>
        <v/>
      </c>
      <c r="P85">
        <f>O85-omega*(e_base-J85)</f>
        <v/>
      </c>
      <c r="Q85">
        <f>DEGREES(ATAN(TAN(RADIANS(pe0-omega*J85))*(M85/sref)^(m_-1)))</f>
        <v/>
      </c>
      <c r="R85">
        <f>O85-Q85</f>
        <v/>
      </c>
      <c r="S85" t="n">
        <v>1</v>
      </c>
      <c r="T85" t="inlineStr">
        <is>
          <t>CU: máximo desviador (la fuente no permite máxima oblicuidad)</t>
        </is>
      </c>
      <c r="U85" t="inlineStr">
        <is>
          <t>132;134;8;10;49</t>
        </is>
      </c>
      <c r="V85">
        <f>DEGREES(ATAN(TAN(RADIANS(O85))*(M85/sref)^(1-m_)))</f>
        <v/>
      </c>
      <c r="W85">
        <f>V85-omega*(e_base-J85)</f>
        <v/>
      </c>
    </row>
    <row r="86">
      <c r="A86" t="inlineStr">
        <is>
          <t>G2010</t>
        </is>
      </c>
      <c r="B86" t="inlineStr">
        <is>
          <t>G2010-B-EXO-2.8in</t>
        </is>
      </c>
      <c r="C86" t="inlineStr">
        <is>
          <t>GL-484-09 Prueba Nº 3 (σ3c=1568 kPa)</t>
        </is>
      </c>
      <c r="D86" t="inlineStr">
        <is>
          <t>Skarn</t>
        </is>
      </c>
      <c r="E86" t="inlineStr">
        <is>
          <t>Triaxial CU</t>
        </is>
      </c>
      <c r="F86" t="inlineStr">
        <is>
          <t>No usado</t>
        </is>
      </c>
      <c r="G86" t="inlineStr">
        <is>
          <t>material chancado (fase B)</t>
        </is>
      </c>
      <c r="H86" t="n">
        <v>0.07149999999999999</v>
      </c>
      <c r="I86" t="n">
        <v>9.5</v>
      </c>
      <c r="J86" t="n">
        <v>0.416</v>
      </c>
      <c r="K86" t="n">
        <v>0.505</v>
      </c>
      <c r="L86" t="n">
        <v>2.018</v>
      </c>
      <c r="M86">
        <f>(L86+K86)/2-(L86-K86)/2*((SQRT(4*m_*(m_-1)*(L86-K86)^2+(L86+K86)^2)-(L86+K86))/(2*(m_-1)*(L86-K86)))</f>
        <v/>
      </c>
      <c r="N86">
        <f>(L86-K86)/2*SQRT(1-((SQRT(4*m_*(m_-1)*(L86-K86)^2+(L86+K86)^2)-(L86+K86))/(2*(m_-1)*(L86-K86)))^2)</f>
        <v/>
      </c>
      <c r="O86">
        <f>DEGREES(ATAN(N86/M86))</f>
        <v/>
      </c>
      <c r="P86">
        <f>O86-omega*(e_base-J86)</f>
        <v/>
      </c>
      <c r="Q86">
        <f>DEGREES(ATAN(TAN(RADIANS(pe0-omega*J86))*(M86/sref)^(m_-1)))</f>
        <v/>
      </c>
      <c r="R86">
        <f>O86-Q86</f>
        <v/>
      </c>
      <c r="S86" t="n">
        <v>1.5</v>
      </c>
      <c r="T86" t="inlineStr">
        <is>
          <t>CU: máximo desviador (la fuente no permite máxima oblicuidad)</t>
        </is>
      </c>
      <c r="U86" t="inlineStr">
        <is>
          <t>132;134;8;10;49</t>
        </is>
      </c>
      <c r="V86">
        <f>DEGREES(ATAN(TAN(RADIANS(O86))*(M86/sref)^(1-m_)))</f>
        <v/>
      </c>
      <c r="W86">
        <f>V86-omega*(e_base-J86)</f>
        <v/>
      </c>
    </row>
    <row r="87">
      <c r="A87" t="inlineStr">
        <is>
          <t>G2010</t>
        </is>
      </c>
      <c r="B87" t="inlineStr">
        <is>
          <t>G2010-B-MN-4in</t>
        </is>
      </c>
      <c r="C87" t="inlineStr">
        <is>
          <t>GL-481-09 Prueba Nº 1 (σ3c=392 kPa)</t>
        </is>
      </c>
      <c r="D87" t="inlineStr">
        <is>
          <t>Mármol</t>
        </is>
      </c>
      <c r="E87" t="inlineStr">
        <is>
          <t>Triaxial CU</t>
        </is>
      </c>
      <c r="F87" t="inlineStr">
        <is>
          <t>No usado</t>
        </is>
      </c>
      <c r="G87" t="inlineStr">
        <is>
          <t>material chancado (fase B)</t>
        </is>
      </c>
      <c r="H87" t="n">
        <v>0.1006</v>
      </c>
      <c r="I87" t="n">
        <v>15.9</v>
      </c>
      <c r="J87" t="n">
        <v>0.505</v>
      </c>
      <c r="K87" t="n">
        <v>0.127</v>
      </c>
      <c r="L87" t="n">
        <v>0.424</v>
      </c>
      <c r="M87">
        <f>(L87+K87)/2-(L87-K87)/2*((SQRT(4*m_*(m_-1)*(L87-K87)^2+(L87+K87)^2)-(L87+K87))/(2*(m_-1)*(L87-K87)))</f>
        <v/>
      </c>
      <c r="N87">
        <f>(L87-K87)/2*SQRT(1-((SQRT(4*m_*(m_-1)*(L87-K87)^2+(L87+K87)^2)-(L87+K87))/(2*(m_-1)*(L87-K87)))^2)</f>
        <v/>
      </c>
      <c r="O87">
        <f>DEGREES(ATAN(N87/M87))</f>
        <v/>
      </c>
      <c r="P87">
        <f>O87-omega*(e_base-J87)</f>
        <v/>
      </c>
      <c r="Q87">
        <f>DEGREES(ATAN(TAN(RADIANS(pe0-omega*J87))*(M87/sref)^(m_-1)))</f>
        <v/>
      </c>
      <c r="R87">
        <f>O87-Q87</f>
        <v/>
      </c>
      <c r="S87" t="n">
        <v>1.2</v>
      </c>
      <c r="T87" t="inlineStr">
        <is>
          <t>CU: máximo desviador (la fuente no permite máxima oblicuidad)</t>
        </is>
      </c>
      <c r="U87" t="inlineStr">
        <is>
          <t>137;139;8;10;49</t>
        </is>
      </c>
      <c r="V87">
        <f>DEGREES(ATAN(TAN(RADIANS(O87))*(M87/sref)^(1-m_)))</f>
        <v/>
      </c>
      <c r="W87">
        <f>V87-omega*(e_base-J87)</f>
        <v/>
      </c>
    </row>
    <row r="88">
      <c r="A88" t="inlineStr">
        <is>
          <t>G2010</t>
        </is>
      </c>
      <c r="B88" t="inlineStr">
        <is>
          <t>G2010-B-MN-4in</t>
        </is>
      </c>
      <c r="C88" t="inlineStr">
        <is>
          <t>GL-481-09 Prueba Nº 2 (σ3c=550 kPa)</t>
        </is>
      </c>
      <c r="D88" t="inlineStr">
        <is>
          <t>Mármol</t>
        </is>
      </c>
      <c r="E88" t="inlineStr">
        <is>
          <t>Triaxial CU</t>
        </is>
      </c>
      <c r="F88" t="inlineStr">
        <is>
          <t>No usado</t>
        </is>
      </c>
      <c r="G88" t="inlineStr">
        <is>
          <t>material chancado (fase B)</t>
        </is>
      </c>
      <c r="H88" t="n">
        <v>0.1004</v>
      </c>
      <c r="I88" t="n">
        <v>15.9</v>
      </c>
      <c r="J88" t="n">
        <v>0.506</v>
      </c>
      <c r="K88" t="n">
        <v>0.254</v>
      </c>
      <c r="L88" t="n">
        <v>0.599</v>
      </c>
      <c r="M88">
        <f>(L88+K88)/2-(L88-K88)/2*((SQRT(4*m_*(m_-1)*(L88-K88)^2+(L88+K88)^2)-(L88+K88))/(2*(m_-1)*(L88-K88)))</f>
        <v/>
      </c>
      <c r="N88">
        <f>(L88-K88)/2*SQRT(1-((SQRT(4*m_*(m_-1)*(L88-K88)^2+(L88+K88)^2)-(L88+K88))/(2*(m_-1)*(L88-K88)))^2)</f>
        <v/>
      </c>
      <c r="O88">
        <f>DEGREES(ATAN(N88/M88))</f>
        <v/>
      </c>
      <c r="P88">
        <f>O88-omega*(e_base-J88)</f>
        <v/>
      </c>
      <c r="Q88">
        <f>DEGREES(ATAN(TAN(RADIANS(pe0-omega*J88))*(M88/sref)^(m_-1)))</f>
        <v/>
      </c>
      <c r="R88">
        <f>O88-Q88</f>
        <v/>
      </c>
      <c r="S88" t="n">
        <v>0.5</v>
      </c>
      <c r="T88" t="inlineStr">
        <is>
          <t>CU: máximo desviador (la fuente no permite máxima oblicuidad)</t>
        </is>
      </c>
      <c r="U88" t="inlineStr">
        <is>
          <t>137;139;8;10;49</t>
        </is>
      </c>
      <c r="V88">
        <f>DEGREES(ATAN(TAN(RADIANS(O88))*(M88/sref)^(1-m_)))</f>
        <v/>
      </c>
      <c r="W88">
        <f>V88-omega*(e_base-J88)</f>
        <v/>
      </c>
    </row>
    <row r="89">
      <c r="A89" t="inlineStr">
        <is>
          <t>G2010</t>
        </is>
      </c>
      <c r="B89" t="inlineStr">
        <is>
          <t>G2010-B-MN-4in</t>
        </is>
      </c>
      <c r="C89" t="inlineStr">
        <is>
          <t>GL-481-09 Prueba Nº 3 (σ3c=785 kPa)</t>
        </is>
      </c>
      <c r="D89" t="inlineStr">
        <is>
          <t>Mármol</t>
        </is>
      </c>
      <c r="E89" t="inlineStr">
        <is>
          <t>Triaxial CU</t>
        </is>
      </c>
      <c r="F89" t="inlineStr">
        <is>
          <t>No usado</t>
        </is>
      </c>
      <c r="G89" t="inlineStr">
        <is>
          <t>material chancado (fase B)</t>
        </is>
      </c>
      <c r="H89" t="n">
        <v>0.1006</v>
      </c>
      <c r="I89" t="n">
        <v>15.9</v>
      </c>
      <c r="J89" t="n">
        <v>0.595</v>
      </c>
      <c r="K89" t="n">
        <v>0.348</v>
      </c>
      <c r="L89" t="n">
        <v>0.8169999999999999</v>
      </c>
      <c r="M89">
        <f>(L89+K89)/2-(L89-K89)/2*((SQRT(4*m_*(m_-1)*(L89-K89)^2+(L89+K89)^2)-(L89+K89))/(2*(m_-1)*(L89-K89)))</f>
        <v/>
      </c>
      <c r="N89">
        <f>(L89-K89)/2*SQRT(1-((SQRT(4*m_*(m_-1)*(L89-K89)^2+(L89+K89)^2)-(L89+K89))/(2*(m_-1)*(L89-K89)))^2)</f>
        <v/>
      </c>
      <c r="O89">
        <f>DEGREES(ATAN(N89/M89))</f>
        <v/>
      </c>
      <c r="P89">
        <f>O89-omega*(e_base-J89)</f>
        <v/>
      </c>
      <c r="Q89">
        <f>DEGREES(ATAN(TAN(RADIANS(pe0-omega*J89))*(M89/sref)^(m_-1)))</f>
        <v/>
      </c>
      <c r="R89">
        <f>O89-Q89</f>
        <v/>
      </c>
      <c r="S89" t="n">
        <v>0.5</v>
      </c>
      <c r="T89" t="inlineStr">
        <is>
          <t>CU: máximo desviador (la fuente no permite máxima oblicuidad)</t>
        </is>
      </c>
      <c r="U89" t="inlineStr">
        <is>
          <t>137;139;8;10;49</t>
        </is>
      </c>
      <c r="V89">
        <f>DEGREES(ATAN(TAN(RADIANS(O89))*(M89/sref)^(1-m_)))</f>
        <v/>
      </c>
      <c r="W89">
        <f>V89-omega*(e_base-J89)</f>
        <v/>
      </c>
    </row>
    <row r="90">
      <c r="A90" t="inlineStr">
        <is>
          <t>G2010</t>
        </is>
      </c>
      <c r="B90" t="inlineStr">
        <is>
          <t>G2010-B-HG-4in</t>
        </is>
      </c>
      <c r="C90" t="inlineStr">
        <is>
          <t>GL-482-09 Prueba Nº 1 (σ3c=393 kPa)</t>
        </is>
      </c>
      <c r="D90" t="inlineStr">
        <is>
          <t>Hornfels</t>
        </is>
      </c>
      <c r="E90" t="inlineStr">
        <is>
          <t>Triaxial CU</t>
        </is>
      </c>
      <c r="F90" t="inlineStr">
        <is>
          <t>No usado</t>
        </is>
      </c>
      <c r="G90" t="inlineStr">
        <is>
          <t>material chancado (fase B)</t>
        </is>
      </c>
      <c r="H90" t="n">
        <v>0.1006</v>
      </c>
      <c r="I90" t="n">
        <v>15.9</v>
      </c>
      <c r="J90" t="n">
        <v>0.502</v>
      </c>
      <c r="K90" t="n">
        <v>0.173</v>
      </c>
      <c r="L90" t="n">
        <v>0.417</v>
      </c>
      <c r="M90">
        <f>(L90+K90)/2-(L90-K90)/2*((SQRT(4*m_*(m_-1)*(L90-K90)^2+(L90+K90)^2)-(L90+K90))/(2*(m_-1)*(L90-K90)))</f>
        <v/>
      </c>
      <c r="N90">
        <f>(L90-K90)/2*SQRT(1-((SQRT(4*m_*(m_-1)*(L90-K90)^2+(L90+K90)^2)-(L90+K90))/(2*(m_-1)*(L90-K90)))^2)</f>
        <v/>
      </c>
      <c r="O90">
        <f>DEGREES(ATAN(N90/M90))</f>
        <v/>
      </c>
      <c r="P90">
        <f>O90-omega*(e_base-J90)</f>
        <v/>
      </c>
      <c r="Q90">
        <f>DEGREES(ATAN(TAN(RADIANS(pe0-omega*J90))*(M90/sref)^(m_-1)))</f>
        <v/>
      </c>
      <c r="R90">
        <f>O90-Q90</f>
        <v/>
      </c>
      <c r="S90" t="n">
        <v>0.9</v>
      </c>
      <c r="T90" t="inlineStr">
        <is>
          <t>CU: máximo desviador (la fuente no permite máxima oblicuidad)</t>
        </is>
      </c>
      <c r="U90" t="inlineStr">
        <is>
          <t>142;144;8;10;49</t>
        </is>
      </c>
      <c r="V90">
        <f>DEGREES(ATAN(TAN(RADIANS(O90))*(M90/sref)^(1-m_)))</f>
        <v/>
      </c>
      <c r="W90">
        <f>V90-omega*(e_base-J90)</f>
        <v/>
      </c>
    </row>
    <row r="91">
      <c r="A91" t="inlineStr">
        <is>
          <t>G2010</t>
        </is>
      </c>
      <c r="B91" t="inlineStr">
        <is>
          <t>G2010-B-HG-4in</t>
        </is>
      </c>
      <c r="C91" t="inlineStr">
        <is>
          <t>GL-482-09 Prueba Nº 2 (σ3c=580 kPa)</t>
        </is>
      </c>
      <c r="D91" t="inlineStr">
        <is>
          <t>Hornfels</t>
        </is>
      </c>
      <c r="E91" t="inlineStr">
        <is>
          <t>Triaxial CU</t>
        </is>
      </c>
      <c r="F91" t="inlineStr">
        <is>
          <t>No usado</t>
        </is>
      </c>
      <c r="G91" t="inlineStr">
        <is>
          <t>material chancado (fase B)</t>
        </is>
      </c>
      <c r="H91" t="n">
        <v>0.1006</v>
      </c>
      <c r="I91" t="n">
        <v>15.9</v>
      </c>
      <c r="J91" t="n">
        <v>0.501</v>
      </c>
      <c r="K91" t="n">
        <v>0.214</v>
      </c>
      <c r="L91" t="n">
        <v>0.549</v>
      </c>
      <c r="M91">
        <f>(L91+K91)/2-(L91-K91)/2*((SQRT(4*m_*(m_-1)*(L91-K91)^2+(L91+K91)^2)-(L91+K91))/(2*(m_-1)*(L91-K91)))</f>
        <v/>
      </c>
      <c r="N91">
        <f>(L91-K91)/2*SQRT(1-((SQRT(4*m_*(m_-1)*(L91-K91)^2+(L91+K91)^2)-(L91+K91))/(2*(m_-1)*(L91-K91)))^2)</f>
        <v/>
      </c>
      <c r="O91">
        <f>DEGREES(ATAN(N91/M91))</f>
        <v/>
      </c>
      <c r="P91">
        <f>O91-omega*(e_base-J91)</f>
        <v/>
      </c>
      <c r="Q91">
        <f>DEGREES(ATAN(TAN(RADIANS(pe0-omega*J91))*(M91/sref)^(m_-1)))</f>
        <v/>
      </c>
      <c r="R91">
        <f>O91-Q91</f>
        <v/>
      </c>
      <c r="S91" t="n">
        <v>1.3</v>
      </c>
      <c r="T91" t="inlineStr">
        <is>
          <t>CU: máximo desviador (la fuente no permite máxima oblicuidad)</t>
        </is>
      </c>
      <c r="U91" t="inlineStr">
        <is>
          <t>142;144;8;10;49</t>
        </is>
      </c>
      <c r="V91">
        <f>DEGREES(ATAN(TAN(RADIANS(O91))*(M91/sref)^(1-m_)))</f>
        <v/>
      </c>
      <c r="W91">
        <f>V91-omega*(e_base-J91)</f>
        <v/>
      </c>
    </row>
    <row r="92">
      <c r="A92" t="inlineStr">
        <is>
          <t>G2010</t>
        </is>
      </c>
      <c r="B92" t="inlineStr">
        <is>
          <t>G2010-B-HG-4in</t>
        </is>
      </c>
      <c r="C92" t="inlineStr">
        <is>
          <t>GL-482-09 Prueba Nº 3 (σ3c=783 kPa)</t>
        </is>
      </c>
      <c r="D92" t="inlineStr">
        <is>
          <t>Hornfels</t>
        </is>
      </c>
      <c r="E92" t="inlineStr">
        <is>
          <t>Triaxial CU</t>
        </is>
      </c>
      <c r="F92" t="inlineStr">
        <is>
          <t>No usado</t>
        </is>
      </c>
      <c r="G92" t="inlineStr">
        <is>
          <t>material chancado (fase B)</t>
        </is>
      </c>
      <c r="H92" t="n">
        <v>0.1005</v>
      </c>
      <c r="I92" t="n">
        <v>15.9</v>
      </c>
      <c r="J92" t="n">
        <v>0.503</v>
      </c>
      <c r="K92" t="n">
        <v>0.459</v>
      </c>
      <c r="L92" t="n">
        <v>1.049</v>
      </c>
      <c r="M92">
        <f>(L92+K92)/2-(L92-K92)/2*((SQRT(4*m_*(m_-1)*(L92-K92)^2+(L92+K92)^2)-(L92+K92))/(2*(m_-1)*(L92-K92)))</f>
        <v/>
      </c>
      <c r="N92">
        <f>(L92-K92)/2*SQRT(1-((SQRT(4*m_*(m_-1)*(L92-K92)^2+(L92+K92)^2)-(L92+K92))/(2*(m_-1)*(L92-K92)))^2)</f>
        <v/>
      </c>
      <c r="O92">
        <f>DEGREES(ATAN(N92/M92))</f>
        <v/>
      </c>
      <c r="P92">
        <f>O92-omega*(e_base-J92)</f>
        <v/>
      </c>
      <c r="Q92">
        <f>DEGREES(ATAN(TAN(RADIANS(pe0-omega*J92))*(M92/sref)^(m_-1)))</f>
        <v/>
      </c>
      <c r="R92">
        <f>O92-Q92</f>
        <v/>
      </c>
      <c r="S92" t="n">
        <v>1</v>
      </c>
      <c r="T92" t="inlineStr">
        <is>
          <t>CU: máximo desviador (la fuente no permite máxima oblicuidad)</t>
        </is>
      </c>
      <c r="U92" t="inlineStr">
        <is>
          <t>142;144;8;10;49</t>
        </is>
      </c>
      <c r="V92">
        <f>DEGREES(ATAN(TAN(RADIANS(O92))*(M92/sref)^(1-m_)))</f>
        <v/>
      </c>
      <c r="W92">
        <f>V92-omega*(e_base-J92)</f>
        <v/>
      </c>
    </row>
    <row r="93">
      <c r="A93" t="inlineStr">
        <is>
          <t>G2010</t>
        </is>
      </c>
      <c r="B93" t="inlineStr">
        <is>
          <t>G2010-B-INT-4in</t>
        </is>
      </c>
      <c r="C93" t="inlineStr">
        <is>
          <t>GL-483-09 Prueba Nº 1 (σ3c=392 kPa)</t>
        </is>
      </c>
      <c r="D93" t="inlineStr">
        <is>
          <t>Intrusivo</t>
        </is>
      </c>
      <c r="E93" t="inlineStr">
        <is>
          <t>Triaxial CU</t>
        </is>
      </c>
      <c r="F93" t="inlineStr">
        <is>
          <t>No usado</t>
        </is>
      </c>
      <c r="G93" t="inlineStr">
        <is>
          <t>material chancado (fase B)</t>
        </is>
      </c>
      <c r="H93" t="n">
        <v>0.1004</v>
      </c>
      <c r="I93" t="n">
        <v>15.9</v>
      </c>
      <c r="J93" t="n">
        <v>0.492</v>
      </c>
      <c r="K93" t="n">
        <v>0.185</v>
      </c>
      <c r="L93" t="n">
        <v>0.43</v>
      </c>
      <c r="M93">
        <f>(L93+K93)/2-(L93-K93)/2*((SQRT(4*m_*(m_-1)*(L93-K93)^2+(L93+K93)^2)-(L93+K93))/(2*(m_-1)*(L93-K93)))</f>
        <v/>
      </c>
      <c r="N93">
        <f>(L93-K93)/2*SQRT(1-((SQRT(4*m_*(m_-1)*(L93-K93)^2+(L93+K93)^2)-(L93+K93))/(2*(m_-1)*(L93-K93)))^2)</f>
        <v/>
      </c>
      <c r="O93">
        <f>DEGREES(ATAN(N93/M93))</f>
        <v/>
      </c>
      <c r="P93">
        <f>O93-omega*(e_base-J93)</f>
        <v/>
      </c>
      <c r="Q93">
        <f>DEGREES(ATAN(TAN(RADIANS(pe0-omega*J93))*(M93/sref)^(m_-1)))</f>
        <v/>
      </c>
      <c r="R93">
        <f>O93-Q93</f>
        <v/>
      </c>
      <c r="S93" t="n">
        <v>0.6</v>
      </c>
      <c r="T93" t="inlineStr">
        <is>
          <t>CU: máximo desviador (la fuente no permite máxima oblicuidad)</t>
        </is>
      </c>
      <c r="U93" t="inlineStr">
        <is>
          <t>147;149;8;10;49</t>
        </is>
      </c>
      <c r="V93">
        <f>DEGREES(ATAN(TAN(RADIANS(O93))*(M93/sref)^(1-m_)))</f>
        <v/>
      </c>
      <c r="W93">
        <f>V93-omega*(e_base-J93)</f>
        <v/>
      </c>
    </row>
    <row r="94">
      <c r="A94" t="inlineStr">
        <is>
          <t>G2010</t>
        </is>
      </c>
      <c r="B94" t="inlineStr">
        <is>
          <t>G2010-B-INT-4in</t>
        </is>
      </c>
      <c r="C94" t="inlineStr">
        <is>
          <t>GL-483-09 Prueba Nº 2 (σ3c=589 kPa)</t>
        </is>
      </c>
      <c r="D94" t="inlineStr">
        <is>
          <t>Intrusivo</t>
        </is>
      </c>
      <c r="E94" t="inlineStr">
        <is>
          <t>Triaxial CU</t>
        </is>
      </c>
      <c r="F94" t="inlineStr">
        <is>
          <t>No usado</t>
        </is>
      </c>
      <c r="G94" t="inlineStr">
        <is>
          <t>material chancado (fase B)</t>
        </is>
      </c>
      <c r="H94" t="n">
        <v>0.1006</v>
      </c>
      <c r="I94" t="n">
        <v>15.9</v>
      </c>
      <c r="J94" t="n">
        <v>0.498</v>
      </c>
      <c r="K94" t="n">
        <v>0.254</v>
      </c>
      <c r="L94" t="n">
        <v>0.551</v>
      </c>
      <c r="M94">
        <f>(L94+K94)/2-(L94-K94)/2*((SQRT(4*m_*(m_-1)*(L94-K94)^2+(L94+K94)^2)-(L94+K94))/(2*(m_-1)*(L94-K94)))</f>
        <v/>
      </c>
      <c r="N94">
        <f>(L94-K94)/2*SQRT(1-((SQRT(4*m_*(m_-1)*(L94-K94)^2+(L94+K94)^2)-(L94+K94))/(2*(m_-1)*(L94-K94)))^2)</f>
        <v/>
      </c>
      <c r="O94">
        <f>DEGREES(ATAN(N94/M94))</f>
        <v/>
      </c>
      <c r="P94">
        <f>O94-omega*(e_base-J94)</f>
        <v/>
      </c>
      <c r="Q94">
        <f>DEGREES(ATAN(TAN(RADIANS(pe0-omega*J94))*(M94/sref)^(m_-1)))</f>
        <v/>
      </c>
      <c r="R94">
        <f>O94-Q94</f>
        <v/>
      </c>
      <c r="S94" t="n">
        <v>0.6</v>
      </c>
      <c r="T94" t="inlineStr">
        <is>
          <t>CU: máximo desviador (la fuente no permite máxima oblicuidad)</t>
        </is>
      </c>
      <c r="U94" t="inlineStr">
        <is>
          <t>147;149;8;10;49</t>
        </is>
      </c>
      <c r="V94">
        <f>DEGREES(ATAN(TAN(RADIANS(O94))*(M94/sref)^(1-m_)))</f>
        <v/>
      </c>
      <c r="W94">
        <f>V94-omega*(e_base-J94)</f>
        <v/>
      </c>
    </row>
    <row r="95">
      <c r="A95" t="inlineStr">
        <is>
          <t>G2010</t>
        </is>
      </c>
      <c r="B95" t="inlineStr">
        <is>
          <t>G2010-B-INT-4in</t>
        </is>
      </c>
      <c r="C95" t="inlineStr">
        <is>
          <t>GL-483-09 Prueba Nº 3 (σ3c=780 kPa)</t>
        </is>
      </c>
      <c r="D95" t="inlineStr">
        <is>
          <t>Intrusivo</t>
        </is>
      </c>
      <c r="E95" t="inlineStr">
        <is>
          <t>Triaxial CU</t>
        </is>
      </c>
      <c r="F95" t="inlineStr">
        <is>
          <t>No usado</t>
        </is>
      </c>
      <c r="G95" t="inlineStr">
        <is>
          <t>material chancado (fase B)</t>
        </is>
      </c>
      <c r="H95" t="n">
        <v>0.1004</v>
      </c>
      <c r="I95" t="n">
        <v>15.9</v>
      </c>
      <c r="J95" t="n">
        <v>0.492</v>
      </c>
      <c r="K95" t="n">
        <v>0.328</v>
      </c>
      <c r="L95" t="n">
        <v>0.777</v>
      </c>
      <c r="M95">
        <f>(L95+K95)/2-(L95-K95)/2*((SQRT(4*m_*(m_-1)*(L95-K95)^2+(L95+K95)^2)-(L95+K95))/(2*(m_-1)*(L95-K95)))</f>
        <v/>
      </c>
      <c r="N95">
        <f>(L95-K95)/2*SQRT(1-((SQRT(4*m_*(m_-1)*(L95-K95)^2+(L95+K95)^2)-(L95+K95))/(2*(m_-1)*(L95-K95)))^2)</f>
        <v/>
      </c>
      <c r="O95">
        <f>DEGREES(ATAN(N95/M95))</f>
        <v/>
      </c>
      <c r="P95">
        <f>O95-omega*(e_base-J95)</f>
        <v/>
      </c>
      <c r="Q95">
        <f>DEGREES(ATAN(TAN(RADIANS(pe0-omega*J95))*(M95/sref)^(m_-1)))</f>
        <v/>
      </c>
      <c r="R95">
        <f>O95-Q95</f>
        <v/>
      </c>
      <c r="S95" t="n">
        <v>0.6</v>
      </c>
      <c r="T95" t="inlineStr">
        <is>
          <t>CU: máximo desviador (la fuente no permite máxima oblicuidad)</t>
        </is>
      </c>
      <c r="U95" t="inlineStr">
        <is>
          <t>147;149;8;10;49</t>
        </is>
      </c>
      <c r="V95">
        <f>DEGREES(ATAN(TAN(RADIANS(O95))*(M95/sref)^(1-m_)))</f>
        <v/>
      </c>
      <c r="W95">
        <f>V95-omega*(e_base-J95)</f>
        <v/>
      </c>
    </row>
    <row r="96">
      <c r="A96" t="inlineStr">
        <is>
          <t>G2010</t>
        </is>
      </c>
      <c r="B96" t="inlineStr">
        <is>
          <t>G2010-B-EXO-4in</t>
        </is>
      </c>
      <c r="C96" t="inlineStr">
        <is>
          <t>GL-484-09 Prueba Nº 1 (σ3c=391 kPa)</t>
        </is>
      </c>
      <c r="D96" t="inlineStr">
        <is>
          <t>Skarn</t>
        </is>
      </c>
      <c r="E96" t="inlineStr">
        <is>
          <t>Triaxial CU</t>
        </is>
      </c>
      <c r="F96" t="inlineStr">
        <is>
          <t>No usado</t>
        </is>
      </c>
      <c r="G96" t="inlineStr">
        <is>
          <t>material chancado (fase B)</t>
        </is>
      </c>
      <c r="H96" t="n">
        <v>0.1004</v>
      </c>
      <c r="I96" t="n">
        <v>15.9</v>
      </c>
      <c r="J96" t="n">
        <v>0.539</v>
      </c>
      <c r="K96" t="n">
        <v>0.136</v>
      </c>
      <c r="L96" t="n">
        <v>0.38</v>
      </c>
      <c r="M96">
        <f>(L96+K96)/2-(L96-K96)/2*((SQRT(4*m_*(m_-1)*(L96-K96)^2+(L96+K96)^2)-(L96+K96))/(2*(m_-1)*(L96-K96)))</f>
        <v/>
      </c>
      <c r="N96">
        <f>(L96-K96)/2*SQRT(1-((SQRT(4*m_*(m_-1)*(L96-K96)^2+(L96+K96)^2)-(L96+K96))/(2*(m_-1)*(L96-K96)))^2)</f>
        <v/>
      </c>
      <c r="O96">
        <f>DEGREES(ATAN(N96/M96))</f>
        <v/>
      </c>
      <c r="P96">
        <f>O96-omega*(e_base-J96)</f>
        <v/>
      </c>
      <c r="Q96">
        <f>DEGREES(ATAN(TAN(RADIANS(pe0-omega*J96))*(M96/sref)^(m_-1)))</f>
        <v/>
      </c>
      <c r="R96">
        <f>O96-Q96</f>
        <v/>
      </c>
      <c r="S96" t="n">
        <v>1.2</v>
      </c>
      <c r="T96" t="inlineStr">
        <is>
          <t>CU: máximo desviador (la fuente no permite máxima oblicuidad)</t>
        </is>
      </c>
      <c r="U96" t="inlineStr">
        <is>
          <t>152;154;8;10;49</t>
        </is>
      </c>
      <c r="V96">
        <f>DEGREES(ATAN(TAN(RADIANS(O96))*(M96/sref)^(1-m_)))</f>
        <v/>
      </c>
      <c r="W96">
        <f>V96-omega*(e_base-J96)</f>
        <v/>
      </c>
    </row>
    <row r="97">
      <c r="A97" t="inlineStr">
        <is>
          <t>G2010</t>
        </is>
      </c>
      <c r="B97" t="inlineStr">
        <is>
          <t>G2010-B-EXO-4in</t>
        </is>
      </c>
      <c r="C97" t="inlineStr">
        <is>
          <t>GL-484-09 Prueba Nº 2 (σ3c=589 kPa)</t>
        </is>
      </c>
      <c r="D97" t="inlineStr">
        <is>
          <t>Skarn</t>
        </is>
      </c>
      <c r="E97" t="inlineStr">
        <is>
          <t>Triaxial CU</t>
        </is>
      </c>
      <c r="F97" t="inlineStr">
        <is>
          <t>No usado</t>
        </is>
      </c>
      <c r="G97" t="inlineStr">
        <is>
          <t>material chancado (fase B)</t>
        </is>
      </c>
      <c r="H97" t="n">
        <v>0.1002</v>
      </c>
      <c r="I97" t="n">
        <v>15.9</v>
      </c>
      <c r="J97" t="n">
        <v>0.534</v>
      </c>
      <c r="K97" t="n">
        <v>0.205</v>
      </c>
      <c r="L97" t="n">
        <v>0.587</v>
      </c>
      <c r="M97">
        <f>(L97+K97)/2-(L97-K97)/2*((SQRT(4*m_*(m_-1)*(L97-K97)^2+(L97+K97)^2)-(L97+K97))/(2*(m_-1)*(L97-K97)))</f>
        <v/>
      </c>
      <c r="N97">
        <f>(L97-K97)/2*SQRT(1-((SQRT(4*m_*(m_-1)*(L97-K97)^2+(L97+K97)^2)-(L97+K97))/(2*(m_-1)*(L97-K97)))^2)</f>
        <v/>
      </c>
      <c r="O97">
        <f>DEGREES(ATAN(N97/M97))</f>
        <v/>
      </c>
      <c r="P97">
        <f>O97-omega*(e_base-J97)</f>
        <v/>
      </c>
      <c r="Q97">
        <f>DEGREES(ATAN(TAN(RADIANS(pe0-omega*J97))*(M97/sref)^(m_-1)))</f>
        <v/>
      </c>
      <c r="R97">
        <f>O97-Q97</f>
        <v/>
      </c>
      <c r="S97" t="n">
        <v>1.2</v>
      </c>
      <c r="T97" t="inlineStr">
        <is>
          <t>CU: máximo desviador (la fuente no permite máxima oblicuidad)</t>
        </is>
      </c>
      <c r="U97" t="inlineStr">
        <is>
          <t>152;154;8;10;49</t>
        </is>
      </c>
      <c r="V97">
        <f>DEGREES(ATAN(TAN(RADIANS(O97))*(M97/sref)^(1-m_)))</f>
        <v/>
      </c>
      <c r="W97">
        <f>V97-omega*(e_base-J97)</f>
        <v/>
      </c>
    </row>
    <row r="98">
      <c r="A98" t="inlineStr">
        <is>
          <t>G2010</t>
        </is>
      </c>
      <c r="B98" t="inlineStr">
        <is>
          <t>G2010-B-EXO-4in</t>
        </is>
      </c>
      <c r="C98" t="inlineStr">
        <is>
          <t>GL-484-09 Prueba Nº 3 (σ3c=784 kPa)</t>
        </is>
      </c>
      <c r="D98" t="inlineStr">
        <is>
          <t>Skarn</t>
        </is>
      </c>
      <c r="E98" t="inlineStr">
        <is>
          <t>Triaxial CU</t>
        </is>
      </c>
      <c r="F98" t="inlineStr">
        <is>
          <t>No usado</t>
        </is>
      </c>
      <c r="G98" t="inlineStr">
        <is>
          <t>material chancado (fase B)</t>
        </is>
      </c>
      <c r="H98" t="n">
        <v>0.1003</v>
      </c>
      <c r="I98" t="n">
        <v>15.9</v>
      </c>
      <c r="J98" t="n">
        <v>0.538</v>
      </c>
      <c r="K98" t="n">
        <v>0.307</v>
      </c>
      <c r="L98" t="n">
        <v>0.8169999999999999</v>
      </c>
      <c r="M98">
        <f>(L98+K98)/2-(L98-K98)/2*((SQRT(4*m_*(m_-1)*(L98-K98)^2+(L98+K98)^2)-(L98+K98))/(2*(m_-1)*(L98-K98)))</f>
        <v/>
      </c>
      <c r="N98">
        <f>(L98-K98)/2*SQRT(1-((SQRT(4*m_*(m_-1)*(L98-K98)^2+(L98+K98)^2)-(L98+K98))/(2*(m_-1)*(L98-K98)))^2)</f>
        <v/>
      </c>
      <c r="O98">
        <f>DEGREES(ATAN(N98/M98))</f>
        <v/>
      </c>
      <c r="P98">
        <f>O98-omega*(e_base-J98)</f>
        <v/>
      </c>
      <c r="Q98">
        <f>DEGREES(ATAN(TAN(RADIANS(pe0-omega*J98))*(M98/sref)^(m_-1)))</f>
        <v/>
      </c>
      <c r="R98">
        <f>O98-Q98</f>
        <v/>
      </c>
      <c r="S98" t="n">
        <v>1.2</v>
      </c>
      <c r="T98" t="inlineStr">
        <is>
          <t>CU: máximo desviador (la fuente no permite máxima oblicuidad)</t>
        </is>
      </c>
      <c r="U98" t="inlineStr">
        <is>
          <t>152;154;8;10;49</t>
        </is>
      </c>
      <c r="V98">
        <f>DEGREES(ATAN(TAN(RADIANS(O98))*(M98/sref)^(1-m_)))</f>
        <v/>
      </c>
      <c r="W98">
        <f>V98-omega*(e_base-J98)</f>
        <v/>
      </c>
    </row>
    <row r="99">
      <c r="A99" t="inlineStr">
        <is>
          <t>G2010</t>
        </is>
      </c>
      <c r="B99" t="inlineStr">
        <is>
          <t>G2010-B-MN-6in</t>
        </is>
      </c>
      <c r="C99" t="inlineStr">
        <is>
          <t>VP-209-09E σ'c=500 kPa</t>
        </is>
      </c>
      <c r="D99" t="inlineStr">
        <is>
          <t>Mármol</t>
        </is>
      </c>
      <c r="E99" t="inlineStr">
        <is>
          <t>Triaxial CU</t>
        </is>
      </c>
      <c r="F99" t="inlineStr">
        <is>
          <t>No usado</t>
        </is>
      </c>
      <c r="G99" t="inlineStr">
        <is>
          <t>material chancado (fase B)</t>
        </is>
      </c>
      <c r="H99" t="n">
        <v>0.1512</v>
      </c>
      <c r="I99" t="n">
        <v>25.4</v>
      </c>
      <c r="J99" t="n">
        <v>0.355</v>
      </c>
      <c r="K99" t="n">
        <v>0.2103</v>
      </c>
      <c r="L99" t="n">
        <v>0.94532</v>
      </c>
      <c r="M99">
        <f>(L99+K99)/2-(L99-K99)/2*((SQRT(4*m_*(m_-1)*(L99-K99)^2+(L99+K99)^2)-(L99+K99))/(2*(m_-1)*(L99-K99)))</f>
        <v/>
      </c>
      <c r="N99">
        <f>(L99-K99)/2*SQRT(1-((SQRT(4*m_*(m_-1)*(L99-K99)^2+(L99+K99)^2)-(L99+K99))/(2*(m_-1)*(L99-K99)))^2)</f>
        <v/>
      </c>
      <c r="O99">
        <f>DEGREES(ATAN(N99/M99))</f>
        <v/>
      </c>
      <c r="P99">
        <f>O99-omega*(e_base-J99)</f>
        <v/>
      </c>
      <c r="Q99">
        <f>DEGREES(ATAN(TAN(RADIANS(pe0-omega*J99))*(M99/sref)^(m_-1)))</f>
        <v/>
      </c>
      <c r="R99">
        <f>O99-Q99</f>
        <v/>
      </c>
      <c r="S99" t="n">
        <v>1.5</v>
      </c>
      <c r="T99" t="inlineStr">
        <is>
          <t>CU: máxima oblicuidad σ′1/σ′3</t>
        </is>
      </c>
      <c r="U99" t="inlineStr">
        <is>
          <t>161;165;3;10;49</t>
        </is>
      </c>
      <c r="V99">
        <f>DEGREES(ATAN(TAN(RADIANS(O99))*(M99/sref)^(1-m_)))</f>
        <v/>
      </c>
      <c r="W99">
        <f>V99-omega*(e_base-J99)</f>
        <v/>
      </c>
    </row>
    <row r="100">
      <c r="A100" t="inlineStr">
        <is>
          <t>G2010</t>
        </is>
      </c>
      <c r="B100" t="inlineStr">
        <is>
          <t>G2010-B-MN-6in</t>
        </is>
      </c>
      <c r="C100" t="inlineStr">
        <is>
          <t>VP-209-09E σ'c=250 kPa</t>
        </is>
      </c>
      <c r="D100" t="inlineStr">
        <is>
          <t>Mármol</t>
        </is>
      </c>
      <c r="E100" t="inlineStr">
        <is>
          <t>Triaxial CU</t>
        </is>
      </c>
      <c r="F100" t="inlineStr">
        <is>
          <t>No usado</t>
        </is>
      </c>
      <c r="G100" t="inlineStr">
        <is>
          <t>material chancado (fase B)</t>
        </is>
      </c>
      <c r="H100" t="n">
        <v>0.1512</v>
      </c>
      <c r="I100" t="n">
        <v>25.4</v>
      </c>
      <c r="J100" t="n">
        <v>0.357</v>
      </c>
      <c r="K100" t="n">
        <v>0.20705</v>
      </c>
      <c r="L100" t="n">
        <v>0.85509</v>
      </c>
      <c r="M100">
        <f>(L100+K100)/2-(L100-K100)/2*((SQRT(4*m_*(m_-1)*(L100-K100)^2+(L100+K100)^2)-(L100+K100))/(2*(m_-1)*(L100-K100)))</f>
        <v/>
      </c>
      <c r="N100">
        <f>(L100-K100)/2*SQRT(1-((SQRT(4*m_*(m_-1)*(L100-K100)^2+(L100+K100)^2)-(L100+K100))/(2*(m_-1)*(L100-K100)))^2)</f>
        <v/>
      </c>
      <c r="O100">
        <f>DEGREES(ATAN(N100/M100))</f>
        <v/>
      </c>
      <c r="P100">
        <f>O100-omega*(e_base-J100)</f>
        <v/>
      </c>
      <c r="Q100">
        <f>DEGREES(ATAN(TAN(RADIANS(pe0-omega*J100))*(M100/sref)^(m_-1)))</f>
        <v/>
      </c>
      <c r="R100">
        <f>O100-Q100</f>
        <v/>
      </c>
      <c r="S100" t="n">
        <v>1</v>
      </c>
      <c r="T100" t="inlineStr">
        <is>
          <t>CU: máxima oblicuidad σ′1/σ′3</t>
        </is>
      </c>
      <c r="U100" t="inlineStr">
        <is>
          <t>162;165;3;10;49</t>
        </is>
      </c>
      <c r="V100">
        <f>DEGREES(ATAN(TAN(RADIANS(O100))*(M100/sref)^(1-m_)))</f>
        <v/>
      </c>
      <c r="W100">
        <f>V100-omega*(e_base-J100)</f>
        <v/>
      </c>
    </row>
    <row r="101">
      <c r="A101" t="inlineStr">
        <is>
          <t>G2010</t>
        </is>
      </c>
      <c r="B101" t="inlineStr">
        <is>
          <t>G2010-B-MN-6in</t>
        </is>
      </c>
      <c r="C101" t="inlineStr">
        <is>
          <t>VP-209-09E σ'c=125 kPa</t>
        </is>
      </c>
      <c r="D101" t="inlineStr">
        <is>
          <t>Mármol</t>
        </is>
      </c>
      <c r="E101" t="inlineStr">
        <is>
          <t>Triaxial CU</t>
        </is>
      </c>
      <c r="F101" t="inlineStr">
        <is>
          <t>No usado</t>
        </is>
      </c>
      <c r="G101" t="inlineStr">
        <is>
          <t>material chancado (fase B)</t>
        </is>
      </c>
      <c r="H101" t="n">
        <v>0.1513</v>
      </c>
      <c r="I101" t="n">
        <v>25.4</v>
      </c>
      <c r="J101" t="n">
        <v>0.357</v>
      </c>
      <c r="K101" t="n">
        <v>0.0638</v>
      </c>
      <c r="L101" t="n">
        <v>0.34625</v>
      </c>
      <c r="M101">
        <f>(L101+K101)/2-(L101-K101)/2*((SQRT(4*m_*(m_-1)*(L101-K101)^2+(L101+K101)^2)-(L101+K101))/(2*(m_-1)*(L101-K101)))</f>
        <v/>
      </c>
      <c r="N101">
        <f>(L101-K101)/2*SQRT(1-((SQRT(4*m_*(m_-1)*(L101-K101)^2+(L101+K101)^2)-(L101+K101))/(2*(m_-1)*(L101-K101)))^2)</f>
        <v/>
      </c>
      <c r="O101">
        <f>DEGREES(ATAN(N101/M101))</f>
        <v/>
      </c>
      <c r="P101">
        <f>O101-omega*(e_base-J101)</f>
        <v/>
      </c>
      <c r="Q101">
        <f>DEGREES(ATAN(TAN(RADIANS(pe0-omega*J101))*(M101/sref)^(m_-1)))</f>
        <v/>
      </c>
      <c r="R101">
        <f>O101-Q101</f>
        <v/>
      </c>
      <c r="S101" t="n">
        <v>1</v>
      </c>
      <c r="T101" t="inlineStr">
        <is>
          <t>CU: máxima oblicuidad σ′1/σ′3</t>
        </is>
      </c>
      <c r="U101" t="inlineStr">
        <is>
          <t>163;165;3;10;49</t>
        </is>
      </c>
      <c r="V101">
        <f>DEGREES(ATAN(TAN(RADIANS(O101))*(M101/sref)^(1-m_)))</f>
        <v/>
      </c>
      <c r="W101">
        <f>V101-omega*(e_base-J101)</f>
        <v/>
      </c>
    </row>
    <row r="102">
      <c r="A102" t="inlineStr">
        <is>
          <t>G2010</t>
        </is>
      </c>
      <c r="B102" t="inlineStr">
        <is>
          <t>G2010-B-HG-6in</t>
        </is>
      </c>
      <c r="C102" t="inlineStr">
        <is>
          <t>VP-209-09E σ'c=500 kPa</t>
        </is>
      </c>
      <c r="D102" t="inlineStr">
        <is>
          <t>Hornfels</t>
        </is>
      </c>
      <c r="E102" t="inlineStr">
        <is>
          <t>Triaxial CU</t>
        </is>
      </c>
      <c r="F102" t="inlineStr">
        <is>
          <t>No usado</t>
        </is>
      </c>
      <c r="G102" t="inlineStr">
        <is>
          <t>material chancado (fase B)</t>
        </is>
      </c>
      <c r="H102" t="n">
        <v>0.1514</v>
      </c>
      <c r="I102" t="n">
        <v>25.4</v>
      </c>
      <c r="J102" t="n">
        <v>0.312</v>
      </c>
      <c r="K102" t="n">
        <v>0.1543199999999999</v>
      </c>
      <c r="L102" t="n">
        <v>0.70485</v>
      </c>
      <c r="M102">
        <f>(L102+K102)/2-(L102-K102)/2*((SQRT(4*m_*(m_-1)*(L102-K102)^2+(L102+K102)^2)-(L102+K102))/(2*(m_-1)*(L102-K102)))</f>
        <v/>
      </c>
      <c r="N102">
        <f>(L102-K102)/2*SQRT(1-((SQRT(4*m_*(m_-1)*(L102-K102)^2+(L102+K102)^2)-(L102+K102))/(2*(m_-1)*(L102-K102)))^2)</f>
        <v/>
      </c>
      <c r="O102">
        <f>DEGREES(ATAN(N102/M102))</f>
        <v/>
      </c>
      <c r="P102">
        <f>O102-omega*(e_base-J102)</f>
        <v/>
      </c>
      <c r="Q102">
        <f>DEGREES(ATAN(TAN(RADIANS(pe0-omega*J102))*(M102/sref)^(m_-1)))</f>
        <v/>
      </c>
      <c r="R102">
        <f>O102-Q102</f>
        <v/>
      </c>
      <c r="S102" t="n">
        <v>1.25</v>
      </c>
      <c r="T102" t="inlineStr">
        <is>
          <t>CU: máxima oblicuidad σ′1/σ′3</t>
        </is>
      </c>
      <c r="U102" t="inlineStr">
        <is>
          <t>167;171;3;10;49</t>
        </is>
      </c>
      <c r="V102">
        <f>DEGREES(ATAN(TAN(RADIANS(O102))*(M102/sref)^(1-m_)))</f>
        <v/>
      </c>
      <c r="W102">
        <f>V102-omega*(e_base-J102)</f>
        <v/>
      </c>
    </row>
    <row r="103">
      <c r="A103" t="inlineStr">
        <is>
          <t>G2010</t>
        </is>
      </c>
      <c r="B103" t="inlineStr">
        <is>
          <t>G2010-B-HG-6in</t>
        </is>
      </c>
      <c r="C103" t="inlineStr">
        <is>
          <t>VP-209-09E σ'c=250 kPa</t>
        </is>
      </c>
      <c r="D103" t="inlineStr">
        <is>
          <t>Hornfels</t>
        </is>
      </c>
      <c r="E103" t="inlineStr">
        <is>
          <t>Triaxial CU</t>
        </is>
      </c>
      <c r="F103" t="inlineStr">
        <is>
          <t>No usado</t>
        </is>
      </c>
      <c r="G103" t="inlineStr">
        <is>
          <t>material chancado (fase B)</t>
        </is>
      </c>
      <c r="H103" t="n">
        <v>0.1514</v>
      </c>
      <c r="I103" t="n">
        <v>25.4</v>
      </c>
      <c r="J103" t="n">
        <v>0.31</v>
      </c>
      <c r="K103" t="n">
        <v>0.11258</v>
      </c>
      <c r="L103" t="n">
        <v>0.5486799999999999</v>
      </c>
      <c r="M103">
        <f>(L103+K103)/2-(L103-K103)/2*((SQRT(4*m_*(m_-1)*(L103-K103)^2+(L103+K103)^2)-(L103+K103))/(2*(m_-1)*(L103-K103)))</f>
        <v/>
      </c>
      <c r="N103">
        <f>(L103-K103)/2*SQRT(1-((SQRT(4*m_*(m_-1)*(L103-K103)^2+(L103+K103)^2)-(L103+K103))/(2*(m_-1)*(L103-K103)))^2)</f>
        <v/>
      </c>
      <c r="O103">
        <f>DEGREES(ATAN(N103/M103))</f>
        <v/>
      </c>
      <c r="P103">
        <f>O103-omega*(e_base-J103)</f>
        <v/>
      </c>
      <c r="Q103">
        <f>DEGREES(ATAN(TAN(RADIANS(pe0-omega*J103))*(M103/sref)^(m_-1)))</f>
        <v/>
      </c>
      <c r="R103">
        <f>O103-Q103</f>
        <v/>
      </c>
      <c r="S103" t="n">
        <v>1</v>
      </c>
      <c r="T103" t="inlineStr">
        <is>
          <t>CU: máxima oblicuidad σ′1/σ′3</t>
        </is>
      </c>
      <c r="U103" t="inlineStr">
        <is>
          <t>168;171;3;10;49</t>
        </is>
      </c>
      <c r="V103">
        <f>DEGREES(ATAN(TAN(RADIANS(O103))*(M103/sref)^(1-m_)))</f>
        <v/>
      </c>
      <c r="W103">
        <f>V103-omega*(e_base-J103)</f>
        <v/>
      </c>
    </row>
    <row r="104">
      <c r="A104" t="inlineStr">
        <is>
          <t>G2010</t>
        </is>
      </c>
      <c r="B104" t="inlineStr">
        <is>
          <t>G2010-B-HG-6in</t>
        </is>
      </c>
      <c r="C104" t="inlineStr">
        <is>
          <t>VP-209-09E σ'c=125 kPa</t>
        </is>
      </c>
      <c r="D104" t="inlineStr">
        <is>
          <t>Hornfels</t>
        </is>
      </c>
      <c r="E104" t="inlineStr">
        <is>
          <t>Triaxial CU</t>
        </is>
      </c>
      <c r="F104" t="inlineStr">
        <is>
          <t>No usado</t>
        </is>
      </c>
      <c r="G104" t="inlineStr">
        <is>
          <t>material chancado (fase B)</t>
        </is>
      </c>
      <c r="H104" t="n">
        <v>0.1514</v>
      </c>
      <c r="I104" t="n">
        <v>25.4</v>
      </c>
      <c r="J104" t="n">
        <v>0.31</v>
      </c>
      <c r="K104" t="n">
        <v>0.04969</v>
      </c>
      <c r="L104" t="n">
        <v>0.23776</v>
      </c>
      <c r="M104">
        <f>(L104+K104)/2-(L104-K104)/2*((SQRT(4*m_*(m_-1)*(L104-K104)^2+(L104+K104)^2)-(L104+K104))/(2*(m_-1)*(L104-K104)))</f>
        <v/>
      </c>
      <c r="N104">
        <f>(L104-K104)/2*SQRT(1-((SQRT(4*m_*(m_-1)*(L104-K104)^2+(L104+K104)^2)-(L104+K104))/(2*(m_-1)*(L104-K104)))^2)</f>
        <v/>
      </c>
      <c r="O104">
        <f>DEGREES(ATAN(N104/M104))</f>
        <v/>
      </c>
      <c r="P104">
        <f>O104-omega*(e_base-J104)</f>
        <v/>
      </c>
      <c r="Q104">
        <f>DEGREES(ATAN(TAN(RADIANS(pe0-omega*J104))*(M104/sref)^(m_-1)))</f>
        <v/>
      </c>
      <c r="R104">
        <f>O104-Q104</f>
        <v/>
      </c>
      <c r="S104" t="n">
        <v>0.5</v>
      </c>
      <c r="T104" t="inlineStr">
        <is>
          <t>CU: máxima oblicuidad σ′1/σ′3</t>
        </is>
      </c>
      <c r="U104" t="inlineStr">
        <is>
          <t>169;171;3;10;49</t>
        </is>
      </c>
      <c r="V104">
        <f>DEGREES(ATAN(TAN(RADIANS(O104))*(M104/sref)^(1-m_)))</f>
        <v/>
      </c>
      <c r="W104">
        <f>V104-omega*(e_base-J104)</f>
        <v/>
      </c>
    </row>
    <row r="105">
      <c r="A105" t="inlineStr">
        <is>
          <t>G2010</t>
        </is>
      </c>
      <c r="B105" t="inlineStr">
        <is>
          <t>G2010-B-INT-6in</t>
        </is>
      </c>
      <c r="C105" t="inlineStr">
        <is>
          <t>VP-209-09E σ'c=500 kPa</t>
        </is>
      </c>
      <c r="D105" t="inlineStr">
        <is>
          <t>Intrusivo</t>
        </is>
      </c>
      <c r="E105" t="inlineStr">
        <is>
          <t>Triaxial CU</t>
        </is>
      </c>
      <c r="F105" t="inlineStr">
        <is>
          <t>No usado</t>
        </is>
      </c>
      <c r="G105" t="inlineStr">
        <is>
          <t>material chancado (fase B)</t>
        </is>
      </c>
      <c r="H105" t="n">
        <v>0.1512</v>
      </c>
      <c r="I105" t="n">
        <v>25.4</v>
      </c>
      <c r="J105" t="n">
        <v>0.353</v>
      </c>
      <c r="K105" t="n">
        <v>0.09293999999999999</v>
      </c>
      <c r="L105" t="n">
        <v>0.39249</v>
      </c>
      <c r="M105">
        <f>(L105+K105)/2-(L105-K105)/2*((SQRT(4*m_*(m_-1)*(L105-K105)^2+(L105+K105)^2)-(L105+K105))/(2*(m_-1)*(L105-K105)))</f>
        <v/>
      </c>
      <c r="N105">
        <f>(L105-K105)/2*SQRT(1-((SQRT(4*m_*(m_-1)*(L105-K105)^2+(L105+K105)^2)-(L105+K105))/(2*(m_-1)*(L105-K105)))^2)</f>
        <v/>
      </c>
      <c r="O105">
        <f>DEGREES(ATAN(N105/M105))</f>
        <v/>
      </c>
      <c r="P105">
        <f>O105-omega*(e_base-J105)</f>
        <v/>
      </c>
      <c r="Q105">
        <f>DEGREES(ATAN(TAN(RADIANS(pe0-omega*J105))*(M105/sref)^(m_-1)))</f>
        <v/>
      </c>
      <c r="R105">
        <f>O105-Q105</f>
        <v/>
      </c>
      <c r="S105" t="n">
        <v>1.75</v>
      </c>
      <c r="T105" t="inlineStr">
        <is>
          <t>CU: máxima oblicuidad σ′1/σ′3</t>
        </is>
      </c>
      <c r="U105" t="inlineStr">
        <is>
          <t>173;177;3;10;49</t>
        </is>
      </c>
      <c r="V105">
        <f>DEGREES(ATAN(TAN(RADIANS(O105))*(M105/sref)^(1-m_)))</f>
        <v/>
      </c>
      <c r="W105">
        <f>V105-omega*(e_base-J105)</f>
        <v/>
      </c>
    </row>
    <row r="106">
      <c r="A106" t="inlineStr">
        <is>
          <t>G2010</t>
        </is>
      </c>
      <c r="B106" t="inlineStr">
        <is>
          <t>G2010-B-INT-6in</t>
        </is>
      </c>
      <c r="C106" t="inlineStr">
        <is>
          <t>VP-209-09E σ'c=250 kPa</t>
        </is>
      </c>
      <c r="D106" t="inlineStr">
        <is>
          <t>Intrusivo</t>
        </is>
      </c>
      <c r="E106" t="inlineStr">
        <is>
          <t>Triaxial CU</t>
        </is>
      </c>
      <c r="F106" t="inlineStr">
        <is>
          <t>No usado</t>
        </is>
      </c>
      <c r="G106" t="inlineStr">
        <is>
          <t>material chancado (fase B)</t>
        </is>
      </c>
      <c r="H106" t="n">
        <v>0.1512</v>
      </c>
      <c r="I106" t="n">
        <v>25.4</v>
      </c>
      <c r="J106" t="n">
        <v>0.354</v>
      </c>
      <c r="K106" t="n">
        <v>0.03405</v>
      </c>
      <c r="L106" t="n">
        <v>0.1296699999999999</v>
      </c>
      <c r="M106">
        <f>(L106+K106)/2-(L106-K106)/2*((SQRT(4*m_*(m_-1)*(L106-K106)^2+(L106+K106)^2)-(L106+K106))/(2*(m_-1)*(L106-K106)))</f>
        <v/>
      </c>
      <c r="N106">
        <f>(L106-K106)/2*SQRT(1-((SQRT(4*m_*(m_-1)*(L106-K106)^2+(L106+K106)^2)-(L106+K106))/(2*(m_-1)*(L106-K106)))^2)</f>
        <v/>
      </c>
      <c r="O106">
        <f>DEGREES(ATAN(N106/M106))</f>
        <v/>
      </c>
      <c r="P106">
        <f>O106-omega*(e_base-J106)</f>
        <v/>
      </c>
      <c r="Q106">
        <f>DEGREES(ATAN(TAN(RADIANS(pe0-omega*J106))*(M106/sref)^(m_-1)))</f>
        <v/>
      </c>
      <c r="R106">
        <f>O106-Q106</f>
        <v/>
      </c>
      <c r="S106" t="n">
        <v>1.25</v>
      </c>
      <c r="T106" t="inlineStr">
        <is>
          <t>CU: máxima oblicuidad σ′1/σ′3</t>
        </is>
      </c>
      <c r="U106" t="inlineStr">
        <is>
          <t>174;177;3;10;49</t>
        </is>
      </c>
      <c r="V106">
        <f>DEGREES(ATAN(TAN(RADIANS(O106))*(M106/sref)^(1-m_)))</f>
        <v/>
      </c>
      <c r="W106">
        <f>V106-omega*(e_base-J106)</f>
        <v/>
      </c>
    </row>
    <row r="107">
      <c r="A107" t="inlineStr">
        <is>
          <t>G2010</t>
        </is>
      </c>
      <c r="B107" t="inlineStr">
        <is>
          <t>G2010-B-INT-6in</t>
        </is>
      </c>
      <c r="C107" t="inlineStr">
        <is>
          <t>VP-209-09E σ'c=125 kPa</t>
        </is>
      </c>
      <c r="D107" t="inlineStr">
        <is>
          <t>Intrusivo</t>
        </is>
      </c>
      <c r="E107" t="inlineStr">
        <is>
          <t>Triaxial CU</t>
        </is>
      </c>
      <c r="F107" t="inlineStr">
        <is>
          <t>No usado</t>
        </is>
      </c>
      <c r="G107" t="inlineStr">
        <is>
          <t>material chancado (fase B)</t>
        </is>
      </c>
      <c r="H107" t="n">
        <v>0.1513</v>
      </c>
      <c r="I107" t="n">
        <v>25.4</v>
      </c>
      <c r="J107" t="n">
        <v>0.355</v>
      </c>
      <c r="K107" t="n">
        <v>0.03473</v>
      </c>
      <c r="L107" t="n">
        <v>0.08045999999999991</v>
      </c>
      <c r="M107">
        <f>(L107+K107)/2-(L107-K107)/2*((SQRT(4*m_*(m_-1)*(L107-K107)^2+(L107+K107)^2)-(L107+K107))/(2*(m_-1)*(L107-K107)))</f>
        <v/>
      </c>
      <c r="N107">
        <f>(L107-K107)/2*SQRT(1-((SQRT(4*m_*(m_-1)*(L107-K107)^2+(L107+K107)^2)-(L107+K107))/(2*(m_-1)*(L107-K107)))^2)</f>
        <v/>
      </c>
      <c r="O107">
        <f>DEGREES(ATAN(N107/M107))</f>
        <v/>
      </c>
      <c r="P107">
        <f>O107-omega*(e_base-J107)</f>
        <v/>
      </c>
      <c r="Q107">
        <f>DEGREES(ATAN(TAN(RADIANS(pe0-omega*J107))*(M107/sref)^(m_-1)))</f>
        <v/>
      </c>
      <c r="R107">
        <f>O107-Q107</f>
        <v/>
      </c>
      <c r="S107" t="n">
        <v>0.75</v>
      </c>
      <c r="T107" t="inlineStr">
        <is>
          <t>CU: máxima oblicuidad σ′1/σ′3</t>
        </is>
      </c>
      <c r="U107" t="inlineStr">
        <is>
          <t>175;177;3;10;49</t>
        </is>
      </c>
      <c r="V107">
        <f>DEGREES(ATAN(TAN(RADIANS(O107))*(M107/sref)^(1-m_)))</f>
        <v/>
      </c>
      <c r="W107">
        <f>V107-omega*(e_base-J107)</f>
        <v/>
      </c>
    </row>
    <row r="108">
      <c r="A108" t="inlineStr">
        <is>
          <t>G2010</t>
        </is>
      </c>
      <c r="B108" t="inlineStr">
        <is>
          <t>G2010-B-EXO-6in</t>
        </is>
      </c>
      <c r="C108" t="inlineStr">
        <is>
          <t>VP-209-09E σ'c=500 kPa</t>
        </is>
      </c>
      <c r="D108" t="inlineStr">
        <is>
          <t>Skarn</t>
        </is>
      </c>
      <c r="E108" t="inlineStr">
        <is>
          <t>Triaxial CU</t>
        </is>
      </c>
      <c r="F108" t="inlineStr">
        <is>
          <t>No usado</t>
        </is>
      </c>
      <c r="G108" t="inlineStr">
        <is>
          <t>material chancado (fase B)</t>
        </is>
      </c>
      <c r="H108" t="n">
        <v>0.1515</v>
      </c>
      <c r="I108" t="n">
        <v>25.4</v>
      </c>
      <c r="J108" t="n">
        <v>0.419</v>
      </c>
      <c r="K108" t="n">
        <v>0.21821</v>
      </c>
      <c r="L108" t="n">
        <v>1.09569</v>
      </c>
      <c r="M108">
        <f>(L108+K108)/2-(L108-K108)/2*((SQRT(4*m_*(m_-1)*(L108-K108)^2+(L108+K108)^2)-(L108+K108))/(2*(m_-1)*(L108-K108)))</f>
        <v/>
      </c>
      <c r="N108">
        <f>(L108-K108)/2*SQRT(1-((SQRT(4*m_*(m_-1)*(L108-K108)^2+(L108+K108)^2)-(L108+K108))/(2*(m_-1)*(L108-K108)))^2)</f>
        <v/>
      </c>
      <c r="O108">
        <f>DEGREES(ATAN(N108/M108))</f>
        <v/>
      </c>
      <c r="P108">
        <f>O108-omega*(e_base-J108)</f>
        <v/>
      </c>
      <c r="Q108">
        <f>DEGREES(ATAN(TAN(RADIANS(pe0-omega*J108))*(M108/sref)^(m_-1)))</f>
        <v/>
      </c>
      <c r="R108">
        <f>O108-Q108</f>
        <v/>
      </c>
      <c r="S108" t="n">
        <v>1.25</v>
      </c>
      <c r="T108" t="inlineStr">
        <is>
          <t>CU: máxima oblicuidad σ′1/σ′3</t>
        </is>
      </c>
      <c r="U108" t="inlineStr">
        <is>
          <t>179;183;3;10;49</t>
        </is>
      </c>
      <c r="V108">
        <f>DEGREES(ATAN(TAN(RADIANS(O108))*(M108/sref)^(1-m_)))</f>
        <v/>
      </c>
      <c r="W108">
        <f>V108-omega*(e_base-J108)</f>
        <v/>
      </c>
    </row>
    <row r="109">
      <c r="A109" t="inlineStr">
        <is>
          <t>G2010</t>
        </is>
      </c>
      <c r="B109" t="inlineStr">
        <is>
          <t>G2010-B-EXO-6in</t>
        </is>
      </c>
      <c r="C109" t="inlineStr">
        <is>
          <t>VP-209-09E σ'c=250 kPa</t>
        </is>
      </c>
      <c r="D109" t="inlineStr">
        <is>
          <t>Skarn</t>
        </is>
      </c>
      <c r="E109" t="inlineStr">
        <is>
          <t>Triaxial CU</t>
        </is>
      </c>
      <c r="F109" t="inlineStr">
        <is>
          <t>No usado</t>
        </is>
      </c>
      <c r="G109" t="inlineStr">
        <is>
          <t>material chancado (fase B)</t>
        </is>
      </c>
      <c r="H109" t="n">
        <v>0.1515</v>
      </c>
      <c r="I109" t="n">
        <v>25.4</v>
      </c>
      <c r="J109" t="n">
        <v>0.418</v>
      </c>
      <c r="K109" t="n">
        <v>0.13198</v>
      </c>
      <c r="L109" t="n">
        <v>0.6181</v>
      </c>
      <c r="M109">
        <f>(L109+K109)/2-(L109-K109)/2*((SQRT(4*m_*(m_-1)*(L109-K109)^2+(L109+K109)^2)-(L109+K109))/(2*(m_-1)*(L109-K109)))</f>
        <v/>
      </c>
      <c r="N109">
        <f>(L109-K109)/2*SQRT(1-((SQRT(4*m_*(m_-1)*(L109-K109)^2+(L109+K109)^2)-(L109+K109))/(2*(m_-1)*(L109-K109)))^2)</f>
        <v/>
      </c>
      <c r="O109">
        <f>DEGREES(ATAN(N109/M109))</f>
        <v/>
      </c>
      <c r="P109">
        <f>O109-omega*(e_base-J109)</f>
        <v/>
      </c>
      <c r="Q109">
        <f>DEGREES(ATAN(TAN(RADIANS(pe0-omega*J109))*(M109/sref)^(m_-1)))</f>
        <v/>
      </c>
      <c r="R109">
        <f>O109-Q109</f>
        <v/>
      </c>
      <c r="S109" t="n">
        <v>1</v>
      </c>
      <c r="T109" t="inlineStr">
        <is>
          <t>CU: máxima oblicuidad σ′1/σ′3</t>
        </is>
      </c>
      <c r="U109" t="inlineStr">
        <is>
          <t>180;183;3;10;49</t>
        </is>
      </c>
      <c r="V109">
        <f>DEGREES(ATAN(TAN(RADIANS(O109))*(M109/sref)^(1-m_)))</f>
        <v/>
      </c>
      <c r="W109">
        <f>V109-omega*(e_base-J109)</f>
        <v/>
      </c>
    </row>
    <row r="110">
      <c r="A110" t="inlineStr">
        <is>
          <t>G2010</t>
        </is>
      </c>
      <c r="B110" t="inlineStr">
        <is>
          <t>G2010-B-EXO-6in</t>
        </is>
      </c>
      <c r="C110" t="inlineStr">
        <is>
          <t>VP-209-09E σ'c=125 kPa</t>
        </is>
      </c>
      <c r="D110" t="inlineStr">
        <is>
          <t>Skarn</t>
        </is>
      </c>
      <c r="E110" t="inlineStr">
        <is>
          <t>Triaxial CU</t>
        </is>
      </c>
      <c r="F110" t="inlineStr">
        <is>
          <t>No usado</t>
        </is>
      </c>
      <c r="G110" t="inlineStr">
        <is>
          <t>material chancado (fase B)</t>
        </is>
      </c>
      <c r="H110" t="n">
        <v>0.1515</v>
      </c>
      <c r="I110" t="n">
        <v>25.4</v>
      </c>
      <c r="J110" t="n">
        <v>0.431</v>
      </c>
      <c r="K110" t="n">
        <v>0.11328</v>
      </c>
      <c r="L110" t="n">
        <v>0.54799</v>
      </c>
      <c r="M110">
        <f>(L110+K110)/2-(L110-K110)/2*((SQRT(4*m_*(m_-1)*(L110-K110)^2+(L110+K110)^2)-(L110+K110))/(2*(m_-1)*(L110-K110)))</f>
        <v/>
      </c>
      <c r="N110">
        <f>(L110-K110)/2*SQRT(1-((SQRT(4*m_*(m_-1)*(L110-K110)^2+(L110+K110)^2)-(L110+K110))/(2*(m_-1)*(L110-K110)))^2)</f>
        <v/>
      </c>
      <c r="O110">
        <f>DEGREES(ATAN(N110/M110))</f>
        <v/>
      </c>
      <c r="P110">
        <f>O110-omega*(e_base-J110)</f>
        <v/>
      </c>
      <c r="Q110">
        <f>DEGREES(ATAN(TAN(RADIANS(pe0-omega*J110))*(M110/sref)^(m_-1)))</f>
        <v/>
      </c>
      <c r="R110">
        <f>O110-Q110</f>
        <v/>
      </c>
      <c r="S110" t="n">
        <v>1</v>
      </c>
      <c r="T110" t="inlineStr">
        <is>
          <t>CU: máxima oblicuidad σ′1/σ′3</t>
        </is>
      </c>
      <c r="U110" t="inlineStr">
        <is>
          <t>181;183;3;10;49</t>
        </is>
      </c>
      <c r="V110">
        <f>DEGREES(ATAN(TAN(RADIANS(O110))*(M110/sref)^(1-m_)))</f>
        <v/>
      </c>
      <c r="W110">
        <f>V110-omega*(e_base-J110)</f>
        <v/>
      </c>
    </row>
    <row r="111">
      <c r="A111" t="inlineStr">
        <is>
          <t>W2022</t>
        </is>
      </c>
      <c r="B111" t="inlineStr">
        <is>
          <t>HF-USC-ciclico-350</t>
        </is>
      </c>
      <c r="C111" t="inlineStr">
        <is>
          <t>USC HR-LCTX2 (6", CSR=0.38)</t>
        </is>
      </c>
      <c r="D111" t="inlineStr">
        <is>
          <t>Hornfels</t>
        </is>
      </c>
      <c r="E111" t="inlineStr">
        <is>
          <t>Triaxial cíclico + monótono post-cíclico</t>
        </is>
      </c>
      <c r="F111" t="inlineStr">
        <is>
          <t>No usado</t>
        </is>
      </c>
      <c r="G111" t="inlineStr">
        <is>
          <t>carga cíclica (compresión y extensión) previa a la carga monótona</t>
        </is>
      </c>
      <c r="H111" t="n">
        <v>0.1465</v>
      </c>
      <c r="I111" t="n">
        <v>25.4</v>
      </c>
      <c r="J111" t="n">
        <v>0.239</v>
      </c>
      <c r="K111" t="n">
        <v>0.35</v>
      </c>
      <c r="L111" t="n">
        <v>1.7704</v>
      </c>
      <c r="M111">
        <f>(L111+K111)/2-(L111-K111)/2*((SQRT(4*m_*(m_-1)*(L111-K111)^2+(L111+K111)^2)-(L111+K111))/(2*(m_-1)*(L111-K111)))</f>
        <v/>
      </c>
      <c r="N111">
        <f>(L111-K111)/2*SQRT(1-((SQRT(4*m_*(m_-1)*(L111-K111)^2+(L111+K111)^2)-(L111+K111))/(2*(m_-1)*(L111-K111)))^2)</f>
        <v/>
      </c>
      <c r="O111">
        <f>DEGREES(ATAN(N111/M111))</f>
        <v/>
      </c>
      <c r="P111">
        <f>O111-omega*(e_base-J111)</f>
        <v/>
      </c>
      <c r="Q111">
        <f>DEGREES(ATAN(TAN(RADIANS(pe0-omega*J111))*(M111/sref)^(m_-1)))</f>
        <v/>
      </c>
      <c r="R111">
        <f>O111-Q111</f>
        <v/>
      </c>
      <c r="S111" t="n">
        <v>20</v>
      </c>
      <c r="T111" t="inlineStr">
        <is>
          <t>CD: máximo desviador</t>
        </is>
      </c>
      <c r="U111" t="inlineStr">
        <is>
          <t>10;373;41</t>
        </is>
      </c>
      <c r="V111">
        <f>DEGREES(ATAN(TAN(RADIANS(O111))*(M111/sref)^(1-m_)))</f>
        <v/>
      </c>
      <c r="W111">
        <f>V111-omega*(e_base-J111)</f>
        <v/>
      </c>
    </row>
    <row r="112">
      <c r="A112" t="inlineStr">
        <is>
          <t>W2022</t>
        </is>
      </c>
      <c r="B112" t="inlineStr">
        <is>
          <t>HF-USC-ciclico-350</t>
        </is>
      </c>
      <c r="C112" t="inlineStr">
        <is>
          <t>USC HR-CTX1 (4", CSR=0.33)</t>
        </is>
      </c>
      <c r="D112" t="inlineStr">
        <is>
          <t>Hornfels</t>
        </is>
      </c>
      <c r="E112" t="inlineStr">
        <is>
          <t>Triaxial cíclico + monótono post-cíclico</t>
        </is>
      </c>
      <c r="F112" t="inlineStr">
        <is>
          <t>No usado</t>
        </is>
      </c>
      <c r="G112" t="inlineStr">
        <is>
          <t>carga cíclica (compresión y extensión) previa a la carga monótona</t>
        </is>
      </c>
      <c r="H112" t="n">
        <v>0.1</v>
      </c>
      <c r="I112" t="n">
        <v>25.4</v>
      </c>
      <c r="J112" t="n">
        <v>0.239</v>
      </c>
      <c r="K112" t="n">
        <v>0.35</v>
      </c>
      <c r="L112" t="n">
        <v>1.63</v>
      </c>
      <c r="M112">
        <f>(L112+K112)/2-(L112-K112)/2*((SQRT(4*m_*(m_-1)*(L112-K112)^2+(L112+K112)^2)-(L112+K112))/(2*(m_-1)*(L112-K112)))</f>
        <v/>
      </c>
      <c r="N112">
        <f>(L112-K112)/2*SQRT(1-((SQRT(4*m_*(m_-1)*(L112-K112)^2+(L112+K112)^2)-(L112+K112))/(2*(m_-1)*(L112-K112)))^2)</f>
        <v/>
      </c>
      <c r="O112">
        <f>DEGREES(ATAN(N112/M112))</f>
        <v/>
      </c>
      <c r="P112">
        <f>O112-omega*(e_base-J112)</f>
        <v/>
      </c>
      <c r="Q112">
        <f>DEGREES(ATAN(TAN(RADIANS(pe0-omega*J112))*(M112/sref)^(m_-1)))</f>
        <v/>
      </c>
      <c r="R112">
        <f>O112-Q112</f>
        <v/>
      </c>
      <c r="S112" t="n">
        <v>1.68</v>
      </c>
      <c r="T112" t="inlineStr">
        <is>
          <t>CD: máximo desviador</t>
        </is>
      </c>
      <c r="U112" t="inlineStr">
        <is>
          <t>10;361;41</t>
        </is>
      </c>
      <c r="V112">
        <f>DEGREES(ATAN(TAN(RADIANS(O112))*(M112/sref)^(1-m_)))</f>
        <v/>
      </c>
      <c r="W112">
        <f>V112-omega*(e_base-J112)</f>
        <v/>
      </c>
    </row>
    <row r="113">
      <c r="A113" t="inlineStr">
        <is>
          <t>W2022</t>
        </is>
      </c>
      <c r="B113" t="inlineStr">
        <is>
          <t>HF-USC-ciclico-350</t>
        </is>
      </c>
      <c r="C113" t="inlineStr">
        <is>
          <t>USC HR-CTX4 (4", CSR=0.2)</t>
        </is>
      </c>
      <c r="D113" t="inlineStr">
        <is>
          <t>Hornfels</t>
        </is>
      </c>
      <c r="E113" t="inlineStr">
        <is>
          <t>Triaxial cíclico + monótono post-cíclico</t>
        </is>
      </c>
      <c r="F113" t="inlineStr">
        <is>
          <t>No usado</t>
        </is>
      </c>
      <c r="G113" t="inlineStr">
        <is>
          <t>carga cíclica (compresión y extensión) previa a la carga monótona</t>
        </is>
      </c>
      <c r="H113" t="n">
        <v>0.1</v>
      </c>
      <c r="I113" t="n">
        <v>25.4</v>
      </c>
      <c r="J113" t="n">
        <v>0.239</v>
      </c>
      <c r="K113" t="n">
        <v>0.35</v>
      </c>
      <c r="L113" t="n">
        <v>1.5605</v>
      </c>
      <c r="M113">
        <f>(L113+K113)/2-(L113-K113)/2*((SQRT(4*m_*(m_-1)*(L113-K113)^2+(L113+K113)^2)-(L113+K113))/(2*(m_-1)*(L113-K113)))</f>
        <v/>
      </c>
      <c r="N113">
        <f>(L113-K113)/2*SQRT(1-((SQRT(4*m_*(m_-1)*(L113-K113)^2+(L113+K113)^2)-(L113+K113))/(2*(m_-1)*(L113-K113)))^2)</f>
        <v/>
      </c>
      <c r="O113">
        <f>DEGREES(ATAN(N113/M113))</f>
        <v/>
      </c>
      <c r="P113">
        <f>O113-omega*(e_base-J113)</f>
        <v/>
      </c>
      <c r="Q113">
        <f>DEGREES(ATAN(TAN(RADIANS(pe0-omega*J113))*(M113/sref)^(m_-1)))</f>
        <v/>
      </c>
      <c r="R113">
        <f>O113-Q113</f>
        <v/>
      </c>
      <c r="S113" t="n">
        <v>7.37</v>
      </c>
      <c r="T113" t="inlineStr">
        <is>
          <t>CD: máximo desviador</t>
        </is>
      </c>
      <c r="U113" t="inlineStr">
        <is>
          <t>10;367;41</t>
        </is>
      </c>
      <c r="V113">
        <f>DEGREES(ATAN(TAN(RADIANS(O113))*(M113/sref)^(1-m_)))</f>
        <v/>
      </c>
      <c r="W113">
        <f>V113-omega*(e_base-J113)</f>
        <v/>
      </c>
    </row>
    <row r="114">
      <c r="A114" t="inlineStr">
        <is>
          <t>W2022</t>
        </is>
      </c>
      <c r="B114" t="inlineStr">
        <is>
          <t>MN-USC-ciclico-350</t>
        </is>
      </c>
      <c r="C114" t="inlineStr">
        <is>
          <t>USC MN-CTX3 (4", CSR=0.25)</t>
        </is>
      </c>
      <c r="D114" t="inlineStr">
        <is>
          <t>Mármol</t>
        </is>
      </c>
      <c r="E114" t="inlineStr">
        <is>
          <t>Triaxial cíclico + monótono post-cíclico</t>
        </is>
      </c>
      <c r="F114" t="inlineStr">
        <is>
          <t>No usado</t>
        </is>
      </c>
      <c r="G114" t="inlineStr">
        <is>
          <t>carga cíclica (compresión y extensión) previa a la carga monótona</t>
        </is>
      </c>
      <c r="H114" t="n">
        <v>0.1</v>
      </c>
      <c r="I114" t="n">
        <v>25.4</v>
      </c>
      <c r="J114" t="n">
        <v>0.205</v>
      </c>
      <c r="K114" t="n">
        <v>0.35</v>
      </c>
      <c r="L114" t="n">
        <v>1.5953</v>
      </c>
      <c r="M114">
        <f>(L114+K114)/2-(L114-K114)/2*((SQRT(4*m_*(m_-1)*(L114-K114)^2+(L114+K114)^2)-(L114+K114))/(2*(m_-1)*(L114-K114)))</f>
        <v/>
      </c>
      <c r="N114">
        <f>(L114-K114)/2*SQRT(1-((SQRT(4*m_*(m_-1)*(L114-K114)^2+(L114+K114)^2)-(L114+K114))/(2*(m_-1)*(L114-K114)))^2)</f>
        <v/>
      </c>
      <c r="O114">
        <f>DEGREES(ATAN(N114/M114))</f>
        <v/>
      </c>
      <c r="P114">
        <f>O114-omega*(e_base-J114)</f>
        <v/>
      </c>
      <c r="Q114">
        <f>DEGREES(ATAN(TAN(RADIANS(pe0-omega*J114))*(M114/sref)^(m_-1)))</f>
        <v/>
      </c>
      <c r="R114">
        <f>O114-Q114</f>
        <v/>
      </c>
      <c r="S114" t="n">
        <v>4.89</v>
      </c>
      <c r="T114" t="inlineStr">
        <is>
          <t>CD: máximo desviador</t>
        </is>
      </c>
      <c r="U114" t="inlineStr">
        <is>
          <t>10;379;41</t>
        </is>
      </c>
      <c r="V114">
        <f>DEGREES(ATAN(TAN(RADIANS(O114))*(M114/sref)^(1-m_)))</f>
        <v/>
      </c>
      <c r="W114">
        <f>V114-omega*(e_base-J114)</f>
        <v/>
      </c>
    </row>
    <row r="115">
      <c r="A115" t="inlineStr">
        <is>
          <t>W2022</t>
        </is>
      </c>
      <c r="B115" t="inlineStr">
        <is>
          <t>MN-USC-ciclico-350</t>
        </is>
      </c>
      <c r="C115" t="inlineStr">
        <is>
          <t>USC MN-LCTX1 (6", CSR=0.19)</t>
        </is>
      </c>
      <c r="D115" t="inlineStr">
        <is>
          <t>Mármol</t>
        </is>
      </c>
      <c r="E115" t="inlineStr">
        <is>
          <t>Triaxial cíclico + monótono post-cíclico</t>
        </is>
      </c>
      <c r="F115" t="inlineStr">
        <is>
          <t>No usado</t>
        </is>
      </c>
      <c r="G115" t="inlineStr">
        <is>
          <t>carga cíclica (compresión y extensión) previa a la carga monótona</t>
        </is>
      </c>
      <c r="H115" t="n">
        <v>0.1465</v>
      </c>
      <c r="I115" t="n">
        <v>25.4</v>
      </c>
      <c r="J115" t="n">
        <v>0.205</v>
      </c>
      <c r="K115" t="n">
        <v>0.35</v>
      </c>
      <c r="L115" t="n">
        <v>1.9259</v>
      </c>
      <c r="M115">
        <f>(L115+K115)/2-(L115-K115)/2*((SQRT(4*m_*(m_-1)*(L115-K115)^2+(L115+K115)^2)-(L115+K115))/(2*(m_-1)*(L115-K115)))</f>
        <v/>
      </c>
      <c r="N115">
        <f>(L115-K115)/2*SQRT(1-((SQRT(4*m_*(m_-1)*(L115-K115)^2+(L115+K115)^2)-(L115+K115))/(2*(m_-1)*(L115-K115)))^2)</f>
        <v/>
      </c>
      <c r="O115">
        <f>DEGREES(ATAN(N115/M115))</f>
        <v/>
      </c>
      <c r="P115">
        <f>O115-omega*(e_base-J115)</f>
        <v/>
      </c>
      <c r="Q115">
        <f>DEGREES(ATAN(TAN(RADIANS(pe0-omega*J115))*(M115/sref)^(m_-1)))</f>
        <v/>
      </c>
      <c r="R115">
        <f>O115-Q115</f>
        <v/>
      </c>
      <c r="T115" t="inlineStr">
        <is>
          <t>CD: máximo desviador</t>
        </is>
      </c>
      <c r="U115" t="inlineStr">
        <is>
          <t>10;385;41</t>
        </is>
      </c>
      <c r="V115">
        <f>DEGREES(ATAN(TAN(RADIANS(O115))*(M115/sref)^(1-m_)))</f>
        <v/>
      </c>
      <c r="W115">
        <f>V115-omega*(e_base-J115)</f>
        <v/>
      </c>
    </row>
    <row r="116">
      <c r="A116" t="inlineStr">
        <is>
          <t>W2022</t>
        </is>
      </c>
      <c r="B116" t="inlineStr">
        <is>
          <t>MN-USC-ciclico-350</t>
        </is>
      </c>
      <c r="C116" t="inlineStr">
        <is>
          <t>USC MN-LCTX2 (6", CSR=0.38)</t>
        </is>
      </c>
      <c r="D116" t="inlineStr">
        <is>
          <t>Mármol</t>
        </is>
      </c>
      <c r="E116" t="inlineStr">
        <is>
          <t>Triaxial cíclico + monótono post-cíclico</t>
        </is>
      </c>
      <c r="F116" t="inlineStr">
        <is>
          <t>No usado</t>
        </is>
      </c>
      <c r="G116" t="inlineStr">
        <is>
          <t>carga cíclica (compresión y extensión) previa a la carga monótona</t>
        </is>
      </c>
      <c r="H116" t="n">
        <v>0.1465</v>
      </c>
      <c r="I116" t="n">
        <v>25.4</v>
      </c>
      <c r="J116" t="n">
        <v>0.205</v>
      </c>
      <c r="K116" t="n">
        <v>0.35</v>
      </c>
      <c r="L116" t="n">
        <v>1.9005</v>
      </c>
      <c r="M116">
        <f>(L116+K116)/2-(L116-K116)/2*((SQRT(4*m_*(m_-1)*(L116-K116)^2+(L116+K116)^2)-(L116+K116))/(2*(m_-1)*(L116-K116)))</f>
        <v/>
      </c>
      <c r="N116">
        <f>(L116-K116)/2*SQRT(1-((SQRT(4*m_*(m_-1)*(L116-K116)^2+(L116+K116)^2)-(L116+K116))/(2*(m_-1)*(L116-K116)))^2)</f>
        <v/>
      </c>
      <c r="O116">
        <f>DEGREES(ATAN(N116/M116))</f>
        <v/>
      </c>
      <c r="P116">
        <f>O116-omega*(e_base-J116)</f>
        <v/>
      </c>
      <c r="Q116">
        <f>DEGREES(ATAN(TAN(RADIANS(pe0-omega*J116))*(M116/sref)^(m_-1)))</f>
        <v/>
      </c>
      <c r="R116">
        <f>O116-Q116</f>
        <v/>
      </c>
      <c r="T116" t="inlineStr">
        <is>
          <t>CD: máximo desviador</t>
        </is>
      </c>
      <c r="U116" t="inlineStr">
        <is>
          <t>10;391;41</t>
        </is>
      </c>
      <c r="V116">
        <f>DEGREES(ATAN(TAN(RADIANS(O116))*(M116/sref)^(1-m_)))</f>
        <v/>
      </c>
      <c r="W116">
        <f>V116-omega*(e_base-J116)</f>
        <v/>
      </c>
    </row>
    <row r="117">
      <c r="A117" t="inlineStr">
        <is>
          <t>W2022</t>
        </is>
      </c>
      <c r="B117" t="inlineStr">
        <is>
          <t>MN-1.0m-IDIEM-2011</t>
        </is>
      </c>
      <c r="C117" t="inlineStr">
        <is>
          <t>Tabla 3 Mármol Negro Probeta 1 = IDIEM 708.397-A Probeta 1 (σ'c = 5 kg/cm²) ESTATICO</t>
        </is>
      </c>
      <c r="D117" t="inlineStr">
        <is>
          <t>Mármol</t>
        </is>
      </c>
      <c r="E117" t="inlineStr">
        <is>
          <t>Triaxial CD</t>
        </is>
      </c>
      <c r="F117" t="inlineStr">
        <is>
          <t>No usado</t>
        </is>
      </c>
      <c r="G117" t="inlineStr">
        <is>
          <t>duplicado de Golder Associates Perú (2012); se usa el original</t>
        </is>
      </c>
      <c r="H117" t="n">
        <v>1</v>
      </c>
      <c r="I117" t="n">
        <v>177.8</v>
      </c>
      <c r="J117" t="n">
        <v>0.3121962962962963</v>
      </c>
      <c r="K117" t="n">
        <v>0.4903</v>
      </c>
      <c r="L117" t="n">
        <v>2.2712</v>
      </c>
      <c r="M117">
        <f>(L117+K117)/2-(L117-K117)/2*((SQRT(4*m_*(m_-1)*(L117-K117)^2+(L117+K117)^2)-(L117+K117))/(2*(m_-1)*(L117-K117)))</f>
        <v/>
      </c>
      <c r="N117">
        <f>(L117-K117)/2*SQRT(1-((SQRT(4*m_*(m_-1)*(L117-K117)^2+(L117+K117)^2)-(L117+K117))/(2*(m_-1)*(L117-K117)))^2)</f>
        <v/>
      </c>
      <c r="O117">
        <f>DEGREES(ATAN(N117/M117))</f>
        <v/>
      </c>
      <c r="P117">
        <f>O117-omega*(e_base-J117)</f>
        <v/>
      </c>
      <c r="Q117">
        <f>DEGREES(ATAN(TAN(RADIANS(pe0-omega*J117))*(M117/sref)^(m_-1)))</f>
        <v/>
      </c>
      <c r="R117">
        <f>O117-Q117</f>
        <v/>
      </c>
      <c r="S117" t="n">
        <v>17.27</v>
      </c>
      <c r="T117" t="inlineStr">
        <is>
          <t>CD: máximo desviador</t>
        </is>
      </c>
      <c r="U117" t="inlineStr">
        <is>
          <t>10;252;66-67;41</t>
        </is>
      </c>
      <c r="V117">
        <f>DEGREES(ATAN(TAN(RADIANS(O117))*(M117/sref)^(1-m_)))</f>
        <v/>
      </c>
      <c r="W117">
        <f>V117-omega*(e_base-J117)</f>
        <v/>
      </c>
    </row>
    <row r="118">
      <c r="A118" t="inlineStr">
        <is>
          <t>W2022</t>
        </is>
      </c>
      <c r="B118" t="inlineStr">
        <is>
          <t>MN-1.0m-IDIEM-2011</t>
        </is>
      </c>
      <c r="C118" t="inlineStr">
        <is>
          <t>Tabla 3 Mármol Negro Probeta 3 = IDIEM 708.397-A Probeta 2 (σ'c = 5 kg/cm²) CICLICO</t>
        </is>
      </c>
      <c r="D118" t="inlineStr">
        <is>
          <t>Mármol</t>
        </is>
      </c>
      <c r="E118" t="inlineStr">
        <is>
          <t>Triaxial CD carga-descarga</t>
        </is>
      </c>
      <c r="F118" t="inlineStr">
        <is>
          <t>No usado</t>
        </is>
      </c>
      <c r="G118" t="inlineStr">
        <is>
          <t>duplicado de Golder Associates Perú (2012); se usa el original</t>
        </is>
      </c>
      <c r="H118" t="n">
        <v>1</v>
      </c>
      <c r="I118" t="n">
        <v>177.8</v>
      </c>
      <c r="J118" t="n">
        <v>0.3121962962962963</v>
      </c>
      <c r="K118" t="n">
        <v>0.4903</v>
      </c>
      <c r="L118" t="n">
        <v>2.1928</v>
      </c>
      <c r="M118">
        <f>(L118+K118)/2-(L118-K118)/2*((SQRT(4*m_*(m_-1)*(L118-K118)^2+(L118+K118)^2)-(L118+K118))/(2*(m_-1)*(L118-K118)))</f>
        <v/>
      </c>
      <c r="N118">
        <f>(L118-K118)/2*SQRT(1-((SQRT(4*m_*(m_-1)*(L118-K118)^2+(L118+K118)^2)-(L118+K118))/(2*(m_-1)*(L118-K118)))^2)</f>
        <v/>
      </c>
      <c r="O118">
        <f>DEGREES(ATAN(N118/M118))</f>
        <v/>
      </c>
      <c r="P118">
        <f>O118-omega*(e_base-J118)</f>
        <v/>
      </c>
      <c r="Q118">
        <f>DEGREES(ATAN(TAN(RADIANS(pe0-omega*J118))*(M118/sref)^(m_-1)))</f>
        <v/>
      </c>
      <c r="R118">
        <f>O118-Q118</f>
        <v/>
      </c>
      <c r="S118" t="n">
        <v>18.26</v>
      </c>
      <c r="T118" t="inlineStr">
        <is>
          <t>CD: máximo desviador</t>
        </is>
      </c>
      <c r="U118" t="inlineStr">
        <is>
          <t>10;254-263;66-67;41</t>
        </is>
      </c>
      <c r="V118">
        <f>DEGREES(ATAN(TAN(RADIANS(O118))*(M118/sref)^(1-m_)))</f>
        <v/>
      </c>
      <c r="W118">
        <f>V118-omega*(e_base-J118)</f>
        <v/>
      </c>
    </row>
    <row r="119">
      <c r="A119" t="inlineStr">
        <is>
          <t>W2022</t>
        </is>
      </c>
      <c r="B119" t="inlineStr">
        <is>
          <t>MN-1.0m-IDIEM-2011</t>
        </is>
      </c>
      <c r="C119" t="inlineStr">
        <is>
          <t>Tabla 3 Mármol Negro Probeta 4 = IDIEM 708.397-A Probeta 3 (σ'c = 10 kg/cm²) CICLICO</t>
        </is>
      </c>
      <c r="D119" t="inlineStr">
        <is>
          <t>Mármol</t>
        </is>
      </c>
      <c r="E119" t="inlineStr">
        <is>
          <t>Triaxial CD carga-descarga</t>
        </is>
      </c>
      <c r="F119" t="inlineStr">
        <is>
          <t>No usado</t>
        </is>
      </c>
      <c r="G119" t="inlineStr">
        <is>
          <t>duplicado de Golder Associates Perú (2012); se usa el original</t>
        </is>
      </c>
      <c r="H119" t="n">
        <v>1</v>
      </c>
      <c r="I119" t="n">
        <v>177.8</v>
      </c>
      <c r="J119" t="n">
        <v>0.3121962962962963</v>
      </c>
      <c r="K119" t="n">
        <v>0.9807</v>
      </c>
      <c r="L119" t="n">
        <v>3.8972</v>
      </c>
      <c r="M119">
        <f>(L119+K119)/2-(L119-K119)/2*((SQRT(4*m_*(m_-1)*(L119-K119)^2+(L119+K119)^2)-(L119+K119))/(2*(m_-1)*(L119-K119)))</f>
        <v/>
      </c>
      <c r="N119">
        <f>(L119-K119)/2*SQRT(1-((SQRT(4*m_*(m_-1)*(L119-K119)^2+(L119+K119)^2)-(L119+K119))/(2*(m_-1)*(L119-K119)))^2)</f>
        <v/>
      </c>
      <c r="O119">
        <f>DEGREES(ATAN(N119/M119))</f>
        <v/>
      </c>
      <c r="P119">
        <f>O119-omega*(e_base-J119)</f>
        <v/>
      </c>
      <c r="Q119">
        <f>DEGREES(ATAN(TAN(RADIANS(pe0-omega*J119))*(M119/sref)^(m_-1)))</f>
        <v/>
      </c>
      <c r="R119">
        <f>O119-Q119</f>
        <v/>
      </c>
      <c r="S119" t="n">
        <v>18</v>
      </c>
      <c r="T119" t="inlineStr">
        <is>
          <t>CD: máximo desviador</t>
        </is>
      </c>
      <c r="U119" t="inlineStr">
        <is>
          <t>10;265-275;66-67;41</t>
        </is>
      </c>
      <c r="V119">
        <f>DEGREES(ATAN(TAN(RADIANS(O119))*(M119/sref)^(1-m_)))</f>
        <v/>
      </c>
      <c r="W119">
        <f>V119-omega*(e_base-J119)</f>
        <v/>
      </c>
    </row>
    <row r="120">
      <c r="A120" t="inlineStr">
        <is>
          <t>W2022</t>
        </is>
      </c>
      <c r="B120" t="inlineStr">
        <is>
          <t>MN-1.0m-IDIEM-2011</t>
        </is>
      </c>
      <c r="C120" t="inlineStr">
        <is>
          <t>Tabla 3 Mármol Negro Probeta 2 = IDIEM 708.397-A Probeta 4 (σ'c = 20 kg/cm²) ESTATICO</t>
        </is>
      </c>
      <c r="D120" t="inlineStr">
        <is>
          <t>Mármol</t>
        </is>
      </c>
      <c r="E120" t="inlineStr">
        <is>
          <t>Triaxial CD</t>
        </is>
      </c>
      <c r="F120" t="inlineStr">
        <is>
          <t>No usado</t>
        </is>
      </c>
      <c r="G120" t="inlineStr">
        <is>
          <t>duplicado de Golder Associates Perú (2012); se usa el original</t>
        </is>
      </c>
      <c r="H120" t="n">
        <v>1</v>
      </c>
      <c r="I120" t="n">
        <v>177.8</v>
      </c>
      <c r="J120" t="n">
        <v>0.3121962962962963</v>
      </c>
      <c r="K120" t="n">
        <v>1.9613</v>
      </c>
      <c r="L120" t="n">
        <v>7.7786</v>
      </c>
      <c r="M120">
        <f>(L120+K120)/2-(L120-K120)/2*((SQRT(4*m_*(m_-1)*(L120-K120)^2+(L120+K120)^2)-(L120+K120))/(2*(m_-1)*(L120-K120)))</f>
        <v/>
      </c>
      <c r="N120">
        <f>(L120-K120)/2*SQRT(1-((SQRT(4*m_*(m_-1)*(L120-K120)^2+(L120+K120)^2)-(L120+K120))/(2*(m_-1)*(L120-K120)))^2)</f>
        <v/>
      </c>
      <c r="O120">
        <f>DEGREES(ATAN(N120/M120))</f>
        <v/>
      </c>
      <c r="P120">
        <f>O120-omega*(e_base-J120)</f>
        <v/>
      </c>
      <c r="Q120">
        <f>DEGREES(ATAN(TAN(RADIANS(pe0-omega*J120))*(M120/sref)^(m_-1)))</f>
        <v/>
      </c>
      <c r="R120">
        <f>O120-Q120</f>
        <v/>
      </c>
      <c r="S120" t="n">
        <v>19.59</v>
      </c>
      <c r="T120" t="inlineStr">
        <is>
          <t>CD: máximo desviador</t>
        </is>
      </c>
      <c r="U120" t="inlineStr">
        <is>
          <t>10;277-278;66-67;41</t>
        </is>
      </c>
      <c r="V120">
        <f>DEGREES(ATAN(TAN(RADIANS(O120))*(M120/sref)^(1-m_)))</f>
        <v/>
      </c>
      <c r="W120">
        <f>V120-omega*(e_base-J120)</f>
        <v/>
      </c>
    </row>
    <row r="121">
      <c r="A121" t="inlineStr">
        <is>
          <t>W2022</t>
        </is>
      </c>
      <c r="B121" t="inlineStr">
        <is>
          <t>MN-1.0m-IDIEM-2011</t>
        </is>
      </c>
      <c r="C121" t="inlineStr">
        <is>
          <t>Tabla 3 Mármol Negro Probeta 5 = IDIEM 708.397-A Probeta 5 (σ'c = 20 kg/cm²) CICLICO</t>
        </is>
      </c>
      <c r="D121" t="inlineStr">
        <is>
          <t>Mármol</t>
        </is>
      </c>
      <c r="E121" t="inlineStr">
        <is>
          <t>Triaxial CD carga-descarga</t>
        </is>
      </c>
      <c r="F121" t="inlineStr">
        <is>
          <t>No usado</t>
        </is>
      </c>
      <c r="G121" t="inlineStr">
        <is>
          <t>duplicado de Golder Associates Perú (2012); se usa el original</t>
        </is>
      </c>
      <c r="H121" t="n">
        <v>1</v>
      </c>
      <c r="I121" t="n">
        <v>177.8</v>
      </c>
      <c r="J121" t="n">
        <v>0.3121962962962963</v>
      </c>
      <c r="K121" t="n">
        <v>1.9613</v>
      </c>
      <c r="L121" t="n">
        <v>8.2905</v>
      </c>
      <c r="M121">
        <f>(L121+K121)/2-(L121-K121)/2*((SQRT(4*m_*(m_-1)*(L121-K121)^2+(L121+K121)^2)-(L121+K121))/(2*(m_-1)*(L121-K121)))</f>
        <v/>
      </c>
      <c r="N121">
        <f>(L121-K121)/2*SQRT(1-((SQRT(4*m_*(m_-1)*(L121-K121)^2+(L121+K121)^2)-(L121+K121))/(2*(m_-1)*(L121-K121)))^2)</f>
        <v/>
      </c>
      <c r="O121">
        <f>DEGREES(ATAN(N121/M121))</f>
        <v/>
      </c>
      <c r="P121">
        <f>O121-omega*(e_base-J121)</f>
        <v/>
      </c>
      <c r="Q121">
        <f>DEGREES(ATAN(TAN(RADIANS(pe0-omega*J121))*(M121/sref)^(m_-1)))</f>
        <v/>
      </c>
      <c r="R121">
        <f>O121-Q121</f>
        <v/>
      </c>
      <c r="S121" t="n">
        <v>17.78</v>
      </c>
      <c r="T121" t="inlineStr">
        <is>
          <t>CD: máximo desviador</t>
        </is>
      </c>
      <c r="U121" t="inlineStr">
        <is>
          <t>10;280-293;66-67;41</t>
        </is>
      </c>
      <c r="V121">
        <f>DEGREES(ATAN(TAN(RADIANS(O121))*(M121/sref)^(1-m_)))</f>
        <v/>
      </c>
      <c r="W121">
        <f>V121-omega*(e_base-J121)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3" t="inlineStr">
        <is>
          <t>σ′n (MPa)</t>
        </is>
      </c>
      <c r="B1" s="3" t="inlineStr">
        <is>
          <t>Zona</t>
        </is>
      </c>
      <c r="C1" s="3" t="inlineStr">
        <is>
          <t>τ curva, con tope (MPa)</t>
        </is>
      </c>
      <c r="D1" s="3" t="inlineStr">
        <is>
          <t>φ′s curva, con tope (°)</t>
        </is>
      </c>
      <c r="E1" s="3" t="inlineStr">
        <is>
          <t>φ′s banda inf. (°)</t>
        </is>
      </c>
      <c r="F1" s="3" t="inlineStr">
        <is>
          <t>φ′s banda sup. (°)</t>
        </is>
      </c>
      <c r="G1" s="3" t="inlineStr">
        <is>
          <t>τ banda inf. (MPa)</t>
        </is>
      </c>
      <c r="H1" s="3" t="inlineStr">
        <is>
          <t>τ banda sup. (MPa)</t>
        </is>
      </c>
      <c r="I1" s="3" t="inlineStr">
        <is>
          <t>τ e = 0.55</t>
        </is>
      </c>
      <c r="J1" s="3" t="inlineStr">
        <is>
          <t>τ e = 0.65</t>
        </is>
      </c>
      <c r="K1" s="3" t="inlineStr">
        <is>
          <t>e perfil A</t>
        </is>
      </c>
      <c r="L1" s="3" t="inlineStr">
        <is>
          <t>τ perfil A</t>
        </is>
      </c>
      <c r="M1" s="3" t="inlineStr">
        <is>
          <t>e perfil V</t>
        </is>
      </c>
      <c r="N1" s="3" t="inlineStr">
        <is>
          <t>τ perfil V</t>
        </is>
      </c>
      <c r="O1" s="3" t="inlineStr">
        <is>
          <t>φ′s Indraratna (°)</t>
        </is>
      </c>
      <c r="P1" s="3" t="inlineStr">
        <is>
          <t>φ′s Hawley y Cunning (°)</t>
        </is>
      </c>
      <c r="Q1" s="3" t="inlineStr">
        <is>
          <t>τ Indraratna</t>
        </is>
      </c>
      <c r="R1" s="3" t="inlineStr">
        <is>
          <t>τ Hawley y Cunning</t>
        </is>
      </c>
      <c r="S1" s="3" t="inlineStr">
        <is>
          <t>τ 37° (MPa)</t>
        </is>
      </c>
      <c r="T1" s="3" t="inlineStr">
        <is>
          <t>φ′ sensibilidad DDE (°)</t>
        </is>
      </c>
    </row>
    <row r="2">
      <c r="A2" t="n">
        <v>0.01</v>
      </c>
      <c r="B2" t="inlineStr">
        <is>
          <t>con ensayos de Antamina</t>
        </is>
      </c>
      <c r="C2">
        <f>MIN(TAN(RADIANS(pe0-omega*e_base))*sref^(1-m_)*A2^m_,A2*TAN(RADIANS(tope)))</f>
        <v/>
      </c>
      <c r="D2">
        <f>DEGREES(ATAN(C2/A2))</f>
        <v/>
      </c>
      <c r="E2">
        <f>MIN(DEGREES(ATAN(TAN(RADIANS(Parametros!$E$12-omega*e_base))*(A2/sref)^(Parametros!$B$12-1))),DEGREES(ATAN(TAN(RADIANS(Parametros!$E$13-omega*e_base))*(A2/sref)^(Parametros!$B$13-1))),DEGREES(ATAN(TAN(RADIANS(Parametros!$E$14-omega*e_base))*(A2/sref)^(Parametros!$B$14-1))),DEGREES(ATAN(TAN(RADIANS(Parametros!$E$15-omega*e_base))*(A2/sref)^(Parametros!$B$15-1))),DEGREES(ATAN(TAN(RADIANS(Parametros!$E$16-omega*e_base))*(A2/sref)^(Parametros!$B$16-1))))</f>
        <v/>
      </c>
      <c r="F2">
        <f>MAX(DEGREES(ATAN(TAN(RADIANS(Parametros!$F$12-omega*e_base))*(A2/sref)^(Parametros!$B$12-1))),DEGREES(ATAN(TAN(RADIANS(Parametros!$F$13-omega*e_base))*(A2/sref)^(Parametros!$B$13-1))),DEGREES(ATAN(TAN(RADIANS(Parametros!$F$14-omega*e_base))*(A2/sref)^(Parametros!$B$14-1))),DEGREES(ATAN(TAN(RADIANS(Parametros!$F$15-omega*e_base))*(A2/sref)^(Parametros!$B$15-1))),DEGREES(ATAN(TAN(RADIANS(Parametros!$F$16-omega*e_base))*(A2/sref)^(Parametros!$B$16-1))))</f>
        <v/>
      </c>
      <c r="G2">
        <f>A2*TAN(RADIANS(E2))</f>
        <v/>
      </c>
      <c r="H2">
        <f>A2*TAN(RADIANS(F2))</f>
        <v/>
      </c>
      <c r="I2">
        <f>MIN(TAN(RADIANS(pe0-omega*0.55))*sref^(1-m_)*A2^m_,A2*TAN(RADIANS(tope)))</f>
        <v/>
      </c>
      <c r="J2">
        <f>MIN(TAN(RADIANS(pe0-omega*0.65))*sref^(1-m_)*A2^m_,A2*TAN(RADIANS(tope)))</f>
        <v/>
      </c>
      <c r="K2">
        <f>IF(MAX(A2,sv_piso)&lt;=1,e_base-cc_bajo*LOG10(MAX(A2,sv_piso)/sv_piso),e_base-cc_bajo*LOG10(1/sv_piso)-cc_alto*LOG10(A2))</f>
        <v/>
      </c>
      <c r="L2">
        <f>MIN(TAN(RADIANS(pe0-omega*K2))*sref^(1-m_)*A2^m_,A2*TAN(RADIANS(tope)))</f>
        <v/>
      </c>
      <c r="M2" t="n">
        <v>0.4494</v>
      </c>
      <c r="N2">
        <f>MIN(TAN(RADIANS(pe0-omega*M2))*sref^(1-m_)*A2^m_,A2*TAN(RADIANS(tope)))</f>
        <v/>
      </c>
      <c r="O2">
        <f>DEGREES(ATAN(TAN(RADIANS(33))*(A2/sref)^(0.9-1)))</f>
        <v/>
      </c>
      <c r="P2">
        <f>DEGREES(ATAN(1.446*(A2*1000)^0.898/(A2*1000)))</f>
        <v/>
      </c>
      <c r="Q2">
        <f>A2*TAN(RADIANS(O2))</f>
        <v/>
      </c>
      <c r="R2">
        <f>A2*TAN(RADIANS(P2))</f>
        <v/>
      </c>
      <c r="S2">
        <f>A2*TAN(RADIANS(37))</f>
        <v/>
      </c>
    </row>
    <row r="3">
      <c r="A3" t="n">
        <v>0.02</v>
      </c>
      <c r="B3" t="inlineStr">
        <is>
          <t>con ensayos de Antamina</t>
        </is>
      </c>
      <c r="C3">
        <f>MIN(TAN(RADIANS(pe0-omega*e_base))*sref^(1-m_)*A3^m_,A3*TAN(RADIANS(tope)))</f>
        <v/>
      </c>
      <c r="D3">
        <f>DEGREES(ATAN(C3/A3))</f>
        <v/>
      </c>
      <c r="E3">
        <f>MIN(DEGREES(ATAN(TAN(RADIANS(Parametros!$E$12-omega*e_base))*(A3/sref)^(Parametros!$B$12-1))),DEGREES(ATAN(TAN(RADIANS(Parametros!$E$13-omega*e_base))*(A3/sref)^(Parametros!$B$13-1))),DEGREES(ATAN(TAN(RADIANS(Parametros!$E$14-omega*e_base))*(A3/sref)^(Parametros!$B$14-1))),DEGREES(ATAN(TAN(RADIANS(Parametros!$E$15-omega*e_base))*(A3/sref)^(Parametros!$B$15-1))),DEGREES(ATAN(TAN(RADIANS(Parametros!$E$16-omega*e_base))*(A3/sref)^(Parametros!$B$16-1))))</f>
        <v/>
      </c>
      <c r="F3">
        <f>MAX(DEGREES(ATAN(TAN(RADIANS(Parametros!$F$12-omega*e_base))*(A3/sref)^(Parametros!$B$12-1))),DEGREES(ATAN(TAN(RADIANS(Parametros!$F$13-omega*e_base))*(A3/sref)^(Parametros!$B$13-1))),DEGREES(ATAN(TAN(RADIANS(Parametros!$F$14-omega*e_base))*(A3/sref)^(Parametros!$B$14-1))),DEGREES(ATAN(TAN(RADIANS(Parametros!$F$15-omega*e_base))*(A3/sref)^(Parametros!$B$15-1))),DEGREES(ATAN(TAN(RADIANS(Parametros!$F$16-omega*e_base))*(A3/sref)^(Parametros!$B$16-1))))</f>
        <v/>
      </c>
      <c r="G3">
        <f>A3*TAN(RADIANS(E3))</f>
        <v/>
      </c>
      <c r="H3">
        <f>A3*TAN(RADIANS(F3))</f>
        <v/>
      </c>
      <c r="I3">
        <f>MIN(TAN(RADIANS(pe0-omega*0.55))*sref^(1-m_)*A3^m_,A3*TAN(RADIANS(tope)))</f>
        <v/>
      </c>
      <c r="J3">
        <f>MIN(TAN(RADIANS(pe0-omega*0.65))*sref^(1-m_)*A3^m_,A3*TAN(RADIANS(tope)))</f>
        <v/>
      </c>
      <c r="K3">
        <f>IF(MAX(A3,sv_piso)&lt;=1,e_base-cc_bajo*LOG10(MAX(A3,sv_piso)/sv_piso),e_base-cc_bajo*LOG10(1/sv_piso)-cc_alto*LOG10(A3))</f>
        <v/>
      </c>
      <c r="L3">
        <f>MIN(TAN(RADIANS(pe0-omega*K3))*sref^(1-m_)*A3^m_,A3*TAN(RADIANS(tope)))</f>
        <v/>
      </c>
      <c r="M3" t="n">
        <v>0.4488</v>
      </c>
      <c r="N3">
        <f>MIN(TAN(RADIANS(pe0-omega*M3))*sref^(1-m_)*A3^m_,A3*TAN(RADIANS(tope)))</f>
        <v/>
      </c>
      <c r="O3">
        <f>DEGREES(ATAN(TAN(RADIANS(33))*(A3/sref)^(0.9-1)))</f>
        <v/>
      </c>
      <c r="P3">
        <f>DEGREES(ATAN(1.446*(A3*1000)^0.898/(A3*1000)))</f>
        <v/>
      </c>
      <c r="Q3">
        <f>A3*TAN(RADIANS(O3))</f>
        <v/>
      </c>
      <c r="R3">
        <f>A3*TAN(RADIANS(P3))</f>
        <v/>
      </c>
      <c r="S3">
        <f>A3*TAN(RADIANS(37))</f>
        <v/>
      </c>
    </row>
    <row r="4">
      <c r="A4" t="n">
        <v>0.03</v>
      </c>
      <c r="B4" t="inlineStr">
        <is>
          <t>con ensayos de Antamina</t>
        </is>
      </c>
      <c r="C4">
        <f>MIN(TAN(RADIANS(pe0-omega*e_base))*sref^(1-m_)*A4^m_,A4*TAN(RADIANS(tope)))</f>
        <v/>
      </c>
      <c r="D4">
        <f>DEGREES(ATAN(C4/A4))</f>
        <v/>
      </c>
      <c r="E4">
        <f>MIN(DEGREES(ATAN(TAN(RADIANS(Parametros!$E$12-omega*e_base))*(A4/sref)^(Parametros!$B$12-1))),DEGREES(ATAN(TAN(RADIANS(Parametros!$E$13-omega*e_base))*(A4/sref)^(Parametros!$B$13-1))),DEGREES(ATAN(TAN(RADIANS(Parametros!$E$14-omega*e_base))*(A4/sref)^(Parametros!$B$14-1))),DEGREES(ATAN(TAN(RADIANS(Parametros!$E$15-omega*e_base))*(A4/sref)^(Parametros!$B$15-1))),DEGREES(ATAN(TAN(RADIANS(Parametros!$E$16-omega*e_base))*(A4/sref)^(Parametros!$B$16-1))))</f>
        <v/>
      </c>
      <c r="F4">
        <f>MAX(DEGREES(ATAN(TAN(RADIANS(Parametros!$F$12-omega*e_base))*(A4/sref)^(Parametros!$B$12-1))),DEGREES(ATAN(TAN(RADIANS(Parametros!$F$13-omega*e_base))*(A4/sref)^(Parametros!$B$13-1))),DEGREES(ATAN(TAN(RADIANS(Parametros!$F$14-omega*e_base))*(A4/sref)^(Parametros!$B$14-1))),DEGREES(ATAN(TAN(RADIANS(Parametros!$F$15-omega*e_base))*(A4/sref)^(Parametros!$B$15-1))),DEGREES(ATAN(TAN(RADIANS(Parametros!$F$16-omega*e_base))*(A4/sref)^(Parametros!$B$16-1))))</f>
        <v/>
      </c>
      <c r="G4">
        <f>A4*TAN(RADIANS(E4))</f>
        <v/>
      </c>
      <c r="H4">
        <f>A4*TAN(RADIANS(F4))</f>
        <v/>
      </c>
      <c r="I4">
        <f>MIN(TAN(RADIANS(pe0-omega*0.55))*sref^(1-m_)*A4^m_,A4*TAN(RADIANS(tope)))</f>
        <v/>
      </c>
      <c r="J4">
        <f>MIN(TAN(RADIANS(pe0-omega*0.65))*sref^(1-m_)*A4^m_,A4*TAN(RADIANS(tope)))</f>
        <v/>
      </c>
      <c r="K4">
        <f>IF(MAX(A4,sv_piso)&lt;=1,e_base-cc_bajo*LOG10(MAX(A4,sv_piso)/sv_piso),e_base-cc_bajo*LOG10(1/sv_piso)-cc_alto*LOG10(A4))</f>
        <v/>
      </c>
      <c r="L4">
        <f>MIN(TAN(RADIANS(pe0-omega*K4))*sref^(1-m_)*A4^m_,A4*TAN(RADIANS(tope)))</f>
        <v/>
      </c>
      <c r="M4" t="n">
        <v>0.4482</v>
      </c>
      <c r="N4">
        <f>MIN(TAN(RADIANS(pe0-omega*M4))*sref^(1-m_)*A4^m_,A4*TAN(RADIANS(tope)))</f>
        <v/>
      </c>
      <c r="O4">
        <f>DEGREES(ATAN(TAN(RADIANS(33))*(A4/sref)^(0.9-1)))</f>
        <v/>
      </c>
      <c r="P4">
        <f>DEGREES(ATAN(1.446*(A4*1000)^0.898/(A4*1000)))</f>
        <v/>
      </c>
      <c r="Q4">
        <f>A4*TAN(RADIANS(O4))</f>
        <v/>
      </c>
      <c r="R4">
        <f>A4*TAN(RADIANS(P4))</f>
        <v/>
      </c>
      <c r="S4">
        <f>A4*TAN(RADIANS(37))</f>
        <v/>
      </c>
    </row>
    <row r="5">
      <c r="A5" t="n">
        <v>0.05</v>
      </c>
      <c r="B5" t="inlineStr">
        <is>
          <t>con ensayos de Antamina</t>
        </is>
      </c>
      <c r="C5">
        <f>MIN(TAN(RADIANS(pe0-omega*e_base))*sref^(1-m_)*A5^m_,A5*TAN(RADIANS(tope)))</f>
        <v/>
      </c>
      <c r="D5">
        <f>DEGREES(ATAN(C5/A5))</f>
        <v/>
      </c>
      <c r="E5">
        <f>MIN(DEGREES(ATAN(TAN(RADIANS(Parametros!$E$12-omega*e_base))*(A5/sref)^(Parametros!$B$12-1))),DEGREES(ATAN(TAN(RADIANS(Parametros!$E$13-omega*e_base))*(A5/sref)^(Parametros!$B$13-1))),DEGREES(ATAN(TAN(RADIANS(Parametros!$E$14-omega*e_base))*(A5/sref)^(Parametros!$B$14-1))),DEGREES(ATAN(TAN(RADIANS(Parametros!$E$15-omega*e_base))*(A5/sref)^(Parametros!$B$15-1))),DEGREES(ATAN(TAN(RADIANS(Parametros!$E$16-omega*e_base))*(A5/sref)^(Parametros!$B$16-1))))</f>
        <v/>
      </c>
      <c r="F5">
        <f>MAX(DEGREES(ATAN(TAN(RADIANS(Parametros!$F$12-omega*e_base))*(A5/sref)^(Parametros!$B$12-1))),DEGREES(ATAN(TAN(RADIANS(Parametros!$F$13-omega*e_base))*(A5/sref)^(Parametros!$B$13-1))),DEGREES(ATAN(TAN(RADIANS(Parametros!$F$14-omega*e_base))*(A5/sref)^(Parametros!$B$14-1))),DEGREES(ATAN(TAN(RADIANS(Parametros!$F$15-omega*e_base))*(A5/sref)^(Parametros!$B$15-1))),DEGREES(ATAN(TAN(RADIANS(Parametros!$F$16-omega*e_base))*(A5/sref)^(Parametros!$B$16-1))))</f>
        <v/>
      </c>
      <c r="G5">
        <f>A5*TAN(RADIANS(E5))</f>
        <v/>
      </c>
      <c r="H5">
        <f>A5*TAN(RADIANS(F5))</f>
        <v/>
      </c>
      <c r="I5">
        <f>MIN(TAN(RADIANS(pe0-omega*0.55))*sref^(1-m_)*A5^m_,A5*TAN(RADIANS(tope)))</f>
        <v/>
      </c>
      <c r="J5">
        <f>MIN(TAN(RADIANS(pe0-omega*0.65))*sref^(1-m_)*A5^m_,A5*TAN(RADIANS(tope)))</f>
        <v/>
      </c>
      <c r="K5">
        <f>IF(MAX(A5,sv_piso)&lt;=1,e_base-cc_bajo*LOG10(MAX(A5,sv_piso)/sv_piso),e_base-cc_bajo*LOG10(1/sv_piso)-cc_alto*LOG10(A5))</f>
        <v/>
      </c>
      <c r="L5">
        <f>MIN(TAN(RADIANS(pe0-omega*K5))*sref^(1-m_)*A5^m_,A5*TAN(RADIANS(tope)))</f>
        <v/>
      </c>
      <c r="M5" t="n">
        <v>0.447</v>
      </c>
      <c r="N5">
        <f>MIN(TAN(RADIANS(pe0-omega*M5))*sref^(1-m_)*A5^m_,A5*TAN(RADIANS(tope)))</f>
        <v/>
      </c>
      <c r="O5">
        <f>DEGREES(ATAN(TAN(RADIANS(33))*(A5/sref)^(0.9-1)))</f>
        <v/>
      </c>
      <c r="P5">
        <f>DEGREES(ATAN(1.446*(A5*1000)^0.898/(A5*1000)))</f>
        <v/>
      </c>
      <c r="Q5">
        <f>A5*TAN(RADIANS(O5))</f>
        <v/>
      </c>
      <c r="R5">
        <f>A5*TAN(RADIANS(P5))</f>
        <v/>
      </c>
      <c r="S5">
        <f>A5*TAN(RADIANS(37))</f>
        <v/>
      </c>
    </row>
    <row r="6">
      <c r="A6" t="n">
        <v>0.07000000000000001</v>
      </c>
      <c r="B6" t="inlineStr">
        <is>
          <t>con ensayos de Antamina</t>
        </is>
      </c>
      <c r="C6">
        <f>MIN(TAN(RADIANS(pe0-omega*e_base))*sref^(1-m_)*A6^m_,A6*TAN(RADIANS(tope)))</f>
        <v/>
      </c>
      <c r="D6">
        <f>DEGREES(ATAN(C6/A6))</f>
        <v/>
      </c>
      <c r="E6">
        <f>MIN(DEGREES(ATAN(TAN(RADIANS(Parametros!$E$12-omega*e_base))*(A6/sref)^(Parametros!$B$12-1))),DEGREES(ATAN(TAN(RADIANS(Parametros!$E$13-omega*e_base))*(A6/sref)^(Parametros!$B$13-1))),DEGREES(ATAN(TAN(RADIANS(Parametros!$E$14-omega*e_base))*(A6/sref)^(Parametros!$B$14-1))),DEGREES(ATAN(TAN(RADIANS(Parametros!$E$15-omega*e_base))*(A6/sref)^(Parametros!$B$15-1))),DEGREES(ATAN(TAN(RADIANS(Parametros!$E$16-omega*e_base))*(A6/sref)^(Parametros!$B$16-1))))</f>
        <v/>
      </c>
      <c r="F6">
        <f>MAX(DEGREES(ATAN(TAN(RADIANS(Parametros!$F$12-omega*e_base))*(A6/sref)^(Parametros!$B$12-1))),DEGREES(ATAN(TAN(RADIANS(Parametros!$F$13-omega*e_base))*(A6/sref)^(Parametros!$B$13-1))),DEGREES(ATAN(TAN(RADIANS(Parametros!$F$14-omega*e_base))*(A6/sref)^(Parametros!$B$14-1))),DEGREES(ATAN(TAN(RADIANS(Parametros!$F$15-omega*e_base))*(A6/sref)^(Parametros!$B$15-1))),DEGREES(ATAN(TAN(RADIANS(Parametros!$F$16-omega*e_base))*(A6/sref)^(Parametros!$B$16-1))))</f>
        <v/>
      </c>
      <c r="G6">
        <f>A6*TAN(RADIANS(E6))</f>
        <v/>
      </c>
      <c r="H6">
        <f>A6*TAN(RADIANS(F6))</f>
        <v/>
      </c>
      <c r="I6">
        <f>MIN(TAN(RADIANS(pe0-omega*0.55))*sref^(1-m_)*A6^m_,A6*TAN(RADIANS(tope)))</f>
        <v/>
      </c>
      <c r="J6">
        <f>MIN(TAN(RADIANS(pe0-omega*0.65))*sref^(1-m_)*A6^m_,A6*TAN(RADIANS(tope)))</f>
        <v/>
      </c>
      <c r="K6">
        <f>IF(MAX(A6,sv_piso)&lt;=1,e_base-cc_bajo*LOG10(MAX(A6,sv_piso)/sv_piso),e_base-cc_bajo*LOG10(1/sv_piso)-cc_alto*LOG10(A6))</f>
        <v/>
      </c>
      <c r="L6">
        <f>MIN(TAN(RADIANS(pe0-omega*K6))*sref^(1-m_)*A6^m_,A6*TAN(RADIANS(tope)))</f>
        <v/>
      </c>
      <c r="M6" t="n">
        <v>0.4458</v>
      </c>
      <c r="N6">
        <f>MIN(TAN(RADIANS(pe0-omega*M6))*sref^(1-m_)*A6^m_,A6*TAN(RADIANS(tope)))</f>
        <v/>
      </c>
      <c r="O6">
        <f>DEGREES(ATAN(TAN(RADIANS(33))*(A6/sref)^(0.9-1)))</f>
        <v/>
      </c>
      <c r="P6">
        <f>DEGREES(ATAN(1.446*(A6*1000)^0.898/(A6*1000)))</f>
        <v/>
      </c>
      <c r="Q6">
        <f>A6*TAN(RADIANS(O6))</f>
        <v/>
      </c>
      <c r="R6">
        <f>A6*TAN(RADIANS(P6))</f>
        <v/>
      </c>
      <c r="S6">
        <f>A6*TAN(RADIANS(37))</f>
        <v/>
      </c>
    </row>
    <row r="7">
      <c r="A7" t="n">
        <v>0.1</v>
      </c>
      <c r="B7" t="inlineStr">
        <is>
          <t>con ensayos de Antamina</t>
        </is>
      </c>
      <c r="C7">
        <f>MIN(TAN(RADIANS(pe0-omega*e_base))*sref^(1-m_)*A7^m_,A7*TAN(RADIANS(tope)))</f>
        <v/>
      </c>
      <c r="D7">
        <f>DEGREES(ATAN(C7/A7))</f>
        <v/>
      </c>
      <c r="E7">
        <f>MIN(DEGREES(ATAN(TAN(RADIANS(Parametros!$E$12-omega*e_base))*(A7/sref)^(Parametros!$B$12-1))),DEGREES(ATAN(TAN(RADIANS(Parametros!$E$13-omega*e_base))*(A7/sref)^(Parametros!$B$13-1))),DEGREES(ATAN(TAN(RADIANS(Parametros!$E$14-omega*e_base))*(A7/sref)^(Parametros!$B$14-1))),DEGREES(ATAN(TAN(RADIANS(Parametros!$E$15-omega*e_base))*(A7/sref)^(Parametros!$B$15-1))),DEGREES(ATAN(TAN(RADIANS(Parametros!$E$16-omega*e_base))*(A7/sref)^(Parametros!$B$16-1))))</f>
        <v/>
      </c>
      <c r="F7">
        <f>MAX(DEGREES(ATAN(TAN(RADIANS(Parametros!$F$12-omega*e_base))*(A7/sref)^(Parametros!$B$12-1))),DEGREES(ATAN(TAN(RADIANS(Parametros!$F$13-omega*e_base))*(A7/sref)^(Parametros!$B$13-1))),DEGREES(ATAN(TAN(RADIANS(Parametros!$F$14-omega*e_base))*(A7/sref)^(Parametros!$B$14-1))),DEGREES(ATAN(TAN(RADIANS(Parametros!$F$15-omega*e_base))*(A7/sref)^(Parametros!$B$15-1))),DEGREES(ATAN(TAN(RADIANS(Parametros!$F$16-omega*e_base))*(A7/sref)^(Parametros!$B$16-1))))</f>
        <v/>
      </c>
      <c r="G7">
        <f>A7*TAN(RADIANS(E7))</f>
        <v/>
      </c>
      <c r="H7">
        <f>A7*TAN(RADIANS(F7))</f>
        <v/>
      </c>
      <c r="I7">
        <f>MIN(TAN(RADIANS(pe0-omega*0.55))*sref^(1-m_)*A7^m_,A7*TAN(RADIANS(tope)))</f>
        <v/>
      </c>
      <c r="J7">
        <f>MIN(TAN(RADIANS(pe0-omega*0.65))*sref^(1-m_)*A7^m_,A7*TAN(RADIANS(tope)))</f>
        <v/>
      </c>
      <c r="K7">
        <f>IF(MAX(A7,sv_piso)&lt;=1,e_base-cc_bajo*LOG10(MAX(A7,sv_piso)/sv_piso),e_base-cc_bajo*LOG10(1/sv_piso)-cc_alto*LOG10(A7))</f>
        <v/>
      </c>
      <c r="L7">
        <f>MIN(TAN(RADIANS(pe0-omega*K7))*sref^(1-m_)*A7^m_,A7*TAN(RADIANS(tope)))</f>
        <v/>
      </c>
      <c r="M7" t="n">
        <v>0.444</v>
      </c>
      <c r="N7">
        <f>MIN(TAN(RADIANS(pe0-omega*M7))*sref^(1-m_)*A7^m_,A7*TAN(RADIANS(tope)))</f>
        <v/>
      </c>
      <c r="O7">
        <f>DEGREES(ATAN(TAN(RADIANS(33))*(A7/sref)^(0.9-1)))</f>
        <v/>
      </c>
      <c r="P7">
        <f>DEGREES(ATAN(1.446*(A7*1000)^0.898/(A7*1000)))</f>
        <v/>
      </c>
      <c r="Q7">
        <f>A7*TAN(RADIANS(O7))</f>
        <v/>
      </c>
      <c r="R7">
        <f>A7*TAN(RADIANS(P7))</f>
        <v/>
      </c>
      <c r="S7">
        <f>A7*TAN(RADIANS(37))</f>
        <v/>
      </c>
    </row>
    <row r="8">
      <c r="A8" t="n">
        <v>0.15</v>
      </c>
      <c r="B8" t="inlineStr">
        <is>
          <t>con ensayos de Antamina</t>
        </is>
      </c>
      <c r="C8">
        <f>MIN(TAN(RADIANS(pe0-omega*e_base))*sref^(1-m_)*A8^m_,A8*TAN(RADIANS(tope)))</f>
        <v/>
      </c>
      <c r="D8">
        <f>DEGREES(ATAN(C8/A8))</f>
        <v/>
      </c>
      <c r="E8">
        <f>MIN(DEGREES(ATAN(TAN(RADIANS(Parametros!$E$12-omega*e_base))*(A8/sref)^(Parametros!$B$12-1))),DEGREES(ATAN(TAN(RADIANS(Parametros!$E$13-omega*e_base))*(A8/sref)^(Parametros!$B$13-1))),DEGREES(ATAN(TAN(RADIANS(Parametros!$E$14-omega*e_base))*(A8/sref)^(Parametros!$B$14-1))),DEGREES(ATAN(TAN(RADIANS(Parametros!$E$15-omega*e_base))*(A8/sref)^(Parametros!$B$15-1))),DEGREES(ATAN(TAN(RADIANS(Parametros!$E$16-omega*e_base))*(A8/sref)^(Parametros!$B$16-1))))</f>
        <v/>
      </c>
      <c r="F8">
        <f>MAX(DEGREES(ATAN(TAN(RADIANS(Parametros!$F$12-omega*e_base))*(A8/sref)^(Parametros!$B$12-1))),DEGREES(ATAN(TAN(RADIANS(Parametros!$F$13-omega*e_base))*(A8/sref)^(Parametros!$B$13-1))),DEGREES(ATAN(TAN(RADIANS(Parametros!$F$14-omega*e_base))*(A8/sref)^(Parametros!$B$14-1))),DEGREES(ATAN(TAN(RADIANS(Parametros!$F$15-omega*e_base))*(A8/sref)^(Parametros!$B$15-1))),DEGREES(ATAN(TAN(RADIANS(Parametros!$F$16-omega*e_base))*(A8/sref)^(Parametros!$B$16-1))))</f>
        <v/>
      </c>
      <c r="G8">
        <f>A8*TAN(RADIANS(E8))</f>
        <v/>
      </c>
      <c r="H8">
        <f>A8*TAN(RADIANS(F8))</f>
        <v/>
      </c>
      <c r="I8">
        <f>MIN(TAN(RADIANS(pe0-omega*0.55))*sref^(1-m_)*A8^m_,A8*TAN(RADIANS(tope)))</f>
        <v/>
      </c>
      <c r="J8">
        <f>MIN(TAN(RADIANS(pe0-omega*0.65))*sref^(1-m_)*A8^m_,A8*TAN(RADIANS(tope)))</f>
        <v/>
      </c>
      <c r="K8">
        <f>IF(MAX(A8,sv_piso)&lt;=1,e_base-cc_bajo*LOG10(MAX(A8,sv_piso)/sv_piso),e_base-cc_bajo*LOG10(1/sv_piso)-cc_alto*LOG10(A8))</f>
        <v/>
      </c>
      <c r="L8">
        <f>MIN(TAN(RADIANS(pe0-omega*K8))*sref^(1-m_)*A8^m_,A8*TAN(RADIANS(tope)))</f>
        <v/>
      </c>
      <c r="M8" t="n">
        <v>0.441</v>
      </c>
      <c r="N8">
        <f>MIN(TAN(RADIANS(pe0-omega*M8))*sref^(1-m_)*A8^m_,A8*TAN(RADIANS(tope)))</f>
        <v/>
      </c>
      <c r="O8">
        <f>DEGREES(ATAN(TAN(RADIANS(33))*(A8/sref)^(0.9-1)))</f>
        <v/>
      </c>
      <c r="P8">
        <f>DEGREES(ATAN(1.446*(A8*1000)^0.898/(A8*1000)))</f>
        <v/>
      </c>
      <c r="Q8">
        <f>A8*TAN(RADIANS(O8))</f>
        <v/>
      </c>
      <c r="R8">
        <f>A8*TAN(RADIANS(P8))</f>
        <v/>
      </c>
      <c r="S8">
        <f>A8*TAN(RADIANS(37))</f>
        <v/>
      </c>
    </row>
    <row r="9">
      <c r="A9" t="n">
        <v>0.2</v>
      </c>
      <c r="B9" t="inlineStr">
        <is>
          <t>con ensayos de Antamina</t>
        </is>
      </c>
      <c r="C9">
        <f>MIN(TAN(RADIANS(pe0-omega*e_base))*sref^(1-m_)*A9^m_,A9*TAN(RADIANS(tope)))</f>
        <v/>
      </c>
      <c r="D9">
        <f>DEGREES(ATAN(C9/A9))</f>
        <v/>
      </c>
      <c r="E9">
        <f>MIN(DEGREES(ATAN(TAN(RADIANS(Parametros!$E$12-omega*e_base))*(A9/sref)^(Parametros!$B$12-1))),DEGREES(ATAN(TAN(RADIANS(Parametros!$E$13-omega*e_base))*(A9/sref)^(Parametros!$B$13-1))),DEGREES(ATAN(TAN(RADIANS(Parametros!$E$14-omega*e_base))*(A9/sref)^(Parametros!$B$14-1))),DEGREES(ATAN(TAN(RADIANS(Parametros!$E$15-omega*e_base))*(A9/sref)^(Parametros!$B$15-1))),DEGREES(ATAN(TAN(RADIANS(Parametros!$E$16-omega*e_base))*(A9/sref)^(Parametros!$B$16-1))))</f>
        <v/>
      </c>
      <c r="F9">
        <f>MAX(DEGREES(ATAN(TAN(RADIANS(Parametros!$F$12-omega*e_base))*(A9/sref)^(Parametros!$B$12-1))),DEGREES(ATAN(TAN(RADIANS(Parametros!$F$13-omega*e_base))*(A9/sref)^(Parametros!$B$13-1))),DEGREES(ATAN(TAN(RADIANS(Parametros!$F$14-omega*e_base))*(A9/sref)^(Parametros!$B$14-1))),DEGREES(ATAN(TAN(RADIANS(Parametros!$F$15-omega*e_base))*(A9/sref)^(Parametros!$B$15-1))),DEGREES(ATAN(TAN(RADIANS(Parametros!$F$16-omega*e_base))*(A9/sref)^(Parametros!$B$16-1))))</f>
        <v/>
      </c>
      <c r="G9">
        <f>A9*TAN(RADIANS(E9))</f>
        <v/>
      </c>
      <c r="H9">
        <f>A9*TAN(RADIANS(F9))</f>
        <v/>
      </c>
      <c r="I9">
        <f>MIN(TAN(RADIANS(pe0-omega*0.55))*sref^(1-m_)*A9^m_,A9*TAN(RADIANS(tope)))</f>
        <v/>
      </c>
      <c r="J9">
        <f>MIN(TAN(RADIANS(pe0-omega*0.65))*sref^(1-m_)*A9^m_,A9*TAN(RADIANS(tope)))</f>
        <v/>
      </c>
      <c r="K9">
        <f>IF(MAX(A9,sv_piso)&lt;=1,e_base-cc_bajo*LOG10(MAX(A9,sv_piso)/sv_piso),e_base-cc_bajo*LOG10(1/sv_piso)-cc_alto*LOG10(A9))</f>
        <v/>
      </c>
      <c r="L9">
        <f>MIN(TAN(RADIANS(pe0-omega*K9))*sref^(1-m_)*A9^m_,A9*TAN(RADIANS(tope)))</f>
        <v/>
      </c>
      <c r="M9" t="n">
        <v>0.438</v>
      </c>
      <c r="N9">
        <f>MIN(TAN(RADIANS(pe0-omega*M9))*sref^(1-m_)*A9^m_,A9*TAN(RADIANS(tope)))</f>
        <v/>
      </c>
      <c r="O9">
        <f>DEGREES(ATAN(TAN(RADIANS(33))*(A9/sref)^(0.9-1)))</f>
        <v/>
      </c>
      <c r="P9">
        <f>DEGREES(ATAN(1.446*(A9*1000)^0.898/(A9*1000)))</f>
        <v/>
      </c>
      <c r="Q9">
        <f>A9*TAN(RADIANS(O9))</f>
        <v/>
      </c>
      <c r="R9">
        <f>A9*TAN(RADIANS(P9))</f>
        <v/>
      </c>
      <c r="S9">
        <f>A9*TAN(RADIANS(37))</f>
        <v/>
      </c>
    </row>
    <row r="10">
      <c r="A10" t="n">
        <v>0.3</v>
      </c>
      <c r="B10" t="inlineStr">
        <is>
          <t>con ensayos de Antamina</t>
        </is>
      </c>
      <c r="C10">
        <f>MIN(TAN(RADIANS(pe0-omega*e_base))*sref^(1-m_)*A10^m_,A10*TAN(RADIANS(tope)))</f>
        <v/>
      </c>
      <c r="D10">
        <f>DEGREES(ATAN(C10/A10))</f>
        <v/>
      </c>
      <c r="E10">
        <f>MIN(DEGREES(ATAN(TAN(RADIANS(Parametros!$E$12-omega*e_base))*(A10/sref)^(Parametros!$B$12-1))),DEGREES(ATAN(TAN(RADIANS(Parametros!$E$13-omega*e_base))*(A10/sref)^(Parametros!$B$13-1))),DEGREES(ATAN(TAN(RADIANS(Parametros!$E$14-omega*e_base))*(A10/sref)^(Parametros!$B$14-1))),DEGREES(ATAN(TAN(RADIANS(Parametros!$E$15-omega*e_base))*(A10/sref)^(Parametros!$B$15-1))),DEGREES(ATAN(TAN(RADIANS(Parametros!$E$16-omega*e_base))*(A10/sref)^(Parametros!$B$16-1))))</f>
        <v/>
      </c>
      <c r="F10">
        <f>MAX(DEGREES(ATAN(TAN(RADIANS(Parametros!$F$12-omega*e_base))*(A10/sref)^(Parametros!$B$12-1))),DEGREES(ATAN(TAN(RADIANS(Parametros!$F$13-omega*e_base))*(A10/sref)^(Parametros!$B$13-1))),DEGREES(ATAN(TAN(RADIANS(Parametros!$F$14-omega*e_base))*(A10/sref)^(Parametros!$B$14-1))),DEGREES(ATAN(TAN(RADIANS(Parametros!$F$15-omega*e_base))*(A10/sref)^(Parametros!$B$15-1))),DEGREES(ATAN(TAN(RADIANS(Parametros!$F$16-omega*e_base))*(A10/sref)^(Parametros!$B$16-1))))</f>
        <v/>
      </c>
      <c r="G10">
        <f>A10*TAN(RADIANS(E10))</f>
        <v/>
      </c>
      <c r="H10">
        <f>A10*TAN(RADIANS(F10))</f>
        <v/>
      </c>
      <c r="I10">
        <f>MIN(TAN(RADIANS(pe0-omega*0.55))*sref^(1-m_)*A10^m_,A10*TAN(RADIANS(tope)))</f>
        <v/>
      </c>
      <c r="J10">
        <f>MIN(TAN(RADIANS(pe0-omega*0.65))*sref^(1-m_)*A10^m_,A10*TAN(RADIANS(tope)))</f>
        <v/>
      </c>
      <c r="K10">
        <f>IF(MAX(A10,sv_piso)&lt;=1,e_base-cc_bajo*LOG10(MAX(A10,sv_piso)/sv_piso),e_base-cc_bajo*LOG10(1/sv_piso)-cc_alto*LOG10(A10))</f>
        <v/>
      </c>
      <c r="L10">
        <f>MIN(TAN(RADIANS(pe0-omega*K10))*sref^(1-m_)*A10^m_,A10*TAN(RADIANS(tope)))</f>
        <v/>
      </c>
      <c r="M10" t="n">
        <v>0.432</v>
      </c>
      <c r="N10">
        <f>MIN(TAN(RADIANS(pe0-omega*M10))*sref^(1-m_)*A10^m_,A10*TAN(RADIANS(tope)))</f>
        <v/>
      </c>
      <c r="O10">
        <f>DEGREES(ATAN(TAN(RADIANS(33))*(A10/sref)^(0.9-1)))</f>
        <v/>
      </c>
      <c r="P10">
        <f>DEGREES(ATAN(1.446*(A10*1000)^0.898/(A10*1000)))</f>
        <v/>
      </c>
      <c r="Q10">
        <f>A10*TAN(RADIANS(O10))</f>
        <v/>
      </c>
      <c r="R10">
        <f>A10*TAN(RADIANS(P10))</f>
        <v/>
      </c>
      <c r="S10">
        <f>A10*TAN(RADIANS(37))</f>
        <v/>
      </c>
    </row>
    <row r="11">
      <c r="A11" t="n">
        <v>0.5</v>
      </c>
      <c r="B11" t="inlineStr">
        <is>
          <t>con ensayos de Antamina</t>
        </is>
      </c>
      <c r="C11">
        <f>MIN(TAN(RADIANS(pe0-omega*e_base))*sref^(1-m_)*A11^m_,A11*TAN(RADIANS(tope)))</f>
        <v/>
      </c>
      <c r="D11">
        <f>DEGREES(ATAN(C11/A11))</f>
        <v/>
      </c>
      <c r="E11">
        <f>MIN(DEGREES(ATAN(TAN(RADIANS(Parametros!$E$12-omega*e_base))*(A11/sref)^(Parametros!$B$12-1))),DEGREES(ATAN(TAN(RADIANS(Parametros!$E$13-omega*e_base))*(A11/sref)^(Parametros!$B$13-1))),DEGREES(ATAN(TAN(RADIANS(Parametros!$E$14-omega*e_base))*(A11/sref)^(Parametros!$B$14-1))),DEGREES(ATAN(TAN(RADIANS(Parametros!$E$15-omega*e_base))*(A11/sref)^(Parametros!$B$15-1))),DEGREES(ATAN(TAN(RADIANS(Parametros!$E$16-omega*e_base))*(A11/sref)^(Parametros!$B$16-1))))</f>
        <v/>
      </c>
      <c r="F11">
        <f>MAX(DEGREES(ATAN(TAN(RADIANS(Parametros!$F$12-omega*e_base))*(A11/sref)^(Parametros!$B$12-1))),DEGREES(ATAN(TAN(RADIANS(Parametros!$F$13-omega*e_base))*(A11/sref)^(Parametros!$B$13-1))),DEGREES(ATAN(TAN(RADIANS(Parametros!$F$14-omega*e_base))*(A11/sref)^(Parametros!$B$14-1))),DEGREES(ATAN(TAN(RADIANS(Parametros!$F$15-omega*e_base))*(A11/sref)^(Parametros!$B$15-1))),DEGREES(ATAN(TAN(RADIANS(Parametros!$F$16-omega*e_base))*(A11/sref)^(Parametros!$B$16-1))))</f>
        <v/>
      </c>
      <c r="G11">
        <f>A11*TAN(RADIANS(E11))</f>
        <v/>
      </c>
      <c r="H11">
        <f>A11*TAN(RADIANS(F11))</f>
        <v/>
      </c>
      <c r="I11">
        <f>MIN(TAN(RADIANS(pe0-omega*0.55))*sref^(1-m_)*A11^m_,A11*TAN(RADIANS(tope)))</f>
        <v/>
      </c>
      <c r="J11">
        <f>MIN(TAN(RADIANS(pe0-omega*0.65))*sref^(1-m_)*A11^m_,A11*TAN(RADIANS(tope)))</f>
        <v/>
      </c>
      <c r="K11">
        <f>IF(MAX(A11,sv_piso)&lt;=1,e_base-cc_bajo*LOG10(MAX(A11,sv_piso)/sv_piso),e_base-cc_bajo*LOG10(1/sv_piso)-cc_alto*LOG10(A11))</f>
        <v/>
      </c>
      <c r="L11">
        <f>MIN(TAN(RADIANS(pe0-omega*K11))*sref^(1-m_)*A11^m_,A11*TAN(RADIANS(tope)))</f>
        <v/>
      </c>
      <c r="M11" t="n">
        <v>0.4201</v>
      </c>
      <c r="N11">
        <f>MIN(TAN(RADIANS(pe0-omega*M11))*sref^(1-m_)*A11^m_,A11*TAN(RADIANS(tope)))</f>
        <v/>
      </c>
      <c r="O11">
        <f>DEGREES(ATAN(TAN(RADIANS(33))*(A11/sref)^(0.9-1)))</f>
        <v/>
      </c>
      <c r="P11">
        <f>DEGREES(ATAN(1.446*(A11*1000)^0.898/(A11*1000)))</f>
        <v/>
      </c>
      <c r="Q11">
        <f>A11*TAN(RADIANS(O11))</f>
        <v/>
      </c>
      <c r="R11">
        <f>A11*TAN(RADIANS(P11))</f>
        <v/>
      </c>
      <c r="S11">
        <f>A11*TAN(RADIANS(37))</f>
        <v/>
      </c>
    </row>
    <row r="12">
      <c r="A12" t="n">
        <v>0.7</v>
      </c>
      <c r="B12" t="inlineStr">
        <is>
          <t>con ensayos de Antamina</t>
        </is>
      </c>
      <c r="C12">
        <f>MIN(TAN(RADIANS(pe0-omega*e_base))*sref^(1-m_)*A12^m_,A12*TAN(RADIANS(tope)))</f>
        <v/>
      </c>
      <c r="D12">
        <f>DEGREES(ATAN(C12/A12))</f>
        <v/>
      </c>
      <c r="E12">
        <f>MIN(DEGREES(ATAN(TAN(RADIANS(Parametros!$E$12-omega*e_base))*(A12/sref)^(Parametros!$B$12-1))),DEGREES(ATAN(TAN(RADIANS(Parametros!$E$13-omega*e_base))*(A12/sref)^(Parametros!$B$13-1))),DEGREES(ATAN(TAN(RADIANS(Parametros!$E$14-omega*e_base))*(A12/sref)^(Parametros!$B$14-1))),DEGREES(ATAN(TAN(RADIANS(Parametros!$E$15-omega*e_base))*(A12/sref)^(Parametros!$B$15-1))),DEGREES(ATAN(TAN(RADIANS(Parametros!$E$16-omega*e_base))*(A12/sref)^(Parametros!$B$16-1))))</f>
        <v/>
      </c>
      <c r="F12">
        <f>MAX(DEGREES(ATAN(TAN(RADIANS(Parametros!$F$12-omega*e_base))*(A12/sref)^(Parametros!$B$12-1))),DEGREES(ATAN(TAN(RADIANS(Parametros!$F$13-omega*e_base))*(A12/sref)^(Parametros!$B$13-1))),DEGREES(ATAN(TAN(RADIANS(Parametros!$F$14-omega*e_base))*(A12/sref)^(Parametros!$B$14-1))),DEGREES(ATAN(TAN(RADIANS(Parametros!$F$15-omega*e_base))*(A12/sref)^(Parametros!$B$15-1))),DEGREES(ATAN(TAN(RADIANS(Parametros!$F$16-omega*e_base))*(A12/sref)^(Parametros!$B$16-1))))</f>
        <v/>
      </c>
      <c r="G12">
        <f>A12*TAN(RADIANS(E12))</f>
        <v/>
      </c>
      <c r="H12">
        <f>A12*TAN(RADIANS(F12))</f>
        <v/>
      </c>
      <c r="I12">
        <f>MIN(TAN(RADIANS(pe0-omega*0.55))*sref^(1-m_)*A12^m_,A12*TAN(RADIANS(tope)))</f>
        <v/>
      </c>
      <c r="J12">
        <f>MIN(TAN(RADIANS(pe0-omega*0.65))*sref^(1-m_)*A12^m_,A12*TAN(RADIANS(tope)))</f>
        <v/>
      </c>
      <c r="K12">
        <f>IF(MAX(A12,sv_piso)&lt;=1,e_base-cc_bajo*LOG10(MAX(A12,sv_piso)/sv_piso),e_base-cc_bajo*LOG10(1/sv_piso)-cc_alto*LOG10(A12))</f>
        <v/>
      </c>
      <c r="L12">
        <f>MIN(TAN(RADIANS(pe0-omega*K12))*sref^(1-m_)*A12^m_,A12*TAN(RADIANS(tope)))</f>
        <v/>
      </c>
      <c r="M12" t="n">
        <v>0.4083</v>
      </c>
      <c r="N12">
        <f>MIN(TAN(RADIANS(pe0-omega*M12))*sref^(1-m_)*A12^m_,A12*TAN(RADIANS(tope)))</f>
        <v/>
      </c>
      <c r="O12">
        <f>DEGREES(ATAN(TAN(RADIANS(33))*(A12/sref)^(0.9-1)))</f>
        <v/>
      </c>
      <c r="P12">
        <f>DEGREES(ATAN(1.446*(A12*1000)^0.898/(A12*1000)))</f>
        <v/>
      </c>
      <c r="Q12">
        <f>A12*TAN(RADIANS(O12))</f>
        <v/>
      </c>
      <c r="R12">
        <f>A12*TAN(RADIANS(P12))</f>
        <v/>
      </c>
      <c r="S12">
        <f>A12*TAN(RADIANS(37))</f>
        <v/>
      </c>
    </row>
    <row r="13">
      <c r="A13" t="n">
        <v>1</v>
      </c>
      <c r="B13" t="inlineStr">
        <is>
          <t>con ensayos de Antamina</t>
        </is>
      </c>
      <c r="C13">
        <f>MIN(TAN(RADIANS(pe0-omega*e_base))*sref^(1-m_)*A13^m_,A13*TAN(RADIANS(tope)))</f>
        <v/>
      </c>
      <c r="D13">
        <f>DEGREES(ATAN(C13/A13))</f>
        <v/>
      </c>
      <c r="E13">
        <f>MIN(DEGREES(ATAN(TAN(RADIANS(Parametros!$E$12-omega*e_base))*(A13/sref)^(Parametros!$B$12-1))),DEGREES(ATAN(TAN(RADIANS(Parametros!$E$13-omega*e_base))*(A13/sref)^(Parametros!$B$13-1))),DEGREES(ATAN(TAN(RADIANS(Parametros!$E$14-omega*e_base))*(A13/sref)^(Parametros!$B$14-1))),DEGREES(ATAN(TAN(RADIANS(Parametros!$E$15-omega*e_base))*(A13/sref)^(Parametros!$B$15-1))),DEGREES(ATAN(TAN(RADIANS(Parametros!$E$16-omega*e_base))*(A13/sref)^(Parametros!$B$16-1))))</f>
        <v/>
      </c>
      <c r="F13">
        <f>MAX(DEGREES(ATAN(TAN(RADIANS(Parametros!$F$12-omega*e_base))*(A13/sref)^(Parametros!$B$12-1))),DEGREES(ATAN(TAN(RADIANS(Parametros!$F$13-omega*e_base))*(A13/sref)^(Parametros!$B$13-1))),DEGREES(ATAN(TAN(RADIANS(Parametros!$F$14-omega*e_base))*(A13/sref)^(Parametros!$B$14-1))),DEGREES(ATAN(TAN(RADIANS(Parametros!$F$15-omega*e_base))*(A13/sref)^(Parametros!$B$15-1))),DEGREES(ATAN(TAN(RADIANS(Parametros!$F$16-omega*e_base))*(A13/sref)^(Parametros!$B$16-1))))</f>
        <v/>
      </c>
      <c r="G13">
        <f>A13*TAN(RADIANS(E13))</f>
        <v/>
      </c>
      <c r="H13">
        <f>A13*TAN(RADIANS(F13))</f>
        <v/>
      </c>
      <c r="I13">
        <f>MIN(TAN(RADIANS(pe0-omega*0.55))*sref^(1-m_)*A13^m_,A13*TAN(RADIANS(tope)))</f>
        <v/>
      </c>
      <c r="J13">
        <f>MIN(TAN(RADIANS(pe0-omega*0.65))*sref^(1-m_)*A13^m_,A13*TAN(RADIANS(tope)))</f>
        <v/>
      </c>
      <c r="K13">
        <f>IF(MAX(A13,sv_piso)&lt;=1,e_base-cc_bajo*LOG10(MAX(A13,sv_piso)/sv_piso),e_base-cc_bajo*LOG10(1/sv_piso)-cc_alto*LOG10(A13))</f>
        <v/>
      </c>
      <c r="L13">
        <f>MIN(TAN(RADIANS(pe0-omega*K13))*sref^(1-m_)*A13^m_,A13*TAN(RADIANS(tope)))</f>
        <v/>
      </c>
      <c r="M13" t="n">
        <v>0.3934</v>
      </c>
      <c r="N13">
        <f>MIN(TAN(RADIANS(pe0-omega*M13))*sref^(1-m_)*A13^m_,A13*TAN(RADIANS(tope)))</f>
        <v/>
      </c>
      <c r="O13">
        <f>DEGREES(ATAN(TAN(RADIANS(33))*(A13/sref)^(0.9-1)))</f>
        <v/>
      </c>
      <c r="P13">
        <f>DEGREES(ATAN(1.446*(A13*1000)^0.898/(A13*1000)))</f>
        <v/>
      </c>
      <c r="Q13">
        <f>A13*TAN(RADIANS(O13))</f>
        <v/>
      </c>
      <c r="R13">
        <f>A13*TAN(RADIANS(P13))</f>
        <v/>
      </c>
      <c r="S13">
        <f>A13*TAN(RADIANS(37))</f>
        <v/>
      </c>
    </row>
    <row r="14">
      <c r="A14" t="n">
        <v>1.5</v>
      </c>
      <c r="B14" t="inlineStr">
        <is>
          <t>con ensayos de Antamina</t>
        </is>
      </c>
      <c r="C14">
        <f>MIN(TAN(RADIANS(pe0-omega*e_base))*sref^(1-m_)*A14^m_,A14*TAN(RADIANS(tope)))</f>
        <v/>
      </c>
      <c r="D14">
        <f>DEGREES(ATAN(C14/A14))</f>
        <v/>
      </c>
      <c r="E14">
        <f>MIN(DEGREES(ATAN(TAN(RADIANS(Parametros!$E$12-omega*e_base))*(A14/sref)^(Parametros!$B$12-1))),DEGREES(ATAN(TAN(RADIANS(Parametros!$E$13-omega*e_base))*(A14/sref)^(Parametros!$B$13-1))),DEGREES(ATAN(TAN(RADIANS(Parametros!$E$14-omega*e_base))*(A14/sref)^(Parametros!$B$14-1))),DEGREES(ATAN(TAN(RADIANS(Parametros!$E$15-omega*e_base))*(A14/sref)^(Parametros!$B$15-1))),DEGREES(ATAN(TAN(RADIANS(Parametros!$E$16-omega*e_base))*(A14/sref)^(Parametros!$B$16-1))))</f>
        <v/>
      </c>
      <c r="F14">
        <f>MAX(DEGREES(ATAN(TAN(RADIANS(Parametros!$F$12-omega*e_base))*(A14/sref)^(Parametros!$B$12-1))),DEGREES(ATAN(TAN(RADIANS(Parametros!$F$13-omega*e_base))*(A14/sref)^(Parametros!$B$13-1))),DEGREES(ATAN(TAN(RADIANS(Parametros!$F$14-omega*e_base))*(A14/sref)^(Parametros!$B$14-1))),DEGREES(ATAN(TAN(RADIANS(Parametros!$F$15-omega*e_base))*(A14/sref)^(Parametros!$B$15-1))),DEGREES(ATAN(TAN(RADIANS(Parametros!$F$16-omega*e_base))*(A14/sref)^(Parametros!$B$16-1))))</f>
        <v/>
      </c>
      <c r="G14">
        <f>A14*TAN(RADIANS(E14))</f>
        <v/>
      </c>
      <c r="H14">
        <f>A14*TAN(RADIANS(F14))</f>
        <v/>
      </c>
      <c r="I14">
        <f>MIN(TAN(RADIANS(pe0-omega*0.55))*sref^(1-m_)*A14^m_,A14*TAN(RADIANS(tope)))</f>
        <v/>
      </c>
      <c r="J14">
        <f>MIN(TAN(RADIANS(pe0-omega*0.65))*sref^(1-m_)*A14^m_,A14*TAN(RADIANS(tope)))</f>
        <v/>
      </c>
      <c r="K14">
        <f>IF(MAX(A14,sv_piso)&lt;=1,e_base-cc_bajo*LOG10(MAX(A14,sv_piso)/sv_piso),e_base-cc_bajo*LOG10(1/sv_piso)-cc_alto*LOG10(A14))</f>
        <v/>
      </c>
      <c r="L14">
        <f>MIN(TAN(RADIANS(pe0-omega*K14))*sref^(1-m_)*A14^m_,A14*TAN(RADIANS(tope)))</f>
        <v/>
      </c>
      <c r="M14" t="n">
        <v>0.3707</v>
      </c>
      <c r="N14">
        <f>MIN(TAN(RADIANS(pe0-omega*M14))*sref^(1-m_)*A14^m_,A14*TAN(RADIANS(tope)))</f>
        <v/>
      </c>
      <c r="O14">
        <f>DEGREES(ATAN(TAN(RADIANS(33))*(A14/sref)^(0.9-1)))</f>
        <v/>
      </c>
      <c r="P14">
        <f>DEGREES(ATAN(1.446*(A14*1000)^0.898/(A14*1000)))</f>
        <v/>
      </c>
      <c r="Q14">
        <f>A14*TAN(RADIANS(O14))</f>
        <v/>
      </c>
      <c r="R14">
        <f>A14*TAN(RADIANS(P14))</f>
        <v/>
      </c>
      <c r="S14">
        <f>A14*TAN(RADIANS(37))</f>
        <v/>
      </c>
    </row>
    <row r="15">
      <c r="A15" t="n">
        <v>2</v>
      </c>
      <c r="B15" t="inlineStr">
        <is>
          <t>con ensayos de Antamina</t>
        </is>
      </c>
      <c r="C15">
        <f>MIN(TAN(RADIANS(pe0-omega*e_base))*sref^(1-m_)*A15^m_,A15*TAN(RADIANS(tope)))</f>
        <v/>
      </c>
      <c r="D15">
        <f>DEGREES(ATAN(C15/A15))</f>
        <v/>
      </c>
      <c r="E15">
        <f>MIN(DEGREES(ATAN(TAN(RADIANS(Parametros!$E$12-omega*e_base))*(A15/sref)^(Parametros!$B$12-1))),DEGREES(ATAN(TAN(RADIANS(Parametros!$E$13-omega*e_base))*(A15/sref)^(Parametros!$B$13-1))),DEGREES(ATAN(TAN(RADIANS(Parametros!$E$14-omega*e_base))*(A15/sref)^(Parametros!$B$14-1))),DEGREES(ATAN(TAN(RADIANS(Parametros!$E$15-omega*e_base))*(A15/sref)^(Parametros!$B$15-1))),DEGREES(ATAN(TAN(RADIANS(Parametros!$E$16-omega*e_base))*(A15/sref)^(Parametros!$B$16-1))))</f>
        <v/>
      </c>
      <c r="F15">
        <f>MAX(DEGREES(ATAN(TAN(RADIANS(Parametros!$F$12-omega*e_base))*(A15/sref)^(Parametros!$B$12-1))),DEGREES(ATAN(TAN(RADIANS(Parametros!$F$13-omega*e_base))*(A15/sref)^(Parametros!$B$13-1))),DEGREES(ATAN(TAN(RADIANS(Parametros!$F$14-omega*e_base))*(A15/sref)^(Parametros!$B$14-1))),DEGREES(ATAN(TAN(RADIANS(Parametros!$F$15-omega*e_base))*(A15/sref)^(Parametros!$B$15-1))),DEGREES(ATAN(TAN(RADIANS(Parametros!$F$16-omega*e_base))*(A15/sref)^(Parametros!$B$16-1))))</f>
        <v/>
      </c>
      <c r="G15">
        <f>A15*TAN(RADIANS(E15))</f>
        <v/>
      </c>
      <c r="H15">
        <f>A15*TAN(RADIANS(F15))</f>
        <v/>
      </c>
      <c r="I15">
        <f>MIN(TAN(RADIANS(pe0-omega*0.55))*sref^(1-m_)*A15^m_,A15*TAN(RADIANS(tope)))</f>
        <v/>
      </c>
      <c r="J15">
        <f>MIN(TAN(RADIANS(pe0-omega*0.65))*sref^(1-m_)*A15^m_,A15*TAN(RADIANS(tope)))</f>
        <v/>
      </c>
      <c r="K15">
        <f>IF(MAX(A15,sv_piso)&lt;=1,e_base-cc_bajo*LOG10(MAX(A15,sv_piso)/sv_piso),e_base-cc_bajo*LOG10(1/sv_piso)-cc_alto*LOG10(A15))</f>
        <v/>
      </c>
      <c r="L15">
        <f>MIN(TAN(RADIANS(pe0-omega*K15))*sref^(1-m_)*A15^m_,A15*TAN(RADIANS(tope)))</f>
        <v/>
      </c>
      <c r="M15" t="n">
        <v>0.3493</v>
      </c>
      <c r="N15">
        <f>MIN(TAN(RADIANS(pe0-omega*M15))*sref^(1-m_)*A15^m_,A15*TAN(RADIANS(tope)))</f>
        <v/>
      </c>
      <c r="O15">
        <f>DEGREES(ATAN(TAN(RADIANS(33))*(A15/sref)^(0.9-1)))</f>
        <v/>
      </c>
      <c r="P15">
        <f>DEGREES(ATAN(1.446*(A15*1000)^0.898/(A15*1000)))</f>
        <v/>
      </c>
      <c r="Q15">
        <f>A15*TAN(RADIANS(O15))</f>
        <v/>
      </c>
      <c r="R15">
        <f>A15*TAN(RADIANS(P15))</f>
        <v/>
      </c>
      <c r="S15">
        <f>A15*TAN(RADIANS(37))</f>
        <v/>
      </c>
    </row>
    <row r="16">
      <c r="A16" t="n">
        <v>3</v>
      </c>
      <c r="B16" t="inlineStr">
        <is>
          <t>con ensayos de Antamina</t>
        </is>
      </c>
      <c r="C16">
        <f>MIN(TAN(RADIANS(pe0-omega*e_base))*sref^(1-m_)*A16^m_,A16*TAN(RADIANS(tope)))</f>
        <v/>
      </c>
      <c r="D16">
        <f>DEGREES(ATAN(C16/A16))</f>
        <v/>
      </c>
      <c r="E16">
        <f>MIN(DEGREES(ATAN(TAN(RADIANS(Parametros!$E$12-omega*e_base))*(A16/sref)^(Parametros!$B$12-1))),DEGREES(ATAN(TAN(RADIANS(Parametros!$E$13-omega*e_base))*(A16/sref)^(Parametros!$B$13-1))),DEGREES(ATAN(TAN(RADIANS(Parametros!$E$14-omega*e_base))*(A16/sref)^(Parametros!$B$14-1))),DEGREES(ATAN(TAN(RADIANS(Parametros!$E$15-omega*e_base))*(A16/sref)^(Parametros!$B$15-1))),DEGREES(ATAN(TAN(RADIANS(Parametros!$E$16-omega*e_base))*(A16/sref)^(Parametros!$B$16-1))))</f>
        <v/>
      </c>
      <c r="F16">
        <f>MAX(DEGREES(ATAN(TAN(RADIANS(Parametros!$F$12-omega*e_base))*(A16/sref)^(Parametros!$B$12-1))),DEGREES(ATAN(TAN(RADIANS(Parametros!$F$13-omega*e_base))*(A16/sref)^(Parametros!$B$13-1))),DEGREES(ATAN(TAN(RADIANS(Parametros!$F$14-omega*e_base))*(A16/sref)^(Parametros!$B$14-1))),DEGREES(ATAN(TAN(RADIANS(Parametros!$F$15-omega*e_base))*(A16/sref)^(Parametros!$B$15-1))),DEGREES(ATAN(TAN(RADIANS(Parametros!$F$16-omega*e_base))*(A16/sref)^(Parametros!$B$16-1))))</f>
        <v/>
      </c>
      <c r="G16">
        <f>A16*TAN(RADIANS(E16))</f>
        <v/>
      </c>
      <c r="H16">
        <f>A16*TAN(RADIANS(F16))</f>
        <v/>
      </c>
      <c r="I16">
        <f>MIN(TAN(RADIANS(pe0-omega*0.55))*sref^(1-m_)*A16^m_,A16*TAN(RADIANS(tope)))</f>
        <v/>
      </c>
      <c r="J16">
        <f>MIN(TAN(RADIANS(pe0-omega*0.65))*sref^(1-m_)*A16^m_,A16*TAN(RADIANS(tope)))</f>
        <v/>
      </c>
      <c r="K16">
        <f>IF(MAX(A16,sv_piso)&lt;=1,e_base-cc_bajo*LOG10(MAX(A16,sv_piso)/sv_piso),e_base-cc_bajo*LOG10(1/sv_piso)-cc_alto*LOG10(A16))</f>
        <v/>
      </c>
      <c r="L16">
        <f>MIN(TAN(RADIANS(pe0-omega*K16))*sref^(1-m_)*A16^m_,A16*TAN(RADIANS(tope)))</f>
        <v/>
      </c>
      <c r="M16" t="n">
        <v>0.3091</v>
      </c>
      <c r="N16">
        <f>MIN(TAN(RADIANS(pe0-omega*M16))*sref^(1-m_)*A16^m_,A16*TAN(RADIANS(tope)))</f>
        <v/>
      </c>
      <c r="O16">
        <f>DEGREES(ATAN(TAN(RADIANS(33))*(A16/sref)^(0.9-1)))</f>
        <v/>
      </c>
      <c r="P16">
        <f>DEGREES(ATAN(1.446*(A16*1000)^0.898/(A16*1000)))</f>
        <v/>
      </c>
      <c r="Q16">
        <f>A16*TAN(RADIANS(O16))</f>
        <v/>
      </c>
      <c r="R16">
        <f>A16*TAN(RADIANS(P16))</f>
        <v/>
      </c>
      <c r="S16">
        <f>A16*TAN(RADIANS(37))</f>
        <v/>
      </c>
    </row>
    <row r="17">
      <c r="A17" t="n">
        <v>4</v>
      </c>
      <c r="B17" t="inlineStr">
        <is>
          <t>con ensayos de Antamina</t>
        </is>
      </c>
      <c r="C17">
        <f>MIN(TAN(RADIANS(pe0-omega*e_base))*sref^(1-m_)*A17^m_,A17*TAN(RADIANS(tope)))</f>
        <v/>
      </c>
      <c r="D17">
        <f>DEGREES(ATAN(C17/A17))</f>
        <v/>
      </c>
      <c r="E17">
        <f>MIN(DEGREES(ATAN(TAN(RADIANS(Parametros!$E$12-omega*e_base))*(A17/sref)^(Parametros!$B$12-1))),DEGREES(ATAN(TAN(RADIANS(Parametros!$E$13-omega*e_base))*(A17/sref)^(Parametros!$B$13-1))),DEGREES(ATAN(TAN(RADIANS(Parametros!$E$14-omega*e_base))*(A17/sref)^(Parametros!$B$14-1))),DEGREES(ATAN(TAN(RADIANS(Parametros!$E$15-omega*e_base))*(A17/sref)^(Parametros!$B$15-1))),DEGREES(ATAN(TAN(RADIANS(Parametros!$E$16-omega*e_base))*(A17/sref)^(Parametros!$B$16-1))))</f>
        <v/>
      </c>
      <c r="F17">
        <f>MAX(DEGREES(ATAN(TAN(RADIANS(Parametros!$F$12-omega*e_base))*(A17/sref)^(Parametros!$B$12-1))),DEGREES(ATAN(TAN(RADIANS(Parametros!$F$13-omega*e_base))*(A17/sref)^(Parametros!$B$13-1))),DEGREES(ATAN(TAN(RADIANS(Parametros!$F$14-omega*e_base))*(A17/sref)^(Parametros!$B$14-1))),DEGREES(ATAN(TAN(RADIANS(Parametros!$F$15-omega*e_base))*(A17/sref)^(Parametros!$B$15-1))),DEGREES(ATAN(TAN(RADIANS(Parametros!$F$16-omega*e_base))*(A17/sref)^(Parametros!$B$16-1))))</f>
        <v/>
      </c>
      <c r="G17">
        <f>A17*TAN(RADIANS(E17))</f>
        <v/>
      </c>
      <c r="H17">
        <f>A17*TAN(RADIANS(F17))</f>
        <v/>
      </c>
      <c r="I17">
        <f>MIN(TAN(RADIANS(pe0-omega*0.55))*sref^(1-m_)*A17^m_,A17*TAN(RADIANS(tope)))</f>
        <v/>
      </c>
      <c r="J17">
        <f>MIN(TAN(RADIANS(pe0-omega*0.65))*sref^(1-m_)*A17^m_,A17*TAN(RADIANS(tope)))</f>
        <v/>
      </c>
      <c r="K17">
        <f>IF(MAX(A17,sv_piso)&lt;=1,e_base-cc_bajo*LOG10(MAX(A17,sv_piso)/sv_piso),e_base-cc_bajo*LOG10(1/sv_piso)-cc_alto*LOG10(A17))</f>
        <v/>
      </c>
      <c r="L17">
        <f>MIN(TAN(RADIANS(pe0-omega*K17))*sref^(1-m_)*A17^m_,A17*TAN(RADIANS(tope)))</f>
        <v/>
      </c>
      <c r="M17" t="n">
        <v>0.2721</v>
      </c>
      <c r="N17">
        <f>MIN(TAN(RADIANS(pe0-omega*M17))*sref^(1-m_)*A17^m_,A17*TAN(RADIANS(tope)))</f>
        <v/>
      </c>
      <c r="O17">
        <f>DEGREES(ATAN(TAN(RADIANS(33))*(A17/sref)^(0.9-1)))</f>
        <v/>
      </c>
      <c r="P17">
        <f>DEGREES(ATAN(1.446*(A17*1000)^0.898/(A17*1000)))</f>
        <v/>
      </c>
      <c r="Q17">
        <f>A17*TAN(RADIANS(O17))</f>
        <v/>
      </c>
      <c r="R17">
        <f>A17*TAN(RADIANS(P17))</f>
        <v/>
      </c>
      <c r="S17">
        <f>A17*TAN(RADIANS(37))</f>
        <v/>
      </c>
    </row>
    <row r="18">
      <c r="A18" t="n">
        <v>4.6</v>
      </c>
      <c r="B18" t="inlineStr">
        <is>
          <t>con ensayos de Antamina</t>
        </is>
      </c>
      <c r="C18">
        <f>MIN(TAN(RADIANS(pe0-omega*e_base))*sref^(1-m_)*A18^m_,A18*TAN(RADIANS(tope)))</f>
        <v/>
      </c>
      <c r="D18">
        <f>DEGREES(ATAN(C18/A18))</f>
        <v/>
      </c>
      <c r="E18">
        <f>MIN(DEGREES(ATAN(TAN(RADIANS(Parametros!$E$12-omega*e_base))*(A18/sref)^(Parametros!$B$12-1))),DEGREES(ATAN(TAN(RADIANS(Parametros!$E$13-omega*e_base))*(A18/sref)^(Parametros!$B$13-1))),DEGREES(ATAN(TAN(RADIANS(Parametros!$E$14-omega*e_base))*(A18/sref)^(Parametros!$B$14-1))),DEGREES(ATAN(TAN(RADIANS(Parametros!$E$15-omega*e_base))*(A18/sref)^(Parametros!$B$15-1))),DEGREES(ATAN(TAN(RADIANS(Parametros!$E$16-omega*e_base))*(A18/sref)^(Parametros!$B$16-1))))</f>
        <v/>
      </c>
      <c r="F18">
        <f>MAX(DEGREES(ATAN(TAN(RADIANS(Parametros!$F$12-omega*e_base))*(A18/sref)^(Parametros!$B$12-1))),DEGREES(ATAN(TAN(RADIANS(Parametros!$F$13-omega*e_base))*(A18/sref)^(Parametros!$B$13-1))),DEGREES(ATAN(TAN(RADIANS(Parametros!$F$14-omega*e_base))*(A18/sref)^(Parametros!$B$14-1))),DEGREES(ATAN(TAN(RADIANS(Parametros!$F$15-omega*e_base))*(A18/sref)^(Parametros!$B$15-1))),DEGREES(ATAN(TAN(RADIANS(Parametros!$F$16-omega*e_base))*(A18/sref)^(Parametros!$B$16-1))))</f>
        <v/>
      </c>
      <c r="G18">
        <f>A18*TAN(RADIANS(E18))</f>
        <v/>
      </c>
      <c r="H18">
        <f>A18*TAN(RADIANS(F18))</f>
        <v/>
      </c>
      <c r="I18">
        <f>MIN(TAN(RADIANS(pe0-omega*0.55))*sref^(1-m_)*A18^m_,A18*TAN(RADIANS(tope)))</f>
        <v/>
      </c>
      <c r="J18">
        <f>MIN(TAN(RADIANS(pe0-omega*0.65))*sref^(1-m_)*A18^m_,A18*TAN(RADIANS(tope)))</f>
        <v/>
      </c>
      <c r="K18">
        <f>IF(MAX(A18,sv_piso)&lt;=1,e_base-cc_bajo*LOG10(MAX(A18,sv_piso)/sv_piso),e_base-cc_bajo*LOG10(1/sv_piso)-cc_alto*LOG10(A18))</f>
        <v/>
      </c>
      <c r="L18">
        <f>MIN(TAN(RADIANS(pe0-omega*K18))*sref^(1-m_)*A18^m_,A18*TAN(RADIANS(tope)))</f>
        <v/>
      </c>
      <c r="M18" t="n">
        <v>0.2541</v>
      </c>
      <c r="N18">
        <f>MIN(TAN(RADIANS(pe0-omega*M18))*sref^(1-m_)*A18^m_,A18*TAN(RADIANS(tope)))</f>
        <v/>
      </c>
      <c r="O18">
        <f>DEGREES(ATAN(TAN(RADIANS(33))*(A18/sref)^(0.9-1)))</f>
        <v/>
      </c>
      <c r="P18">
        <f>DEGREES(ATAN(1.446*(A18*1000)^0.898/(A18*1000)))</f>
        <v/>
      </c>
      <c r="Q18">
        <f>A18*TAN(RADIANS(O18))</f>
        <v/>
      </c>
      <c r="R18">
        <f>A18*TAN(RADIANS(P18))</f>
        <v/>
      </c>
      <c r="S18">
        <f>A18*TAN(RADIANS(37))</f>
        <v/>
      </c>
    </row>
    <row r="19">
      <c r="A19" t="n">
        <v>5</v>
      </c>
      <c r="B19" t="inlineStr">
        <is>
          <t>solo base mundial</t>
        </is>
      </c>
      <c r="C19">
        <f>MIN(TAN(RADIANS(pe0-omega*e_base))*sref^(1-m_)*A19^m_,A19*TAN(RADIANS(tope)))</f>
        <v/>
      </c>
      <c r="D19">
        <f>DEGREES(ATAN(C19/A19))</f>
        <v/>
      </c>
      <c r="E19">
        <f>MIN(DEGREES(ATAN(TAN(RADIANS(Parametros!$E$12-omega*e_base))*(A19/sref)^(Parametros!$B$12-1))),DEGREES(ATAN(TAN(RADIANS(Parametros!$E$13-omega*e_base))*(A19/sref)^(Parametros!$B$13-1))),DEGREES(ATAN(TAN(RADIANS(Parametros!$E$14-omega*e_base))*(A19/sref)^(Parametros!$B$14-1))),DEGREES(ATAN(TAN(RADIANS(Parametros!$E$15-omega*e_base))*(A19/sref)^(Parametros!$B$15-1))),DEGREES(ATAN(TAN(RADIANS(Parametros!$E$16-omega*e_base))*(A19/sref)^(Parametros!$B$16-1))))</f>
        <v/>
      </c>
      <c r="F19">
        <f>MAX(DEGREES(ATAN(TAN(RADIANS(Parametros!$F$12-omega*e_base))*(A19/sref)^(Parametros!$B$12-1))),DEGREES(ATAN(TAN(RADIANS(Parametros!$F$13-omega*e_base))*(A19/sref)^(Parametros!$B$13-1))),DEGREES(ATAN(TAN(RADIANS(Parametros!$F$14-omega*e_base))*(A19/sref)^(Parametros!$B$14-1))),DEGREES(ATAN(TAN(RADIANS(Parametros!$F$15-omega*e_base))*(A19/sref)^(Parametros!$B$15-1))),DEGREES(ATAN(TAN(RADIANS(Parametros!$F$16-omega*e_base))*(A19/sref)^(Parametros!$B$16-1))))</f>
        <v/>
      </c>
      <c r="G19">
        <f>A19*TAN(RADIANS(E19))</f>
        <v/>
      </c>
      <c r="H19">
        <f>A19*TAN(RADIANS(F19))</f>
        <v/>
      </c>
      <c r="I19">
        <f>MIN(TAN(RADIANS(pe0-omega*0.55))*sref^(1-m_)*A19^m_,A19*TAN(RADIANS(tope)))</f>
        <v/>
      </c>
      <c r="J19">
        <f>MIN(TAN(RADIANS(pe0-omega*0.65))*sref^(1-m_)*A19^m_,A19*TAN(RADIANS(tope)))</f>
        <v/>
      </c>
      <c r="K19">
        <f>IF(MAX(A19,sv_piso)&lt;=1,e_base-cc_bajo*LOG10(MAX(A19,sv_piso)/sv_piso),e_base-cc_bajo*LOG10(1/sv_piso)-cc_alto*LOG10(A19))</f>
        <v/>
      </c>
      <c r="L19">
        <f>MIN(TAN(RADIANS(pe0-omega*K19))*sref^(1-m_)*A19^m_,A19*TAN(RADIANS(tope)))</f>
        <v/>
      </c>
      <c r="M19" t="n">
        <v>0.2433</v>
      </c>
      <c r="N19">
        <f>MIN(TAN(RADIANS(pe0-omega*M19))*sref^(1-m_)*A19^m_,A19*TAN(RADIANS(tope)))</f>
        <v/>
      </c>
      <c r="O19">
        <f>DEGREES(ATAN(TAN(RADIANS(33))*(A19/sref)^(0.9-1)))</f>
        <v/>
      </c>
      <c r="P19">
        <f>DEGREES(ATAN(1.446*(A19*1000)^0.898/(A19*1000)))</f>
        <v/>
      </c>
      <c r="Q19">
        <f>A19*TAN(RADIANS(O19))</f>
        <v/>
      </c>
      <c r="R19">
        <f>A19*TAN(RADIANS(P19))</f>
        <v/>
      </c>
      <c r="S19">
        <f>A19*TAN(RADIANS(37))</f>
        <v/>
      </c>
      <c r="T19" t="n">
        <v>33</v>
      </c>
    </row>
    <row r="20">
      <c r="A20" t="n">
        <v>6</v>
      </c>
      <c r="B20" t="inlineStr">
        <is>
          <t>solo base mundial</t>
        </is>
      </c>
      <c r="C20">
        <f>MIN(TAN(RADIANS(pe0-omega*e_base))*sref^(1-m_)*A20^m_,A20*TAN(RADIANS(tope)))</f>
        <v/>
      </c>
      <c r="D20">
        <f>DEGREES(ATAN(C20/A20))</f>
        <v/>
      </c>
      <c r="E20">
        <f>MIN(DEGREES(ATAN(TAN(RADIANS(Parametros!$E$12-omega*e_base))*(A20/sref)^(Parametros!$B$12-1))),DEGREES(ATAN(TAN(RADIANS(Parametros!$E$13-omega*e_base))*(A20/sref)^(Parametros!$B$13-1))),DEGREES(ATAN(TAN(RADIANS(Parametros!$E$14-omega*e_base))*(A20/sref)^(Parametros!$B$14-1))),DEGREES(ATAN(TAN(RADIANS(Parametros!$E$15-omega*e_base))*(A20/sref)^(Parametros!$B$15-1))),DEGREES(ATAN(TAN(RADIANS(Parametros!$E$16-omega*e_base))*(A20/sref)^(Parametros!$B$16-1))))</f>
        <v/>
      </c>
      <c r="F20">
        <f>MAX(DEGREES(ATAN(TAN(RADIANS(Parametros!$F$12-omega*e_base))*(A20/sref)^(Parametros!$B$12-1))),DEGREES(ATAN(TAN(RADIANS(Parametros!$F$13-omega*e_base))*(A20/sref)^(Parametros!$B$13-1))),DEGREES(ATAN(TAN(RADIANS(Parametros!$F$14-omega*e_base))*(A20/sref)^(Parametros!$B$14-1))),DEGREES(ATAN(TAN(RADIANS(Parametros!$F$15-omega*e_base))*(A20/sref)^(Parametros!$B$15-1))),DEGREES(ATAN(TAN(RADIANS(Parametros!$F$16-omega*e_base))*(A20/sref)^(Parametros!$B$16-1))))</f>
        <v/>
      </c>
      <c r="G20">
        <f>A20*TAN(RADIANS(E20))</f>
        <v/>
      </c>
      <c r="H20">
        <f>A20*TAN(RADIANS(F20))</f>
        <v/>
      </c>
      <c r="I20">
        <f>MIN(TAN(RADIANS(pe0-omega*0.55))*sref^(1-m_)*A20^m_,A20*TAN(RADIANS(tope)))</f>
        <v/>
      </c>
      <c r="J20">
        <f>MIN(TAN(RADIANS(pe0-omega*0.65))*sref^(1-m_)*A20^m_,A20*TAN(RADIANS(tope)))</f>
        <v/>
      </c>
      <c r="K20">
        <f>IF(MAX(A20,sv_piso)&lt;=1,e_base-cc_bajo*LOG10(MAX(A20,sv_piso)/sv_piso),e_base-cc_bajo*LOG10(1/sv_piso)-cc_alto*LOG10(A20))</f>
        <v/>
      </c>
      <c r="L20">
        <f>MIN(TAN(RADIANS(pe0-omega*K20))*sref^(1-m_)*A20^m_,A20*TAN(RADIANS(tope)))</f>
        <v/>
      </c>
      <c r="M20" t="n">
        <v>0.2176</v>
      </c>
      <c r="N20">
        <f>MIN(TAN(RADIANS(pe0-omega*M20))*sref^(1-m_)*A20^m_,A20*TAN(RADIANS(tope)))</f>
        <v/>
      </c>
      <c r="O20">
        <f>DEGREES(ATAN(TAN(RADIANS(33))*(A20/sref)^(0.9-1)))</f>
        <v/>
      </c>
      <c r="P20">
        <f>DEGREES(ATAN(1.446*(A20*1000)^0.898/(A20*1000)))</f>
        <v/>
      </c>
      <c r="Q20">
        <f>A20*TAN(RADIANS(O20))</f>
        <v/>
      </c>
      <c r="R20">
        <f>A20*TAN(RADIANS(P20))</f>
        <v/>
      </c>
      <c r="S20">
        <f>A20*TAN(RADIANS(37))</f>
        <v/>
      </c>
      <c r="T20" t="n">
        <v>33</v>
      </c>
    </row>
    <row r="21">
      <c r="A21" t="n">
        <v>7</v>
      </c>
      <c r="B21" t="inlineStr">
        <is>
          <t>solo base mundial</t>
        </is>
      </c>
      <c r="C21">
        <f>MIN(TAN(RADIANS(pe0-omega*e_base))*sref^(1-m_)*A21^m_,A21*TAN(RADIANS(tope)))</f>
        <v/>
      </c>
      <c r="D21">
        <f>DEGREES(ATAN(C21/A21))</f>
        <v/>
      </c>
      <c r="E21">
        <f>MIN(DEGREES(ATAN(TAN(RADIANS(Parametros!$E$12-omega*e_base))*(A21/sref)^(Parametros!$B$12-1))),DEGREES(ATAN(TAN(RADIANS(Parametros!$E$13-omega*e_base))*(A21/sref)^(Parametros!$B$13-1))),DEGREES(ATAN(TAN(RADIANS(Parametros!$E$14-omega*e_base))*(A21/sref)^(Parametros!$B$14-1))),DEGREES(ATAN(TAN(RADIANS(Parametros!$E$15-omega*e_base))*(A21/sref)^(Parametros!$B$15-1))),DEGREES(ATAN(TAN(RADIANS(Parametros!$E$16-omega*e_base))*(A21/sref)^(Parametros!$B$16-1))))</f>
        <v/>
      </c>
      <c r="F21">
        <f>MAX(DEGREES(ATAN(TAN(RADIANS(Parametros!$F$12-omega*e_base))*(A21/sref)^(Parametros!$B$12-1))),DEGREES(ATAN(TAN(RADIANS(Parametros!$F$13-omega*e_base))*(A21/sref)^(Parametros!$B$13-1))),DEGREES(ATAN(TAN(RADIANS(Parametros!$F$14-omega*e_base))*(A21/sref)^(Parametros!$B$14-1))),DEGREES(ATAN(TAN(RADIANS(Parametros!$F$15-omega*e_base))*(A21/sref)^(Parametros!$B$15-1))),DEGREES(ATAN(TAN(RADIANS(Parametros!$F$16-omega*e_base))*(A21/sref)^(Parametros!$B$16-1))))</f>
        <v/>
      </c>
      <c r="G21">
        <f>A21*TAN(RADIANS(E21))</f>
        <v/>
      </c>
      <c r="H21">
        <f>A21*TAN(RADIANS(F21))</f>
        <v/>
      </c>
      <c r="I21">
        <f>MIN(TAN(RADIANS(pe0-omega*0.55))*sref^(1-m_)*A21^m_,A21*TAN(RADIANS(tope)))</f>
        <v/>
      </c>
      <c r="J21">
        <f>MIN(TAN(RADIANS(pe0-omega*0.65))*sref^(1-m_)*A21^m_,A21*TAN(RADIANS(tope)))</f>
        <v/>
      </c>
      <c r="K21">
        <f>IF(MAX(A21,sv_piso)&lt;=1,e_base-cc_bajo*LOG10(MAX(A21,sv_piso)/sv_piso),e_base-cc_bajo*LOG10(1/sv_piso)-cc_alto*LOG10(A21))</f>
        <v/>
      </c>
      <c r="L21">
        <f>MIN(TAN(RADIANS(pe0-omega*K21))*sref^(1-m_)*A21^m_,A21*TAN(RADIANS(tope)))</f>
        <v/>
      </c>
      <c r="M21" t="n">
        <v>0.1991</v>
      </c>
      <c r="N21">
        <f>MIN(TAN(RADIANS(pe0-omega*M21))*sref^(1-m_)*A21^m_,A21*TAN(RADIANS(tope)))</f>
        <v/>
      </c>
      <c r="O21">
        <f>DEGREES(ATAN(TAN(RADIANS(33))*(A21/sref)^(0.9-1)))</f>
        <v/>
      </c>
      <c r="P21">
        <f>DEGREES(ATAN(1.446*(A21*1000)^0.898/(A21*1000)))</f>
        <v/>
      </c>
      <c r="Q21">
        <f>A21*TAN(RADIANS(O21))</f>
        <v/>
      </c>
      <c r="R21">
        <f>A21*TAN(RADIANS(P21))</f>
        <v/>
      </c>
      <c r="S21">
        <f>A21*TAN(RADIANS(37))</f>
        <v/>
      </c>
      <c r="T21" t="n">
        <v>33</v>
      </c>
    </row>
    <row r="22">
      <c r="A22" t="n">
        <v>7.86</v>
      </c>
      <c r="B22" t="inlineStr">
        <is>
          <t>solo base mundial</t>
        </is>
      </c>
      <c r="C22">
        <f>MIN(TAN(RADIANS(pe0-omega*e_base))*sref^(1-m_)*A22^m_,A22*TAN(RADIANS(tope)))</f>
        <v/>
      </c>
      <c r="D22">
        <f>DEGREES(ATAN(C22/A22))</f>
        <v/>
      </c>
      <c r="E22">
        <f>MIN(DEGREES(ATAN(TAN(RADIANS(Parametros!$E$12-omega*e_base))*(A22/sref)^(Parametros!$B$12-1))),DEGREES(ATAN(TAN(RADIANS(Parametros!$E$13-omega*e_base))*(A22/sref)^(Parametros!$B$13-1))),DEGREES(ATAN(TAN(RADIANS(Parametros!$E$14-omega*e_base))*(A22/sref)^(Parametros!$B$14-1))),DEGREES(ATAN(TAN(RADIANS(Parametros!$E$15-omega*e_base))*(A22/sref)^(Parametros!$B$15-1))),DEGREES(ATAN(TAN(RADIANS(Parametros!$E$16-omega*e_base))*(A22/sref)^(Parametros!$B$16-1))))</f>
        <v/>
      </c>
      <c r="F22">
        <f>MAX(DEGREES(ATAN(TAN(RADIANS(Parametros!$F$12-omega*e_base))*(A22/sref)^(Parametros!$B$12-1))),DEGREES(ATAN(TAN(RADIANS(Parametros!$F$13-omega*e_base))*(A22/sref)^(Parametros!$B$13-1))),DEGREES(ATAN(TAN(RADIANS(Parametros!$F$14-omega*e_base))*(A22/sref)^(Parametros!$B$14-1))),DEGREES(ATAN(TAN(RADIANS(Parametros!$F$15-omega*e_base))*(A22/sref)^(Parametros!$B$15-1))),DEGREES(ATAN(TAN(RADIANS(Parametros!$F$16-omega*e_base))*(A22/sref)^(Parametros!$B$16-1))))</f>
        <v/>
      </c>
      <c r="G22">
        <f>A22*TAN(RADIANS(E22))</f>
        <v/>
      </c>
      <c r="H22">
        <f>A22*TAN(RADIANS(F22))</f>
        <v/>
      </c>
      <c r="I22">
        <f>MIN(TAN(RADIANS(pe0-omega*0.55))*sref^(1-m_)*A22^m_,A22*TAN(RADIANS(tope)))</f>
        <v/>
      </c>
      <c r="J22">
        <f>MIN(TAN(RADIANS(pe0-omega*0.65))*sref^(1-m_)*A22^m_,A22*TAN(RADIANS(tope)))</f>
        <v/>
      </c>
      <c r="K22">
        <f>IF(MAX(A22,sv_piso)&lt;=1,e_base-cc_bajo*LOG10(MAX(A22,sv_piso)/sv_piso),e_base-cc_bajo*LOG10(1/sv_piso)-cc_alto*LOG10(A22))</f>
        <v/>
      </c>
      <c r="L22">
        <f>MIN(TAN(RADIANS(pe0-omega*K22))*sref^(1-m_)*A22^m_,A22*TAN(RADIANS(tope)))</f>
        <v/>
      </c>
      <c r="M22" t="n">
        <v>0.1841</v>
      </c>
      <c r="N22">
        <f>MIN(TAN(RADIANS(pe0-omega*M22))*sref^(1-m_)*A22^m_,A22*TAN(RADIANS(tope)))</f>
        <v/>
      </c>
      <c r="O22">
        <f>DEGREES(ATAN(TAN(RADIANS(33))*(A22/sref)^(0.9-1)))</f>
        <v/>
      </c>
      <c r="P22">
        <f>DEGREES(ATAN(1.446*(A22*1000)^0.898/(A22*1000)))</f>
        <v/>
      </c>
      <c r="Q22">
        <f>A22*TAN(RADIANS(O22))</f>
        <v/>
      </c>
      <c r="R22">
        <f>A22*TAN(RADIANS(P22))</f>
        <v/>
      </c>
      <c r="S22">
        <f>A22*TAN(RADIANS(37))</f>
        <v/>
      </c>
      <c r="T22" t="n">
        <v>33</v>
      </c>
    </row>
    <row r="23">
      <c r="A23" t="n">
        <v>8</v>
      </c>
      <c r="B23" t="inlineStr">
        <is>
          <t>extrapolación</t>
        </is>
      </c>
      <c r="C23">
        <f>MIN(TAN(RADIANS(pe0-omega*e_base))*sref^(1-m_)*A23^m_,A23*TAN(RADIANS(tope)))</f>
        <v/>
      </c>
      <c r="D23">
        <f>DEGREES(ATAN(C23/A23))</f>
        <v/>
      </c>
      <c r="E23">
        <f>MIN(DEGREES(ATAN(TAN(RADIANS(Parametros!$E$12-omega*e_base))*(A23/sref)^(Parametros!$B$12-1))),DEGREES(ATAN(TAN(RADIANS(Parametros!$E$13-omega*e_base))*(A23/sref)^(Parametros!$B$13-1))),DEGREES(ATAN(TAN(RADIANS(Parametros!$E$14-omega*e_base))*(A23/sref)^(Parametros!$B$14-1))),DEGREES(ATAN(TAN(RADIANS(Parametros!$E$15-omega*e_base))*(A23/sref)^(Parametros!$B$15-1))),DEGREES(ATAN(TAN(RADIANS(Parametros!$E$16-omega*e_base))*(A23/sref)^(Parametros!$B$16-1))))</f>
        <v/>
      </c>
      <c r="F23">
        <f>MAX(DEGREES(ATAN(TAN(RADIANS(Parametros!$F$12-omega*e_base))*(A23/sref)^(Parametros!$B$12-1))),DEGREES(ATAN(TAN(RADIANS(Parametros!$F$13-omega*e_base))*(A23/sref)^(Parametros!$B$13-1))),DEGREES(ATAN(TAN(RADIANS(Parametros!$F$14-omega*e_base))*(A23/sref)^(Parametros!$B$14-1))),DEGREES(ATAN(TAN(RADIANS(Parametros!$F$15-omega*e_base))*(A23/sref)^(Parametros!$B$15-1))),DEGREES(ATAN(TAN(RADIANS(Parametros!$F$16-omega*e_base))*(A23/sref)^(Parametros!$B$16-1))))</f>
        <v/>
      </c>
      <c r="G23">
        <f>A23*TAN(RADIANS(E23))</f>
        <v/>
      </c>
      <c r="H23">
        <f>A23*TAN(RADIANS(F23))</f>
        <v/>
      </c>
      <c r="I23">
        <f>MIN(TAN(RADIANS(pe0-omega*0.55))*sref^(1-m_)*A23^m_,A23*TAN(RADIANS(tope)))</f>
        <v/>
      </c>
      <c r="J23">
        <f>MIN(TAN(RADIANS(pe0-omega*0.65))*sref^(1-m_)*A23^m_,A23*TAN(RADIANS(tope)))</f>
        <v/>
      </c>
      <c r="K23">
        <f>IF(MAX(A23,sv_piso)&lt;=1,e_base-cc_bajo*LOG10(MAX(A23,sv_piso)/sv_piso),e_base-cc_bajo*LOG10(1/sv_piso)-cc_alto*LOG10(A23))</f>
        <v/>
      </c>
      <c r="L23">
        <f>MIN(TAN(RADIANS(pe0-omega*K23))*sref^(1-m_)*A23^m_,A23*TAN(RADIANS(tope)))</f>
        <v/>
      </c>
      <c r="M23" t="n">
        <v>0.1817</v>
      </c>
      <c r="N23">
        <f>MIN(TAN(RADIANS(pe0-omega*M23))*sref^(1-m_)*A23^m_,A23*TAN(RADIANS(tope)))</f>
        <v/>
      </c>
      <c r="O23">
        <f>DEGREES(ATAN(TAN(RADIANS(33))*(A23/sref)^(0.9-1)))</f>
        <v/>
      </c>
      <c r="P23">
        <f>DEGREES(ATAN(1.446*(A23*1000)^0.898/(A23*1000)))</f>
        <v/>
      </c>
      <c r="Q23">
        <f>A23*TAN(RADIANS(O23))</f>
        <v/>
      </c>
      <c r="R23">
        <f>A23*TAN(RADIANS(P23))</f>
        <v/>
      </c>
      <c r="S23">
        <f>A23*TAN(RADIANS(37))</f>
        <v/>
      </c>
      <c r="T23" t="n">
        <v>33</v>
      </c>
    </row>
    <row r="24">
      <c r="A24" t="n">
        <v>9</v>
      </c>
      <c r="B24" t="inlineStr">
        <is>
          <t>extrapolación</t>
        </is>
      </c>
      <c r="C24">
        <f>MIN(TAN(RADIANS(pe0-omega*e_base))*sref^(1-m_)*A24^m_,A24*TAN(RADIANS(tope)))</f>
        <v/>
      </c>
      <c r="D24">
        <f>DEGREES(ATAN(C24/A24))</f>
        <v/>
      </c>
      <c r="E24">
        <f>MIN(DEGREES(ATAN(TAN(RADIANS(Parametros!$E$12-omega*e_base))*(A24/sref)^(Parametros!$B$12-1))),DEGREES(ATAN(TAN(RADIANS(Parametros!$E$13-omega*e_base))*(A24/sref)^(Parametros!$B$13-1))),DEGREES(ATAN(TAN(RADIANS(Parametros!$E$14-omega*e_base))*(A24/sref)^(Parametros!$B$14-1))),DEGREES(ATAN(TAN(RADIANS(Parametros!$E$15-omega*e_base))*(A24/sref)^(Parametros!$B$15-1))),DEGREES(ATAN(TAN(RADIANS(Parametros!$E$16-omega*e_base))*(A24/sref)^(Parametros!$B$16-1))))</f>
        <v/>
      </c>
      <c r="F24">
        <f>MAX(DEGREES(ATAN(TAN(RADIANS(Parametros!$F$12-omega*e_base))*(A24/sref)^(Parametros!$B$12-1))),DEGREES(ATAN(TAN(RADIANS(Parametros!$F$13-omega*e_base))*(A24/sref)^(Parametros!$B$13-1))),DEGREES(ATAN(TAN(RADIANS(Parametros!$F$14-omega*e_base))*(A24/sref)^(Parametros!$B$14-1))),DEGREES(ATAN(TAN(RADIANS(Parametros!$F$15-omega*e_base))*(A24/sref)^(Parametros!$B$15-1))),DEGREES(ATAN(TAN(RADIANS(Parametros!$F$16-omega*e_base))*(A24/sref)^(Parametros!$B$16-1))))</f>
        <v/>
      </c>
      <c r="G24">
        <f>A24*TAN(RADIANS(E24))</f>
        <v/>
      </c>
      <c r="H24">
        <f>A24*TAN(RADIANS(F24))</f>
        <v/>
      </c>
      <c r="I24">
        <f>MIN(TAN(RADIANS(pe0-omega*0.55))*sref^(1-m_)*A24^m_,A24*TAN(RADIANS(tope)))</f>
        <v/>
      </c>
      <c r="J24">
        <f>MIN(TAN(RADIANS(pe0-omega*0.65))*sref^(1-m_)*A24^m_,A24*TAN(RADIANS(tope)))</f>
        <v/>
      </c>
      <c r="K24">
        <f>IF(MAX(A24,sv_piso)&lt;=1,e_base-cc_bajo*LOG10(MAX(A24,sv_piso)/sv_piso),e_base-cc_bajo*LOG10(1/sv_piso)-cc_alto*LOG10(A24))</f>
        <v/>
      </c>
      <c r="L24">
        <f>MIN(TAN(RADIANS(pe0-omega*K24))*sref^(1-m_)*A24^m_,A24*TAN(RADIANS(tope)))</f>
        <v/>
      </c>
      <c r="M24" t="n">
        <v>0.1649</v>
      </c>
      <c r="N24">
        <f>MIN(TAN(RADIANS(pe0-omega*M24))*sref^(1-m_)*A24^m_,A24*TAN(RADIANS(tope)))</f>
        <v/>
      </c>
      <c r="O24">
        <f>DEGREES(ATAN(TAN(RADIANS(33))*(A24/sref)^(0.9-1)))</f>
        <v/>
      </c>
      <c r="P24">
        <f>DEGREES(ATAN(1.446*(A24*1000)^0.898/(A24*1000)))</f>
        <v/>
      </c>
      <c r="Q24">
        <f>A24*TAN(RADIANS(O24))</f>
        <v/>
      </c>
      <c r="R24">
        <f>A24*TAN(RADIANS(P24))</f>
        <v/>
      </c>
      <c r="S24">
        <f>A24*TAN(RADIANS(37))</f>
        <v/>
      </c>
      <c r="T24" t="n">
        <v>33</v>
      </c>
    </row>
    <row r="25">
      <c r="A25" t="n">
        <v>10</v>
      </c>
      <c r="B25" t="inlineStr">
        <is>
          <t>extrapolación</t>
        </is>
      </c>
      <c r="C25">
        <f>MIN(TAN(RADIANS(pe0-omega*e_base))*sref^(1-m_)*A25^m_,A25*TAN(RADIANS(tope)))</f>
        <v/>
      </c>
      <c r="D25">
        <f>DEGREES(ATAN(C25/A25))</f>
        <v/>
      </c>
      <c r="E25">
        <f>MIN(DEGREES(ATAN(TAN(RADIANS(Parametros!$E$12-omega*e_base))*(A25/sref)^(Parametros!$B$12-1))),DEGREES(ATAN(TAN(RADIANS(Parametros!$E$13-omega*e_base))*(A25/sref)^(Parametros!$B$13-1))),DEGREES(ATAN(TAN(RADIANS(Parametros!$E$14-omega*e_base))*(A25/sref)^(Parametros!$B$14-1))),DEGREES(ATAN(TAN(RADIANS(Parametros!$E$15-omega*e_base))*(A25/sref)^(Parametros!$B$15-1))),DEGREES(ATAN(TAN(RADIANS(Parametros!$E$16-omega*e_base))*(A25/sref)^(Parametros!$B$16-1))))</f>
        <v/>
      </c>
      <c r="F25">
        <f>MAX(DEGREES(ATAN(TAN(RADIANS(Parametros!$F$12-omega*e_base))*(A25/sref)^(Parametros!$B$12-1))),DEGREES(ATAN(TAN(RADIANS(Parametros!$F$13-omega*e_base))*(A25/sref)^(Parametros!$B$13-1))),DEGREES(ATAN(TAN(RADIANS(Parametros!$F$14-omega*e_base))*(A25/sref)^(Parametros!$B$14-1))),DEGREES(ATAN(TAN(RADIANS(Parametros!$F$15-omega*e_base))*(A25/sref)^(Parametros!$B$15-1))),DEGREES(ATAN(TAN(RADIANS(Parametros!$F$16-omega*e_base))*(A25/sref)^(Parametros!$B$16-1))))</f>
        <v/>
      </c>
      <c r="G25">
        <f>A25*TAN(RADIANS(E25))</f>
        <v/>
      </c>
      <c r="H25">
        <f>A25*TAN(RADIANS(F25))</f>
        <v/>
      </c>
      <c r="I25">
        <f>MIN(TAN(RADIANS(pe0-omega*0.55))*sref^(1-m_)*A25^m_,A25*TAN(RADIANS(tope)))</f>
        <v/>
      </c>
      <c r="J25">
        <f>MIN(TAN(RADIANS(pe0-omega*0.65))*sref^(1-m_)*A25^m_,A25*TAN(RADIANS(tope)))</f>
        <v/>
      </c>
      <c r="K25">
        <f>IF(MAX(A25,sv_piso)&lt;=1,e_base-cc_bajo*LOG10(MAX(A25,sv_piso)/sv_piso),e_base-cc_bajo*LOG10(1/sv_piso)-cc_alto*LOG10(A25))</f>
        <v/>
      </c>
      <c r="L25">
        <f>MIN(TAN(RADIANS(pe0-omega*K25))*sref^(1-m_)*A25^m_,A25*TAN(RADIANS(tope)))</f>
        <v/>
      </c>
      <c r="M25" t="n">
        <v>0.1496</v>
      </c>
      <c r="N25">
        <f>MIN(TAN(RADIANS(pe0-omega*M25))*sref^(1-m_)*A25^m_,A25*TAN(RADIANS(tope)))</f>
        <v/>
      </c>
      <c r="O25">
        <f>DEGREES(ATAN(TAN(RADIANS(33))*(A25/sref)^(0.9-1)))</f>
        <v/>
      </c>
      <c r="P25">
        <f>DEGREES(ATAN(1.446*(A25*1000)^0.898/(A25*1000)))</f>
        <v/>
      </c>
      <c r="Q25">
        <f>A25*TAN(RADIANS(O25))</f>
        <v/>
      </c>
      <c r="R25">
        <f>A25*TAN(RADIANS(P25))</f>
        <v/>
      </c>
      <c r="S25">
        <f>A25*TAN(RADIANS(37))</f>
        <v/>
      </c>
      <c r="T25" t="n">
        <v>33</v>
      </c>
    </row>
    <row r="26">
      <c r="A26" t="n">
        <v>11</v>
      </c>
      <c r="B26" t="inlineStr">
        <is>
          <t>extrapolación</t>
        </is>
      </c>
      <c r="C26">
        <f>MIN(TAN(RADIANS(pe0-omega*e_base))*sref^(1-m_)*A26^m_,A26*TAN(RADIANS(tope)))</f>
        <v/>
      </c>
      <c r="D26">
        <f>DEGREES(ATAN(C26/A26))</f>
        <v/>
      </c>
      <c r="E26">
        <f>MIN(DEGREES(ATAN(TAN(RADIANS(Parametros!$E$12-omega*e_base))*(A26/sref)^(Parametros!$B$12-1))),DEGREES(ATAN(TAN(RADIANS(Parametros!$E$13-omega*e_base))*(A26/sref)^(Parametros!$B$13-1))),DEGREES(ATAN(TAN(RADIANS(Parametros!$E$14-omega*e_base))*(A26/sref)^(Parametros!$B$14-1))),DEGREES(ATAN(TAN(RADIANS(Parametros!$E$15-omega*e_base))*(A26/sref)^(Parametros!$B$15-1))),DEGREES(ATAN(TAN(RADIANS(Parametros!$E$16-omega*e_base))*(A26/sref)^(Parametros!$B$16-1))))</f>
        <v/>
      </c>
      <c r="F26">
        <f>MAX(DEGREES(ATAN(TAN(RADIANS(Parametros!$F$12-omega*e_base))*(A26/sref)^(Parametros!$B$12-1))),DEGREES(ATAN(TAN(RADIANS(Parametros!$F$13-omega*e_base))*(A26/sref)^(Parametros!$B$13-1))),DEGREES(ATAN(TAN(RADIANS(Parametros!$F$14-omega*e_base))*(A26/sref)^(Parametros!$B$14-1))),DEGREES(ATAN(TAN(RADIANS(Parametros!$F$15-omega*e_base))*(A26/sref)^(Parametros!$B$15-1))),DEGREES(ATAN(TAN(RADIANS(Parametros!$F$16-omega*e_base))*(A26/sref)^(Parametros!$B$16-1))))</f>
        <v/>
      </c>
      <c r="G26">
        <f>A26*TAN(RADIANS(E26))</f>
        <v/>
      </c>
      <c r="H26">
        <f>A26*TAN(RADIANS(F26))</f>
        <v/>
      </c>
      <c r="I26">
        <f>MIN(TAN(RADIANS(pe0-omega*0.55))*sref^(1-m_)*A26^m_,A26*TAN(RADIANS(tope)))</f>
        <v/>
      </c>
      <c r="J26">
        <f>MIN(TAN(RADIANS(pe0-omega*0.65))*sref^(1-m_)*A26^m_,A26*TAN(RADIANS(tope)))</f>
        <v/>
      </c>
      <c r="K26">
        <f>IF(MAX(A26,sv_piso)&lt;=1,e_base-cc_bajo*LOG10(MAX(A26,sv_piso)/sv_piso),e_base-cc_bajo*LOG10(1/sv_piso)-cc_alto*LOG10(A26))</f>
        <v/>
      </c>
      <c r="L26">
        <f>MIN(TAN(RADIANS(pe0-omega*K26))*sref^(1-m_)*A26^m_,A26*TAN(RADIANS(tope)))</f>
        <v/>
      </c>
      <c r="M26" t="n">
        <v>0.1392</v>
      </c>
      <c r="N26">
        <f>MIN(TAN(RADIANS(pe0-omega*M26))*sref^(1-m_)*A26^m_,A26*TAN(RADIANS(tope)))</f>
        <v/>
      </c>
      <c r="O26">
        <f>DEGREES(ATAN(TAN(RADIANS(33))*(A26/sref)^(0.9-1)))</f>
        <v/>
      </c>
      <c r="P26">
        <f>DEGREES(ATAN(1.446*(A26*1000)^0.898/(A26*1000)))</f>
        <v/>
      </c>
      <c r="Q26">
        <f>A26*TAN(RADIANS(O26))</f>
        <v/>
      </c>
      <c r="R26">
        <f>A26*TAN(RADIANS(P26))</f>
        <v/>
      </c>
      <c r="S26">
        <f>A26*TAN(RADIANS(37))</f>
        <v/>
      </c>
      <c r="T26" t="n">
        <v>30</v>
      </c>
    </row>
    <row r="27">
      <c r="A27" t="n">
        <v>12</v>
      </c>
      <c r="B27" t="inlineStr">
        <is>
          <t>extrapolación</t>
        </is>
      </c>
      <c r="C27">
        <f>MIN(TAN(RADIANS(pe0-omega*e_base))*sref^(1-m_)*A27^m_,A27*TAN(RADIANS(tope)))</f>
        <v/>
      </c>
      <c r="D27">
        <f>DEGREES(ATAN(C27/A27))</f>
        <v/>
      </c>
      <c r="E27">
        <f>MIN(DEGREES(ATAN(TAN(RADIANS(Parametros!$E$12-omega*e_base))*(A27/sref)^(Parametros!$B$12-1))),DEGREES(ATAN(TAN(RADIANS(Parametros!$E$13-omega*e_base))*(A27/sref)^(Parametros!$B$13-1))),DEGREES(ATAN(TAN(RADIANS(Parametros!$E$14-omega*e_base))*(A27/sref)^(Parametros!$B$14-1))),DEGREES(ATAN(TAN(RADIANS(Parametros!$E$15-omega*e_base))*(A27/sref)^(Parametros!$B$15-1))),DEGREES(ATAN(TAN(RADIANS(Parametros!$E$16-omega*e_base))*(A27/sref)^(Parametros!$B$16-1))))</f>
        <v/>
      </c>
      <c r="F27">
        <f>MAX(DEGREES(ATAN(TAN(RADIANS(Parametros!$F$12-omega*e_base))*(A27/sref)^(Parametros!$B$12-1))),DEGREES(ATAN(TAN(RADIANS(Parametros!$F$13-omega*e_base))*(A27/sref)^(Parametros!$B$13-1))),DEGREES(ATAN(TAN(RADIANS(Parametros!$F$14-omega*e_base))*(A27/sref)^(Parametros!$B$14-1))),DEGREES(ATAN(TAN(RADIANS(Parametros!$F$15-omega*e_base))*(A27/sref)^(Parametros!$B$15-1))),DEGREES(ATAN(TAN(RADIANS(Parametros!$F$16-omega*e_base))*(A27/sref)^(Parametros!$B$16-1))))</f>
        <v/>
      </c>
      <c r="G27">
        <f>A27*TAN(RADIANS(E27))</f>
        <v/>
      </c>
      <c r="H27">
        <f>A27*TAN(RADIANS(F27))</f>
        <v/>
      </c>
      <c r="I27">
        <f>MIN(TAN(RADIANS(pe0-omega*0.55))*sref^(1-m_)*A27^m_,A27*TAN(RADIANS(tope)))</f>
        <v/>
      </c>
      <c r="J27">
        <f>MIN(TAN(RADIANS(pe0-omega*0.65))*sref^(1-m_)*A27^m_,A27*TAN(RADIANS(tope)))</f>
        <v/>
      </c>
      <c r="K27">
        <f>IF(MAX(A27,sv_piso)&lt;=1,e_base-cc_bajo*LOG10(MAX(A27,sv_piso)/sv_piso),e_base-cc_bajo*LOG10(1/sv_piso)-cc_alto*LOG10(A27))</f>
        <v/>
      </c>
      <c r="L27">
        <f>MIN(TAN(RADIANS(pe0-omega*K27))*sref^(1-m_)*A27^m_,A27*TAN(RADIANS(tope)))</f>
        <v/>
      </c>
      <c r="M27" t="n">
        <v>0.1295</v>
      </c>
      <c r="N27">
        <f>MIN(TAN(RADIANS(pe0-omega*M27))*sref^(1-m_)*A27^m_,A27*TAN(RADIANS(tope)))</f>
        <v/>
      </c>
      <c r="O27">
        <f>DEGREES(ATAN(TAN(RADIANS(33))*(A27/sref)^(0.9-1)))</f>
        <v/>
      </c>
      <c r="P27">
        <f>DEGREES(ATAN(1.446*(A27*1000)^0.898/(A27*1000)))</f>
        <v/>
      </c>
      <c r="Q27">
        <f>A27*TAN(RADIANS(O27))</f>
        <v/>
      </c>
      <c r="R27">
        <f>A27*TAN(RADIANS(P27))</f>
        <v/>
      </c>
      <c r="S27">
        <f>A27*TAN(RADIANS(37))</f>
        <v/>
      </c>
      <c r="T27" t="n">
        <v>30</v>
      </c>
    </row>
    <row r="28">
      <c r="A28" t="n">
        <v>13</v>
      </c>
      <c r="B28" t="inlineStr">
        <is>
          <t>extrapolación</t>
        </is>
      </c>
      <c r="C28">
        <f>MIN(TAN(RADIANS(pe0-omega*e_base))*sref^(1-m_)*A28^m_,A28*TAN(RADIANS(tope)))</f>
        <v/>
      </c>
      <c r="D28">
        <f>DEGREES(ATAN(C28/A28))</f>
        <v/>
      </c>
      <c r="E28">
        <f>MIN(DEGREES(ATAN(TAN(RADIANS(Parametros!$E$12-omega*e_base))*(A28/sref)^(Parametros!$B$12-1))),DEGREES(ATAN(TAN(RADIANS(Parametros!$E$13-omega*e_base))*(A28/sref)^(Parametros!$B$13-1))),DEGREES(ATAN(TAN(RADIANS(Parametros!$E$14-omega*e_base))*(A28/sref)^(Parametros!$B$14-1))),DEGREES(ATAN(TAN(RADIANS(Parametros!$E$15-omega*e_base))*(A28/sref)^(Parametros!$B$15-1))),DEGREES(ATAN(TAN(RADIANS(Parametros!$E$16-omega*e_base))*(A28/sref)^(Parametros!$B$16-1))))</f>
        <v/>
      </c>
      <c r="F28">
        <f>MAX(DEGREES(ATAN(TAN(RADIANS(Parametros!$F$12-omega*e_base))*(A28/sref)^(Parametros!$B$12-1))),DEGREES(ATAN(TAN(RADIANS(Parametros!$F$13-omega*e_base))*(A28/sref)^(Parametros!$B$13-1))),DEGREES(ATAN(TAN(RADIANS(Parametros!$F$14-omega*e_base))*(A28/sref)^(Parametros!$B$14-1))),DEGREES(ATAN(TAN(RADIANS(Parametros!$F$15-omega*e_base))*(A28/sref)^(Parametros!$B$15-1))),DEGREES(ATAN(TAN(RADIANS(Parametros!$F$16-omega*e_base))*(A28/sref)^(Parametros!$B$16-1))))</f>
        <v/>
      </c>
      <c r="G28">
        <f>A28*TAN(RADIANS(E28))</f>
        <v/>
      </c>
      <c r="H28">
        <f>A28*TAN(RADIANS(F28))</f>
        <v/>
      </c>
      <c r="I28">
        <f>MIN(TAN(RADIANS(pe0-omega*0.55))*sref^(1-m_)*A28^m_,A28*TAN(RADIANS(tope)))</f>
        <v/>
      </c>
      <c r="J28">
        <f>MIN(TAN(RADIANS(pe0-omega*0.65))*sref^(1-m_)*A28^m_,A28*TAN(RADIANS(tope)))</f>
        <v/>
      </c>
      <c r="K28">
        <f>IF(MAX(A28,sv_piso)&lt;=1,e_base-cc_bajo*LOG10(MAX(A28,sv_piso)/sv_piso),e_base-cc_bajo*LOG10(1/sv_piso)-cc_alto*LOG10(A28))</f>
        <v/>
      </c>
      <c r="L28">
        <f>MIN(TAN(RADIANS(pe0-omega*K28))*sref^(1-m_)*A28^m_,A28*TAN(RADIANS(tope)))</f>
        <v/>
      </c>
      <c r="M28" t="n">
        <v>0.1221</v>
      </c>
      <c r="N28">
        <f>MIN(TAN(RADIANS(pe0-omega*M28))*sref^(1-m_)*A28^m_,A28*TAN(RADIANS(tope)))</f>
        <v/>
      </c>
      <c r="O28">
        <f>DEGREES(ATAN(TAN(RADIANS(33))*(A28/sref)^(0.9-1)))</f>
        <v/>
      </c>
      <c r="P28">
        <f>DEGREES(ATAN(1.446*(A28*1000)^0.898/(A28*1000)))</f>
        <v/>
      </c>
      <c r="Q28">
        <f>A28*TAN(RADIANS(O28))</f>
        <v/>
      </c>
      <c r="R28">
        <f>A28*TAN(RADIANS(P28))</f>
        <v/>
      </c>
      <c r="S28">
        <f>A28*TAN(RADIANS(37))</f>
        <v/>
      </c>
      <c r="T28" t="n">
        <v>30</v>
      </c>
    </row>
    <row r="29">
      <c r="A29" t="n">
        <v>14</v>
      </c>
      <c r="B29" t="inlineStr">
        <is>
          <t>extrapolación</t>
        </is>
      </c>
      <c r="C29">
        <f>MIN(TAN(RADIANS(pe0-omega*e_base))*sref^(1-m_)*A29^m_,A29*TAN(RADIANS(tope)))</f>
        <v/>
      </c>
      <c r="D29">
        <f>DEGREES(ATAN(C29/A29))</f>
        <v/>
      </c>
      <c r="E29">
        <f>MIN(DEGREES(ATAN(TAN(RADIANS(Parametros!$E$12-omega*e_base))*(A29/sref)^(Parametros!$B$12-1))),DEGREES(ATAN(TAN(RADIANS(Parametros!$E$13-omega*e_base))*(A29/sref)^(Parametros!$B$13-1))),DEGREES(ATAN(TAN(RADIANS(Parametros!$E$14-omega*e_base))*(A29/sref)^(Parametros!$B$14-1))),DEGREES(ATAN(TAN(RADIANS(Parametros!$E$15-omega*e_base))*(A29/sref)^(Parametros!$B$15-1))),DEGREES(ATAN(TAN(RADIANS(Parametros!$E$16-omega*e_base))*(A29/sref)^(Parametros!$B$16-1))))</f>
        <v/>
      </c>
      <c r="F29">
        <f>MAX(DEGREES(ATAN(TAN(RADIANS(Parametros!$F$12-omega*e_base))*(A29/sref)^(Parametros!$B$12-1))),DEGREES(ATAN(TAN(RADIANS(Parametros!$F$13-omega*e_base))*(A29/sref)^(Parametros!$B$13-1))),DEGREES(ATAN(TAN(RADIANS(Parametros!$F$14-omega*e_base))*(A29/sref)^(Parametros!$B$14-1))),DEGREES(ATAN(TAN(RADIANS(Parametros!$F$15-omega*e_base))*(A29/sref)^(Parametros!$B$15-1))),DEGREES(ATAN(TAN(RADIANS(Parametros!$F$16-omega*e_base))*(A29/sref)^(Parametros!$B$16-1))))</f>
        <v/>
      </c>
      <c r="G29">
        <f>A29*TAN(RADIANS(E29))</f>
        <v/>
      </c>
      <c r="H29">
        <f>A29*TAN(RADIANS(F29))</f>
        <v/>
      </c>
      <c r="I29">
        <f>MIN(TAN(RADIANS(pe0-omega*0.55))*sref^(1-m_)*A29^m_,A29*TAN(RADIANS(tope)))</f>
        <v/>
      </c>
      <c r="J29">
        <f>MIN(TAN(RADIANS(pe0-omega*0.65))*sref^(1-m_)*A29^m_,A29*TAN(RADIANS(tope)))</f>
        <v/>
      </c>
      <c r="K29">
        <f>IF(MAX(A29,sv_piso)&lt;=1,e_base-cc_bajo*LOG10(MAX(A29,sv_piso)/sv_piso),e_base-cc_bajo*LOG10(1/sv_piso)-cc_alto*LOG10(A29))</f>
        <v/>
      </c>
      <c r="L29">
        <f>MIN(TAN(RADIANS(pe0-omega*K29))*sref^(1-m_)*A29^m_,A29*TAN(RADIANS(tope)))</f>
        <v/>
      </c>
      <c r="O29">
        <f>DEGREES(ATAN(TAN(RADIANS(33))*(A29/sref)^(0.9-1)))</f>
        <v/>
      </c>
      <c r="P29">
        <f>DEGREES(ATAN(1.446*(A29*1000)^0.898/(A29*1000)))</f>
        <v/>
      </c>
      <c r="Q29">
        <f>A29*TAN(RADIANS(O29))</f>
        <v/>
      </c>
      <c r="R29">
        <f>A29*TAN(RADIANS(P29))</f>
        <v/>
      </c>
      <c r="S29">
        <f>A29*TAN(RADIANS(37))</f>
        <v/>
      </c>
      <c r="T29" t="n">
        <v>30</v>
      </c>
    </row>
    <row r="30">
      <c r="A30" t="n">
        <v>15</v>
      </c>
      <c r="B30" t="inlineStr">
        <is>
          <t>extrapolación</t>
        </is>
      </c>
      <c r="C30">
        <f>MIN(TAN(RADIANS(pe0-omega*e_base))*sref^(1-m_)*A30^m_,A30*TAN(RADIANS(tope)))</f>
        <v/>
      </c>
      <c r="D30">
        <f>DEGREES(ATAN(C30/A30))</f>
        <v/>
      </c>
      <c r="E30">
        <f>MIN(DEGREES(ATAN(TAN(RADIANS(Parametros!$E$12-omega*e_base))*(A30/sref)^(Parametros!$B$12-1))),DEGREES(ATAN(TAN(RADIANS(Parametros!$E$13-omega*e_base))*(A30/sref)^(Parametros!$B$13-1))),DEGREES(ATAN(TAN(RADIANS(Parametros!$E$14-omega*e_base))*(A30/sref)^(Parametros!$B$14-1))),DEGREES(ATAN(TAN(RADIANS(Parametros!$E$15-omega*e_base))*(A30/sref)^(Parametros!$B$15-1))),DEGREES(ATAN(TAN(RADIANS(Parametros!$E$16-omega*e_base))*(A30/sref)^(Parametros!$B$16-1))))</f>
        <v/>
      </c>
      <c r="F30">
        <f>MAX(DEGREES(ATAN(TAN(RADIANS(Parametros!$F$12-omega*e_base))*(A30/sref)^(Parametros!$B$12-1))),DEGREES(ATAN(TAN(RADIANS(Parametros!$F$13-omega*e_base))*(A30/sref)^(Parametros!$B$13-1))),DEGREES(ATAN(TAN(RADIANS(Parametros!$F$14-omega*e_base))*(A30/sref)^(Parametros!$B$14-1))),DEGREES(ATAN(TAN(RADIANS(Parametros!$F$15-omega*e_base))*(A30/sref)^(Parametros!$B$15-1))),DEGREES(ATAN(TAN(RADIANS(Parametros!$F$16-omega*e_base))*(A30/sref)^(Parametros!$B$16-1))))</f>
        <v/>
      </c>
      <c r="G30">
        <f>A30*TAN(RADIANS(E30))</f>
        <v/>
      </c>
      <c r="H30">
        <f>A30*TAN(RADIANS(F30))</f>
        <v/>
      </c>
      <c r="I30">
        <f>MIN(TAN(RADIANS(pe0-omega*0.55))*sref^(1-m_)*A30^m_,A30*TAN(RADIANS(tope)))</f>
        <v/>
      </c>
      <c r="J30">
        <f>MIN(TAN(RADIANS(pe0-omega*0.65))*sref^(1-m_)*A30^m_,A30*TAN(RADIANS(tope)))</f>
        <v/>
      </c>
      <c r="K30">
        <f>IF(MAX(A30,sv_piso)&lt;=1,e_base-cc_bajo*LOG10(MAX(A30,sv_piso)/sv_piso),e_base-cc_bajo*LOG10(1/sv_piso)-cc_alto*LOG10(A30))</f>
        <v/>
      </c>
      <c r="L30">
        <f>MIN(TAN(RADIANS(pe0-omega*K30))*sref^(1-m_)*A30^m_,A30*TAN(RADIANS(tope)))</f>
        <v/>
      </c>
      <c r="O30">
        <f>DEGREES(ATAN(TAN(RADIANS(33))*(A30/sref)^(0.9-1)))</f>
        <v/>
      </c>
      <c r="P30">
        <f>DEGREES(ATAN(1.446*(A30*1000)^0.898/(A30*1000)))</f>
        <v/>
      </c>
      <c r="Q30">
        <f>A30*TAN(RADIANS(O30))</f>
        <v/>
      </c>
      <c r="R30">
        <f>A30*TAN(RADIANS(P30))</f>
        <v/>
      </c>
      <c r="S30">
        <f>A30*TAN(RADIANS(37))</f>
        <v/>
      </c>
      <c r="T30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9" customWidth="1" min="4" max="4"/>
    <col width="12" customWidth="1" min="5" max="5"/>
    <col width="3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  <col width="14" customWidth="1" min="14" max="14"/>
  </cols>
  <sheetData>
    <row r="1">
      <c r="A1" s="3" t="inlineStr">
        <is>
          <t>Set (ensayos del ajuste)</t>
        </is>
      </c>
      <c r="B1" s="3" t="inlineStr">
        <is>
          <t>Litología</t>
        </is>
      </c>
      <c r="C1" s="3" t="inlineStr">
        <is>
          <t>Ensayos</t>
        </is>
      </c>
      <c r="D1" s="3" t="inlineStr">
        <is>
          <t>e0 media</t>
        </is>
      </c>
      <c r="E1" s="3" t="inlineStr">
        <is>
          <t>φ′1 medio a su e0 (°)</t>
        </is>
      </c>
      <c r="F1" s="3" t="inlineStr"/>
      <c r="G1" s="3" t="inlineStr">
        <is>
          <t>e</t>
        </is>
      </c>
      <c r="H1" s="3" t="inlineStr">
        <is>
          <t>Curva propuesta (°)</t>
        </is>
      </c>
      <c r="I1" s="3" t="inlineStr">
        <is>
          <t>Leps (1970), superior (46°)</t>
        </is>
      </c>
      <c r="J1" s="3" t="inlineStr">
        <is>
          <t>Leps (1970), media (41°)</t>
        </is>
      </c>
      <c r="K1" s="3" t="inlineStr">
        <is>
          <t>Leps (1970), inferior (36°)</t>
        </is>
      </c>
      <c r="L1" s="3" t="inlineStr">
        <is>
          <t>Indraratna et al. (1993) (33°)</t>
        </is>
      </c>
      <c r="M1" s="3" t="inlineStr"/>
      <c r="N1" s="3" t="inlineStr">
        <is>
          <t>φ′e=0 del set = φ′1 + ω·e0 (°)</t>
        </is>
      </c>
    </row>
    <row r="2">
      <c r="A2" t="inlineStr">
        <is>
          <t>G2012 | G2012-MN-C</t>
        </is>
      </c>
      <c r="B2" t="inlineStr">
        <is>
          <t>Mármol</t>
        </is>
      </c>
      <c r="C2">
        <f>COUNTIFS(Ensayos!$A$2:$A$500,"G2012",Ensayos!$B$2:$B$500,"G2012-MN-C",Ensayos!$F$2:$F$500,"Ajuste de la curva propuesta")</f>
        <v/>
      </c>
      <c r="D2">
        <f>AVERAGEIFS(Ensayos!$J$2:$J$500,Ensayos!$A$2:$A$500,"G2012",Ensayos!$B$2:$B$500,"G2012-MN-C",Ensayos!$F$2:$F$500,"Ajuste de la curva propuesta")</f>
        <v/>
      </c>
      <c r="E2">
        <f>AVERAGEIFS(Ensayos!$V$2:$V$500,Ensayos!$A$2:$A$500,"G2012",Ensayos!$B$2:$B$500,"G2012-MN-C",Ensayos!$F$2:$F$500,"Ajuste de la curva propuesta")</f>
        <v/>
      </c>
      <c r="G2" t="n">
        <v>0</v>
      </c>
      <c r="H2">
        <f>pe0-omega*G2</f>
        <v/>
      </c>
      <c r="I2" t="n">
        <v>46</v>
      </c>
      <c r="J2" t="n">
        <v>41</v>
      </c>
      <c r="K2" t="n">
        <v>36</v>
      </c>
      <c r="L2" t="n">
        <v>33</v>
      </c>
      <c r="N2">
        <f>E2+omega*D2</f>
        <v/>
      </c>
    </row>
    <row r="3">
      <c r="A3" t="inlineStr">
        <is>
          <t>G2021 | G21-DESM-COMP</t>
        </is>
      </c>
      <c r="B3" t="inlineStr">
        <is>
          <t>Mezcla</t>
        </is>
      </c>
      <c r="C3">
        <f>COUNTIFS(Ensayos!$A$2:$A$500,"G2021",Ensayos!$B$2:$B$500,"G21-DESM-COMP",Ensayos!$F$2:$F$500,"Ajuste de la curva propuesta")</f>
        <v/>
      </c>
      <c r="D3">
        <f>AVERAGEIFS(Ensayos!$J$2:$J$500,Ensayos!$A$2:$A$500,"G2021",Ensayos!$B$2:$B$500,"G21-DESM-COMP",Ensayos!$F$2:$F$500,"Ajuste de la curva propuesta")</f>
        <v/>
      </c>
      <c r="E3">
        <f>AVERAGEIFS(Ensayos!$V$2:$V$500,Ensayos!$A$2:$A$500,"G2021",Ensayos!$B$2:$B$500,"G21-DESM-COMP",Ensayos!$F$2:$F$500,"Ajuste de la curva propuesta")</f>
        <v/>
      </c>
      <c r="G3" t="n">
        <v>0.05</v>
      </c>
      <c r="H3">
        <f>pe0-omega*G3</f>
        <v/>
      </c>
      <c r="I3" t="n">
        <v>46</v>
      </c>
      <c r="J3" t="n">
        <v>41</v>
      </c>
      <c r="K3" t="n">
        <v>36</v>
      </c>
      <c r="L3" t="n">
        <v>33</v>
      </c>
      <c r="N3">
        <f>E3+omega*D3</f>
        <v/>
      </c>
    </row>
    <row r="4">
      <c r="A4" t="inlineStr">
        <is>
          <t>W2022 | HF-1.0m-IDIEM-mono</t>
        </is>
      </c>
      <c r="B4" t="inlineStr">
        <is>
          <t>Hornfels</t>
        </is>
      </c>
      <c r="C4">
        <f>COUNTIFS(Ensayos!$A$2:$A$500,"W2022",Ensayos!$B$2:$B$500,"HF-1.0m-IDIEM-mono",Ensayos!$F$2:$F$500,"Ajuste de la curva propuesta")</f>
        <v/>
      </c>
      <c r="D4">
        <f>AVERAGEIFS(Ensayos!$J$2:$J$500,Ensayos!$A$2:$A$500,"W2022",Ensayos!$B$2:$B$500,"HF-1.0m-IDIEM-mono",Ensayos!$F$2:$F$500,"Ajuste de la curva propuesta")</f>
        <v/>
      </c>
      <c r="E4">
        <f>AVERAGEIFS(Ensayos!$V$2:$V$500,Ensayos!$A$2:$A$500,"W2022",Ensayos!$B$2:$B$500,"HF-1.0m-IDIEM-mono",Ensayos!$F$2:$F$500,"Ajuste de la curva propuesta")</f>
        <v/>
      </c>
      <c r="G4" t="n">
        <v>0.1</v>
      </c>
      <c r="H4">
        <f>pe0-omega*G4</f>
        <v/>
      </c>
      <c r="I4" t="n">
        <v>46</v>
      </c>
      <c r="J4" t="n">
        <v>41</v>
      </c>
      <c r="K4" t="n">
        <v>36</v>
      </c>
      <c r="L4" t="n">
        <v>33</v>
      </c>
      <c r="N4">
        <f>E4+omega*D4</f>
        <v/>
      </c>
    </row>
    <row r="5">
      <c r="A5" t="inlineStr">
        <is>
          <t>W2022 | HF-1.0m-IDIEM-cd</t>
        </is>
      </c>
      <c r="B5" t="inlineStr">
        <is>
          <t>Hornfels</t>
        </is>
      </c>
      <c r="C5">
        <f>COUNTIFS(Ensayos!$A$2:$A$500,"W2022",Ensayos!$B$2:$B$500,"HF-1.0m-IDIEM-cd",Ensayos!$F$2:$F$500,"Ajuste de la curva propuesta")</f>
        <v/>
      </c>
      <c r="D5">
        <f>AVERAGEIFS(Ensayos!$J$2:$J$500,Ensayos!$A$2:$A$500,"W2022",Ensayos!$B$2:$B$500,"HF-1.0m-IDIEM-cd",Ensayos!$F$2:$F$500,"Ajuste de la curva propuesta")</f>
        <v/>
      </c>
      <c r="E5">
        <f>AVERAGEIFS(Ensayos!$V$2:$V$500,Ensayos!$A$2:$A$500,"W2022",Ensayos!$B$2:$B$500,"HF-1.0m-IDIEM-cd",Ensayos!$F$2:$F$500,"Ajuste de la curva propuesta")</f>
        <v/>
      </c>
      <c r="G5" t="n">
        <v>0.15</v>
      </c>
      <c r="H5">
        <f>pe0-omega*G5</f>
        <v/>
      </c>
      <c r="I5" t="n">
        <v>46</v>
      </c>
      <c r="J5" t="n">
        <v>41</v>
      </c>
      <c r="K5" t="n">
        <v>36</v>
      </c>
      <c r="L5" t="n">
        <v>33</v>
      </c>
      <c r="N5">
        <f>E5+omega*D5</f>
        <v/>
      </c>
    </row>
    <row r="6">
      <c r="A6" t="inlineStr">
        <is>
          <t>W2022 | HF-0.15m-Golder</t>
        </is>
      </c>
      <c r="B6" t="inlineStr">
        <is>
          <t>Hornfels</t>
        </is>
      </c>
      <c r="C6">
        <f>COUNTIFS(Ensayos!$A$2:$A$500,"W2022",Ensayos!$B$2:$B$500,"HF-0.15m-Golder",Ensayos!$F$2:$F$500,"Ajuste de la curva propuesta")</f>
        <v/>
      </c>
      <c r="D6">
        <f>AVERAGEIFS(Ensayos!$J$2:$J$500,Ensayos!$A$2:$A$500,"W2022",Ensayos!$B$2:$B$500,"HF-0.15m-Golder",Ensayos!$F$2:$F$500,"Ajuste de la curva propuesta")</f>
        <v/>
      </c>
      <c r="E6">
        <f>AVERAGEIFS(Ensayos!$V$2:$V$500,Ensayos!$A$2:$A$500,"W2022",Ensayos!$B$2:$B$500,"HF-0.15m-Golder",Ensayos!$F$2:$F$500,"Ajuste de la curva propuesta")</f>
        <v/>
      </c>
      <c r="G6" t="n">
        <v>0.2</v>
      </c>
      <c r="H6">
        <f>pe0-omega*G6</f>
        <v/>
      </c>
      <c r="I6" t="n">
        <v>46</v>
      </c>
      <c r="J6" t="n">
        <v>41</v>
      </c>
      <c r="K6" t="n">
        <v>36</v>
      </c>
      <c r="L6" t="n">
        <v>33</v>
      </c>
      <c r="N6">
        <f>E6+omega*D6</f>
        <v/>
      </c>
    </row>
    <row r="7">
      <c r="A7" t="inlineStr">
        <is>
          <t>W2022 | MN-0.15m-Golder</t>
        </is>
      </c>
      <c r="B7" t="inlineStr">
        <is>
          <t>Mármol</t>
        </is>
      </c>
      <c r="C7">
        <f>COUNTIFS(Ensayos!$A$2:$A$500,"W2022",Ensayos!$B$2:$B$500,"MN-0.15m-Golder",Ensayos!$F$2:$F$500,"Ajuste de la curva propuesta")</f>
        <v/>
      </c>
      <c r="D7">
        <f>AVERAGEIFS(Ensayos!$J$2:$J$500,Ensayos!$A$2:$A$500,"W2022",Ensayos!$B$2:$B$500,"MN-0.15m-Golder",Ensayos!$F$2:$F$500,"Ajuste de la curva propuesta")</f>
        <v/>
      </c>
      <c r="E7">
        <f>AVERAGEIFS(Ensayos!$V$2:$V$500,Ensayos!$A$2:$A$500,"W2022",Ensayos!$B$2:$B$500,"MN-0.15m-Golder",Ensayos!$F$2:$F$500,"Ajuste de la curva propuesta")</f>
        <v/>
      </c>
      <c r="G7" t="n">
        <v>0.25</v>
      </c>
      <c r="H7">
        <f>pe0-omega*G7</f>
        <v/>
      </c>
      <c r="I7" t="n">
        <v>46</v>
      </c>
      <c r="J7" t="n">
        <v>41</v>
      </c>
      <c r="K7" t="n">
        <v>36</v>
      </c>
      <c r="L7" t="n">
        <v>33</v>
      </c>
      <c r="N7">
        <f>E7+omega*D7</f>
        <v/>
      </c>
    </row>
    <row r="8">
      <c r="A8" t="inlineStr">
        <is>
          <t>W2024 | WSP24_C4_MON</t>
        </is>
      </c>
      <c r="B8" t="inlineStr">
        <is>
          <t>Intrusivo</t>
        </is>
      </c>
      <c r="C8">
        <f>COUNTIFS(Ensayos!$A$2:$A$500,"W2024",Ensayos!$B$2:$B$500,"WSP24_C4_MON",Ensayos!$F$2:$F$500,"Ajuste de la curva propuesta")</f>
        <v/>
      </c>
      <c r="D8">
        <f>AVERAGEIFS(Ensayos!$J$2:$J$500,Ensayos!$A$2:$A$500,"W2024",Ensayos!$B$2:$B$500,"WSP24_C4_MON",Ensayos!$F$2:$F$500,"Ajuste de la curva propuesta")</f>
        <v/>
      </c>
      <c r="E8">
        <f>AVERAGEIFS(Ensayos!$V$2:$V$500,Ensayos!$A$2:$A$500,"W2024",Ensayos!$B$2:$B$500,"WSP24_C4_MON",Ensayos!$F$2:$F$500,"Ajuste de la curva propuesta")</f>
        <v/>
      </c>
      <c r="G8" t="n">
        <v>0.3</v>
      </c>
      <c r="H8">
        <f>pe0-omega*G8</f>
        <v/>
      </c>
      <c r="I8" t="n">
        <v>46</v>
      </c>
      <c r="J8" t="n">
        <v>41</v>
      </c>
      <c r="K8" t="n">
        <v>36</v>
      </c>
      <c r="L8" t="n">
        <v>33</v>
      </c>
      <c r="N8">
        <f>E8+omega*D8</f>
        <v/>
      </c>
    </row>
    <row r="9">
      <c r="A9" t="inlineStr">
        <is>
          <t>I2025 | Codisposal 1 (100% Intrusivo)</t>
        </is>
      </c>
      <c r="B9" t="inlineStr">
        <is>
          <t>Intrusivo</t>
        </is>
      </c>
      <c r="C9">
        <f>COUNTIFS(Ensayos!$A$2:$A$500,"I2025",Ensayos!$B$2:$B$500,"Codisposal 1 (100% Intrusivo)",Ensayos!$F$2:$F$500,"Ajuste de la curva propuesta")</f>
        <v/>
      </c>
      <c r="D9">
        <f>AVERAGEIFS(Ensayos!$J$2:$J$500,Ensayos!$A$2:$A$500,"I2025",Ensayos!$B$2:$B$500,"Codisposal 1 (100% Intrusivo)",Ensayos!$F$2:$F$500,"Ajuste de la curva propuesta")</f>
        <v/>
      </c>
      <c r="E9">
        <f>AVERAGEIFS(Ensayos!$V$2:$V$500,Ensayos!$A$2:$A$500,"I2025",Ensayos!$B$2:$B$500,"Codisposal 1 (100% Intrusivo)",Ensayos!$F$2:$F$500,"Ajuste de la curva propuesta")</f>
        <v/>
      </c>
      <c r="G9" t="n">
        <v>0.35</v>
      </c>
      <c r="H9">
        <f>pe0-omega*G9</f>
        <v/>
      </c>
      <c r="I9" t="n">
        <v>46</v>
      </c>
      <c r="J9" t="n">
        <v>41</v>
      </c>
      <c r="K9" t="n">
        <v>36</v>
      </c>
      <c r="L9" t="n">
        <v>33</v>
      </c>
      <c r="N9">
        <f>E9+omega*D9</f>
        <v/>
      </c>
    </row>
    <row r="10">
      <c r="A10" t="inlineStr">
        <is>
          <t>A2024DS | Ruma 02</t>
        </is>
      </c>
      <c r="B10" t="inlineStr">
        <is>
          <t>Hornfels</t>
        </is>
      </c>
      <c r="C10">
        <f>COUNTIFS(Ensayos!$A$2:$A$500,"A2024DS",Ensayos!$B$2:$B$500,"Ruma 02",Ensayos!$F$2:$F$500,"Ajuste de la curva propuesta")</f>
        <v/>
      </c>
      <c r="D10">
        <f>AVERAGEIFS(Ensayos!$J$2:$J$500,Ensayos!$A$2:$A$500,"A2024DS",Ensayos!$B$2:$B$500,"Ruma 02",Ensayos!$F$2:$F$500,"Ajuste de la curva propuesta")</f>
        <v/>
      </c>
      <c r="E10">
        <f>AVERAGEIFS(Ensayos!$V$2:$V$500,Ensayos!$A$2:$A$500,"A2024DS",Ensayos!$B$2:$B$500,"Ruma 02",Ensayos!$F$2:$F$500,"Ajuste de la curva propuesta")</f>
        <v/>
      </c>
      <c r="G10" t="n">
        <v>0.4</v>
      </c>
      <c r="H10">
        <f>pe0-omega*G10</f>
        <v/>
      </c>
      <c r="I10" t="n">
        <v>46</v>
      </c>
      <c r="J10" t="n">
        <v>41</v>
      </c>
      <c r="K10" t="n">
        <v>36</v>
      </c>
      <c r="L10" t="n">
        <v>33</v>
      </c>
      <c r="N10">
        <f>E10+omega*D10</f>
        <v/>
      </c>
    </row>
    <row r="11">
      <c r="A11" t="inlineStr">
        <is>
          <t>A2024DS | Ruma 03 / Fase 10 A</t>
        </is>
      </c>
      <c r="B11" t="inlineStr">
        <is>
          <t>Intrusivo</t>
        </is>
      </c>
      <c r="C11">
        <f>COUNTIFS(Ensayos!$A$2:$A$500,"A2024DS",Ensayos!$B$2:$B$500,"Ruma 03 / Fase 10 A",Ensayos!$F$2:$F$500,"Ajuste de la curva propuesta")</f>
        <v/>
      </c>
      <c r="D11">
        <f>AVERAGEIFS(Ensayos!$J$2:$J$500,Ensayos!$A$2:$A$500,"A2024DS",Ensayos!$B$2:$B$500,"Ruma 03 / Fase 10 A",Ensayos!$F$2:$F$500,"Ajuste de la curva propuesta")</f>
        <v/>
      </c>
      <c r="E11">
        <f>AVERAGEIFS(Ensayos!$V$2:$V$500,Ensayos!$A$2:$A$500,"A2024DS",Ensayos!$B$2:$B$500,"Ruma 03 / Fase 10 A",Ensayos!$F$2:$F$500,"Ajuste de la curva propuesta")</f>
        <v/>
      </c>
      <c r="G11" t="n">
        <v>0.45</v>
      </c>
      <c r="H11">
        <f>pe0-omega*G11</f>
        <v/>
      </c>
      <c r="I11" t="n">
        <v>46</v>
      </c>
      <c r="J11" t="n">
        <v>41</v>
      </c>
      <c r="K11" t="n">
        <v>36</v>
      </c>
      <c r="L11" t="n">
        <v>33</v>
      </c>
      <c r="N11">
        <f>E11+omega*D11</f>
        <v/>
      </c>
    </row>
    <row r="12">
      <c r="A12" t="inlineStr">
        <is>
          <t>A2024DS | Ruma 01</t>
        </is>
      </c>
      <c r="B12" t="inlineStr">
        <is>
          <t>Mármol</t>
        </is>
      </c>
      <c r="C12">
        <f>COUNTIFS(Ensayos!$A$2:$A$500,"A2024DS",Ensayos!$B$2:$B$500,"Ruma 01",Ensayos!$F$2:$F$500,"Ajuste de la curva propuesta")</f>
        <v/>
      </c>
      <c r="D12">
        <f>AVERAGEIFS(Ensayos!$J$2:$J$500,Ensayos!$A$2:$A$500,"A2024DS",Ensayos!$B$2:$B$500,"Ruma 01",Ensayos!$F$2:$F$500,"Ajuste de la curva propuesta")</f>
        <v/>
      </c>
      <c r="E12">
        <f>AVERAGEIFS(Ensayos!$V$2:$V$500,Ensayos!$A$2:$A$500,"A2024DS",Ensayos!$B$2:$B$500,"Ruma 01",Ensayos!$F$2:$F$500,"Ajuste de la curva propuesta")</f>
        <v/>
      </c>
      <c r="G12" t="n">
        <v>0.5</v>
      </c>
      <c r="H12">
        <f>pe0-omega*G12</f>
        <v/>
      </c>
      <c r="I12" t="n">
        <v>46</v>
      </c>
      <c r="J12" t="n">
        <v>41</v>
      </c>
      <c r="K12" t="n">
        <v>36</v>
      </c>
      <c r="L12" t="n">
        <v>33</v>
      </c>
      <c r="N12">
        <f>E12+omega*D12</f>
        <v/>
      </c>
    </row>
    <row r="13">
      <c r="A13" t="inlineStr">
        <is>
          <t>A2024DS | Pila 01 (Mármol + Hornfels)</t>
        </is>
      </c>
      <c r="B13" t="inlineStr">
        <is>
          <t>Mezcla</t>
        </is>
      </c>
      <c r="C13">
        <f>COUNTIFS(Ensayos!$A$2:$A$500,"A2024DS",Ensayos!$B$2:$B$500,"Pila 01 (Mármol + Hornfels)",Ensayos!$F$2:$F$500,"Ajuste de la curva propuesta")</f>
        <v/>
      </c>
      <c r="D13">
        <f>AVERAGEIFS(Ensayos!$J$2:$J$500,Ensayos!$A$2:$A$500,"A2024DS",Ensayos!$B$2:$B$500,"Pila 01 (Mármol + Hornfels)",Ensayos!$F$2:$F$500,"Ajuste de la curva propuesta")</f>
        <v/>
      </c>
      <c r="E13">
        <f>AVERAGEIFS(Ensayos!$V$2:$V$500,Ensayos!$A$2:$A$500,"A2024DS",Ensayos!$B$2:$B$500,"Pila 01 (Mármol + Hornfels)",Ensayos!$F$2:$F$500,"Ajuste de la curva propuesta")</f>
        <v/>
      </c>
      <c r="G13" t="n">
        <v>0.55</v>
      </c>
      <c r="H13">
        <f>pe0-omega*G13</f>
        <v/>
      </c>
      <c r="I13" t="n">
        <v>46</v>
      </c>
      <c r="J13" t="n">
        <v>41</v>
      </c>
      <c r="K13" t="n">
        <v>36</v>
      </c>
      <c r="L13" t="n">
        <v>33</v>
      </c>
      <c r="N13">
        <f>E13+omega*D13</f>
        <v/>
      </c>
    </row>
    <row r="14">
      <c r="A14" t="inlineStr">
        <is>
          <t>A2024DS | Pila 02 (Intrusivo)</t>
        </is>
      </c>
      <c r="B14" t="inlineStr">
        <is>
          <t>Intrusivo</t>
        </is>
      </c>
      <c r="C14">
        <f>COUNTIFS(Ensayos!$A$2:$A$500,"A2024DS",Ensayos!$B$2:$B$500,"Pila 02 (Intrusivo)",Ensayos!$F$2:$F$500,"Ajuste de la curva propuesta")</f>
        <v/>
      </c>
      <c r="D14">
        <f>AVERAGEIFS(Ensayos!$J$2:$J$500,Ensayos!$A$2:$A$500,"A2024DS",Ensayos!$B$2:$B$500,"Pila 02 (Intrusivo)",Ensayos!$F$2:$F$500,"Ajuste de la curva propuesta")</f>
        <v/>
      </c>
      <c r="E14">
        <f>AVERAGEIFS(Ensayos!$V$2:$V$500,Ensayos!$A$2:$A$500,"A2024DS",Ensayos!$B$2:$B$500,"Pila 02 (Intrusivo)",Ensayos!$F$2:$F$500,"Ajuste de la curva propuesta")</f>
        <v/>
      </c>
      <c r="G14" t="n">
        <v>0.6</v>
      </c>
      <c r="H14">
        <f>pe0-omega*G14</f>
        <v/>
      </c>
      <c r="I14" t="n">
        <v>46</v>
      </c>
      <c r="J14" t="n">
        <v>41</v>
      </c>
      <c r="K14" t="n">
        <v>36</v>
      </c>
      <c r="L14" t="n">
        <v>33</v>
      </c>
      <c r="N14">
        <f>E14+omega*D14</f>
        <v/>
      </c>
    </row>
    <row r="15">
      <c r="G15" t="n">
        <v>0.65</v>
      </c>
      <c r="H15">
        <f>pe0-omega*G15</f>
        <v/>
      </c>
      <c r="I15" t="n">
        <v>46</v>
      </c>
      <c r="J15" t="n">
        <v>41</v>
      </c>
      <c r="K15" t="n">
        <v>36</v>
      </c>
      <c r="L15" t="n">
        <v>33</v>
      </c>
      <c r="M15" t="inlineStr">
        <is>
          <t>Media</t>
        </is>
      </c>
      <c r="N15" s="2">
        <f>AVERAGE(N2:N14)</f>
        <v/>
      </c>
    </row>
    <row r="16">
      <c r="A16" t="inlineStr">
        <is>
          <t>φ′1 de cada ensayo: Ensayos!V (a su e0). Cada punto de la figura de Cylwik et al. (2025) es un set; aquí, el promedio de los ensayos del set.</t>
        </is>
      </c>
      <c r="G16" t="n">
        <v>0.7</v>
      </c>
      <c r="H16">
        <f>pe0-omega*G16</f>
        <v/>
      </c>
      <c r="I16" t="n">
        <v>46</v>
      </c>
      <c r="J16" t="n">
        <v>41</v>
      </c>
      <c r="K16" t="n">
        <v>36</v>
      </c>
      <c r="L16" t="n">
        <v>33</v>
      </c>
    </row>
    <row r="17">
      <c r="G17" t="n">
        <v>0.75</v>
      </c>
      <c r="H17">
        <f>pe0-omega*G17</f>
        <v/>
      </c>
      <c r="I17" t="n">
        <v>46</v>
      </c>
      <c r="J17" t="n">
        <v>41</v>
      </c>
      <c r="K17" t="n">
        <v>36</v>
      </c>
      <c r="L17" t="n">
        <v>33</v>
      </c>
      <c r="M17" t="inlineStr">
        <is>
          <t>Nota</t>
        </is>
      </c>
      <c r="N17" t="inlineStr">
        <is>
          <t>Media de los φ′1 de los ensayos de cada set; la curva usa el φ′1 del set ajustado por mínimos cuadrados (a33), por eso esta media difiere algo de Parametros!B2.</t>
        </is>
      </c>
    </row>
    <row r="18">
      <c r="G18" t="n">
        <v>0.8</v>
      </c>
      <c r="H18">
        <f>pe0-omega*G18</f>
        <v/>
      </c>
      <c r="I18" t="n">
        <v>46</v>
      </c>
      <c r="J18" t="n">
        <v>41</v>
      </c>
      <c r="K18" t="n">
        <v>36</v>
      </c>
      <c r="L18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Hipótesis</t>
        </is>
      </c>
      <c r="B1" s="3" t="inlineStr">
        <is>
          <t>m</t>
        </is>
      </c>
      <c r="C1" s="3" t="inlineStr">
        <is>
          <t>φ′e=0 (°)</t>
        </is>
      </c>
      <c r="D1" s="3" t="inlineStr">
        <is>
          <t>φ′s a 1 MPa (°)</t>
        </is>
      </c>
      <c r="E1" s="3" t="inlineStr">
        <is>
          <t>φ′s a 2 MPa (°)</t>
        </is>
      </c>
      <c r="F1" s="3" t="inlineStr">
        <is>
          <t>φ′s a 3 MPa (°)</t>
        </is>
      </c>
      <c r="G1" s="3" t="inlineStr">
        <is>
          <t>φ′s a 4.6 MPa (°)</t>
        </is>
      </c>
      <c r="H1" s="3" t="inlineStr">
        <is>
          <t>φ′s a 8 MPa (°)</t>
        </is>
      </c>
      <c r="I1" s="3" t="inlineStr">
        <is>
          <t>φ′s a 15 MPa (°)</t>
        </is>
      </c>
    </row>
    <row r="2">
      <c r="A2" t="inlineStr">
        <is>
          <t>m P90 entre materiales</t>
        </is>
      </c>
      <c r="B2">
        <f>Parametros!B12</f>
        <v/>
      </c>
      <c r="C2">
        <f>Parametros!C12</f>
        <v/>
      </c>
      <c r="D2">
        <f>DEGREES(ATAN(TAN(RADIANS(C2-omega*e_base))*(1/sref)^(B2-1)))</f>
        <v/>
      </c>
      <c r="E2">
        <f>DEGREES(ATAN(TAN(RADIANS(C2-omega*e_base))*(2/sref)^(B2-1)))</f>
        <v/>
      </c>
      <c r="F2">
        <f>DEGREES(ATAN(TAN(RADIANS(C2-omega*e_base))*(3/sref)^(B2-1)))</f>
        <v/>
      </c>
      <c r="G2">
        <f>DEGREES(ATAN(TAN(RADIANS(C2-omega*e_base))*(4.6/sref)^(B2-1)))</f>
        <v/>
      </c>
      <c r="H2">
        <f>DEGREES(ATAN(TAN(RADIANS(C2-omega*e_base))*(8/sref)^(B2-1)))</f>
        <v/>
      </c>
      <c r="I2">
        <f>DEGREES(ATAN(TAN(RADIANS(C2-omega*e_base))*(15/sref)^(B2-1)))</f>
        <v/>
      </c>
    </row>
    <row r="3">
      <c r="A3" t="inlineStr">
        <is>
          <t>m alto (IC 90 %)</t>
        </is>
      </c>
      <c r="B3">
        <f>Parametros!B13</f>
        <v/>
      </c>
      <c r="C3">
        <f>Parametros!C13</f>
        <v/>
      </c>
      <c r="D3">
        <f>DEGREES(ATAN(TAN(RADIANS(C3-omega*e_base))*(1/sref)^(B3-1)))</f>
        <v/>
      </c>
      <c r="E3">
        <f>DEGREES(ATAN(TAN(RADIANS(C3-omega*e_base))*(2/sref)^(B3-1)))</f>
        <v/>
      </c>
      <c r="F3">
        <f>DEGREES(ATAN(TAN(RADIANS(C3-omega*e_base))*(3/sref)^(B3-1)))</f>
        <v/>
      </c>
      <c r="G3">
        <f>DEGREES(ATAN(TAN(RADIANS(C3-omega*e_base))*(4.6/sref)^(B3-1)))</f>
        <v/>
      </c>
      <c r="H3">
        <f>DEGREES(ATAN(TAN(RADIANS(C3-omega*e_base))*(8/sref)^(B3-1)))</f>
        <v/>
      </c>
      <c r="I3">
        <f>DEGREES(ATAN(TAN(RADIANS(C3-omega*e_base))*(15/sref)^(B3-1)))</f>
        <v/>
      </c>
    </row>
    <row r="4">
      <c r="A4" t="inlineStr">
        <is>
          <t>Curva propuesta</t>
        </is>
      </c>
      <c r="B4">
        <f>Parametros!B14</f>
        <v/>
      </c>
      <c r="C4">
        <f>Parametros!C14</f>
        <v/>
      </c>
      <c r="D4">
        <f>DEGREES(ATAN(TAN(RADIANS(C4-omega*e_base))*(1/sref)^(B4-1)))</f>
        <v/>
      </c>
      <c r="E4">
        <f>DEGREES(ATAN(TAN(RADIANS(C4-omega*e_base))*(2/sref)^(B4-1)))</f>
        <v/>
      </c>
      <c r="F4">
        <f>DEGREES(ATAN(TAN(RADIANS(C4-omega*e_base))*(3/sref)^(B4-1)))</f>
        <v/>
      </c>
      <c r="G4">
        <f>DEGREES(ATAN(TAN(RADIANS(C4-omega*e_base))*(4.6/sref)^(B4-1)))</f>
        <v/>
      </c>
      <c r="H4">
        <f>DEGREES(ATAN(TAN(RADIANS(C4-omega*e_base))*(8/sref)^(B4-1)))</f>
        <v/>
      </c>
      <c r="I4">
        <f>DEGREES(ATAN(TAN(RADIANS(C4-omega*e_base))*(15/sref)^(B4-1)))</f>
        <v/>
      </c>
    </row>
    <row r="5">
      <c r="A5" t="inlineStr">
        <is>
          <t>m bajo (IC 90 %)</t>
        </is>
      </c>
      <c r="B5">
        <f>Parametros!B15</f>
        <v/>
      </c>
      <c r="C5">
        <f>Parametros!C15</f>
        <v/>
      </c>
      <c r="D5">
        <f>DEGREES(ATAN(TAN(RADIANS(C5-omega*e_base))*(1/sref)^(B5-1)))</f>
        <v/>
      </c>
      <c r="E5">
        <f>DEGREES(ATAN(TAN(RADIANS(C5-omega*e_base))*(2/sref)^(B5-1)))</f>
        <v/>
      </c>
      <c r="F5">
        <f>DEGREES(ATAN(TAN(RADIANS(C5-omega*e_base))*(3/sref)^(B5-1)))</f>
        <v/>
      </c>
      <c r="G5">
        <f>DEGREES(ATAN(TAN(RADIANS(C5-omega*e_base))*(4.6/sref)^(B5-1)))</f>
        <v/>
      </c>
      <c r="H5">
        <f>DEGREES(ATAN(TAN(RADIANS(C5-omega*e_base))*(8/sref)^(B5-1)))</f>
        <v/>
      </c>
      <c r="I5">
        <f>DEGREES(ATAN(TAN(RADIANS(C5-omega*e_base))*(15/sref)^(B5-1)))</f>
        <v/>
      </c>
    </row>
    <row r="6">
      <c r="A6" t="inlineStr">
        <is>
          <t>m P10 entre materiales</t>
        </is>
      </c>
      <c r="B6">
        <f>Parametros!B16</f>
        <v/>
      </c>
      <c r="C6">
        <f>Parametros!C16</f>
        <v/>
      </c>
      <c r="D6">
        <f>DEGREES(ATAN(TAN(RADIANS(C6-omega*e_base))*(1/sref)^(B6-1)))</f>
        <v/>
      </c>
      <c r="E6">
        <f>DEGREES(ATAN(TAN(RADIANS(C6-omega*e_base))*(2/sref)^(B6-1)))</f>
        <v/>
      </c>
      <c r="F6">
        <f>DEGREES(ATAN(TAN(RADIANS(C6-omega*e_base))*(3/sref)^(B6-1)))</f>
        <v/>
      </c>
      <c r="G6">
        <f>DEGREES(ATAN(TAN(RADIANS(C6-omega*e_base))*(4.6/sref)^(B6-1)))</f>
        <v/>
      </c>
      <c r="H6">
        <f>DEGREES(ATAN(TAN(RADIANS(C6-omega*e_base))*(8/sref)^(B6-1)))</f>
        <v/>
      </c>
      <c r="I6">
        <f>DEGREES(ATAN(TAN(RADIANS(C6-omega*e_base))*(15/sref)^(B6-1)))</f>
        <v/>
      </c>
    </row>
    <row r="7">
      <c r="A7" t="inlineStr">
        <is>
          <t>Antamina sola (m = 1), sensibilidad</t>
        </is>
      </c>
      <c r="B7">
        <f>Parametros!B17</f>
        <v/>
      </c>
      <c r="C7">
        <f>Parametros!C17</f>
        <v/>
      </c>
      <c r="D7">
        <f>DEGREES(ATAN(TAN(RADIANS(C7-omega*e_base))*(1/sref)^(B7-1)))</f>
        <v/>
      </c>
      <c r="E7">
        <f>DEGREES(ATAN(TAN(RADIANS(C7-omega*e_base))*(2/sref)^(B7-1)))</f>
        <v/>
      </c>
      <c r="F7">
        <f>DEGREES(ATAN(TAN(RADIANS(C7-omega*e_base))*(3/sref)^(B7-1)))</f>
        <v/>
      </c>
      <c r="G7">
        <f>DEGREES(ATAN(TAN(RADIANS(C7-omega*e_base))*(4.6/sref)^(B7-1)))</f>
        <v/>
      </c>
      <c r="H7">
        <f>DEGREES(ATAN(TAN(RADIANS(C7-omega*e_base))*(8/sref)^(B7-1)))</f>
        <v/>
      </c>
      <c r="I7">
        <f>DEGREES(ATAN(TAN(RADIANS(C7-omega*e_base))*(15/sref)^(B7-1)))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</cols>
  <sheetData>
    <row r="1">
      <c r="A1" s="3" t="inlineStr">
        <is>
          <t>Set</t>
        </is>
      </c>
      <c r="B1" s="3" t="inlineStr">
        <is>
          <t>e</t>
        </is>
      </c>
      <c r="C1" s="3" t="inlineStr">
        <is>
          <t>σ′n (MPa)</t>
        </is>
      </c>
      <c r="D1" s="3" t="inlineStr">
        <is>
          <t>τ (MPa)</t>
        </is>
      </c>
      <c r="E1" s="3" t="inlineStr">
        <is>
          <t>φ′s ensayo (°)</t>
        </is>
      </c>
      <c r="F1" s="3" t="inlineStr">
        <is>
          <t>φ′s curva a su e (°)</t>
        </is>
      </c>
      <c r="G1" s="3" t="inlineStr">
        <is>
          <t>Δφ′s (°)</t>
        </is>
      </c>
      <c r="I1" s="6" t="inlineStr">
        <is>
          <t>Rango de σ′n</t>
        </is>
      </c>
      <c r="J1" s="6" t="inlineStr">
        <is>
          <t>Ensayos</t>
        </is>
      </c>
      <c r="K1" s="6" t="inlineStr">
        <is>
          <t>Bajo la curva</t>
        </is>
      </c>
      <c r="L1" s="6" t="inlineStr">
        <is>
          <t>Δφ′s mediana (°)</t>
        </is>
      </c>
    </row>
    <row r="2">
      <c r="A2" t="inlineStr">
        <is>
          <t>Holtz &amp; Gibbs (1956) | Ho-aa</t>
        </is>
      </c>
      <c r="B2" t="n">
        <v>0.302</v>
      </c>
      <c r="C2" t="n">
        <v>0.1731832280889229</v>
      </c>
      <c r="D2" t="n">
        <v>0.2029030363785003</v>
      </c>
      <c r="E2">
        <f>DEGREES(ATAN(D2/C2))</f>
        <v/>
      </c>
      <c r="F2">
        <f>DEGREES(ATAN(TAN(RADIANS(pe0-omega*B2))*(C2/sref)^(m_-1)))</f>
        <v/>
      </c>
      <c r="G2">
        <f>E2-F2</f>
        <v/>
      </c>
      <c r="I2" t="inlineStr">
        <is>
          <t>2–4.6 MPa</t>
        </is>
      </c>
      <c r="J2">
        <f>COUNTIFS(C2:C687,"&gt;2",C2:C687,"&lt;=4.6")</f>
        <v/>
      </c>
      <c r="K2">
        <f>COUNTIFS(C2:C687,"&gt;2",C2:C687,"&lt;=4.6",G2:G687,"&lt;0")</f>
        <v/>
      </c>
      <c r="L2">
        <f t="array" ref="L2">MEDIAN(IF((C2:C687&gt;2)*(C2:C687&lt;=4.6),G2:G687))</f>
        <v/>
      </c>
    </row>
    <row r="3">
      <c r="A3" t="inlineStr">
        <is>
          <t>Holtz &amp; Gibbs (1956) | Ho-aa</t>
        </is>
      </c>
      <c r="B3" t="n">
        <v>0.302</v>
      </c>
      <c r="C3" t="n">
        <v>0.3285056784825887</v>
      </c>
      <c r="D3" t="n">
        <v>0.3445431907678837</v>
      </c>
      <c r="E3">
        <f>DEGREES(ATAN(D3/C3))</f>
        <v/>
      </c>
      <c r="F3">
        <f>DEGREES(ATAN(TAN(RADIANS(pe0-omega*B3))*(C3/sref)^(m_-1)))</f>
        <v/>
      </c>
      <c r="G3">
        <f>E3-F3</f>
        <v/>
      </c>
      <c r="I3" t="inlineStr">
        <is>
          <t>4.6–7.9 MPa</t>
        </is>
      </c>
      <c r="J3">
        <f>COUNTIFS(C2:C687,"&gt;4.6",C2:C687,"&lt;=7.9")</f>
        <v/>
      </c>
      <c r="K3">
        <f>COUNTIFS(C2:C687,"&gt;4.6",C2:C687,"&lt;=7.9",G2:G687,"&lt;0")</f>
        <v/>
      </c>
      <c r="L3">
        <f t="array" ref="L3">MEDIAN(IF((C2:C687&gt;4.6)*(C2:C687&lt;=7.9),G2:G687))</f>
        <v/>
      </c>
    </row>
    <row r="4">
      <c r="A4" t="inlineStr">
        <is>
          <t>Holtz &amp; Gibbs (1956) | Ho-aa</t>
        </is>
      </c>
      <c r="B4" t="n">
        <v>0.302</v>
      </c>
      <c r="C4" t="n">
        <v>0.6421749567483283</v>
      </c>
      <c r="D4" t="n">
        <v>0.6200077805819348</v>
      </c>
      <c r="E4">
        <f>DEGREES(ATAN(D4/C4))</f>
        <v/>
      </c>
      <c r="F4">
        <f>DEGREES(ATAN(TAN(RADIANS(pe0-omega*B4))*(C4/sref)^(m_-1)))</f>
        <v/>
      </c>
      <c r="G4">
        <f>E4-F4</f>
        <v/>
      </c>
      <c r="I4" t="inlineStr">
        <is>
          <t>3–7.9 MPa</t>
        </is>
      </c>
      <c r="J4">
        <f>COUNTIFS(C2:C687,"&gt;3",C2:C687,"&lt;=7.9")</f>
        <v/>
      </c>
      <c r="K4">
        <f>COUNTIFS(C2:C687,"&gt;3",C2:C687,"&lt;=7.9",G2:G687,"&lt;0")</f>
        <v/>
      </c>
      <c r="L4">
        <f t="array" ref="L4">MEDIAN(IF((C2:C687&gt;3)*(C2:C687&lt;=7.9),G2:G687))</f>
        <v/>
      </c>
    </row>
    <row r="5">
      <c r="A5" t="inlineStr">
        <is>
          <t>Holtz &amp; Gibbs (1956) | Ho-aa</t>
        </is>
      </c>
      <c r="B5" t="n">
        <v>0.302</v>
      </c>
      <c r="C5" t="n">
        <v>1.23284254193323</v>
      </c>
      <c r="D5" t="n">
        <v>1.071381795297508</v>
      </c>
      <c r="E5">
        <f>DEGREES(ATAN(D5/C5))</f>
        <v/>
      </c>
      <c r="F5">
        <f>DEGREES(ATAN(TAN(RADIANS(pe0-omega*B5))*(C5/sref)^(m_-1)))</f>
        <v/>
      </c>
      <c r="G5">
        <f>E5-F5</f>
        <v/>
      </c>
    </row>
    <row r="6">
      <c r="A6" t="inlineStr">
        <is>
          <t>Holtz &amp; Gibbs (1956) | Ho-bb</t>
        </is>
      </c>
      <c r="B6" t="n">
        <v>0.404</v>
      </c>
      <c r="C6" t="n">
        <v>0.1599789510442817</v>
      </c>
      <c r="D6" t="n">
        <v>0.1610821371899462</v>
      </c>
      <c r="E6">
        <f>DEGREES(ATAN(D6/C6))</f>
        <v/>
      </c>
      <c r="F6">
        <f>DEGREES(ATAN(TAN(RADIANS(pe0-omega*B6))*(C6/sref)^(m_-1)))</f>
        <v/>
      </c>
      <c r="G6">
        <f>E6-F6</f>
        <v/>
      </c>
    </row>
    <row r="7">
      <c r="A7" t="inlineStr">
        <is>
          <t>Holtz &amp; Gibbs (1956) | Ho-bb</t>
        </is>
      </c>
      <c r="B7" t="n">
        <v>0.404</v>
      </c>
      <c r="C7" t="n">
        <v>0.3468240684323217</v>
      </c>
      <c r="D7" t="n">
        <v>0.3695443089262047</v>
      </c>
      <c r="E7">
        <f>DEGREES(ATAN(D7/C7))</f>
        <v/>
      </c>
      <c r="F7">
        <f>DEGREES(ATAN(TAN(RADIANS(pe0-omega*B7))*(C7/sref)^(m_-1)))</f>
        <v/>
      </c>
      <c r="G7">
        <f>E7-F7</f>
        <v/>
      </c>
    </row>
    <row r="8">
      <c r="A8" t="inlineStr">
        <is>
          <t>Holtz &amp; Gibbs (1956) | Ho-bb</t>
        </is>
      </c>
      <c r="B8" t="n">
        <v>0.404</v>
      </c>
      <c r="C8" t="n">
        <v>0.6252039341526918</v>
      </c>
      <c r="D8" t="n">
        <v>0.5636905635563694</v>
      </c>
      <c r="E8">
        <f>DEGREES(ATAN(D8/C8))</f>
        <v/>
      </c>
      <c r="F8">
        <f>DEGREES(ATAN(TAN(RADIANS(pe0-omega*B8))*(C8/sref)^(m_-1)))</f>
        <v/>
      </c>
      <c r="G8">
        <f>E8-F8</f>
        <v/>
      </c>
    </row>
    <row r="9">
      <c r="A9" t="inlineStr">
        <is>
          <t>Holtz &amp; Gibbs (1956) | Ho-bb</t>
        </is>
      </c>
      <c r="B9" t="n">
        <v>0.404</v>
      </c>
      <c r="C9" t="n">
        <v>1.195328141574337</v>
      </c>
      <c r="D9" t="n">
        <v>0.9579495575155205</v>
      </c>
      <c r="E9">
        <f>DEGREES(ATAN(D9/C9))</f>
        <v/>
      </c>
      <c r="F9">
        <f>DEGREES(ATAN(TAN(RADIANS(pe0-omega*B9))*(C9/sref)^(m_-1)))</f>
        <v/>
      </c>
      <c r="G9">
        <f>E9-F9</f>
        <v/>
      </c>
    </row>
    <row r="10">
      <c r="A10" t="inlineStr">
        <is>
          <t>Holtz &amp; Gibbs (1956) | Ho-cc</t>
        </is>
      </c>
      <c r="B10" t="n">
        <v>0.293</v>
      </c>
      <c r="C10" t="n">
        <v>0.1605105128890151</v>
      </c>
      <c r="D10" t="n">
        <v>0.1733531299344607</v>
      </c>
      <c r="E10">
        <f>DEGREES(ATAN(D10/C10))</f>
        <v/>
      </c>
      <c r="F10">
        <f>DEGREES(ATAN(TAN(RADIANS(pe0-omega*B10))*(C10/sref)^(m_-1)))</f>
        <v/>
      </c>
      <c r="G10">
        <f>E10-F10</f>
        <v/>
      </c>
    </row>
    <row r="11">
      <c r="A11" t="inlineStr">
        <is>
          <t>Holtz &amp; Gibbs (1956) | Ho-cc</t>
        </is>
      </c>
      <c r="B11" t="n">
        <v>0.293</v>
      </c>
      <c r="C11" t="n">
        <v>0.3278159179173934</v>
      </c>
      <c r="D11" t="n">
        <v>0.3466647307223906</v>
      </c>
      <c r="E11">
        <f>DEGREES(ATAN(D11/C11))</f>
        <v/>
      </c>
      <c r="F11">
        <f>DEGREES(ATAN(TAN(RADIANS(pe0-omega*B11))*(C11/sref)^(m_-1)))</f>
        <v/>
      </c>
      <c r="G11">
        <f>E11-F11</f>
        <v/>
      </c>
    </row>
    <row r="12">
      <c r="A12" t="inlineStr">
        <is>
          <t>Holtz &amp; Gibbs (1956) | Ho-cc</t>
        </is>
      </c>
      <c r="B12" t="n">
        <v>0.293</v>
      </c>
      <c r="C12" t="n">
        <v>0.6230749005469143</v>
      </c>
      <c r="D12" t="n">
        <v>0.5946344607651751</v>
      </c>
      <c r="E12">
        <f>DEGREES(ATAN(D12/C12))</f>
        <v/>
      </c>
      <c r="F12">
        <f>DEGREES(ATAN(TAN(RADIANS(pe0-omega*B12))*(C12/sref)^(m_-1)))</f>
        <v/>
      </c>
      <c r="G12">
        <f>E12-F12</f>
        <v/>
      </c>
    </row>
    <row r="13">
      <c r="A13" t="inlineStr">
        <is>
          <t>Holtz &amp; Gibbs (1956) | Ho-cc</t>
        </is>
      </c>
      <c r="B13" t="n">
        <v>0.293</v>
      </c>
      <c r="C13" t="n">
        <v>1.223817044037489</v>
      </c>
      <c r="D13" t="n">
        <v>1.089286230621331</v>
      </c>
      <c r="E13">
        <f>DEGREES(ATAN(D13/C13))</f>
        <v/>
      </c>
      <c r="F13">
        <f>DEGREES(ATAN(TAN(RADIANS(pe0-omega*B13))*(C13/sref)^(m_-1)))</f>
        <v/>
      </c>
      <c r="G13">
        <f>E13-F13</f>
        <v/>
      </c>
    </row>
    <row r="14">
      <c r="A14" t="inlineStr">
        <is>
          <t>Holtz &amp; Gibbs (1956) | Ho-dd</t>
        </is>
      </c>
      <c r="B14" t="n">
        <v>0.369</v>
      </c>
      <c r="C14" t="n">
        <v>0.1430941398500995</v>
      </c>
      <c r="D14" t="n">
        <v>0.1223423320489525</v>
      </c>
      <c r="E14">
        <f>DEGREES(ATAN(D14/C14))</f>
        <v/>
      </c>
      <c r="F14">
        <f>DEGREES(ATAN(TAN(RADIANS(pe0-omega*B14))*(C14/sref)^(m_-1)))</f>
        <v/>
      </c>
      <c r="G14">
        <f>E14-F14</f>
        <v/>
      </c>
    </row>
    <row r="15">
      <c r="A15" t="inlineStr">
        <is>
          <t>Holtz &amp; Gibbs (1956) | Ho-dd</t>
        </is>
      </c>
      <c r="B15" t="n">
        <v>0.369</v>
      </c>
      <c r="C15" t="n">
        <v>0.4300279402941915</v>
      </c>
      <c r="D15" t="n">
        <v>0.3578764555740173</v>
      </c>
      <c r="E15">
        <f>DEGREES(ATAN(D15/C15))</f>
        <v/>
      </c>
      <c r="F15">
        <f>DEGREES(ATAN(TAN(RADIANS(pe0-omega*B15))*(C15/sref)^(m_-1)))</f>
        <v/>
      </c>
      <c r="G15">
        <f>E15-F15</f>
        <v/>
      </c>
    </row>
    <row r="16">
      <c r="A16" t="inlineStr">
        <is>
          <t>Holtz &amp; Gibbs (1956) | Ho-dd</t>
        </is>
      </c>
      <c r="B16" t="n">
        <v>0.369</v>
      </c>
      <c r="C16" t="n">
        <v>0.8632240002609876</v>
      </c>
      <c r="D16" t="n">
        <v>0.7092614063787794</v>
      </c>
      <c r="E16">
        <f>DEGREES(ATAN(D16/C16))</f>
        <v/>
      </c>
      <c r="F16">
        <f>DEGREES(ATAN(TAN(RADIANS(pe0-omega*B16))*(C16/sref)^(m_-1)))</f>
        <v/>
      </c>
      <c r="G16">
        <f>E16-F16</f>
        <v/>
      </c>
    </row>
    <row r="17">
      <c r="A17" t="inlineStr">
        <is>
          <t>Holtz &amp; Gibbs (1956) | Ho-ff</t>
        </is>
      </c>
      <c r="B17" t="n">
        <v>0.52</v>
      </c>
      <c r="C17" t="n">
        <v>0.317358802476402</v>
      </c>
      <c r="D17" t="n">
        <v>0.2982308374764925</v>
      </c>
      <c r="E17">
        <f>DEGREES(ATAN(D17/C17))</f>
        <v/>
      </c>
      <c r="F17">
        <f>DEGREES(ATAN(TAN(RADIANS(pe0-omega*B17))*(C17/sref)^(m_-1)))</f>
        <v/>
      </c>
      <c r="G17">
        <f>E17-F17</f>
        <v/>
      </c>
    </row>
    <row r="18">
      <c r="A18" t="inlineStr">
        <is>
          <t>Holtz &amp; Gibbs (1956) | Ho-ff</t>
        </is>
      </c>
      <c r="B18" t="n">
        <v>0.52</v>
      </c>
      <c r="C18" t="n">
        <v>0.4616336140511984</v>
      </c>
      <c r="D18" t="n">
        <v>0.4024000726064961</v>
      </c>
      <c r="E18">
        <f>DEGREES(ATAN(D18/C18))</f>
        <v/>
      </c>
      <c r="F18">
        <f>DEGREES(ATAN(TAN(RADIANS(pe0-omega*B18))*(C18/sref)^(m_-1)))</f>
        <v/>
      </c>
      <c r="G18">
        <f>E18-F18</f>
        <v/>
      </c>
    </row>
    <row r="19">
      <c r="A19" t="inlineStr">
        <is>
          <t>Holtz &amp; Gibbs (1956) | Ho-gg</t>
        </is>
      </c>
      <c r="B19" t="n">
        <v>0.406</v>
      </c>
      <c r="C19" t="n">
        <v>0.1370742019189431</v>
      </c>
      <c r="D19" t="n">
        <v>0.1266552729900665</v>
      </c>
      <c r="E19">
        <f>DEGREES(ATAN(D19/C19))</f>
        <v/>
      </c>
      <c r="F19">
        <f>DEGREES(ATAN(TAN(RADIANS(pe0-omega*B19))*(C19/sref)^(m_-1)))</f>
        <v/>
      </c>
      <c r="G19">
        <f>E19-F19</f>
        <v/>
      </c>
    </row>
    <row r="20">
      <c r="A20" t="inlineStr">
        <is>
          <t>Holtz &amp; Gibbs (1956) | Ho-gg</t>
        </is>
      </c>
      <c r="B20" t="n">
        <v>0.406</v>
      </c>
      <c r="C20" t="n">
        <v>0.3071023912661287</v>
      </c>
      <c r="D20" t="n">
        <v>0.3359009957290366</v>
      </c>
      <c r="E20">
        <f>DEGREES(ATAN(D20/C20))</f>
        <v/>
      </c>
      <c r="F20">
        <f>DEGREES(ATAN(TAN(RADIANS(pe0-omega*B20))*(C20/sref)^(m_-1)))</f>
        <v/>
      </c>
      <c r="G20">
        <f>E20-F20</f>
        <v/>
      </c>
    </row>
    <row r="21">
      <c r="A21" t="inlineStr">
        <is>
          <t>Holtz &amp; Gibbs (1956) | Ho-gg</t>
        </is>
      </c>
      <c r="B21" t="n">
        <v>0.406</v>
      </c>
      <c r="C21" t="n">
        <v>0.4410449872585639</v>
      </c>
      <c r="D21" t="n">
        <v>0.4554088453790127</v>
      </c>
      <c r="E21">
        <f>DEGREES(ATAN(D21/C21))</f>
        <v/>
      </c>
      <c r="F21">
        <f>DEGREES(ATAN(TAN(RADIANS(pe0-omega*B21))*(C21/sref)^(m_-1)))</f>
        <v/>
      </c>
      <c r="G21">
        <f>E21-F21</f>
        <v/>
      </c>
    </row>
    <row r="22">
      <c r="A22" t="inlineStr">
        <is>
          <t>Holtz &amp; Gibbs (1956) | Ho-n</t>
        </is>
      </c>
      <c r="B22" t="n">
        <v>0.468</v>
      </c>
      <c r="C22" t="n">
        <v>0.1482269750814597</v>
      </c>
      <c r="D22" t="n">
        <v>0.126787911968481</v>
      </c>
      <c r="E22">
        <f>DEGREES(ATAN(D22/C22))</f>
        <v/>
      </c>
      <c r="F22">
        <f>DEGREES(ATAN(TAN(RADIANS(pe0-omega*B22))*(C22/sref)^(m_-1)))</f>
        <v/>
      </c>
      <c r="G22">
        <f>E22-F22</f>
        <v/>
      </c>
    </row>
    <row r="23">
      <c r="A23" t="inlineStr">
        <is>
          <t>Holtz &amp; Gibbs (1956) | Ho-n</t>
        </is>
      </c>
      <c r="B23" t="n">
        <v>0.468</v>
      </c>
      <c r="C23" t="n">
        <v>0.2968523919375951</v>
      </c>
      <c r="D23" t="n">
        <v>0.2412042712775001</v>
      </c>
      <c r="E23">
        <f>DEGREES(ATAN(D23/C23))</f>
        <v/>
      </c>
      <c r="F23">
        <f>DEGREES(ATAN(TAN(RADIANS(pe0-omega*B23))*(C23/sref)^(m_-1)))</f>
        <v/>
      </c>
      <c r="G23">
        <f>E23-F23</f>
        <v/>
      </c>
    </row>
    <row r="24">
      <c r="A24" t="inlineStr">
        <is>
          <t>Holtz &amp; Gibbs (1956) | Ho-n</t>
        </is>
      </c>
      <c r="B24" t="n">
        <v>0.468</v>
      </c>
      <c r="C24" t="n">
        <v>0.5865860610905493</v>
      </c>
      <c r="D24" t="n">
        <v>0.4484981158999876</v>
      </c>
      <c r="E24">
        <f>DEGREES(ATAN(D24/C24))</f>
        <v/>
      </c>
      <c r="F24">
        <f>DEGREES(ATAN(TAN(RADIANS(pe0-omega*B24))*(C24/sref)^(m_-1)))</f>
        <v/>
      </c>
      <c r="G24">
        <f>E24-F24</f>
        <v/>
      </c>
    </row>
    <row r="25">
      <c r="A25" t="inlineStr">
        <is>
          <t>Holtz &amp; Gibbs (1956) | Ho-n</t>
        </is>
      </c>
      <c r="B25" t="n">
        <v>0.468</v>
      </c>
      <c r="C25" t="n">
        <v>1.142177397157959</v>
      </c>
      <c r="D25" t="n">
        <v>0.8062112205297663</v>
      </c>
      <c r="E25">
        <f>DEGREES(ATAN(D25/C25))</f>
        <v/>
      </c>
      <c r="F25">
        <f>DEGREES(ATAN(TAN(RADIANS(pe0-omega*B25))*(C25/sref)^(m_-1)))</f>
        <v/>
      </c>
      <c r="G25">
        <f>E25-F25</f>
        <v/>
      </c>
    </row>
    <row r="26">
      <c r="A26" t="inlineStr">
        <is>
          <t>Holtz &amp; Gibbs (1956) | Ho-o</t>
        </is>
      </c>
      <c r="B26" t="n">
        <v>0.49</v>
      </c>
      <c r="C26" t="n">
        <v>0.1599778057768796</v>
      </c>
      <c r="D26" t="n">
        <v>0.1444399886161678</v>
      </c>
      <c r="E26">
        <f>DEGREES(ATAN(D26/C26))</f>
        <v/>
      </c>
      <c r="F26">
        <f>DEGREES(ATAN(TAN(RADIANS(pe0-omega*B26))*(C26/sref)^(m_-1)))</f>
        <v/>
      </c>
      <c r="G26">
        <f>E26-F26</f>
        <v/>
      </c>
    </row>
    <row r="27">
      <c r="A27" t="inlineStr">
        <is>
          <t>Holtz &amp; Gibbs (1956) | Ho-o</t>
        </is>
      </c>
      <c r="B27" t="n">
        <v>0.49</v>
      </c>
      <c r="C27" t="n">
        <v>0.2786419640607634</v>
      </c>
      <c r="D27" t="n">
        <v>0.207600954297032</v>
      </c>
      <c r="E27">
        <f>DEGREES(ATAN(D27/C27))</f>
        <v/>
      </c>
      <c r="F27">
        <f>DEGREES(ATAN(TAN(RADIANS(pe0-omega*B27))*(C27/sref)^(m_-1)))</f>
        <v/>
      </c>
      <c r="G27">
        <f>E27-F27</f>
        <v/>
      </c>
    </row>
    <row r="28">
      <c r="A28" t="inlineStr">
        <is>
          <t>Holtz &amp; Gibbs (1956) | Ho-o</t>
        </is>
      </c>
      <c r="B28" t="n">
        <v>0.49</v>
      </c>
      <c r="C28" t="n">
        <v>0.5604174638153748</v>
      </c>
      <c r="D28" t="n">
        <v>0.4194957973477851</v>
      </c>
      <c r="E28">
        <f>DEGREES(ATAN(D28/C28))</f>
        <v/>
      </c>
      <c r="F28">
        <f>DEGREES(ATAN(TAN(RADIANS(pe0-omega*B28))*(C28/sref)^(m_-1)))</f>
        <v/>
      </c>
      <c r="G28">
        <f>E28-F28</f>
        <v/>
      </c>
    </row>
    <row r="29">
      <c r="A29" t="inlineStr">
        <is>
          <t>Holtz &amp; Gibbs (1956) | Ho-o</t>
        </is>
      </c>
      <c r="B29" t="n">
        <v>0.49</v>
      </c>
      <c r="C29" t="n">
        <v>1.121646641351685</v>
      </c>
      <c r="D29" t="n">
        <v>0.826261891089181</v>
      </c>
      <c r="E29">
        <f>DEGREES(ATAN(D29/C29))</f>
        <v/>
      </c>
      <c r="F29">
        <f>DEGREES(ATAN(TAN(RADIANS(pe0-omega*B29))*(C29/sref)^(m_-1)))</f>
        <v/>
      </c>
      <c r="G29">
        <f>E29-F29</f>
        <v/>
      </c>
    </row>
    <row r="30">
      <c r="A30" t="inlineStr">
        <is>
          <t>Holtz &amp; Gibbs (1956) | Ho-p</t>
        </is>
      </c>
      <c r="B30" t="n">
        <v>0.418</v>
      </c>
      <c r="C30" t="n">
        <v>0.1694256347217161</v>
      </c>
      <c r="D30" t="n">
        <v>0.1710976728686718</v>
      </c>
      <c r="E30">
        <f>DEGREES(ATAN(D30/C30))</f>
        <v/>
      </c>
      <c r="F30">
        <f>DEGREES(ATAN(TAN(RADIANS(pe0-omega*B30))*(C30/sref)^(m_-1)))</f>
        <v/>
      </c>
      <c r="G30">
        <f>E30-F30</f>
        <v/>
      </c>
    </row>
    <row r="31">
      <c r="A31" t="inlineStr">
        <is>
          <t>Holtz &amp; Gibbs (1956) | Ho-p</t>
        </is>
      </c>
      <c r="B31" t="n">
        <v>0.418</v>
      </c>
      <c r="C31" t="n">
        <v>0.3125645861914576</v>
      </c>
      <c r="D31" t="n">
        <v>0.283483581986696</v>
      </c>
      <c r="E31">
        <f>DEGREES(ATAN(D31/C31))</f>
        <v/>
      </c>
      <c r="F31">
        <f>DEGREES(ATAN(TAN(RADIANS(pe0-omega*B31))*(C31/sref)^(m_-1)))</f>
        <v/>
      </c>
      <c r="G31">
        <f>E31-F31</f>
        <v/>
      </c>
    </row>
    <row r="32">
      <c r="A32" t="inlineStr">
        <is>
          <t>Holtz &amp; Gibbs (1956) | Ho-p</t>
        </is>
      </c>
      <c r="B32" t="n">
        <v>0.418</v>
      </c>
      <c r="C32" t="n">
        <v>0.615234540769934</v>
      </c>
      <c r="D32" t="n">
        <v>0.5301593334752834</v>
      </c>
      <c r="E32">
        <f>DEGREES(ATAN(D32/C32))</f>
        <v/>
      </c>
      <c r="F32">
        <f>DEGREES(ATAN(TAN(RADIANS(pe0-omega*B32))*(C32/sref)^(m_-1)))</f>
        <v/>
      </c>
      <c r="G32">
        <f>E32-F32</f>
        <v/>
      </c>
    </row>
    <row r="33">
      <c r="A33" t="inlineStr">
        <is>
          <t>Holtz &amp; Gibbs (1956) | Ho-p</t>
        </is>
      </c>
      <c r="B33" t="n">
        <v>0.418</v>
      </c>
      <c r="C33" t="n">
        <v>0.8945101377530101</v>
      </c>
      <c r="D33" t="n">
        <v>0.7189947295687404</v>
      </c>
      <c r="E33">
        <f>DEGREES(ATAN(D33/C33))</f>
        <v/>
      </c>
      <c r="F33">
        <f>DEGREES(ATAN(TAN(RADIANS(pe0-omega*B33))*(C33/sref)^(m_-1)))</f>
        <v/>
      </c>
      <c r="G33">
        <f>E33-F33</f>
        <v/>
      </c>
    </row>
    <row r="34">
      <c r="A34" t="inlineStr">
        <is>
          <t>Holtz &amp; Gibbs (1956) | Ho-q</t>
        </is>
      </c>
      <c r="B34" t="n">
        <v>0.422</v>
      </c>
      <c r="C34" t="n">
        <v>0.1627483649628275</v>
      </c>
      <c r="D34" t="n">
        <v>0.1645169136132481</v>
      </c>
      <c r="E34">
        <f>DEGREES(ATAN(D34/C34))</f>
        <v/>
      </c>
      <c r="F34">
        <f>DEGREES(ATAN(TAN(RADIANS(pe0-omega*B34))*(C34/sref)^(m_-1)))</f>
        <v/>
      </c>
      <c r="G34">
        <f>E34-F34</f>
        <v/>
      </c>
    </row>
    <row r="35">
      <c r="A35" t="inlineStr">
        <is>
          <t>Holtz &amp; Gibbs (1956) | Ho-q</t>
        </is>
      </c>
      <c r="B35" t="n">
        <v>0.422</v>
      </c>
      <c r="C35" t="n">
        <v>0.3128419333782876</v>
      </c>
      <c r="D35" t="n">
        <v>0.2898280898767414</v>
      </c>
      <c r="E35">
        <f>DEGREES(ATAN(D35/C35))</f>
        <v/>
      </c>
      <c r="F35">
        <f>DEGREES(ATAN(TAN(RADIANS(pe0-omega*B35))*(C35/sref)^(m_-1)))</f>
        <v/>
      </c>
      <c r="G35">
        <f>E35-F35</f>
        <v/>
      </c>
    </row>
    <row r="36">
      <c r="A36" t="inlineStr">
        <is>
          <t>Holtz &amp; Gibbs (1956) | Ho-q</t>
        </is>
      </c>
      <c r="B36" t="n">
        <v>0.422</v>
      </c>
      <c r="C36" t="n">
        <v>0.6100114463996881</v>
      </c>
      <c r="D36" t="n">
        <v>0.5240376426084101</v>
      </c>
      <c r="E36">
        <f>DEGREES(ATAN(D36/C36))</f>
        <v/>
      </c>
      <c r="F36">
        <f>DEGREES(ATAN(TAN(RADIANS(pe0-omega*B36))*(C36/sref)^(m_-1)))</f>
        <v/>
      </c>
      <c r="G36">
        <f>E36-F36</f>
        <v/>
      </c>
    </row>
    <row r="37">
      <c r="A37" t="inlineStr">
        <is>
          <t>Holtz &amp; Gibbs (1956) | Ho-q</t>
        </is>
      </c>
      <c r="B37" t="n">
        <v>0.422</v>
      </c>
      <c r="C37" t="n">
        <v>1.173812827836743</v>
      </c>
      <c r="D37" t="n">
        <v>0.915118727970086</v>
      </c>
      <c r="E37">
        <f>DEGREES(ATAN(D37/C37))</f>
        <v/>
      </c>
      <c r="F37">
        <f>DEGREES(ATAN(TAN(RADIANS(pe0-omega*B37))*(C37/sref)^(m_-1)))</f>
        <v/>
      </c>
      <c r="G37">
        <f>E37-F37</f>
        <v/>
      </c>
    </row>
    <row r="38">
      <c r="A38" t="inlineStr">
        <is>
          <t>Holtz &amp; Gibbs (1956) | Ho-r</t>
        </is>
      </c>
      <c r="B38" t="n">
        <v>0.418</v>
      </c>
      <c r="C38" t="n">
        <v>0.1656407481252759</v>
      </c>
      <c r="D38" t="n">
        <v>0.1675622638007076</v>
      </c>
      <c r="E38">
        <f>DEGREES(ATAN(D38/C38))</f>
        <v/>
      </c>
      <c r="F38">
        <f>DEGREES(ATAN(TAN(RADIANS(pe0-omega*B38))*(C38/sref)^(m_-1)))</f>
        <v/>
      </c>
      <c r="G38">
        <f>E38-F38</f>
        <v/>
      </c>
    </row>
    <row r="39">
      <c r="A39" t="inlineStr">
        <is>
          <t>Holtz &amp; Gibbs (1956) | Ho-r</t>
        </is>
      </c>
      <c r="B39" t="n">
        <v>0.418</v>
      </c>
      <c r="C39" t="n">
        <v>0.3185847658003653</v>
      </c>
      <c r="D39" t="n">
        <v>0.3004975615160099</v>
      </c>
      <c r="E39">
        <f>DEGREES(ATAN(D39/C39))</f>
        <v/>
      </c>
      <c r="F39">
        <f>DEGREES(ATAN(TAN(RADIANS(pe0-omega*B39))*(C39/sref)^(m_-1)))</f>
        <v/>
      </c>
      <c r="G39">
        <f>E39-F39</f>
        <v/>
      </c>
    </row>
    <row r="40">
      <c r="A40" t="inlineStr">
        <is>
          <t>Holtz &amp; Gibbs (1956) | Ho-r</t>
        </is>
      </c>
      <c r="B40" t="n">
        <v>0.418</v>
      </c>
      <c r="C40" t="n">
        <v>0.6007084754605753</v>
      </c>
      <c r="D40" t="n">
        <v>0.5089619139221059</v>
      </c>
      <c r="E40">
        <f>DEGREES(ATAN(D40/C40))</f>
        <v/>
      </c>
      <c r="F40">
        <f>DEGREES(ATAN(TAN(RADIANS(pe0-omega*B40))*(C40/sref)^(m_-1)))</f>
        <v/>
      </c>
      <c r="G40">
        <f>E40-F40</f>
        <v/>
      </c>
    </row>
    <row r="41">
      <c r="A41" t="inlineStr">
        <is>
          <t>Holtz &amp; Gibbs (1956) | Ho-r</t>
        </is>
      </c>
      <c r="B41" t="n">
        <v>0.418</v>
      </c>
      <c r="C41" t="n">
        <v>1.173890515947988</v>
      </c>
      <c r="D41" t="n">
        <v>0.9174607817087289</v>
      </c>
      <c r="E41">
        <f>DEGREES(ATAN(D41/C41))</f>
        <v/>
      </c>
      <c r="F41">
        <f>DEGREES(ATAN(TAN(RADIANS(pe0-omega*B41))*(C41/sref)^(m_-1)))</f>
        <v/>
      </c>
      <c r="G41">
        <f>E41-F41</f>
        <v/>
      </c>
    </row>
    <row r="42">
      <c r="A42" t="inlineStr">
        <is>
          <t>Holtz &amp; Gibbs (1956) | Ho-s</t>
        </is>
      </c>
      <c r="B42" t="n">
        <v>0.365</v>
      </c>
      <c r="C42" t="n">
        <v>0.1692681886086403</v>
      </c>
      <c r="D42" t="n">
        <v>0.1850784941621606</v>
      </c>
      <c r="E42">
        <f>DEGREES(ATAN(D42/C42))</f>
        <v/>
      </c>
      <c r="F42">
        <f>DEGREES(ATAN(TAN(RADIANS(pe0-omega*B42))*(C42/sref)^(m_-1)))</f>
        <v/>
      </c>
      <c r="G42">
        <f>E42-F42</f>
        <v/>
      </c>
    </row>
    <row r="43">
      <c r="A43" t="inlineStr">
        <is>
          <t>Holtz &amp; Gibbs (1956) | Ho-s</t>
        </is>
      </c>
      <c r="B43" t="n">
        <v>0.365</v>
      </c>
      <c r="C43" t="n">
        <v>0.3211152426643705</v>
      </c>
      <c r="D43" t="n">
        <v>0.316350869999079</v>
      </c>
      <c r="E43">
        <f>DEGREES(ATAN(D43/C43))</f>
        <v/>
      </c>
      <c r="F43">
        <f>DEGREES(ATAN(TAN(RADIANS(pe0-omega*B43))*(C43/sref)^(m_-1)))</f>
        <v/>
      </c>
      <c r="G43">
        <f>E43-F43</f>
        <v/>
      </c>
    </row>
    <row r="44">
      <c r="A44" t="inlineStr">
        <is>
          <t>Holtz &amp; Gibbs (1956) | Ho-s</t>
        </is>
      </c>
      <c r="B44" t="n">
        <v>0.365</v>
      </c>
      <c r="C44" t="n">
        <v>0.6207799829712412</v>
      </c>
      <c r="D44" t="n">
        <v>0.5583645457610802</v>
      </c>
      <c r="E44">
        <f>DEGREES(ATAN(D44/C44))</f>
        <v/>
      </c>
      <c r="F44">
        <f>DEGREES(ATAN(TAN(RADIANS(pe0-omega*B44))*(C44/sref)^(m_-1)))</f>
        <v/>
      </c>
      <c r="G44">
        <f>E44-F44</f>
        <v/>
      </c>
    </row>
    <row r="45">
      <c r="A45" t="inlineStr">
        <is>
          <t>Holtz &amp; Gibbs (1956) | Ho-s</t>
        </is>
      </c>
      <c r="B45" t="n">
        <v>0.365</v>
      </c>
      <c r="C45" t="n">
        <v>1.212182982565783</v>
      </c>
      <c r="D45" t="n">
        <v>1.003344438884749</v>
      </c>
      <c r="E45">
        <f>DEGREES(ATAN(D45/C45))</f>
        <v/>
      </c>
      <c r="F45">
        <f>DEGREES(ATAN(TAN(RADIANS(pe0-omega*B45))*(C45/sref)^(m_-1)))</f>
        <v/>
      </c>
      <c r="G45">
        <f>E45-F45</f>
        <v/>
      </c>
    </row>
    <row r="46">
      <c r="A46" t="inlineStr">
        <is>
          <t>Holtz &amp; Gibbs (1956) | Ho-t</t>
        </is>
      </c>
      <c r="B46" t="n">
        <v>0.317</v>
      </c>
      <c r="C46" t="n">
        <v>0.1719958252824175</v>
      </c>
      <c r="D46" t="n">
        <v>0.1975533432693712</v>
      </c>
      <c r="E46">
        <f>DEGREES(ATAN(D46/C46))</f>
        <v/>
      </c>
      <c r="F46">
        <f>DEGREES(ATAN(TAN(RADIANS(pe0-omega*B46))*(C46/sref)^(m_-1)))</f>
        <v/>
      </c>
      <c r="G46">
        <f>E46-F46</f>
        <v/>
      </c>
    </row>
    <row r="47">
      <c r="A47" t="inlineStr">
        <is>
          <t>Holtz &amp; Gibbs (1956) | Ho-t</t>
        </is>
      </c>
      <c r="B47" t="n">
        <v>0.317</v>
      </c>
      <c r="C47" t="n">
        <v>0.3295873002704303</v>
      </c>
      <c r="D47" t="n">
        <v>0.3476718495794601</v>
      </c>
      <c r="E47">
        <f>DEGREES(ATAN(D47/C47))</f>
        <v/>
      </c>
      <c r="F47">
        <f>DEGREES(ATAN(TAN(RADIANS(pe0-omega*B47))*(C47/sref)^(m_-1)))</f>
        <v/>
      </c>
      <c r="G47">
        <f>E47-F47</f>
        <v/>
      </c>
    </row>
    <row r="48">
      <c r="A48" t="inlineStr">
        <is>
          <t>Holtz &amp; Gibbs (1956) | Ho-t</t>
        </is>
      </c>
      <c r="B48" t="n">
        <v>0.317</v>
      </c>
      <c r="C48" t="n">
        <v>0.6254492510838096</v>
      </c>
      <c r="D48" t="n">
        <v>0.5929172407667332</v>
      </c>
      <c r="E48">
        <f>DEGREES(ATAN(D48/C48))</f>
        <v/>
      </c>
      <c r="F48">
        <f>DEGREES(ATAN(TAN(RADIANS(pe0-omega*B48))*(C48/sref)^(m_-1)))</f>
        <v/>
      </c>
      <c r="G48">
        <f>E48-F48</f>
        <v/>
      </c>
    </row>
    <row r="49">
      <c r="A49" t="inlineStr">
        <is>
          <t>Holtz &amp; Gibbs (1956) | Ho-t</t>
        </is>
      </c>
      <c r="B49" t="n">
        <v>0.317</v>
      </c>
      <c r="C49" t="n">
        <v>1.218886574778633</v>
      </c>
      <c r="D49" t="n">
        <v>1.054472589943034</v>
      </c>
      <c r="E49">
        <f>DEGREES(ATAN(D49/C49))</f>
        <v/>
      </c>
      <c r="F49">
        <f>DEGREES(ATAN(TAN(RADIANS(pe0-omega*B49))*(C49/sref)^(m_-1)))</f>
        <v/>
      </c>
      <c r="G49">
        <f>E49-F49</f>
        <v/>
      </c>
    </row>
    <row r="50">
      <c r="A50" t="inlineStr">
        <is>
          <t>Holtz &amp; Gibbs (1956) | Ho-u</t>
        </is>
      </c>
      <c r="B50" t="n">
        <v>0.298</v>
      </c>
      <c r="C50" t="n">
        <v>0.154107708220048</v>
      </c>
      <c r="D50" t="n">
        <v>0.1519877009426734</v>
      </c>
      <c r="E50">
        <f>DEGREES(ATAN(D50/C50))</f>
        <v/>
      </c>
      <c r="F50">
        <f>DEGREES(ATAN(TAN(RADIANS(pe0-omega*B50))*(C50/sref)^(m_-1)))</f>
        <v/>
      </c>
      <c r="G50">
        <f>E50-F50</f>
        <v/>
      </c>
    </row>
    <row r="51">
      <c r="A51" t="inlineStr">
        <is>
          <t>Holtz &amp; Gibbs (1956) | Ho-u</t>
        </is>
      </c>
      <c r="B51" t="n">
        <v>0.298</v>
      </c>
      <c r="C51" t="n">
        <v>0.3214272767167155</v>
      </c>
      <c r="D51" t="n">
        <v>0.3190641365361481</v>
      </c>
      <c r="E51">
        <f>DEGREES(ATAN(D51/C51))</f>
        <v/>
      </c>
      <c r="F51">
        <f>DEGREES(ATAN(TAN(RADIANS(pe0-omega*B51))*(C51/sref)^(m_-1)))</f>
        <v/>
      </c>
      <c r="G51">
        <f>E51-F51</f>
        <v/>
      </c>
    </row>
    <row r="52">
      <c r="A52" t="inlineStr">
        <is>
          <t>Holtz &amp; Gibbs (1956) | Ho-u</t>
        </is>
      </c>
      <c r="B52" t="n">
        <v>0.298</v>
      </c>
      <c r="C52" t="n">
        <v>0.6072606079517988</v>
      </c>
      <c r="D52" t="n">
        <v>0.5352634497898019</v>
      </c>
      <c r="E52">
        <f>DEGREES(ATAN(D52/C52))</f>
        <v/>
      </c>
      <c r="F52">
        <f>DEGREES(ATAN(TAN(RADIANS(pe0-omega*B52))*(C52/sref)^(m_-1)))</f>
        <v/>
      </c>
      <c r="G52">
        <f>E52-F52</f>
        <v/>
      </c>
    </row>
    <row r="53">
      <c r="A53" t="inlineStr">
        <is>
          <t>Holtz &amp; Gibbs (1956) | Ho-u</t>
        </is>
      </c>
      <c r="B53" t="n">
        <v>0.298</v>
      </c>
      <c r="C53" t="n">
        <v>1.200467898391637</v>
      </c>
      <c r="D53" t="n">
        <v>0.9911848686841895</v>
      </c>
      <c r="E53">
        <f>DEGREES(ATAN(D53/C53))</f>
        <v/>
      </c>
      <c r="F53">
        <f>DEGREES(ATAN(TAN(RADIANS(pe0-omega*B53))*(C53/sref)^(m_-1)))</f>
        <v/>
      </c>
      <c r="G53">
        <f>E53-F53</f>
        <v/>
      </c>
    </row>
    <row r="54">
      <c r="A54" t="inlineStr">
        <is>
          <t>Holtz &amp; Gibbs (1956) | Ho-v</t>
        </is>
      </c>
      <c r="B54" t="n">
        <v>0.4</v>
      </c>
      <c r="C54" t="n">
        <v>0.1678000087216709</v>
      </c>
      <c r="D54" t="n">
        <v>0.1789142548980464</v>
      </c>
      <c r="E54">
        <f>DEGREES(ATAN(D54/C54))</f>
        <v/>
      </c>
      <c r="F54">
        <f>DEGREES(ATAN(TAN(RADIANS(pe0-omega*B54))*(C54/sref)^(m_-1)))</f>
        <v/>
      </c>
      <c r="G54">
        <f>E54-F54</f>
        <v/>
      </c>
    </row>
    <row r="55">
      <c r="A55" t="inlineStr">
        <is>
          <t>Holtz &amp; Gibbs (1956) | Ho-v</t>
        </is>
      </c>
      <c r="B55" t="n">
        <v>0.4</v>
      </c>
      <c r="C55" t="n">
        <v>0.3002316545670805</v>
      </c>
      <c r="D55" t="n">
        <v>0.2646518223417849</v>
      </c>
      <c r="E55">
        <f>DEGREES(ATAN(D55/C55))</f>
        <v/>
      </c>
      <c r="F55">
        <f>DEGREES(ATAN(TAN(RADIANS(pe0-omega*B55))*(C55/sref)^(m_-1)))</f>
        <v/>
      </c>
      <c r="G55">
        <f>E55-F55</f>
        <v/>
      </c>
    </row>
    <row r="56">
      <c r="A56" t="inlineStr">
        <is>
          <t>Holtz &amp; Gibbs (1956) | Ho-v</t>
        </is>
      </c>
      <c r="B56" t="n">
        <v>0.4</v>
      </c>
      <c r="C56" t="n">
        <v>0.6266965176939526</v>
      </c>
      <c r="D56" t="n">
        <v>0.5582678277788451</v>
      </c>
      <c r="E56">
        <f>DEGREES(ATAN(D56/C56))</f>
        <v/>
      </c>
      <c r="F56">
        <f>DEGREES(ATAN(TAN(RADIANS(pe0-omega*B56))*(C56/sref)^(m_-1)))</f>
        <v/>
      </c>
      <c r="G56">
        <f>E56-F56</f>
        <v/>
      </c>
    </row>
    <row r="57">
      <c r="A57" t="inlineStr">
        <is>
          <t>Holtz &amp; Gibbs (1956) | Ho-v</t>
        </is>
      </c>
      <c r="B57" t="n">
        <v>0.4</v>
      </c>
      <c r="C57" t="n">
        <v>1.179128583196418</v>
      </c>
      <c r="D57" t="n">
        <v>0.9236940847170894</v>
      </c>
      <c r="E57">
        <f>DEGREES(ATAN(D57/C57))</f>
        <v/>
      </c>
      <c r="F57">
        <f>DEGREES(ATAN(TAN(RADIANS(pe0-omega*B57))*(C57/sref)^(m_-1)))</f>
        <v/>
      </c>
      <c r="G57">
        <f>E57-F57</f>
        <v/>
      </c>
    </row>
    <row r="58">
      <c r="A58" t="inlineStr">
        <is>
          <t>Holtz &amp; Gibbs (1956) | Ho-x</t>
        </is>
      </c>
      <c r="B58" t="n">
        <v>0.31</v>
      </c>
      <c r="C58" t="n">
        <v>0.1707013046285802</v>
      </c>
      <c r="D58" t="n">
        <v>0.193236466276701</v>
      </c>
      <c r="E58">
        <f>DEGREES(ATAN(D58/C58))</f>
        <v/>
      </c>
      <c r="F58">
        <f>DEGREES(ATAN(TAN(RADIANS(pe0-omega*B58))*(C58/sref)^(m_-1)))</f>
        <v/>
      </c>
      <c r="G58">
        <f>E58-F58</f>
        <v/>
      </c>
    </row>
    <row r="59">
      <c r="A59" t="inlineStr">
        <is>
          <t>Holtz &amp; Gibbs (1956) | Ho-x</t>
        </is>
      </c>
      <c r="B59" t="n">
        <v>0.31</v>
      </c>
      <c r="C59" t="n">
        <v>0.3103547491497322</v>
      </c>
      <c r="D59" t="n">
        <v>0.3002077364253468</v>
      </c>
      <c r="E59">
        <f>DEGREES(ATAN(D59/C59))</f>
        <v/>
      </c>
      <c r="F59">
        <f>DEGREES(ATAN(TAN(RADIANS(pe0-omega*B59))*(C59/sref)^(m_-1)))</f>
        <v/>
      </c>
      <c r="G59">
        <f>E59-F59</f>
        <v/>
      </c>
    </row>
    <row r="60">
      <c r="A60" t="inlineStr">
        <is>
          <t>Holtz &amp; Gibbs (1956) | Ho-x</t>
        </is>
      </c>
      <c r="B60" t="n">
        <v>0.31</v>
      </c>
      <c r="C60" t="n">
        <v>0.6069061198694435</v>
      </c>
      <c r="D60" t="n">
        <v>0.5429928814846511</v>
      </c>
      <c r="E60">
        <f>DEGREES(ATAN(D60/C60))</f>
        <v/>
      </c>
      <c r="F60">
        <f>DEGREES(ATAN(TAN(RADIANS(pe0-omega*B60))*(C60/sref)^(m_-1)))</f>
        <v/>
      </c>
      <c r="G60">
        <f>E60-F60</f>
        <v/>
      </c>
    </row>
    <row r="61">
      <c r="A61" t="inlineStr">
        <is>
          <t>Holtz &amp; Gibbs (1956) | Ho-x</t>
        </is>
      </c>
      <c r="B61" t="n">
        <v>0.31</v>
      </c>
      <c r="C61" t="n">
        <v>1.213718517700457</v>
      </c>
      <c r="D61" t="n">
        <v>1.031400070351932</v>
      </c>
      <c r="E61">
        <f>DEGREES(ATAN(D61/C61))</f>
        <v/>
      </c>
      <c r="F61">
        <f>DEGREES(ATAN(TAN(RADIANS(pe0-omega*B61))*(C61/sref)^(m_-1)))</f>
        <v/>
      </c>
      <c r="G61">
        <f>E61-F61</f>
        <v/>
      </c>
    </row>
    <row r="62">
      <c r="A62" t="inlineStr">
        <is>
          <t>Holtz &amp; Gibbs (1956) | Ho-z</t>
        </is>
      </c>
      <c r="B62" t="n">
        <v>0.407</v>
      </c>
      <c r="C62" t="n">
        <v>0.1657514825603232</v>
      </c>
      <c r="D62" t="n">
        <v>0.173997828725438</v>
      </c>
      <c r="E62">
        <f>DEGREES(ATAN(D62/C62))</f>
        <v/>
      </c>
      <c r="F62">
        <f>DEGREES(ATAN(TAN(RADIANS(pe0-omega*B62))*(C62/sref)^(m_-1)))</f>
        <v/>
      </c>
      <c r="G62">
        <f>E62-F62</f>
        <v/>
      </c>
    </row>
    <row r="63">
      <c r="A63" t="inlineStr">
        <is>
          <t>Holtz &amp; Gibbs (1956) | Ho-z</t>
        </is>
      </c>
      <c r="B63" t="n">
        <v>0.407</v>
      </c>
      <c r="C63" t="n">
        <v>0.3198258870339145</v>
      </c>
      <c r="D63" t="n">
        <v>0.3067457247299877</v>
      </c>
      <c r="E63">
        <f>DEGREES(ATAN(D63/C63))</f>
        <v/>
      </c>
      <c r="F63">
        <f>DEGREES(ATAN(TAN(RADIANS(pe0-omega*B63))*(C63/sref)^(m_-1)))</f>
        <v/>
      </c>
      <c r="G63">
        <f>E63-F63</f>
        <v/>
      </c>
    </row>
    <row r="64">
      <c r="A64" t="inlineStr">
        <is>
          <t>Holtz &amp; Gibbs (1956) | Ho-z</t>
        </is>
      </c>
      <c r="B64" t="n">
        <v>0.407</v>
      </c>
      <c r="C64" t="n">
        <v>0.6135726837354061</v>
      </c>
      <c r="D64" t="n">
        <v>0.5342938477175883</v>
      </c>
      <c r="E64">
        <f>DEGREES(ATAN(D64/C64))</f>
        <v/>
      </c>
      <c r="F64">
        <f>DEGREES(ATAN(TAN(RADIANS(pe0-omega*B64))*(C64/sref)^(m_-1)))</f>
        <v/>
      </c>
      <c r="G64">
        <f>E64-F64</f>
        <v/>
      </c>
    </row>
    <row r="65">
      <c r="A65" t="inlineStr">
        <is>
          <t>Holtz &amp; Gibbs (1956) | Ho-z</t>
        </is>
      </c>
      <c r="B65" t="n">
        <v>0.407</v>
      </c>
      <c r="C65" t="n">
        <v>1.182802679261763</v>
      </c>
      <c r="D65" t="n">
        <v>0.9392909390937694</v>
      </c>
      <c r="E65">
        <f>DEGREES(ATAN(D65/C65))</f>
        <v/>
      </c>
      <c r="F65">
        <f>DEGREES(ATAN(TAN(RADIANS(pe0-omega*B65))*(C65/sref)^(m_-1)))</f>
        <v/>
      </c>
      <c r="G65">
        <f>E65-F65</f>
        <v/>
      </c>
    </row>
    <row r="66">
      <c r="A66" t="inlineStr">
        <is>
          <t>Hall &amp; Gordon (1963) | EB-65b</t>
        </is>
      </c>
      <c r="B66" t="n">
        <v>0.331</v>
      </c>
      <c r="C66" t="n">
        <v>0.1789063753703859</v>
      </c>
      <c r="D66" t="n">
        <v>0.1473641610387256</v>
      </c>
      <c r="E66">
        <f>DEGREES(ATAN(D66/C66))</f>
        <v/>
      </c>
      <c r="F66">
        <f>DEGREES(ATAN(TAN(RADIANS(pe0-omega*B66))*(C66/sref)^(m_-1)))</f>
        <v/>
      </c>
      <c r="G66">
        <f>E66-F66</f>
        <v/>
      </c>
    </row>
    <row r="67">
      <c r="A67" t="inlineStr">
        <is>
          <t>Hall &amp; Gordon (1963) | EB-65b</t>
        </is>
      </c>
      <c r="B67" t="n">
        <v>0.317</v>
      </c>
      <c r="C67" t="n">
        <v>0.2970783167647893</v>
      </c>
      <c r="D67" t="n">
        <v>0.2805749195819083</v>
      </c>
      <c r="E67">
        <f>DEGREES(ATAN(D67/C67))</f>
        <v/>
      </c>
      <c r="F67">
        <f>DEGREES(ATAN(TAN(RADIANS(pe0-omega*B67))*(C67/sref)^(m_-1)))</f>
        <v/>
      </c>
      <c r="G67">
        <f>E67-F67</f>
        <v/>
      </c>
    </row>
    <row r="68">
      <c r="A68" t="inlineStr">
        <is>
          <t>Hall &amp; Gordon (1963) | EB-65b</t>
        </is>
      </c>
      <c r="B68" t="n">
        <v>0.291</v>
      </c>
      <c r="C68" t="n">
        <v>0.5144878111816809</v>
      </c>
      <c r="D68" t="n">
        <v>0.5009171243584454</v>
      </c>
      <c r="E68">
        <f>DEGREES(ATAN(D68/C68))</f>
        <v/>
      </c>
      <c r="F68">
        <f>DEGREES(ATAN(TAN(RADIANS(pe0-omega*B68))*(C68/sref)^(m_-1)))</f>
        <v/>
      </c>
      <c r="G68">
        <f>E68-F68</f>
        <v/>
      </c>
    </row>
    <row r="69">
      <c r="A69" t="inlineStr">
        <is>
          <t>Hall &amp; Gordon (1963) | EB-65b</t>
        </is>
      </c>
      <c r="B69" t="n">
        <v>0.29</v>
      </c>
      <c r="C69" t="n">
        <v>0.7716714455861061</v>
      </c>
      <c r="D69" t="n">
        <v>0.7983738034205009</v>
      </c>
      <c r="E69">
        <f>DEGREES(ATAN(D69/C69))</f>
        <v/>
      </c>
      <c r="F69">
        <f>DEGREES(ATAN(TAN(RADIANS(pe0-omega*B69))*(C69/sref)^(m_-1)))</f>
        <v/>
      </c>
      <c r="G69">
        <f>E69-F69</f>
        <v/>
      </c>
    </row>
    <row r="70">
      <c r="A70" t="inlineStr">
        <is>
          <t>Hall &amp; Gordon (1963) | EB-65b</t>
        </is>
      </c>
      <c r="B70" t="n">
        <v>0.264</v>
      </c>
      <c r="C70" t="n">
        <v>1.308450443155569</v>
      </c>
      <c r="D70" t="n">
        <v>1.264134341558624</v>
      </c>
      <c r="E70">
        <f>DEGREES(ATAN(D70/C70))</f>
        <v/>
      </c>
      <c r="F70">
        <f>DEGREES(ATAN(TAN(RADIANS(pe0-omega*B70))*(C70/sref)^(m_-1)))</f>
        <v/>
      </c>
      <c r="G70">
        <f>E70-F70</f>
        <v/>
      </c>
    </row>
    <row r="71">
      <c r="A71" t="inlineStr">
        <is>
          <t>Hall &amp; Gordon (1963) | EB-71b</t>
        </is>
      </c>
      <c r="B71" t="n">
        <v>0.326</v>
      </c>
      <c r="C71" t="n">
        <v>0.2661072387699049</v>
      </c>
      <c r="D71" t="n">
        <v>0.2581798533658166</v>
      </c>
      <c r="E71">
        <f>DEGREES(ATAN(D71/C71))</f>
        <v/>
      </c>
      <c r="F71">
        <f>DEGREES(ATAN(TAN(RADIANS(pe0-omega*B71))*(C71/sref)^(m_-1)))</f>
        <v/>
      </c>
      <c r="G71">
        <f>E71-F71</f>
        <v/>
      </c>
    </row>
    <row r="72">
      <c r="A72" t="inlineStr">
        <is>
          <t>Hall &amp; Gordon (1963) | EB-71b</t>
        </is>
      </c>
      <c r="B72" t="n">
        <v>0.297</v>
      </c>
      <c r="C72" t="n">
        <v>0.48563407823801</v>
      </c>
      <c r="D72" t="n">
        <v>0.3926578585788854</v>
      </c>
      <c r="E72">
        <f>DEGREES(ATAN(D72/C72))</f>
        <v/>
      </c>
      <c r="F72">
        <f>DEGREES(ATAN(TAN(RADIANS(pe0-omega*B72))*(C72/sref)^(m_-1)))</f>
        <v/>
      </c>
      <c r="G72">
        <f>E72-F72</f>
        <v/>
      </c>
    </row>
    <row r="73">
      <c r="A73" t="inlineStr">
        <is>
          <t>Hall &amp; Gordon (1963) | EB-71b</t>
        </is>
      </c>
      <c r="B73" t="n">
        <v>0.299</v>
      </c>
      <c r="C73" t="n">
        <v>0.9065567586243827</v>
      </c>
      <c r="D73" t="n">
        <v>0.6208978145738984</v>
      </c>
      <c r="E73">
        <f>DEGREES(ATAN(D73/C73))</f>
        <v/>
      </c>
      <c r="F73">
        <f>DEGREES(ATAN(TAN(RADIANS(pe0-omega*B73))*(C73/sref)^(m_-1)))</f>
        <v/>
      </c>
      <c r="G73">
        <f>E73-F73</f>
        <v/>
      </c>
    </row>
    <row r="74">
      <c r="A74" t="inlineStr">
        <is>
          <t>Hall &amp; Gordon (1963) | EB-71b</t>
        </is>
      </c>
      <c r="B74" t="n">
        <v>0.281</v>
      </c>
      <c r="C74" t="n">
        <v>1.467000930039367</v>
      </c>
      <c r="D74" t="n">
        <v>1.015648436226653</v>
      </c>
      <c r="E74">
        <f>DEGREES(ATAN(D74/C74))</f>
        <v/>
      </c>
      <c r="F74">
        <f>DEGREES(ATAN(TAN(RADIANS(pe0-omega*B74))*(C74/sref)^(m_-1)))</f>
        <v/>
      </c>
      <c r="G74">
        <f>E74-F74</f>
        <v/>
      </c>
    </row>
    <row r="75">
      <c r="A75" t="inlineStr">
        <is>
          <t>Hall &amp; Gordon (1963) | EB-71c</t>
        </is>
      </c>
      <c r="B75" t="n">
        <v>0.313</v>
      </c>
      <c r="C75" t="n">
        <v>0.5754797396581265</v>
      </c>
      <c r="D75" t="n">
        <v>0.3991951231888908</v>
      </c>
      <c r="E75">
        <f>DEGREES(ATAN(D75/C75))</f>
        <v/>
      </c>
      <c r="F75">
        <f>DEGREES(ATAN(TAN(RADIANS(pe0-omega*B75))*(C75/sref)^(m_-1)))</f>
        <v/>
      </c>
      <c r="G75">
        <f>E75-F75</f>
        <v/>
      </c>
    </row>
    <row r="76">
      <c r="A76" t="inlineStr">
        <is>
          <t>Hall &amp; Gordon (1963) | EB-71c</t>
        </is>
      </c>
      <c r="B76" t="n">
        <v>0.253</v>
      </c>
      <c r="C76" t="n">
        <v>1.52062132607843</v>
      </c>
      <c r="D76" t="n">
        <v>1.007258054471547</v>
      </c>
      <c r="E76">
        <f>DEGREES(ATAN(D76/C76))</f>
        <v/>
      </c>
      <c r="F76">
        <f>DEGREES(ATAN(TAN(RADIANS(pe0-omega*B76))*(C76/sref)^(m_-1)))</f>
        <v/>
      </c>
      <c r="G76">
        <f>E76-F76</f>
        <v/>
      </c>
    </row>
    <row r="77">
      <c r="A77" t="inlineStr">
        <is>
          <t>Hall &amp; Gordon (1963) | EB-71d</t>
        </is>
      </c>
      <c r="B77" t="n">
        <v>0.363</v>
      </c>
      <c r="C77" t="n">
        <v>0.1359856577207063</v>
      </c>
      <c r="D77" t="n">
        <v>0.1330114219702228</v>
      </c>
      <c r="E77">
        <f>DEGREES(ATAN(D77/C77))</f>
        <v/>
      </c>
      <c r="F77">
        <f>DEGREES(ATAN(TAN(RADIANS(pe0-omega*B77))*(C77/sref)^(m_-1)))</f>
        <v/>
      </c>
      <c r="G77">
        <f>E77-F77</f>
        <v/>
      </c>
    </row>
    <row r="78">
      <c r="A78" t="inlineStr">
        <is>
          <t>Hall &amp; Gordon (1963) | EB-71d</t>
        </is>
      </c>
      <c r="B78" t="n">
        <v>0.324</v>
      </c>
      <c r="C78" t="n">
        <v>0.5361288562374465</v>
      </c>
      <c r="D78" t="n">
        <v>0.3748744945753568</v>
      </c>
      <c r="E78">
        <f>DEGREES(ATAN(D78/C78))</f>
        <v/>
      </c>
      <c r="F78">
        <f>DEGREES(ATAN(TAN(RADIANS(pe0-omega*B78))*(C78/sref)^(m_-1)))</f>
        <v/>
      </c>
      <c r="G78">
        <f>E78-F78</f>
        <v/>
      </c>
    </row>
    <row r="79">
      <c r="A79" t="inlineStr">
        <is>
          <t>Hall &amp; Gordon (1963) | TP15</t>
        </is>
      </c>
      <c r="B79" t="n">
        <v>0.258</v>
      </c>
      <c r="C79" t="n">
        <v>1.491488836729443</v>
      </c>
      <c r="D79" t="n">
        <v>1.331979761408234</v>
      </c>
      <c r="E79">
        <f>DEGREES(ATAN(D79/C79))</f>
        <v/>
      </c>
      <c r="F79">
        <f>DEGREES(ATAN(TAN(RADIANS(pe0-omega*B79))*(C79/sref)^(m_-1)))</f>
        <v/>
      </c>
      <c r="G79">
        <f>E79-F79</f>
        <v/>
      </c>
    </row>
    <row r="80">
      <c r="A80" t="inlineStr">
        <is>
          <t>Hall &amp; Gordon (1963) | TP15</t>
        </is>
      </c>
      <c r="B80" t="n">
        <v>0.231</v>
      </c>
      <c r="C80" t="n">
        <v>2.488339983938734</v>
      </c>
      <c r="D80" t="n">
        <v>2.282473494105612</v>
      </c>
      <c r="E80">
        <f>DEGREES(ATAN(D80/C80))</f>
        <v/>
      </c>
      <c r="F80">
        <f>DEGREES(ATAN(TAN(RADIANS(pe0-omega*B80))*(C80/sref)^(m_-1)))</f>
        <v/>
      </c>
      <c r="G80">
        <f>E80-F80</f>
        <v/>
      </c>
    </row>
    <row r="81">
      <c r="A81" t="inlineStr">
        <is>
          <t>Hall &amp; Gordon (1963) | TP15</t>
        </is>
      </c>
      <c r="B81" t="n">
        <v>0.233</v>
      </c>
      <c r="C81" t="n">
        <v>3.560772054351121</v>
      </c>
      <c r="D81" t="n">
        <v>3.001480150380661</v>
      </c>
      <c r="E81">
        <f>DEGREES(ATAN(D81/C81))</f>
        <v/>
      </c>
      <c r="F81">
        <f>DEGREES(ATAN(TAN(RADIANS(pe0-omega*B81))*(C81/sref)^(m_-1)))</f>
        <v/>
      </c>
      <c r="G81">
        <f>E81-F81</f>
        <v/>
      </c>
    </row>
    <row r="82">
      <c r="A82" t="inlineStr">
        <is>
          <t>Hall &amp; Gordon (1963) | TP24</t>
        </is>
      </c>
      <c r="B82" t="n">
        <v>0.263</v>
      </c>
      <c r="C82" t="n">
        <v>1.529056584653798</v>
      </c>
      <c r="D82" t="n">
        <v>1.334674543204972</v>
      </c>
      <c r="E82">
        <f>DEGREES(ATAN(D82/C82))</f>
        <v/>
      </c>
      <c r="F82">
        <f>DEGREES(ATAN(TAN(RADIANS(pe0-omega*B82))*(C82/sref)^(m_-1)))</f>
        <v/>
      </c>
      <c r="G82">
        <f>E82-F82</f>
        <v/>
      </c>
    </row>
    <row r="83">
      <c r="A83" t="inlineStr">
        <is>
          <t>Hall &amp; Gordon (1963) | TP24</t>
        </is>
      </c>
      <c r="B83" t="n">
        <v>0.239</v>
      </c>
      <c r="C83" t="n">
        <v>2.466907656627065</v>
      </c>
      <c r="D83" t="n">
        <v>2.104101781684721</v>
      </c>
      <c r="E83">
        <f>DEGREES(ATAN(D83/C83))</f>
        <v/>
      </c>
      <c r="F83">
        <f>DEGREES(ATAN(TAN(RADIANS(pe0-omega*B83))*(C83/sref)^(m_-1)))</f>
        <v/>
      </c>
      <c r="G83">
        <f>E83-F83</f>
        <v/>
      </c>
    </row>
    <row r="84">
      <c r="A84" t="inlineStr">
        <is>
          <t>Hall &amp; Gordon (1963) | TP24</t>
        </is>
      </c>
      <c r="B84" t="n">
        <v>0.234</v>
      </c>
      <c r="C84" t="n">
        <v>3.593557982811703</v>
      </c>
      <c r="D84" t="n">
        <v>2.867216218035659</v>
      </c>
      <c r="E84">
        <f>DEGREES(ATAN(D84/C84))</f>
        <v/>
      </c>
      <c r="F84">
        <f>DEGREES(ATAN(TAN(RADIANS(pe0-omega*B84))*(C84/sref)^(m_-1)))</f>
        <v/>
      </c>
      <c r="G84">
        <f>E84-F84</f>
        <v/>
      </c>
    </row>
    <row r="85">
      <c r="A85" t="inlineStr">
        <is>
          <t>Hall &amp; Gordon (1963) | TP24</t>
        </is>
      </c>
      <c r="B85" t="n">
        <v>0.219</v>
      </c>
      <c r="C85" t="n">
        <v>6.218448783190459</v>
      </c>
      <c r="D85" t="n">
        <v>4.38250724080959</v>
      </c>
      <c r="E85">
        <f>DEGREES(ATAN(D85/C85))</f>
        <v/>
      </c>
      <c r="F85">
        <f>DEGREES(ATAN(TAN(RADIANS(pe0-omega*B85))*(C85/sref)^(m_-1)))</f>
        <v/>
      </c>
      <c r="G85">
        <f>E85-F85</f>
        <v/>
      </c>
    </row>
    <row r="86">
      <c r="A86" t="inlineStr">
        <is>
          <t>Marsal et al. (1965) | a</t>
        </is>
      </c>
      <c r="B86" t="n">
        <v>0.7</v>
      </c>
      <c r="C86" t="n">
        <v>0.1356142648411726</v>
      </c>
      <c r="D86" t="n">
        <v>0.142736780812706</v>
      </c>
      <c r="E86">
        <f>DEGREES(ATAN(D86/C86))</f>
        <v/>
      </c>
      <c r="F86">
        <f>DEGREES(ATAN(TAN(RADIANS(pe0-omega*B86))*(C86/sref)^(m_-1)))</f>
        <v/>
      </c>
      <c r="G86">
        <f>E86-F86</f>
        <v/>
      </c>
    </row>
    <row r="87">
      <c r="A87" t="inlineStr">
        <is>
          <t>Marsal et al. (1965) | a</t>
        </is>
      </c>
      <c r="B87" t="n">
        <v>0.6</v>
      </c>
      <c r="C87" t="n">
        <v>0.1245992273030038</v>
      </c>
      <c r="D87" t="n">
        <v>0.1297407181033242</v>
      </c>
      <c r="E87">
        <f>DEGREES(ATAN(D87/C87))</f>
        <v/>
      </c>
      <c r="F87">
        <f>DEGREES(ATAN(TAN(RADIANS(pe0-omega*B87))*(C87/sref)^(m_-1)))</f>
        <v/>
      </c>
      <c r="G87">
        <f>E87-F87</f>
        <v/>
      </c>
    </row>
    <row r="88">
      <c r="A88" t="inlineStr">
        <is>
          <t>Marsal et al. (1965) | a</t>
        </is>
      </c>
      <c r="B88" t="n">
        <v>0.62</v>
      </c>
      <c r="C88" t="n">
        <v>0.1244393424801139</v>
      </c>
      <c r="D88" t="n">
        <v>0.1293742188996425</v>
      </c>
      <c r="E88">
        <f>DEGREES(ATAN(D88/C88))</f>
        <v/>
      </c>
      <c r="F88">
        <f>DEGREES(ATAN(TAN(RADIANS(pe0-omega*B88))*(C88/sref)^(m_-1)))</f>
        <v/>
      </c>
      <c r="G88">
        <f>E88-F88</f>
        <v/>
      </c>
    </row>
    <row r="89">
      <c r="A89" t="inlineStr">
        <is>
          <t>Marsal et al. (1965) | b</t>
        </is>
      </c>
      <c r="B89" t="n">
        <v>0.55</v>
      </c>
      <c r="C89" t="n">
        <v>0.355345937796901</v>
      </c>
      <c r="D89" t="n">
        <v>0.3598288775780625</v>
      </c>
      <c r="E89">
        <f>DEGREES(ATAN(D89/C89))</f>
        <v/>
      </c>
      <c r="F89">
        <f>DEGREES(ATAN(TAN(RADIANS(pe0-omega*B89))*(C89/sref)^(m_-1)))</f>
        <v/>
      </c>
      <c r="G89">
        <f>E89-F89</f>
        <v/>
      </c>
    </row>
    <row r="90">
      <c r="A90" t="inlineStr">
        <is>
          <t>Marsal et al. (1965) | b</t>
        </is>
      </c>
      <c r="B90" t="n">
        <v>0.55</v>
      </c>
      <c r="C90" t="n">
        <v>0.8585313866909698</v>
      </c>
      <c r="D90" t="n">
        <v>0.7448211635039538</v>
      </c>
      <c r="E90">
        <f>DEGREES(ATAN(D90/C90))</f>
        <v/>
      </c>
      <c r="F90">
        <f>DEGREES(ATAN(TAN(RADIANS(pe0-omega*B90))*(C90/sref)^(m_-1)))</f>
        <v/>
      </c>
      <c r="G90">
        <f>E90-F90</f>
        <v/>
      </c>
    </row>
    <row r="91">
      <c r="A91" t="inlineStr">
        <is>
          <t>Marsal et al. (1965) | b</t>
        </is>
      </c>
      <c r="B91" t="n">
        <v>0.62</v>
      </c>
      <c r="C91" t="n">
        <v>1.74623177845652</v>
      </c>
      <c r="D91" t="n">
        <v>1.43193251964039</v>
      </c>
      <c r="E91">
        <f>DEGREES(ATAN(D91/C91))</f>
        <v/>
      </c>
      <c r="F91">
        <f>DEGREES(ATAN(TAN(RADIANS(pe0-omega*B91))*(C91/sref)^(m_-1)))</f>
        <v/>
      </c>
      <c r="G91">
        <f>E91-F91</f>
        <v/>
      </c>
    </row>
    <row r="92">
      <c r="A92" t="inlineStr">
        <is>
          <t>Marsal et al. (1965) | b</t>
        </is>
      </c>
      <c r="B92" t="n">
        <v>0.51</v>
      </c>
      <c r="C92" t="n">
        <v>2.907772822580126</v>
      </c>
      <c r="D92" t="n">
        <v>2.254862386027376</v>
      </c>
      <c r="E92">
        <f>DEGREES(ATAN(D92/C92))</f>
        <v/>
      </c>
      <c r="F92">
        <f>DEGREES(ATAN(TAN(RADIANS(pe0-omega*B92))*(C92/sref)^(m_-1)))</f>
        <v/>
      </c>
      <c r="G92">
        <f>E92-F92</f>
        <v/>
      </c>
    </row>
    <row r="93">
      <c r="A93" t="inlineStr">
        <is>
          <t>Marsal et al. (1965) | c</t>
        </is>
      </c>
      <c r="B93" t="n">
        <v>0.61</v>
      </c>
      <c r="C93" t="n">
        <v>0.1677150580935834</v>
      </c>
      <c r="D93" t="n">
        <v>0.1732187559072535</v>
      </c>
      <c r="E93">
        <f>DEGREES(ATAN(D93/C93))</f>
        <v/>
      </c>
      <c r="F93">
        <f>DEGREES(ATAN(TAN(RADIANS(pe0-omega*B93))*(C93/sref)^(m_-1)))</f>
        <v/>
      </c>
      <c r="G93">
        <f>E93-F93</f>
        <v/>
      </c>
    </row>
    <row r="94">
      <c r="A94" t="inlineStr">
        <is>
          <t>Marsal et al. (1965) | c</t>
        </is>
      </c>
      <c r="B94" t="n">
        <v>0.62</v>
      </c>
      <c r="C94" t="n">
        <v>0.349870559916499</v>
      </c>
      <c r="D94" t="n">
        <v>0.3411319941561003</v>
      </c>
      <c r="E94">
        <f>DEGREES(ATAN(D94/C94))</f>
        <v/>
      </c>
      <c r="F94">
        <f>DEGREES(ATAN(TAN(RADIANS(pe0-omega*B94))*(C94/sref)^(m_-1)))</f>
        <v/>
      </c>
      <c r="G94">
        <f>E94-F94</f>
        <v/>
      </c>
    </row>
    <row r="95">
      <c r="A95" t="inlineStr">
        <is>
          <t>Marsal et al. (1965) | c</t>
        </is>
      </c>
      <c r="B95" t="n">
        <v>0.73</v>
      </c>
      <c r="C95" t="n">
        <v>0.8681915084000073</v>
      </c>
      <c r="D95" t="n">
        <v>0.7486174533045172</v>
      </c>
      <c r="E95">
        <f>DEGREES(ATAN(D95/C95))</f>
        <v/>
      </c>
      <c r="F95">
        <f>DEGREES(ATAN(TAN(RADIANS(pe0-omega*B95))*(C95/sref)^(m_-1)))</f>
        <v/>
      </c>
      <c r="G95">
        <f>E95-F95</f>
        <v/>
      </c>
    </row>
    <row r="96">
      <c r="A96" t="inlineStr">
        <is>
          <t>Marsal et al. (1965) | d</t>
        </is>
      </c>
      <c r="B96" t="n">
        <v>0.45</v>
      </c>
      <c r="C96" t="n">
        <v>4.278525330149727</v>
      </c>
      <c r="D96" t="n">
        <v>3.218064055086224</v>
      </c>
      <c r="E96">
        <f>DEGREES(ATAN(D96/C96))</f>
        <v/>
      </c>
      <c r="F96">
        <f>DEGREES(ATAN(TAN(RADIANS(pe0-omega*B96))*(C96/sref)^(m_-1)))</f>
        <v/>
      </c>
      <c r="G96">
        <f>E96-F96</f>
        <v/>
      </c>
    </row>
    <row r="97">
      <c r="A97" t="inlineStr">
        <is>
          <t>Marsal et al. (1965) | d</t>
        </is>
      </c>
      <c r="B97" t="n">
        <v>0.51</v>
      </c>
      <c r="C97" t="n">
        <v>0.3548789855296927</v>
      </c>
      <c r="D97" t="n">
        <v>0.3603252172431498</v>
      </c>
      <c r="E97">
        <f>DEGREES(ATAN(D97/C97))</f>
        <v/>
      </c>
      <c r="F97">
        <f>DEGREES(ATAN(TAN(RADIANS(pe0-omega*B97))*(C97/sref)^(m_-1)))</f>
        <v/>
      </c>
      <c r="G97">
        <f>E97-F97</f>
        <v/>
      </c>
    </row>
    <row r="98">
      <c r="A98" t="inlineStr">
        <is>
          <t>Marsal et al. (1965) | d</t>
        </is>
      </c>
      <c r="B98" t="n">
        <v>0.5</v>
      </c>
      <c r="C98" t="n">
        <v>0.8849492998728138</v>
      </c>
      <c r="D98" t="n">
        <v>0.8005697424139472</v>
      </c>
      <c r="E98">
        <f>DEGREES(ATAN(D98/C98))</f>
        <v/>
      </c>
      <c r="F98">
        <f>DEGREES(ATAN(TAN(RADIANS(pe0-omega*B98))*(C98/sref)^(m_-1)))</f>
        <v/>
      </c>
      <c r="G98">
        <f>E98-F98</f>
        <v/>
      </c>
    </row>
    <row r="99">
      <c r="A99" t="inlineStr">
        <is>
          <t>Marsal et al. (1965) | d</t>
        </is>
      </c>
      <c r="B99" t="n">
        <v>0.4</v>
      </c>
      <c r="C99" t="n">
        <v>1.742295332693996</v>
      </c>
      <c r="D99" t="n">
        <v>1.423722673646512</v>
      </c>
      <c r="E99">
        <f>DEGREES(ATAN(D99/C99))</f>
        <v/>
      </c>
      <c r="F99">
        <f>DEGREES(ATAN(TAN(RADIANS(pe0-omega*B99))*(C99/sref)^(m_-1)))</f>
        <v/>
      </c>
      <c r="G99">
        <f>E99-F99</f>
        <v/>
      </c>
    </row>
    <row r="100">
      <c r="A100" t="inlineStr">
        <is>
          <t>Marsal et al. (1965) | d</t>
        </is>
      </c>
      <c r="B100" t="n">
        <v>0.4</v>
      </c>
      <c r="C100" t="n">
        <v>2.901577127435341</v>
      </c>
      <c r="D100" t="n">
        <v>2.237178061057292</v>
      </c>
      <c r="E100">
        <f>DEGREES(ATAN(D100/C100))</f>
        <v/>
      </c>
      <c r="F100">
        <f>DEGREES(ATAN(TAN(RADIANS(pe0-omega*B100))*(C100/sref)^(m_-1)))</f>
        <v/>
      </c>
      <c r="G100">
        <f>E100-F100</f>
        <v/>
      </c>
    </row>
    <row r="101">
      <c r="A101" t="inlineStr">
        <is>
          <t>Marsal et al. (1965) | d</t>
        </is>
      </c>
      <c r="B101" t="n">
        <v>0.46</v>
      </c>
      <c r="C101" t="n">
        <v>4.209435160314183</v>
      </c>
      <c r="D101" t="n">
        <v>3.090396321371176</v>
      </c>
      <c r="E101">
        <f>DEGREES(ATAN(D101/C101))</f>
        <v/>
      </c>
      <c r="F101">
        <f>DEGREES(ATAN(TAN(RADIANS(pe0-omega*B101))*(C101/sref)^(m_-1)))</f>
        <v/>
      </c>
      <c r="G101">
        <f>E101-F101</f>
        <v/>
      </c>
    </row>
    <row r="102">
      <c r="A102" t="inlineStr">
        <is>
          <t>Marsal et al. (1965) | e</t>
        </is>
      </c>
      <c r="B102" t="n">
        <v>0.55</v>
      </c>
      <c r="C102" t="n">
        <v>1.708040164894426</v>
      </c>
      <c r="D102" t="n">
        <v>1.291031030676679</v>
      </c>
      <c r="E102">
        <f>DEGREES(ATAN(D102/C102))</f>
        <v/>
      </c>
      <c r="F102">
        <f>DEGREES(ATAN(TAN(RADIANS(pe0-omega*B102))*(C102/sref)^(m_-1)))</f>
        <v/>
      </c>
      <c r="G102">
        <f>E102-F102</f>
        <v/>
      </c>
    </row>
    <row r="103">
      <c r="A103" t="inlineStr">
        <is>
          <t>Marsal et al. (1965) | e</t>
        </is>
      </c>
      <c r="B103" t="n">
        <v>0.51</v>
      </c>
      <c r="C103" t="n">
        <v>2.806417870927503</v>
      </c>
      <c r="D103" t="n">
        <v>1.960913550395246</v>
      </c>
      <c r="E103">
        <f>DEGREES(ATAN(D103/C103))</f>
        <v/>
      </c>
      <c r="F103">
        <f>DEGREES(ATAN(TAN(RADIANS(pe0-omega*B103))*(C103/sref)^(m_-1)))</f>
        <v/>
      </c>
      <c r="G103">
        <f>E103-F103</f>
        <v/>
      </c>
    </row>
    <row r="104">
      <c r="A104" t="inlineStr">
        <is>
          <t>Marsal et al. (1965) | e</t>
        </is>
      </c>
      <c r="B104" t="n">
        <v>0.5</v>
      </c>
      <c r="C104" t="n">
        <v>4.165609626986039</v>
      </c>
      <c r="D104" t="n">
        <v>2.873335685999964</v>
      </c>
      <c r="E104">
        <f>DEGREES(ATAN(D104/C104))</f>
        <v/>
      </c>
      <c r="F104">
        <f>DEGREES(ATAN(TAN(RADIANS(pe0-omega*B104))*(C104/sref)^(m_-1)))</f>
        <v/>
      </c>
      <c r="G104">
        <f>E104-F104</f>
        <v/>
      </c>
    </row>
    <row r="105">
      <c r="A105" t="inlineStr">
        <is>
          <t>Marsal et al. (1965) | f</t>
        </is>
      </c>
      <c r="B105" t="n">
        <v>0.42</v>
      </c>
      <c r="C105" t="n">
        <v>0.3777199250715905</v>
      </c>
      <c r="D105" t="n">
        <v>0.4172188697635797</v>
      </c>
      <c r="E105">
        <f>DEGREES(ATAN(D105/C105))</f>
        <v/>
      </c>
      <c r="F105">
        <f>DEGREES(ATAN(TAN(RADIANS(pe0-omega*B105))*(C105/sref)^(m_-1)))</f>
        <v/>
      </c>
      <c r="G105">
        <f>E105-F105</f>
        <v/>
      </c>
    </row>
    <row r="106">
      <c r="A106" t="inlineStr">
        <is>
          <t>Marsal et al. (1965) | f</t>
        </is>
      </c>
      <c r="B106" t="n">
        <v>0.44</v>
      </c>
      <c r="C106" t="n">
        <v>1.720499148191996</v>
      </c>
      <c r="D106" t="n">
        <v>1.392297562336892</v>
      </c>
      <c r="E106">
        <f>DEGREES(ATAN(D106/C106))</f>
        <v/>
      </c>
      <c r="F106">
        <f>DEGREES(ATAN(TAN(RADIANS(pe0-omega*B106))*(C106/sref)^(m_-1)))</f>
        <v/>
      </c>
      <c r="G106">
        <f>E106-F106</f>
        <v/>
      </c>
    </row>
    <row r="107">
      <c r="A107" t="inlineStr">
        <is>
          <t>Marsal et al. (1965) | f</t>
        </is>
      </c>
      <c r="B107" t="n">
        <v>0.4</v>
      </c>
      <c r="C107" t="n">
        <v>4.246273046806283</v>
      </c>
      <c r="D107" t="n">
        <v>3.176377194816602</v>
      </c>
      <c r="E107">
        <f>DEGREES(ATAN(D107/C107))</f>
        <v/>
      </c>
      <c r="F107">
        <f>DEGREES(ATAN(TAN(RADIANS(pe0-omega*B107))*(C107/sref)^(m_-1)))</f>
        <v/>
      </c>
      <c r="G107">
        <f>E107-F107</f>
        <v/>
      </c>
    </row>
    <row r="108">
      <c r="A108" t="inlineStr">
        <is>
          <t>Marsal et al. (1965) | f</t>
        </is>
      </c>
      <c r="B108" t="n">
        <v>0.43</v>
      </c>
      <c r="C108" t="n">
        <v>4.28040461579138</v>
      </c>
      <c r="D108" t="n">
        <v>3.239804590193919</v>
      </c>
      <c r="E108">
        <f>DEGREES(ATAN(D108/C108))</f>
        <v/>
      </c>
      <c r="F108">
        <f>DEGREES(ATAN(TAN(RADIANS(pe0-omega*B108))*(C108/sref)^(m_-1)))</f>
        <v/>
      </c>
      <c r="G108">
        <f>E108-F108</f>
        <v/>
      </c>
    </row>
    <row r="109">
      <c r="A109" t="inlineStr">
        <is>
          <t>Marsal et al. (1965) | f</t>
        </is>
      </c>
      <c r="B109" t="n">
        <v>0.42</v>
      </c>
      <c r="C109" t="n">
        <v>4.308922439877612</v>
      </c>
      <c r="D109" t="n">
        <v>3.292799848173648</v>
      </c>
      <c r="E109">
        <f>DEGREES(ATAN(D109/C109))</f>
        <v/>
      </c>
      <c r="F109">
        <f>DEGREES(ATAN(TAN(RADIANS(pe0-omega*B109))*(C109/sref)^(m_-1)))</f>
        <v/>
      </c>
      <c r="G109">
        <f>E109-F109</f>
        <v/>
      </c>
    </row>
    <row r="110">
      <c r="A110" t="inlineStr">
        <is>
          <t>Marsal et al. (1965) | g</t>
        </is>
      </c>
      <c r="B110" t="n">
        <v>0.35</v>
      </c>
      <c r="C110" t="n">
        <v>0.1518926994073529</v>
      </c>
      <c r="D110" t="n">
        <v>0.1747873255390143</v>
      </c>
      <c r="E110">
        <f>DEGREES(ATAN(D110/C110))</f>
        <v/>
      </c>
      <c r="F110">
        <f>DEGREES(ATAN(TAN(RADIANS(pe0-omega*B110))*(C110/sref)^(m_-1)))</f>
        <v/>
      </c>
      <c r="G110">
        <f>E110-F110</f>
        <v/>
      </c>
    </row>
    <row r="111">
      <c r="A111" t="inlineStr">
        <is>
          <t>Marsal et al. (1965) | g</t>
        </is>
      </c>
      <c r="B111" t="n">
        <v>0.32</v>
      </c>
      <c r="C111" t="n">
        <v>0.9248700618365455</v>
      </c>
      <c r="D111" t="n">
        <v>0.9308557739354884</v>
      </c>
      <c r="E111">
        <f>DEGREES(ATAN(D111/C111))</f>
        <v/>
      </c>
      <c r="F111">
        <f>DEGREES(ATAN(TAN(RADIANS(pe0-omega*B111))*(C111/sref)^(m_-1)))</f>
        <v/>
      </c>
      <c r="G111">
        <f>E111-F111</f>
        <v/>
      </c>
    </row>
    <row r="112">
      <c r="A112" t="inlineStr">
        <is>
          <t>Marsal et al. (1965) | g</t>
        </is>
      </c>
      <c r="B112" t="n">
        <v>0.38</v>
      </c>
      <c r="C112" t="n">
        <v>2.898944333508329</v>
      </c>
      <c r="D112" t="n">
        <v>2.35020138538147</v>
      </c>
      <c r="E112">
        <f>DEGREES(ATAN(D112/C112))</f>
        <v/>
      </c>
      <c r="F112">
        <f>DEGREES(ATAN(TAN(RADIANS(pe0-omega*B112))*(C112/sref)^(m_-1)))</f>
        <v/>
      </c>
      <c r="G112">
        <f>E112-F112</f>
        <v/>
      </c>
    </row>
    <row r="113">
      <c r="A113" t="inlineStr">
        <is>
          <t>Marsal et al. (1965) | g</t>
        </is>
      </c>
      <c r="B113" t="n">
        <v>0.33</v>
      </c>
      <c r="C113" t="n">
        <v>4.330789163935574</v>
      </c>
      <c r="D113" t="n">
        <v>3.487958759110949</v>
      </c>
      <c r="E113">
        <f>DEGREES(ATAN(D113/C113))</f>
        <v/>
      </c>
      <c r="F113">
        <f>DEGREES(ATAN(TAN(RADIANS(pe0-omega*B113))*(C113/sref)^(m_-1)))</f>
        <v/>
      </c>
      <c r="G113">
        <f>E113-F113</f>
        <v/>
      </c>
    </row>
    <row r="114">
      <c r="A114" t="inlineStr">
        <is>
          <t>Marsal et al. (1965) | g</t>
        </is>
      </c>
      <c r="B114" t="n">
        <v>0.33</v>
      </c>
      <c r="C114" t="n">
        <v>4.394374973851201</v>
      </c>
      <c r="D114" t="n">
        <v>3.61159908825854</v>
      </c>
      <c r="E114">
        <f>DEGREES(ATAN(D114/C114))</f>
        <v/>
      </c>
      <c r="F114">
        <f>DEGREES(ATAN(TAN(RADIANS(pe0-omega*B114))*(C114/sref)^(m_-1)))</f>
        <v/>
      </c>
      <c r="G114">
        <f>E114-F114</f>
        <v/>
      </c>
    </row>
    <row r="115">
      <c r="A115" t="inlineStr">
        <is>
          <t>SMHEA (1965) | XK1/1-a</t>
        </is>
      </c>
      <c r="B115" t="n">
        <v>0.31</v>
      </c>
      <c r="C115" t="n">
        <v>0.1853342869835505</v>
      </c>
      <c r="D115" t="n">
        <v>0.188069308229142</v>
      </c>
      <c r="E115">
        <f>DEGREES(ATAN(D115/C115))</f>
        <v/>
      </c>
      <c r="F115">
        <f>DEGREES(ATAN(TAN(RADIANS(pe0-omega*B115))*(C115/sref)^(m_-1)))</f>
        <v/>
      </c>
      <c r="G115">
        <f>E115-F115</f>
        <v/>
      </c>
    </row>
    <row r="116">
      <c r="A116" t="inlineStr">
        <is>
          <t>SMHEA (1965) | XK1/1-a</t>
        </is>
      </c>
      <c r="B116" t="n">
        <v>0.31</v>
      </c>
      <c r="C116" t="n">
        <v>0.3683262699175433</v>
      </c>
      <c r="D116" t="n">
        <v>0.3521741398941685</v>
      </c>
      <c r="E116">
        <f>DEGREES(ATAN(D116/C116))</f>
        <v/>
      </c>
      <c r="F116">
        <f>DEGREES(ATAN(TAN(RADIANS(pe0-omega*B116))*(C116/sref)^(m_-1)))</f>
        <v/>
      </c>
      <c r="G116">
        <f>E116-F116</f>
        <v/>
      </c>
    </row>
    <row r="117">
      <c r="A117" t="inlineStr">
        <is>
          <t>SMHEA (1965) | XK1/1-a</t>
        </is>
      </c>
      <c r="B117" t="n">
        <v>0.31</v>
      </c>
      <c r="C117" t="n">
        <v>0.7489457429121349</v>
      </c>
      <c r="D117" t="n">
        <v>0.6967556502913176</v>
      </c>
      <c r="E117">
        <f>DEGREES(ATAN(D117/C117))</f>
        <v/>
      </c>
      <c r="F117">
        <f>DEGREES(ATAN(TAN(RADIANS(pe0-omega*B117))*(C117/sref)^(m_-1)))</f>
        <v/>
      </c>
      <c r="G117">
        <f>E117-F117</f>
        <v/>
      </c>
    </row>
    <row r="118">
      <c r="A118" t="inlineStr">
        <is>
          <t>SMHEA (1965) | XK1/1-a</t>
        </is>
      </c>
      <c r="B118" t="n">
        <v>0.31</v>
      </c>
      <c r="C118" t="n">
        <v>1.192458377182428</v>
      </c>
      <c r="D118" t="n">
        <v>1.010249632664509</v>
      </c>
      <c r="E118">
        <f>DEGREES(ATAN(D118/C118))</f>
        <v/>
      </c>
      <c r="F118">
        <f>DEGREES(ATAN(TAN(RADIANS(pe0-omega*B118))*(C118/sref)^(m_-1)))</f>
        <v/>
      </c>
      <c r="G118">
        <f>E118-F118</f>
        <v/>
      </c>
    </row>
    <row r="119">
      <c r="A119" t="inlineStr">
        <is>
          <t>SMHEA (1965) | XK1/1-b</t>
        </is>
      </c>
      <c r="B119" t="n">
        <v>0.31</v>
      </c>
      <c r="C119" t="n">
        <v>0.1913331925900869</v>
      </c>
      <c r="D119" t="n">
        <v>0.1939530810248405</v>
      </c>
      <c r="E119">
        <f>DEGREES(ATAN(D119/C119))</f>
        <v/>
      </c>
      <c r="F119">
        <f>DEGREES(ATAN(TAN(RADIANS(pe0-omega*B119))*(C119/sref)^(m_-1)))</f>
        <v/>
      </c>
      <c r="G119">
        <f>E119-F119</f>
        <v/>
      </c>
    </row>
    <row r="120">
      <c r="A120" t="inlineStr">
        <is>
          <t>SMHEA (1965) | XK1/1-b</t>
        </is>
      </c>
      <c r="B120" t="n">
        <v>0.31</v>
      </c>
      <c r="C120" t="n">
        <v>0.3749225233075478</v>
      </c>
      <c r="D120" t="n">
        <v>0.3502288718182166</v>
      </c>
      <c r="E120">
        <f>DEGREES(ATAN(D120/C120))</f>
        <v/>
      </c>
      <c r="F120">
        <f>DEGREES(ATAN(TAN(RADIANS(pe0-omega*B120))*(C120/sref)^(m_-1)))</f>
        <v/>
      </c>
      <c r="G120">
        <f>E120-F120</f>
        <v/>
      </c>
    </row>
    <row r="121">
      <c r="A121" t="inlineStr">
        <is>
          <t>SMHEA (1965) | XK1/1-b</t>
        </is>
      </c>
      <c r="B121" t="n">
        <v>0.31</v>
      </c>
      <c r="C121" t="n">
        <v>0.7284396662388721</v>
      </c>
      <c r="D121" t="n">
        <v>0.6209725443580045</v>
      </c>
      <c r="E121">
        <f>DEGREES(ATAN(D121/C121))</f>
        <v/>
      </c>
      <c r="F121">
        <f>DEGREES(ATAN(TAN(RADIANS(pe0-omega*B121))*(C121/sref)^(m_-1)))</f>
        <v/>
      </c>
      <c r="G121">
        <f>E121-F121</f>
        <v/>
      </c>
    </row>
    <row r="122">
      <c r="A122" t="inlineStr">
        <is>
          <t>SMHEA (1965) | XK1/1-b</t>
        </is>
      </c>
      <c r="B122" t="n">
        <v>0.31</v>
      </c>
      <c r="C122" t="n">
        <v>1.172917931255657</v>
      </c>
      <c r="D122" t="n">
        <v>0.9161502284648011</v>
      </c>
      <c r="E122">
        <f>DEGREES(ATAN(D122/C122))</f>
        <v/>
      </c>
      <c r="F122">
        <f>DEGREES(ATAN(TAN(RADIANS(pe0-omega*B122))*(C122/sref)^(m_-1)))</f>
        <v/>
      </c>
      <c r="G122">
        <f>E122-F122</f>
        <v/>
      </c>
    </row>
    <row r="123">
      <c r="A123" t="inlineStr">
        <is>
          <t>SMHEA (1965) | XK1/1-c</t>
        </is>
      </c>
      <c r="B123" t="n">
        <v>0.5</v>
      </c>
      <c r="C123" t="n">
        <v>0.2141717133338878</v>
      </c>
      <c r="D123" t="n">
        <v>0.2522500810571715</v>
      </c>
      <c r="E123">
        <f>DEGREES(ATAN(D123/C123))</f>
        <v/>
      </c>
      <c r="F123">
        <f>DEGREES(ATAN(TAN(RADIANS(pe0-omega*B123))*(C123/sref)^(m_-1)))</f>
        <v/>
      </c>
      <c r="G123">
        <f>E123-F123</f>
        <v/>
      </c>
    </row>
    <row r="124">
      <c r="A124" t="inlineStr">
        <is>
          <t>SMHEA (1965) | XK1/1-c</t>
        </is>
      </c>
      <c r="B124" t="n">
        <v>0.5</v>
      </c>
      <c r="C124" t="n">
        <v>0.3986345118816798</v>
      </c>
      <c r="D124" t="n">
        <v>0.4407700120396165</v>
      </c>
      <c r="E124">
        <f>DEGREES(ATAN(D124/C124))</f>
        <v/>
      </c>
      <c r="F124">
        <f>DEGREES(ATAN(TAN(RADIANS(pe0-omega*B124))*(C124/sref)^(m_-1)))</f>
        <v/>
      </c>
      <c r="G124">
        <f>E124-F124</f>
        <v/>
      </c>
    </row>
    <row r="125">
      <c r="A125" t="inlineStr">
        <is>
          <t>SMHEA (1965) | XK1/1-c</t>
        </is>
      </c>
      <c r="B125" t="n">
        <v>0.5</v>
      </c>
      <c r="C125" t="n">
        <v>0.7615228062367994</v>
      </c>
      <c r="D125" t="n">
        <v>0.7517913227029712</v>
      </c>
      <c r="E125">
        <f>DEGREES(ATAN(D125/C125))</f>
        <v/>
      </c>
      <c r="F125">
        <f>DEGREES(ATAN(TAN(RADIANS(pe0-omega*B125))*(C125/sref)^(m_-1)))</f>
        <v/>
      </c>
      <c r="G125">
        <f>E125-F125</f>
        <v/>
      </c>
    </row>
    <row r="126">
      <c r="A126" t="inlineStr">
        <is>
          <t>SMHEA (1965) | XK1/2-a</t>
        </is>
      </c>
      <c r="B126" t="n">
        <v>0.5</v>
      </c>
      <c r="C126" t="n">
        <v>0.2021329483333929</v>
      </c>
      <c r="D126" t="n">
        <v>0.2430574004858807</v>
      </c>
      <c r="E126">
        <f>DEGREES(ATAN(D126/C126))</f>
        <v/>
      </c>
      <c r="F126">
        <f>DEGREES(ATAN(TAN(RADIANS(pe0-omega*B126))*(C126/sref)^(m_-1)))</f>
        <v/>
      </c>
      <c r="G126">
        <f>E126-F126</f>
        <v/>
      </c>
    </row>
    <row r="127">
      <c r="A127" t="inlineStr">
        <is>
          <t>SMHEA (1965) | XK1/2-a</t>
        </is>
      </c>
      <c r="B127" t="n">
        <v>0.5</v>
      </c>
      <c r="C127" t="n">
        <v>0.3769080003155076</v>
      </c>
      <c r="D127" t="n">
        <v>0.3951335221571519</v>
      </c>
      <c r="E127">
        <f>DEGREES(ATAN(D127/C127))</f>
        <v/>
      </c>
      <c r="F127">
        <f>DEGREES(ATAN(TAN(RADIANS(pe0-omega*B127))*(C127/sref)^(m_-1)))</f>
        <v/>
      </c>
      <c r="G127">
        <f>E127-F127</f>
        <v/>
      </c>
    </row>
    <row r="128">
      <c r="A128" t="inlineStr">
        <is>
          <t>SMHEA (1965) | XK1/2-a</t>
        </is>
      </c>
      <c r="B128" t="n">
        <v>0.5</v>
      </c>
      <c r="C128" t="n">
        <v>0.7629020825234535</v>
      </c>
      <c r="D128" t="n">
        <v>0.7667959578097714</v>
      </c>
      <c r="E128">
        <f>DEGREES(ATAN(D128/C128))</f>
        <v/>
      </c>
      <c r="F128">
        <f>DEGREES(ATAN(TAN(RADIANS(pe0-omega*B128))*(C128/sref)^(m_-1)))</f>
        <v/>
      </c>
      <c r="G128">
        <f>E128-F128</f>
        <v/>
      </c>
    </row>
    <row r="129">
      <c r="A129" t="inlineStr">
        <is>
          <t>SMHEA (1965) | XK1/2-b</t>
        </is>
      </c>
      <c r="B129" t="n">
        <v>0.5</v>
      </c>
      <c r="C129" t="n">
        <v>0.1973800643944792</v>
      </c>
      <c r="D129" t="n">
        <v>0.2371136582299886</v>
      </c>
      <c r="E129">
        <f>DEGREES(ATAN(D129/C129))</f>
        <v/>
      </c>
      <c r="F129">
        <f>DEGREES(ATAN(TAN(RADIANS(pe0-omega*B129))*(C129/sref)^(m_-1)))</f>
        <v/>
      </c>
      <c r="G129">
        <f>E129-F129</f>
        <v/>
      </c>
    </row>
    <row r="130">
      <c r="A130" t="inlineStr">
        <is>
          <t>SMHEA (1965) | XK1/2-b</t>
        </is>
      </c>
      <c r="B130" t="n">
        <v>0.5</v>
      </c>
      <c r="C130" t="n">
        <v>0.3833996850808535</v>
      </c>
      <c r="D130" t="n">
        <v>0.4101242776953097</v>
      </c>
      <c r="E130">
        <f>DEGREES(ATAN(D130/C130))</f>
        <v/>
      </c>
      <c r="F130">
        <f>DEGREES(ATAN(TAN(RADIANS(pe0-omega*B130))*(C130/sref)^(m_-1)))</f>
        <v/>
      </c>
      <c r="G130">
        <f>E130-F130</f>
        <v/>
      </c>
    </row>
    <row r="131">
      <c r="A131" t="inlineStr">
        <is>
          <t>SMHEA (1965) | XK1/2-b</t>
        </is>
      </c>
      <c r="B131" t="n">
        <v>0.5</v>
      </c>
      <c r="C131" t="n">
        <v>0.7715087791058344</v>
      </c>
      <c r="D131" t="n">
        <v>0.8026027306515138</v>
      </c>
      <c r="E131">
        <f>DEGREES(ATAN(D131/C131))</f>
        <v/>
      </c>
      <c r="F131">
        <f>DEGREES(ATAN(TAN(RADIANS(pe0-omega*B131))*(C131/sref)^(m_-1)))</f>
        <v/>
      </c>
      <c r="G131">
        <f>E131-F131</f>
        <v/>
      </c>
    </row>
    <row r="132">
      <c r="A132" t="inlineStr">
        <is>
          <t>SMHEA(1966) | 3B/2/C1/7FD-a</t>
        </is>
      </c>
      <c r="B132" t="n">
        <v>0.2884776119402985</v>
      </c>
      <c r="C132" t="n">
        <v>0.4547959981247321</v>
      </c>
      <c r="D132" t="n">
        <v>0.4463498176699795</v>
      </c>
      <c r="E132">
        <f>DEGREES(ATAN(D132/C132))</f>
        <v/>
      </c>
      <c r="F132">
        <f>DEGREES(ATAN(TAN(RADIANS(pe0-omega*B132))*(C132/sref)^(m_-1)))</f>
        <v/>
      </c>
      <c r="G132">
        <f>E132-F132</f>
        <v/>
      </c>
    </row>
    <row r="133">
      <c r="A133" t="inlineStr">
        <is>
          <t>SMHEA(1966) | 3B/2/C1/7FD-a</t>
        </is>
      </c>
      <c r="B133" t="n">
        <v>0.2884776119402985</v>
      </c>
      <c r="C133" t="n">
        <v>0.8871681798892858</v>
      </c>
      <c r="D133" t="n">
        <v>0.7852114400132795</v>
      </c>
      <c r="E133">
        <f>DEGREES(ATAN(D133/C133))</f>
        <v/>
      </c>
      <c r="F133">
        <f>DEGREES(ATAN(TAN(RADIANS(pe0-omega*B133))*(C133/sref)^(m_-1)))</f>
        <v/>
      </c>
      <c r="G133">
        <f>E133-F133</f>
        <v/>
      </c>
    </row>
    <row r="134">
      <c r="A134" t="inlineStr">
        <is>
          <t>SMHEA(1966) | 3B/2/C1/7FD-a</t>
        </is>
      </c>
      <c r="B134" t="n">
        <v>0.2884776119402985</v>
      </c>
      <c r="C134" t="n">
        <v>1.701066490396201</v>
      </c>
      <c r="D134" t="n">
        <v>1.394446108009183</v>
      </c>
      <c r="E134">
        <f>DEGREES(ATAN(D134/C134))</f>
        <v/>
      </c>
      <c r="F134">
        <f>DEGREES(ATAN(TAN(RADIANS(pe0-omega*B134))*(C134/sref)^(m_-1)))</f>
        <v/>
      </c>
      <c r="G134">
        <f>E134-F134</f>
        <v/>
      </c>
    </row>
    <row r="135">
      <c r="A135" t="inlineStr">
        <is>
          <t>SMHEA(1966) | 3B/2/C3/9FD-a</t>
        </is>
      </c>
      <c r="B135" t="n">
        <v>0.4075217391304351</v>
      </c>
      <c r="C135" t="n">
        <v>0.4760718157782698</v>
      </c>
      <c r="D135" t="n">
        <v>0.4346897541149545</v>
      </c>
      <c r="E135">
        <f>DEGREES(ATAN(D135/C135))</f>
        <v/>
      </c>
      <c r="F135">
        <f>DEGREES(ATAN(TAN(RADIANS(pe0-omega*B135))*(C135/sref)^(m_-1)))</f>
        <v/>
      </c>
      <c r="G135">
        <f>E135-F135</f>
        <v/>
      </c>
    </row>
    <row r="136">
      <c r="A136" t="inlineStr">
        <is>
          <t>SMHEA(1966) | 3B/2/C3/9FD-a</t>
        </is>
      </c>
      <c r="B136" t="n">
        <v>0.4075217391304351</v>
      </c>
      <c r="C136" t="n">
        <v>0.9469442440559898</v>
      </c>
      <c r="D136" t="n">
        <v>0.8186056528348865</v>
      </c>
      <c r="E136">
        <f>DEGREES(ATAN(D136/C136))</f>
        <v/>
      </c>
      <c r="F136">
        <f>DEGREES(ATAN(TAN(RADIANS(pe0-omega*B136))*(C136/sref)^(m_-1)))</f>
        <v/>
      </c>
      <c r="G136">
        <f>E136-F136</f>
        <v/>
      </c>
    </row>
    <row r="137">
      <c r="A137" t="inlineStr">
        <is>
          <t>SMHEA(1966) | 3B/2/CJ-a</t>
        </is>
      </c>
      <c r="B137" t="n">
        <v>0.3418860103626944</v>
      </c>
      <c r="C137" t="n">
        <v>0.2411807458059358</v>
      </c>
      <c r="D137" t="n">
        <v>0.2370147785910877</v>
      </c>
      <c r="E137">
        <f>DEGREES(ATAN(D137/C137))</f>
        <v/>
      </c>
      <c r="F137">
        <f>DEGREES(ATAN(TAN(RADIANS(pe0-omega*B137))*(C137/sref)^(m_-1)))</f>
        <v/>
      </c>
      <c r="G137">
        <f>E137-F137</f>
        <v/>
      </c>
    </row>
    <row r="138">
      <c r="A138" t="inlineStr">
        <is>
          <t>SMHEA(1966) | 3B/2/CJ-a</t>
        </is>
      </c>
      <c r="B138" t="n">
        <v>0.3418860103626944</v>
      </c>
      <c r="C138" t="n">
        <v>0.5123461319494846</v>
      </c>
      <c r="D138" t="n">
        <v>0.5237035334577922</v>
      </c>
      <c r="E138">
        <f>DEGREES(ATAN(D138/C138))</f>
        <v/>
      </c>
      <c r="F138">
        <f>DEGREES(ATAN(TAN(RADIANS(pe0-omega*B138))*(C138/sref)^(m_-1)))</f>
        <v/>
      </c>
      <c r="G138">
        <f>E138-F138</f>
        <v/>
      </c>
    </row>
    <row r="139">
      <c r="A139" t="inlineStr">
        <is>
          <t>SMHEA(1966) | 3B/2/CJ-a</t>
        </is>
      </c>
      <c r="B139" t="n">
        <v>0.3418860103626944</v>
      </c>
      <c r="C139" t="n">
        <v>0.9621756692837226</v>
      </c>
      <c r="D139" t="n">
        <v>0.8725175900605953</v>
      </c>
      <c r="E139">
        <f>DEGREES(ATAN(D139/C139))</f>
        <v/>
      </c>
      <c r="F139">
        <f>DEGREES(ATAN(TAN(RADIANS(pe0-omega*B139))*(C139/sref)^(m_-1)))</f>
        <v/>
      </c>
      <c r="G139">
        <f>E139-F139</f>
        <v/>
      </c>
    </row>
    <row r="140">
      <c r="A140" t="inlineStr">
        <is>
          <t>SMHEA(1966) | 3B/2/CJ-a</t>
        </is>
      </c>
      <c r="B140" t="n">
        <v>0.3418860103626944</v>
      </c>
      <c r="C140" t="n">
        <v>1.773535578943401</v>
      </c>
      <c r="D140" t="n">
        <v>1.522274087946497</v>
      </c>
      <c r="E140">
        <f>DEGREES(ATAN(D140/C140))</f>
        <v/>
      </c>
      <c r="F140">
        <f>DEGREES(ATAN(TAN(RADIANS(pe0-omega*B140))*(C140/sref)^(m_-1)))</f>
        <v/>
      </c>
      <c r="G140">
        <f>E140-F140</f>
        <v/>
      </c>
    </row>
    <row r="141">
      <c r="A141" t="inlineStr">
        <is>
          <t>SMHEA(1966) | 3B/2/CJ-b</t>
        </is>
      </c>
      <c r="B141" t="n">
        <v>0.2757832512315272</v>
      </c>
      <c r="C141" t="n">
        <v>0.5033553016733432</v>
      </c>
      <c r="D141" t="n">
        <v>0.5527406726293581</v>
      </c>
      <c r="E141">
        <f>DEGREES(ATAN(D141/C141))</f>
        <v/>
      </c>
      <c r="F141">
        <f>DEGREES(ATAN(TAN(RADIANS(pe0-omega*B141))*(C141/sref)^(m_-1)))</f>
        <v/>
      </c>
      <c r="G141">
        <f>E141-F141</f>
        <v/>
      </c>
    </row>
    <row r="142">
      <c r="A142" t="inlineStr">
        <is>
          <t>SMHEA(1966) | 3B/2/CJ-b</t>
        </is>
      </c>
      <c r="B142" t="n">
        <v>0.2757832512315272</v>
      </c>
      <c r="C142" t="n">
        <v>0.9428278325097323</v>
      </c>
      <c r="D142" t="n">
        <v>0.9260648811359757</v>
      </c>
      <c r="E142">
        <f>DEGREES(ATAN(D142/C142))</f>
        <v/>
      </c>
      <c r="F142">
        <f>DEGREES(ATAN(TAN(RADIANS(pe0-omega*B142))*(C142/sref)^(m_-1)))</f>
        <v/>
      </c>
      <c r="G142">
        <f>E142-F142</f>
        <v/>
      </c>
    </row>
    <row r="143">
      <c r="A143" t="inlineStr">
        <is>
          <t>SMHEA(1966) | 3B/2/CJ-b</t>
        </is>
      </c>
      <c r="B143" t="n">
        <v>0.2757832512315272</v>
      </c>
      <c r="C143" t="n">
        <v>1.754733467254333</v>
      </c>
      <c r="D143" t="n">
        <v>1.731402936017038</v>
      </c>
      <c r="E143">
        <f>DEGREES(ATAN(D143/C143))</f>
        <v/>
      </c>
      <c r="F143">
        <f>DEGREES(ATAN(TAN(RADIANS(pe0-omega*B143))*(C143/sref)^(m_-1)))</f>
        <v/>
      </c>
      <c r="G143">
        <f>E143-F143</f>
        <v/>
      </c>
    </row>
    <row r="144">
      <c r="A144" t="inlineStr">
        <is>
          <t>SMHEA(1966) | 3B/2/V1/1FD-a</t>
        </is>
      </c>
      <c r="B144" t="n">
        <v>0.4715</v>
      </c>
      <c r="C144" t="n">
        <v>0.4927735075263754</v>
      </c>
      <c r="D144" t="n">
        <v>0.4731537848408758</v>
      </c>
      <c r="E144">
        <f>DEGREES(ATAN(D144/C144))</f>
        <v/>
      </c>
      <c r="F144">
        <f>DEGREES(ATAN(TAN(RADIANS(pe0-omega*B144))*(C144/sref)^(m_-1)))</f>
        <v/>
      </c>
      <c r="G144">
        <f>E144-F144</f>
        <v/>
      </c>
    </row>
    <row r="145">
      <c r="A145" t="inlineStr">
        <is>
          <t>SMHEA(1966) | 3B/2/V1/1FD-a</t>
        </is>
      </c>
      <c r="B145" t="n">
        <v>0.4715</v>
      </c>
      <c r="C145" t="n">
        <v>1.763237894397736</v>
      </c>
      <c r="D145" t="n">
        <v>1.451271533107862</v>
      </c>
      <c r="E145">
        <f>DEGREES(ATAN(D145/C145))</f>
        <v/>
      </c>
      <c r="F145">
        <f>DEGREES(ATAN(TAN(RADIANS(pe0-omega*B145))*(C145/sref)^(m_-1)))</f>
        <v/>
      </c>
      <c r="G145">
        <f>E145-F145</f>
        <v/>
      </c>
    </row>
    <row r="146">
      <c r="A146" t="inlineStr">
        <is>
          <t>SMHEA(1966) | 3B/2/V3/3FD-a</t>
        </is>
      </c>
      <c r="B146" t="n">
        <v>0.560144578313253</v>
      </c>
      <c r="C146" t="n">
        <v>0.4831534122773415</v>
      </c>
      <c r="D146" t="n">
        <v>0.4429941517525273</v>
      </c>
      <c r="E146">
        <f>DEGREES(ATAN(D146/C146))</f>
        <v/>
      </c>
      <c r="F146">
        <f>DEGREES(ATAN(TAN(RADIANS(pe0-omega*B146))*(C146/sref)^(m_-1)))</f>
        <v/>
      </c>
      <c r="G146">
        <f>E146-F146</f>
        <v/>
      </c>
    </row>
    <row r="147">
      <c r="A147" t="inlineStr">
        <is>
          <t>SMHEA(1966) | 3B/2/V3/3FD-b</t>
        </is>
      </c>
      <c r="B147" t="n">
        <v>0.3775744680851065</v>
      </c>
      <c r="C147" t="n">
        <v>0.4952890750820733</v>
      </c>
      <c r="D147" t="n">
        <v>0.4647796276397169</v>
      </c>
      <c r="E147">
        <f>DEGREES(ATAN(D147/C147))</f>
        <v/>
      </c>
      <c r="F147">
        <f>DEGREES(ATAN(TAN(RADIANS(pe0-omega*B147))*(C147/sref)^(m_-1)))</f>
        <v/>
      </c>
      <c r="G147">
        <f>E147-F147</f>
        <v/>
      </c>
    </row>
    <row r="148">
      <c r="A148" t="inlineStr">
        <is>
          <t>SMHEA(1966) | 3B/2/V3/3FD-b</t>
        </is>
      </c>
      <c r="B148" t="n">
        <v>0.3775744680851065</v>
      </c>
      <c r="C148" t="n">
        <v>0.9456984019258705</v>
      </c>
      <c r="D148" t="n">
        <v>0.8152599292923872</v>
      </c>
      <c r="E148">
        <f>DEGREES(ATAN(D148/C148))</f>
        <v/>
      </c>
      <c r="F148">
        <f>DEGREES(ATAN(TAN(RADIANS(pe0-omega*B148))*(C148/sref)^(m_-1)))</f>
        <v/>
      </c>
      <c r="G148">
        <f>E148-F148</f>
        <v/>
      </c>
    </row>
    <row r="149">
      <c r="A149" t="inlineStr">
        <is>
          <t>SMHEA(1966) | 3B/2/V3/3FD-b</t>
        </is>
      </c>
      <c r="B149" t="n">
        <v>0.3775744680851065</v>
      </c>
      <c r="C149" t="n">
        <v>1.75636594499338</v>
      </c>
      <c r="D149" t="n">
        <v>1.414718824178447</v>
      </c>
      <c r="E149">
        <f>DEGREES(ATAN(D149/C149))</f>
        <v/>
      </c>
      <c r="F149">
        <f>DEGREES(ATAN(TAN(RADIANS(pe0-omega*B149))*(C149/sref)^(m_-1)))</f>
        <v/>
      </c>
      <c r="G149">
        <f>E149-F149</f>
        <v/>
      </c>
    </row>
    <row r="150">
      <c r="A150" t="inlineStr">
        <is>
          <t>SMHEA(1966) | 3B/2/VJ-a</t>
        </is>
      </c>
      <c r="B150" t="n">
        <v>0.3146395939086295</v>
      </c>
      <c r="C150" t="n">
        <v>0.5232273574476047</v>
      </c>
      <c r="D150" t="n">
        <v>0.5494589825200128</v>
      </c>
      <c r="E150">
        <f>DEGREES(ATAN(D150/C150))</f>
        <v/>
      </c>
      <c r="F150">
        <f>DEGREES(ATAN(TAN(RADIANS(pe0-omega*B150))*(C150/sref)^(m_-1)))</f>
        <v/>
      </c>
      <c r="G150">
        <f>E150-F150</f>
        <v/>
      </c>
    </row>
    <row r="151">
      <c r="A151" t="inlineStr">
        <is>
          <t>SMHEA(1966) | 3B/2/VJ-a</t>
        </is>
      </c>
      <c r="B151" t="n">
        <v>0.3146395939086295</v>
      </c>
      <c r="C151" t="n">
        <v>0.8954722188967056</v>
      </c>
      <c r="D151" t="n">
        <v>0.8115242705132755</v>
      </c>
      <c r="E151">
        <f>DEGREES(ATAN(D151/C151))</f>
        <v/>
      </c>
      <c r="F151">
        <f>DEGREES(ATAN(TAN(RADIANS(pe0-omega*B151))*(C151/sref)^(m_-1)))</f>
        <v/>
      </c>
      <c r="G151">
        <f>E151-F151</f>
        <v/>
      </c>
    </row>
    <row r="152">
      <c r="A152" t="inlineStr">
        <is>
          <t>SMHEA(1966) | 3B/2/VJ-a</t>
        </is>
      </c>
      <c r="B152" t="n">
        <v>0.3146395939086295</v>
      </c>
      <c r="C152" t="n">
        <v>1.747764590427216</v>
      </c>
      <c r="D152" t="n">
        <v>1.485983794022474</v>
      </c>
      <c r="E152">
        <f>DEGREES(ATAN(D152/C152))</f>
        <v/>
      </c>
      <c r="F152">
        <f>DEGREES(ATAN(TAN(RADIANS(pe0-omega*B152))*(C152/sref)^(m_-1)))</f>
        <v/>
      </c>
      <c r="G152">
        <f>E152-F152</f>
        <v/>
      </c>
    </row>
    <row r="153">
      <c r="A153" t="inlineStr">
        <is>
          <t>SMHEA(1966) | YV/6.6/D/3B/34/S-a</t>
        </is>
      </c>
      <c r="B153" t="n">
        <v>0.4317297297297298</v>
      </c>
      <c r="C153" t="n">
        <v>0.4929645472370928</v>
      </c>
      <c r="D153" t="n">
        <v>0.4509452334760143</v>
      </c>
      <c r="E153">
        <f>DEGREES(ATAN(D153/C153))</f>
        <v/>
      </c>
      <c r="F153">
        <f>DEGREES(ATAN(TAN(RADIANS(pe0-omega*B153))*(C153/sref)^(m_-1)))</f>
        <v/>
      </c>
      <c r="G153">
        <f>E153-F153</f>
        <v/>
      </c>
    </row>
    <row r="154">
      <c r="A154" t="inlineStr">
        <is>
          <t>SMHEA(1966) | ZD/3A/2/B/20D-a</t>
        </is>
      </c>
      <c r="B154" t="n">
        <v>0.2391578947368422</v>
      </c>
      <c r="C154" t="n">
        <v>0.593662557209377</v>
      </c>
      <c r="D154" t="n">
        <v>0.7629437466728571</v>
      </c>
      <c r="E154">
        <f>DEGREES(ATAN(D154/C154))</f>
        <v/>
      </c>
      <c r="F154">
        <f>DEGREES(ATAN(TAN(RADIANS(pe0-omega*B154))*(C154/sref)^(m_-1)))</f>
        <v/>
      </c>
      <c r="G154">
        <f>E154-F154</f>
        <v/>
      </c>
    </row>
    <row r="155">
      <c r="A155" t="inlineStr">
        <is>
          <t>SMHEA(1966) | ZD/3A/2/B/20D-a</t>
        </is>
      </c>
      <c r="B155" t="n">
        <v>0.2391578947368422</v>
      </c>
      <c r="C155" t="n">
        <v>1.079327409633251</v>
      </c>
      <c r="D155" t="n">
        <v>1.160942093424181</v>
      </c>
      <c r="E155">
        <f>DEGREES(ATAN(D155/C155))</f>
        <v/>
      </c>
      <c r="F155">
        <f>DEGREES(ATAN(TAN(RADIANS(pe0-omega*B155))*(C155/sref)^(m_-1)))</f>
        <v/>
      </c>
      <c r="G155">
        <f>E155-F155</f>
        <v/>
      </c>
    </row>
    <row r="156">
      <c r="A156" t="inlineStr">
        <is>
          <t>SMHEA(1966) | ZD/3A/2/B/20D-a</t>
        </is>
      </c>
      <c r="B156" t="n">
        <v>0.2391578947368422</v>
      </c>
      <c r="C156" t="n">
        <v>2.020483848196021</v>
      </c>
      <c r="D156" t="n">
        <v>1.981305357610881</v>
      </c>
      <c r="E156">
        <f>DEGREES(ATAN(D156/C156))</f>
        <v/>
      </c>
      <c r="F156">
        <f>DEGREES(ATAN(TAN(RADIANS(pe0-omega*B156))*(C156/sref)^(m_-1)))</f>
        <v/>
      </c>
      <c r="G156">
        <f>E156-F156</f>
        <v/>
      </c>
    </row>
    <row r="157">
      <c r="A157" t="inlineStr">
        <is>
          <t>SMHEA(1966) | ZD/3A/2/B/20D-a</t>
        </is>
      </c>
      <c r="B157" t="n">
        <v>0.2391578947368422</v>
      </c>
      <c r="C157" t="n">
        <v>2.602168881053026</v>
      </c>
      <c r="D157" t="n">
        <v>2.413545264692997</v>
      </c>
      <c r="E157">
        <f>DEGREES(ATAN(D157/C157))</f>
        <v/>
      </c>
      <c r="F157">
        <f>DEGREES(ATAN(TAN(RADIANS(pe0-omega*B157))*(C157/sref)^(m_-1)))</f>
        <v/>
      </c>
      <c r="G157">
        <f>E157-F157</f>
        <v/>
      </c>
    </row>
    <row r="158">
      <c r="A158" t="inlineStr">
        <is>
          <t>SMHEA(1966) | ZD/3A/2/B/20D-b</t>
        </is>
      </c>
      <c r="B158" t="n">
        <v>0.3146395939086295</v>
      </c>
      <c r="C158" t="n">
        <v>0.5442849992571827</v>
      </c>
      <c r="D158" t="n">
        <v>0.626388342541693</v>
      </c>
      <c r="E158">
        <f>DEGREES(ATAN(D158/C158))</f>
        <v/>
      </c>
      <c r="F158">
        <f>DEGREES(ATAN(TAN(RADIANS(pe0-omega*B158))*(C158/sref)^(m_-1)))</f>
        <v/>
      </c>
      <c r="G158">
        <f>E158-F158</f>
        <v/>
      </c>
    </row>
    <row r="159">
      <c r="A159" t="inlineStr">
        <is>
          <t>SMHEA(1966) | ZD/3A/2/B/20D-b</t>
        </is>
      </c>
      <c r="B159" t="n">
        <v>0.3146395939086295</v>
      </c>
      <c r="C159" t="n">
        <v>0.996646494643747</v>
      </c>
      <c r="D159" t="n">
        <v>0.9767648663536214</v>
      </c>
      <c r="E159">
        <f>DEGREES(ATAN(D159/C159))</f>
        <v/>
      </c>
      <c r="F159">
        <f>DEGREES(ATAN(TAN(RADIANS(pe0-omega*B159))*(C159/sref)^(m_-1)))</f>
        <v/>
      </c>
      <c r="G159">
        <f>E159-F159</f>
        <v/>
      </c>
    </row>
    <row r="160">
      <c r="A160" t="inlineStr">
        <is>
          <t>SMHEA(1966) | ZD/3A/2/B/20D-b</t>
        </is>
      </c>
      <c r="B160" t="n">
        <v>0.3146395939086295</v>
      </c>
      <c r="C160" t="n">
        <v>1.852163624610984</v>
      </c>
      <c r="D160" t="n">
        <v>1.685209335308589</v>
      </c>
      <c r="E160">
        <f>DEGREES(ATAN(D160/C160))</f>
        <v/>
      </c>
      <c r="F160">
        <f>DEGREES(ATAN(TAN(RADIANS(pe0-omega*B160))*(C160/sref)^(m_-1)))</f>
        <v/>
      </c>
      <c r="G160">
        <f>E160-F160</f>
        <v/>
      </c>
    </row>
    <row r="161">
      <c r="A161" t="inlineStr">
        <is>
          <t>SMHEA(1966) | ZD/3A/2/L/19D-a</t>
        </is>
      </c>
      <c r="B161" t="n">
        <v>0.2949200000000001</v>
      </c>
      <c r="C161" t="n">
        <v>0.5343665270740113</v>
      </c>
      <c r="D161" t="n">
        <v>0.5997400959378674</v>
      </c>
      <c r="E161">
        <f>DEGREES(ATAN(D161/C161))</f>
        <v/>
      </c>
      <c r="F161">
        <f>DEGREES(ATAN(TAN(RADIANS(pe0-omega*B161))*(C161/sref)^(m_-1)))</f>
        <v/>
      </c>
      <c r="G161">
        <f>E161-F161</f>
        <v/>
      </c>
    </row>
    <row r="162">
      <c r="A162" t="inlineStr">
        <is>
          <t>SMHEA(1966) | ZD/3A/2/L/19D-a</t>
        </is>
      </c>
      <c r="B162" t="n">
        <v>0.2949200000000001</v>
      </c>
      <c r="C162" t="n">
        <v>1.054350598959844</v>
      </c>
      <c r="D162" t="n">
        <v>1.080248171705178</v>
      </c>
      <c r="E162">
        <f>DEGREES(ATAN(D162/C162))</f>
        <v/>
      </c>
      <c r="F162">
        <f>DEGREES(ATAN(TAN(RADIANS(pe0-omega*B162))*(C162/sref)^(m_-1)))</f>
        <v/>
      </c>
      <c r="G162">
        <f>E162-F162</f>
        <v/>
      </c>
    </row>
    <row r="163">
      <c r="A163" t="inlineStr">
        <is>
          <t>SMHEA(1966) | ZD/3A/2/L/19D-a</t>
        </is>
      </c>
      <c r="B163" t="n">
        <v>0.2949200000000001</v>
      </c>
      <c r="C163" t="n">
        <v>1.886826878979019</v>
      </c>
      <c r="D163" t="n">
        <v>1.718049143468848</v>
      </c>
      <c r="E163">
        <f>DEGREES(ATAN(D163/C163))</f>
        <v/>
      </c>
      <c r="F163">
        <f>DEGREES(ATAN(TAN(RADIANS(pe0-omega*B163))*(C163/sref)^(m_-1)))</f>
        <v/>
      </c>
      <c r="G163">
        <f>E163-F163</f>
        <v/>
      </c>
    </row>
    <row r="164">
      <c r="A164" t="inlineStr">
        <is>
          <t>SMHEA(1966) | ZD/3A/2/L/19D-a</t>
        </is>
      </c>
      <c r="B164" t="n">
        <v>0.2949200000000001</v>
      </c>
      <c r="C164" t="n">
        <v>2.511607568352461</v>
      </c>
      <c r="D164" t="n">
        <v>2.222247740029395</v>
      </c>
      <c r="E164">
        <f>DEGREES(ATAN(D164/C164))</f>
        <v/>
      </c>
      <c r="F164">
        <f>DEGREES(ATAN(TAN(RADIANS(pe0-omega*B164))*(C164/sref)^(m_-1)))</f>
        <v/>
      </c>
      <c r="G164">
        <f>E164-F164</f>
        <v/>
      </c>
    </row>
    <row r="165">
      <c r="A165" t="inlineStr">
        <is>
          <t>SMHEA(1966) | ZD/3A/2/L/19D-b</t>
        </is>
      </c>
      <c r="B165" t="n">
        <v>0.3418860103626944</v>
      </c>
      <c r="C165" t="n">
        <v>0.5186614970102904</v>
      </c>
      <c r="D165" t="n">
        <v>0.5481432894687577</v>
      </c>
      <c r="E165">
        <f>DEGREES(ATAN(D165/C165))</f>
        <v/>
      </c>
      <c r="F165">
        <f>DEGREES(ATAN(TAN(RADIANS(pe0-omega*B165))*(C165/sref)^(m_-1)))</f>
        <v/>
      </c>
      <c r="G165">
        <f>E165-F165</f>
        <v/>
      </c>
    </row>
    <row r="166">
      <c r="A166" t="inlineStr">
        <is>
          <t>SMHEA(1966) | ZD/3A/2/L/19D-b</t>
        </is>
      </c>
      <c r="B166" t="n">
        <v>0.3630736842105264</v>
      </c>
      <c r="C166" t="n">
        <v>1.005391189368354</v>
      </c>
      <c r="D166" t="n">
        <v>0.9650896504701874</v>
      </c>
      <c r="E166">
        <f>DEGREES(ATAN(D166/C166))</f>
        <v/>
      </c>
      <c r="F166">
        <f>DEGREES(ATAN(TAN(RADIANS(pe0-omega*B166))*(C166/sref)^(m_-1)))</f>
        <v/>
      </c>
      <c r="G166">
        <f>E166-F166</f>
        <v/>
      </c>
    </row>
    <row r="167">
      <c r="A167" t="inlineStr">
        <is>
          <t>SMHEA(1966) | ZD/3A/2/L/19D-b</t>
        </is>
      </c>
      <c r="B167" t="n">
        <v>0.3488750000000003</v>
      </c>
      <c r="C167" t="n">
        <v>1.85637209775029</v>
      </c>
      <c r="D167" t="n">
        <v>1.657354882411469</v>
      </c>
      <c r="E167">
        <f>DEGREES(ATAN(D167/C167))</f>
        <v/>
      </c>
      <c r="F167">
        <f>DEGREES(ATAN(TAN(RADIANS(pe0-omega*B167))*(C167/sref)^(m_-1)))</f>
        <v/>
      </c>
      <c r="G167">
        <f>E167-F167</f>
        <v/>
      </c>
    </row>
    <row r="168">
      <c r="A168" t="inlineStr">
        <is>
          <t>SMHEA(1966) | ZD/3A/2/L/19D-b</t>
        </is>
      </c>
      <c r="B168" t="n">
        <v>0.355937172774869</v>
      </c>
      <c r="C168" t="n">
        <v>2.433066681335191</v>
      </c>
      <c r="D168" t="n">
        <v>2.073480088252739</v>
      </c>
      <c r="E168">
        <f>DEGREES(ATAN(D168/C168))</f>
        <v/>
      </c>
      <c r="F168">
        <f>DEGREES(ATAN(TAN(RADIANS(pe0-omega*B168))*(C168/sref)^(m_-1)))</f>
        <v/>
      </c>
      <c r="G168">
        <f>E168-F168</f>
        <v/>
      </c>
    </row>
    <row r="169">
      <c r="A169" t="inlineStr">
        <is>
          <t>SMHEA(1966) | ZD/3A/2/M/21D-a</t>
        </is>
      </c>
      <c r="B169" t="n">
        <v>0.3014271356783922</v>
      </c>
      <c r="C169" t="n">
        <v>0.5210732525709587</v>
      </c>
      <c r="D169" t="n">
        <v>0.5527565687332524</v>
      </c>
      <c r="E169">
        <f>DEGREES(ATAN(D169/C169))</f>
        <v/>
      </c>
      <c r="F169">
        <f>DEGREES(ATAN(TAN(RADIANS(pe0-omega*B169))*(C169/sref)^(m_-1)))</f>
        <v/>
      </c>
      <c r="G169">
        <f>E169-F169</f>
        <v/>
      </c>
    </row>
    <row r="170">
      <c r="A170" t="inlineStr">
        <is>
          <t>SMHEA(1966) | ZD/3A/2/M/21D-a</t>
        </is>
      </c>
      <c r="B170" t="n">
        <v>0.3014271356783922</v>
      </c>
      <c r="C170" t="n">
        <v>1.017789413388067</v>
      </c>
      <c r="D170" t="n">
        <v>0.991395149909099</v>
      </c>
      <c r="E170">
        <f>DEGREES(ATAN(D170/C170))</f>
        <v/>
      </c>
      <c r="F170">
        <f>DEGREES(ATAN(TAN(RADIANS(pe0-omega*B170))*(C170/sref)^(m_-1)))</f>
        <v/>
      </c>
      <c r="G170">
        <f>E170-F170</f>
        <v/>
      </c>
    </row>
    <row r="171">
      <c r="A171" t="inlineStr">
        <is>
          <t>SMHEA(1966) | ZD/3A/2/M/21D-a</t>
        </is>
      </c>
      <c r="B171" t="n">
        <v>0.3014271356783922</v>
      </c>
      <c r="C171" t="n">
        <v>1.84665619939945</v>
      </c>
      <c r="D171" t="n">
        <v>1.636122768460409</v>
      </c>
      <c r="E171">
        <f>DEGREES(ATAN(D171/C171))</f>
        <v/>
      </c>
      <c r="F171">
        <f>DEGREES(ATAN(TAN(RADIANS(pe0-omega*B171))*(C171/sref)^(m_-1)))</f>
        <v/>
      </c>
      <c r="G171">
        <f>E171-F171</f>
        <v/>
      </c>
    </row>
    <row r="172">
      <c r="A172" t="inlineStr">
        <is>
          <t>SMHEA(1966) | ZD/3A/2/M/21D-a</t>
        </is>
      </c>
      <c r="B172" t="n">
        <v>0.3014271356783922</v>
      </c>
      <c r="C172" t="n">
        <v>2.434850554270763</v>
      </c>
      <c r="D172" t="n">
        <v>2.073894324621846</v>
      </c>
      <c r="E172">
        <f>DEGREES(ATAN(D172/C172))</f>
        <v/>
      </c>
      <c r="F172">
        <f>DEGREES(ATAN(TAN(RADIANS(pe0-omega*B172))*(C172/sref)^(m_-1)))</f>
        <v/>
      </c>
      <c r="G172">
        <f>E172-F172</f>
        <v/>
      </c>
    </row>
    <row r="173">
      <c r="A173" t="inlineStr">
        <is>
          <t>SMHEA(1966) | ZD/3B/2/VJ/19D-b</t>
        </is>
      </c>
      <c r="B173" t="n">
        <v>0.3867539267015707</v>
      </c>
      <c r="C173" t="n">
        <v>0.5045343884420248</v>
      </c>
      <c r="D173" t="n">
        <v>0.5206775955783489</v>
      </c>
      <c r="E173">
        <f>DEGREES(ATAN(D173/C173))</f>
        <v/>
      </c>
      <c r="F173">
        <f>DEGREES(ATAN(TAN(RADIANS(pe0-omega*B173))*(C173/sref)^(m_-1)))</f>
        <v/>
      </c>
      <c r="G173">
        <f>E173-F173</f>
        <v/>
      </c>
    </row>
    <row r="174">
      <c r="A174" t="inlineStr">
        <is>
          <t>SMHEA(1966) | ZD/3B/2/VJ/19D-b</t>
        </is>
      </c>
      <c r="B174" t="n">
        <v>0.3867539267015707</v>
      </c>
      <c r="C174" t="n">
        <v>1.022665843975797</v>
      </c>
      <c r="D174" t="n">
        <v>1.008106751556404</v>
      </c>
      <c r="E174">
        <f>DEGREES(ATAN(D174/C174))</f>
        <v/>
      </c>
      <c r="F174">
        <f>DEGREES(ATAN(TAN(RADIANS(pe0-omega*B174))*(C174/sref)^(m_-1)))</f>
        <v/>
      </c>
      <c r="G174">
        <f>E174-F174</f>
        <v/>
      </c>
    </row>
    <row r="175">
      <c r="A175" t="inlineStr">
        <is>
          <t>SMHEA(1966) | ZD/3B/2/VJ/19D-b</t>
        </is>
      </c>
      <c r="B175" t="n">
        <v>0.3867539267015707</v>
      </c>
      <c r="C175" t="n">
        <v>1.850140735945586</v>
      </c>
      <c r="D175" t="n">
        <v>1.665134201369914</v>
      </c>
      <c r="E175">
        <f>DEGREES(ATAN(D175/C175))</f>
        <v/>
      </c>
      <c r="F175">
        <f>DEGREES(ATAN(TAN(RADIANS(pe0-omega*B175))*(C175/sref)^(m_-1)))</f>
        <v/>
      </c>
      <c r="G175">
        <f>E175-F175</f>
        <v/>
      </c>
    </row>
    <row r="176">
      <c r="A176" t="inlineStr">
        <is>
          <t>SMHEA(1966) | ZD/3B/2/VJ/19D-b</t>
        </is>
      </c>
      <c r="B176" t="n">
        <v>0.3867539267015707</v>
      </c>
      <c r="C176" t="n">
        <v>2.43124646055388</v>
      </c>
      <c r="D176" t="n">
        <v>2.093341258311575</v>
      </c>
      <c r="E176">
        <f>DEGREES(ATAN(D176/C176))</f>
        <v/>
      </c>
      <c r="F176">
        <f>DEGREES(ATAN(TAN(RADIANS(pe0-omega*B176))*(C176/sref)^(m_-1)))</f>
        <v/>
      </c>
      <c r="G176">
        <f>E176-F176</f>
        <v/>
      </c>
    </row>
    <row r="177">
      <c r="A177" t="inlineStr">
        <is>
          <t>SMHEA(1966) | ZD18/16T/29E/1D-a</t>
        </is>
      </c>
      <c r="B177" t="n">
        <v>0.4395108695652177</v>
      </c>
      <c r="C177" t="n">
        <v>0.5438307735401396</v>
      </c>
      <c r="D177" t="n">
        <v>0.6358682689629264</v>
      </c>
      <c r="E177">
        <f>DEGREES(ATAN(D177/C177))</f>
        <v/>
      </c>
      <c r="F177">
        <f>DEGREES(ATAN(TAN(RADIANS(pe0-omega*B177))*(C177/sref)^(m_-1)))</f>
        <v/>
      </c>
      <c r="G177">
        <f>E177-F177</f>
        <v/>
      </c>
    </row>
    <row r="178">
      <c r="A178" t="inlineStr">
        <is>
          <t>SMHEA(1966) | ZD18/16T/29E/1D-a</t>
        </is>
      </c>
      <c r="B178" t="n">
        <v>0.4395108695652177</v>
      </c>
      <c r="C178" t="n">
        <v>1.088627067040633</v>
      </c>
      <c r="D178" t="n">
        <v>1.171210011178187</v>
      </c>
      <c r="E178">
        <f>DEGREES(ATAN(D178/C178))</f>
        <v/>
      </c>
      <c r="F178">
        <f>DEGREES(ATAN(TAN(RADIANS(pe0-omega*B178))*(C178/sref)^(m_-1)))</f>
        <v/>
      </c>
      <c r="G178">
        <f>E178-F178</f>
        <v/>
      </c>
    </row>
    <row r="179">
      <c r="A179" t="inlineStr">
        <is>
          <t>SMHEA(1966) | ZD18/16T/29E/1D-a</t>
        </is>
      </c>
      <c r="B179" t="n">
        <v>0.4395108695652177</v>
      </c>
      <c r="C179" t="n">
        <v>1.86876411658231</v>
      </c>
      <c r="D179" t="n">
        <v>1.815759331152179</v>
      </c>
      <c r="E179">
        <f>DEGREES(ATAN(D179/C179))</f>
        <v/>
      </c>
      <c r="F179">
        <f>DEGREES(ATAN(TAN(RADIANS(pe0-omega*B179))*(C179/sref)^(m_-1)))</f>
        <v/>
      </c>
      <c r="G179">
        <f>E179-F179</f>
        <v/>
      </c>
    </row>
    <row r="180">
      <c r="A180" t="inlineStr">
        <is>
          <t>SMHEA(1966) | ZD18/16T/29E/1D-b</t>
        </is>
      </c>
      <c r="B180" t="n">
        <v>0.5049431818181818</v>
      </c>
      <c r="C180" t="n">
        <v>0.5612833429027629</v>
      </c>
      <c r="D180" t="n">
        <v>0.6408750130500735</v>
      </c>
      <c r="E180">
        <f>DEGREES(ATAN(D180/C180))</f>
        <v/>
      </c>
      <c r="F180">
        <f>DEGREES(ATAN(TAN(RADIANS(pe0-omega*B180))*(C180/sref)^(m_-1)))</f>
        <v/>
      </c>
      <c r="G180">
        <f>E180-F180</f>
        <v/>
      </c>
    </row>
    <row r="181">
      <c r="A181" t="inlineStr">
        <is>
          <t>SMHEA(1966) | ZD18/16T/29E/1D-b</t>
        </is>
      </c>
      <c r="B181" t="n">
        <v>0.5049431818181818</v>
      </c>
      <c r="C181" t="n">
        <v>1.081439328321812</v>
      </c>
      <c r="D181" t="n">
        <v>1.128709490074723</v>
      </c>
      <c r="E181">
        <f>DEGREES(ATAN(D181/C181))</f>
        <v/>
      </c>
      <c r="F181">
        <f>DEGREES(ATAN(TAN(RADIANS(pe0-omega*B181))*(C181/sref)^(m_-1)))</f>
        <v/>
      </c>
      <c r="G181">
        <f>E181-F181</f>
        <v/>
      </c>
    </row>
    <row r="182">
      <c r="A182" t="inlineStr">
        <is>
          <t>SMHEA(1966) | ZD18/16T/29E/1D-b</t>
        </is>
      </c>
      <c r="B182" t="n">
        <v>0.5049431818181818</v>
      </c>
      <c r="C182" t="n">
        <v>1.900030316884851</v>
      </c>
      <c r="D182" t="n">
        <v>1.792470029597138</v>
      </c>
      <c r="E182">
        <f>DEGREES(ATAN(D182/C182))</f>
        <v/>
      </c>
      <c r="F182">
        <f>DEGREES(ATAN(TAN(RADIANS(pe0-omega*B182))*(C182/sref)^(m_-1)))</f>
        <v/>
      </c>
      <c r="G182">
        <f>E182-F182</f>
        <v/>
      </c>
    </row>
    <row r="183">
      <c r="A183" t="inlineStr">
        <is>
          <t>SMHEA(1966) | ZD20/12T/Q1/4D</t>
        </is>
      </c>
      <c r="B183" t="n">
        <v>0.4633701657458564</v>
      </c>
      <c r="C183" t="n">
        <v>0.5602313347924925</v>
      </c>
      <c r="D183" t="n">
        <v>0.6232034941733364</v>
      </c>
      <c r="E183">
        <f>DEGREES(ATAN(D183/C183))</f>
        <v/>
      </c>
      <c r="F183">
        <f>DEGREES(ATAN(TAN(RADIANS(pe0-omega*B183))*(C183/sref)^(m_-1)))</f>
        <v/>
      </c>
      <c r="G183">
        <f>E183-F183</f>
        <v/>
      </c>
    </row>
    <row r="184">
      <c r="A184" t="inlineStr">
        <is>
          <t>SMHEA(1966) | ZD20/12T/Q1/4D</t>
        </is>
      </c>
      <c r="B184" t="n">
        <v>0.4633701657458564</v>
      </c>
      <c r="C184" t="n">
        <v>1.016746408077943</v>
      </c>
      <c r="D184" t="n">
        <v>0.9873518322502651</v>
      </c>
      <c r="E184">
        <f>DEGREES(ATAN(D184/C184))</f>
        <v/>
      </c>
      <c r="F184">
        <f>DEGREES(ATAN(TAN(RADIANS(pe0-omega*B184))*(C184/sref)^(m_-1)))</f>
        <v/>
      </c>
      <c r="G184">
        <f>E184-F184</f>
        <v/>
      </c>
    </row>
    <row r="185">
      <c r="A185" t="inlineStr">
        <is>
          <t>SMHEA(1966) | ZD20/12T/Q2/4D</t>
        </is>
      </c>
      <c r="B185" t="n">
        <v>0.4014285714285717</v>
      </c>
      <c r="C185" t="n">
        <v>0.5640420251698274</v>
      </c>
      <c r="D185" t="n">
        <v>0.675940904468068</v>
      </c>
      <c r="E185">
        <f>DEGREES(ATAN(D185/C185))</f>
        <v/>
      </c>
      <c r="F185">
        <f>DEGREES(ATAN(TAN(RADIANS(pe0-omega*B185))*(C185/sref)^(m_-1)))</f>
        <v/>
      </c>
      <c r="G185">
        <f>E185-F185</f>
        <v/>
      </c>
    </row>
    <row r="186">
      <c r="A186" t="inlineStr">
        <is>
          <t>SMHEA(1966) | ZD20/12T/Q2/4D</t>
        </is>
      </c>
      <c r="B186" t="n">
        <v>0.4014285714285717</v>
      </c>
      <c r="C186" t="n">
        <v>1.041298260411434</v>
      </c>
      <c r="D186" t="n">
        <v>1.117168800447362</v>
      </c>
      <c r="E186">
        <f>DEGREES(ATAN(D186/C186))</f>
        <v/>
      </c>
      <c r="F186">
        <f>DEGREES(ATAN(TAN(RADIANS(pe0-omega*B186))*(C186/sref)^(m_-1)))</f>
        <v/>
      </c>
      <c r="G186">
        <f>E186-F186</f>
        <v/>
      </c>
    </row>
    <row r="187">
      <c r="A187" t="inlineStr">
        <is>
          <t>SMHEA(1966) | ZD20/12T/Q2/4D</t>
        </is>
      </c>
      <c r="B187" t="n">
        <v>0.4014285714285717</v>
      </c>
      <c r="C187" t="n">
        <v>1.866697527902729</v>
      </c>
      <c r="D187" t="n">
        <v>1.799547948288194</v>
      </c>
      <c r="E187">
        <f>DEGREES(ATAN(D187/C187))</f>
        <v/>
      </c>
      <c r="F187">
        <f>DEGREES(ATAN(TAN(RADIANS(pe0-omega*B187))*(C187/sref)^(m_-1)))</f>
        <v/>
      </c>
      <c r="G187">
        <f>E187-F187</f>
        <v/>
      </c>
    </row>
    <row r="188">
      <c r="A188" t="inlineStr">
        <is>
          <t>SMHEA(1966) | ZD20/7T/54E/1D-a</t>
        </is>
      </c>
      <c r="B188" t="n">
        <v>0.4088829787234043</v>
      </c>
      <c r="C188" t="n">
        <v>0.5380552494175229</v>
      </c>
      <c r="D188" t="n">
        <v>0.5970327146986858</v>
      </c>
      <c r="E188">
        <f>DEGREES(ATAN(D188/C188))</f>
        <v/>
      </c>
      <c r="F188">
        <f>DEGREES(ATAN(TAN(RADIANS(pe0-omega*B188))*(C188/sref)^(m_-1)))</f>
        <v/>
      </c>
      <c r="G188">
        <f>E188-F188</f>
        <v/>
      </c>
    </row>
    <row r="189">
      <c r="A189" t="inlineStr">
        <is>
          <t>SMHEA(1966) | ZD20/7T/54E/1D-a</t>
        </is>
      </c>
      <c r="B189" t="n">
        <v>0.4088829787234043</v>
      </c>
      <c r="C189" t="n">
        <v>1.028246971162347</v>
      </c>
      <c r="D189" t="n">
        <v>1.028389611337895</v>
      </c>
      <c r="E189">
        <f>DEGREES(ATAN(D189/C189))</f>
        <v/>
      </c>
      <c r="F189">
        <f>DEGREES(ATAN(TAN(RADIANS(pe0-omega*B189))*(C189/sref)^(m_-1)))</f>
        <v/>
      </c>
      <c r="G189">
        <f>E189-F189</f>
        <v/>
      </c>
    </row>
    <row r="190">
      <c r="A190" t="inlineStr">
        <is>
          <t>SMHEA(1966) | ZD20/7T/54E/1D-a</t>
        </is>
      </c>
      <c r="B190" t="n">
        <v>0.4088829787234043</v>
      </c>
      <c r="C190" t="n">
        <v>1.828418923879958</v>
      </c>
      <c r="D190" t="n">
        <v>1.63615567494613</v>
      </c>
      <c r="E190">
        <f>DEGREES(ATAN(D190/C190))</f>
        <v/>
      </c>
      <c r="F190">
        <f>DEGREES(ATAN(TAN(RADIANS(pe0-omega*B190))*(C190/sref)^(m_-1)))</f>
        <v/>
      </c>
      <c r="G190">
        <f>E190-F190</f>
        <v/>
      </c>
    </row>
    <row r="191">
      <c r="A191" t="inlineStr">
        <is>
          <t>Gibbs (1966) | US 27C-X5</t>
        </is>
      </c>
      <c r="B191" t="n">
        <v>0.254548076923077</v>
      </c>
      <c r="C191" t="n">
        <v>0.1590081496453932</v>
      </c>
      <c r="D191" t="n">
        <v>0.1984697126950733</v>
      </c>
      <c r="E191">
        <f>DEGREES(ATAN(D191/C191))</f>
        <v/>
      </c>
      <c r="F191">
        <f>DEGREES(ATAN(TAN(RADIANS(pe0-omega*B191))*(C191/sref)^(m_-1)))</f>
        <v/>
      </c>
      <c r="G191">
        <f>E191-F191</f>
        <v/>
      </c>
    </row>
    <row r="192">
      <c r="A192" t="inlineStr">
        <is>
          <t>Gibbs (1966) | US 27C-X5</t>
        </is>
      </c>
      <c r="B192" t="n">
        <v>0.254548076923077</v>
      </c>
      <c r="C192" t="n">
        <v>0.6353769315598795</v>
      </c>
      <c r="D192" t="n">
        <v>0.5009640508913543</v>
      </c>
      <c r="E192">
        <f>DEGREES(ATAN(D192/C192))</f>
        <v/>
      </c>
      <c r="F192">
        <f>DEGREES(ATAN(TAN(RADIANS(pe0-omega*B192))*(C192/sref)^(m_-1)))</f>
        <v/>
      </c>
      <c r="G192">
        <f>E192-F192</f>
        <v/>
      </c>
    </row>
    <row r="193">
      <c r="A193" t="inlineStr">
        <is>
          <t>Gibbs (1966) | US 27C-X5</t>
        </is>
      </c>
      <c r="B193" t="n">
        <v>0.254548076923077</v>
      </c>
      <c r="C193" t="n">
        <v>0.954868253286146</v>
      </c>
      <c r="D193" t="n">
        <v>0.702033356579974</v>
      </c>
      <c r="E193">
        <f>DEGREES(ATAN(D193/C193))</f>
        <v/>
      </c>
      <c r="F193">
        <f>DEGREES(ATAN(TAN(RADIANS(pe0-omega*B193))*(C193/sref)^(m_-1)))</f>
        <v/>
      </c>
      <c r="G193">
        <f>E193-F193</f>
        <v/>
      </c>
    </row>
    <row r="194">
      <c r="A194" t="inlineStr">
        <is>
          <t>Gibbs (1966) | US 27C-X5</t>
        </is>
      </c>
      <c r="B194" t="n">
        <v>0.254548076923077</v>
      </c>
      <c r="C194" t="n">
        <v>1.123888310601807</v>
      </c>
      <c r="D194" t="n">
        <v>0.7922992626107394</v>
      </c>
      <c r="E194">
        <f>DEGREES(ATAN(D194/C194))</f>
        <v/>
      </c>
      <c r="F194">
        <f>DEGREES(ATAN(TAN(RADIANS(pe0-omega*B194))*(C194/sref)^(m_-1)))</f>
        <v/>
      </c>
      <c r="G194">
        <f>E194-F194</f>
        <v/>
      </c>
    </row>
    <row r="195">
      <c r="A195" t="inlineStr">
        <is>
          <t>Gibbs (1966) | US 27C-X6</t>
        </is>
      </c>
      <c r="B195" t="n">
        <v>0.2025161290322584</v>
      </c>
      <c r="C195" t="n">
        <v>0.2723928394946623</v>
      </c>
      <c r="D195" t="n">
        <v>0.2762542758912983</v>
      </c>
      <c r="E195">
        <f>DEGREES(ATAN(D195/C195))</f>
        <v/>
      </c>
      <c r="F195">
        <f>DEGREES(ATAN(TAN(RADIANS(pe0-omega*B195))*(C195/sref)^(m_-1)))</f>
        <v/>
      </c>
      <c r="G195">
        <f>E195-F195</f>
        <v/>
      </c>
    </row>
    <row r="196">
      <c r="A196" t="inlineStr">
        <is>
          <t>Gibbs (1966) | US 27C-X6</t>
        </is>
      </c>
      <c r="B196" t="n">
        <v>0.2025161290322584</v>
      </c>
      <c r="C196" t="n">
        <v>0.5182034176091677</v>
      </c>
      <c r="D196" t="n">
        <v>0.4424181825210104</v>
      </c>
      <c r="E196">
        <f>DEGREES(ATAN(D196/C196))</f>
        <v/>
      </c>
      <c r="F196">
        <f>DEGREES(ATAN(TAN(RADIANS(pe0-omega*B196))*(C196/sref)^(m_-1)))</f>
        <v/>
      </c>
      <c r="G196">
        <f>E196-F196</f>
        <v/>
      </c>
    </row>
    <row r="197">
      <c r="A197" t="inlineStr">
        <is>
          <t>Gibbs (1966) | US 27C-X6</t>
        </is>
      </c>
      <c r="B197" t="n">
        <v>0.2025161290322584</v>
      </c>
      <c r="C197" t="n">
        <v>1.702472363110306</v>
      </c>
      <c r="D197" t="n">
        <v>1.35605505020226</v>
      </c>
      <c r="E197">
        <f>DEGREES(ATAN(D197/C197))</f>
        <v/>
      </c>
      <c r="F197">
        <f>DEGREES(ATAN(TAN(RADIANS(pe0-omega*B197))*(C197/sref)^(m_-1)))</f>
        <v/>
      </c>
      <c r="G197">
        <f>E197-F197</f>
        <v/>
      </c>
    </row>
    <row r="198">
      <c r="A198" t="inlineStr">
        <is>
          <t>Gibbs (1966) | US 27C-X7</t>
        </is>
      </c>
      <c r="B198" t="n">
        <v>0.1649375000000002</v>
      </c>
      <c r="C198" t="n">
        <v>0.2461162934378402</v>
      </c>
      <c r="D198" t="n">
        <v>0.2575576230675291</v>
      </c>
      <c r="E198">
        <f>DEGREES(ATAN(D198/C198))</f>
        <v/>
      </c>
      <c r="F198">
        <f>DEGREES(ATAN(TAN(RADIANS(pe0-omega*B198))*(C198/sref)^(m_-1)))</f>
        <v/>
      </c>
      <c r="G198">
        <f>E198-F198</f>
        <v/>
      </c>
    </row>
    <row r="199">
      <c r="A199" t="inlineStr">
        <is>
          <t>Gibbs (1966) | US 27C-X7</t>
        </is>
      </c>
      <c r="B199" t="n">
        <v>0.1649375000000002</v>
      </c>
      <c r="C199" t="n">
        <v>0.4598577552856143</v>
      </c>
      <c r="D199" t="n">
        <v>0.4960186347343764</v>
      </c>
      <c r="E199">
        <f>DEGREES(ATAN(D199/C199))</f>
        <v/>
      </c>
      <c r="F199">
        <f>DEGREES(ATAN(TAN(RADIANS(pe0-omega*B199))*(C199/sref)^(m_-1)))</f>
        <v/>
      </c>
      <c r="G199">
        <f>E199-F199</f>
        <v/>
      </c>
    </row>
    <row r="200">
      <c r="A200" t="inlineStr">
        <is>
          <t>Gibbs (1966) | US 27C-X7</t>
        </is>
      </c>
      <c r="B200" t="n">
        <v>0.1649375000000002</v>
      </c>
      <c r="C200" t="n">
        <v>1.144121019609325</v>
      </c>
      <c r="D200" t="n">
        <v>1.067191095093767</v>
      </c>
      <c r="E200">
        <f>DEGREES(ATAN(D200/C200))</f>
        <v/>
      </c>
      <c r="F200">
        <f>DEGREES(ATAN(TAN(RADIANS(pe0-omega*B200))*(C200/sref)^(m_-1)))</f>
        <v/>
      </c>
      <c r="G200">
        <f>E200-F200</f>
        <v/>
      </c>
    </row>
    <row r="201">
      <c r="A201" t="inlineStr">
        <is>
          <t>SMHEA(1967) | ACXII/F1</t>
        </is>
      </c>
      <c r="B201" t="n">
        <v>0.5049431818181818</v>
      </c>
      <c r="C201" t="n">
        <v>0.3399238553756037</v>
      </c>
      <c r="D201" t="n">
        <v>0.3785354159670703</v>
      </c>
      <c r="E201">
        <f>DEGREES(ATAN(D201/C201))</f>
        <v/>
      </c>
      <c r="F201">
        <f>DEGREES(ATAN(TAN(RADIANS(pe0-omega*B201))*(C201/sref)^(m_-1)))</f>
        <v/>
      </c>
      <c r="G201">
        <f>E201-F201</f>
        <v/>
      </c>
    </row>
    <row r="202">
      <c r="A202" t="inlineStr">
        <is>
          <t>SMHEA(1967) | ACXII/F1</t>
        </is>
      </c>
      <c r="B202" t="n">
        <v>0.5049431818181818</v>
      </c>
      <c r="C202" t="n">
        <v>0.649068181730738</v>
      </c>
      <c r="D202" t="n">
        <v>0.6367218070550289</v>
      </c>
      <c r="E202">
        <f>DEGREES(ATAN(D202/C202))</f>
        <v/>
      </c>
      <c r="F202">
        <f>DEGREES(ATAN(TAN(RADIANS(pe0-omega*B202))*(C202/sref)^(m_-1)))</f>
        <v/>
      </c>
      <c r="G202">
        <f>E202-F202</f>
        <v/>
      </c>
    </row>
    <row r="203">
      <c r="A203" t="inlineStr">
        <is>
          <t>SMHEA(1967) | ACXII/F2-a</t>
        </is>
      </c>
      <c r="B203" t="n">
        <v>0.2553080568720378</v>
      </c>
      <c r="C203" t="n">
        <v>1.367377051143668</v>
      </c>
      <c r="D203" t="n">
        <v>1.596096845519759</v>
      </c>
      <c r="E203">
        <f>DEGREES(ATAN(D203/C203))</f>
        <v/>
      </c>
      <c r="F203">
        <f>DEGREES(ATAN(TAN(RADIANS(pe0-omega*B203))*(C203/sref)^(m_-1)))</f>
        <v/>
      </c>
      <c r="G203">
        <f>E203-F203</f>
        <v/>
      </c>
    </row>
    <row r="204">
      <c r="A204" t="inlineStr">
        <is>
          <t>SMHEA(1967) | ACXII/F2-a</t>
        </is>
      </c>
      <c r="B204" t="n">
        <v>0.2553080568720378</v>
      </c>
      <c r="C204" t="n">
        <v>2.256558669357724</v>
      </c>
      <c r="D204" t="n">
        <v>2.452653902071232</v>
      </c>
      <c r="E204">
        <f>DEGREES(ATAN(D204/C204))</f>
        <v/>
      </c>
      <c r="F204">
        <f>DEGREES(ATAN(TAN(RADIANS(pe0-omega*B204))*(C204/sref)^(m_-1)))</f>
        <v/>
      </c>
      <c r="G204">
        <f>E204-F204</f>
        <v/>
      </c>
    </row>
    <row r="205">
      <c r="A205" t="inlineStr">
        <is>
          <t>SMHEA(1967) | ACXII/F2-b</t>
        </is>
      </c>
      <c r="B205" t="n">
        <v>0.2553080568720378</v>
      </c>
      <c r="C205" t="n">
        <v>0.3747111731975119</v>
      </c>
      <c r="D205" t="n">
        <v>0.51078836233432</v>
      </c>
      <c r="E205">
        <f>DEGREES(ATAN(D205/C205))</f>
        <v/>
      </c>
      <c r="F205">
        <f>DEGREES(ATAN(TAN(RADIANS(pe0-omega*B205))*(C205/sref)^(m_-1)))</f>
        <v/>
      </c>
      <c r="G205">
        <f>E205-F205</f>
        <v/>
      </c>
    </row>
    <row r="206">
      <c r="A206" t="inlineStr">
        <is>
          <t>SMHEA(1967) | ACXII/F2-b</t>
        </is>
      </c>
      <c r="B206" t="n">
        <v>0.2553080568720378</v>
      </c>
      <c r="C206" t="n">
        <v>0.6865015260450988</v>
      </c>
      <c r="D206" t="n">
        <v>0.7842363496957986</v>
      </c>
      <c r="E206">
        <f>DEGREES(ATAN(D206/C206))</f>
        <v/>
      </c>
      <c r="F206">
        <f>DEGREES(ATAN(TAN(RADIANS(pe0-omega*B206))*(C206/sref)^(m_-1)))</f>
        <v/>
      </c>
      <c r="G206">
        <f>E206-F206</f>
        <v/>
      </c>
    </row>
    <row r="207">
      <c r="A207" t="inlineStr">
        <is>
          <t>SMHEA(1967) | ACXII/F2-b</t>
        </is>
      </c>
      <c r="B207" t="n">
        <v>0.2553080568720378</v>
      </c>
      <c r="C207" t="n">
        <v>1.363807884002221</v>
      </c>
      <c r="D207" t="n">
        <v>1.415810452699454</v>
      </c>
      <c r="E207">
        <f>DEGREES(ATAN(D207/C207))</f>
        <v/>
      </c>
      <c r="F207">
        <f>DEGREES(ATAN(TAN(RADIANS(pe0-omega*B207))*(C207/sref)^(m_-1)))</f>
        <v/>
      </c>
      <c r="G207">
        <f>E207-F207</f>
        <v/>
      </c>
    </row>
    <row r="208">
      <c r="A208" t="inlineStr">
        <is>
          <t>SMHEA(1967) | ACXII/F2-b</t>
        </is>
      </c>
      <c r="B208" t="n">
        <v>0.2553080568720378</v>
      </c>
      <c r="C208" t="n">
        <v>1.646638710757076</v>
      </c>
      <c r="D208" t="n">
        <v>1.604571561268669</v>
      </c>
      <c r="E208">
        <f>DEGREES(ATAN(D208/C208))</f>
        <v/>
      </c>
      <c r="F208">
        <f>DEGREES(ATAN(TAN(RADIANS(pe0-omega*B208))*(C208/sref)^(m_-1)))</f>
        <v/>
      </c>
      <c r="G208">
        <f>E208-F208</f>
        <v/>
      </c>
    </row>
    <row r="209">
      <c r="A209" t="inlineStr">
        <is>
          <t>SMHEA(1967) | ACXII/O3</t>
        </is>
      </c>
      <c r="B209" t="n">
        <v>0.4715</v>
      </c>
      <c r="C209" t="n">
        <v>0.1578307473426661</v>
      </c>
      <c r="D209" t="n">
        <v>0.1550561094989568</v>
      </c>
      <c r="E209">
        <f>DEGREES(ATAN(D209/C209))</f>
        <v/>
      </c>
      <c r="F209">
        <f>DEGREES(ATAN(TAN(RADIANS(pe0-omega*B209))*(C209/sref)^(m_-1)))</f>
        <v/>
      </c>
      <c r="G209">
        <f>E209-F209</f>
        <v/>
      </c>
    </row>
    <row r="210">
      <c r="A210" t="inlineStr">
        <is>
          <t>SMHEA(1967) | ACXII/O3</t>
        </is>
      </c>
      <c r="B210" t="n">
        <v>0.4715</v>
      </c>
      <c r="C210" t="n">
        <v>0.3658366798900736</v>
      </c>
      <c r="D210" t="n">
        <v>0.3524234362951112</v>
      </c>
      <c r="E210">
        <f>DEGREES(ATAN(D210/C210))</f>
        <v/>
      </c>
      <c r="F210">
        <f>DEGREES(ATAN(TAN(RADIANS(pe0-omega*B210))*(C210/sref)^(m_-1)))</f>
        <v/>
      </c>
      <c r="G210">
        <f>E210-F210</f>
        <v/>
      </c>
    </row>
    <row r="211">
      <c r="A211" t="inlineStr">
        <is>
          <t>SMHEA(1967) | ACXII/W3-a</t>
        </is>
      </c>
      <c r="B211" t="n">
        <v>0.2553080568720378</v>
      </c>
      <c r="C211" t="n">
        <v>1.278373351313166</v>
      </c>
      <c r="D211" t="n">
        <v>1.281679024811564</v>
      </c>
      <c r="E211">
        <f>DEGREES(ATAN(D211/C211))</f>
        <v/>
      </c>
      <c r="F211">
        <f>DEGREES(ATAN(TAN(RADIANS(pe0-omega*B211))*(C211/sref)^(m_-1)))</f>
        <v/>
      </c>
      <c r="G211">
        <f>E211-F211</f>
        <v/>
      </c>
    </row>
    <row r="212">
      <c r="A212" t="inlineStr">
        <is>
          <t>SMHEA(1967) | ACXII/W3-a</t>
        </is>
      </c>
      <c r="B212" t="n">
        <v>0.2553080568720378</v>
      </c>
      <c r="C212" t="n">
        <v>2.458688005142153</v>
      </c>
      <c r="D212" t="n">
        <v>2.242292943249192</v>
      </c>
      <c r="E212">
        <f>DEGREES(ATAN(D212/C212))</f>
        <v/>
      </c>
      <c r="F212">
        <f>DEGREES(ATAN(TAN(RADIANS(pe0-omega*B212))*(C212/sref)^(m_-1)))</f>
        <v/>
      </c>
      <c r="G212">
        <f>E212-F212</f>
        <v/>
      </c>
    </row>
    <row r="213">
      <c r="A213" t="inlineStr">
        <is>
          <t>SMHEA(1967) | ACXII/W3-b</t>
        </is>
      </c>
      <c r="B213" t="n">
        <v>0.2553080568720378</v>
      </c>
      <c r="C213" t="n">
        <v>0.3659013132164951</v>
      </c>
      <c r="D213" t="n">
        <v>0.4802990496736746</v>
      </c>
      <c r="E213">
        <f>DEGREES(ATAN(D213/C213))</f>
        <v/>
      </c>
      <c r="F213">
        <f>DEGREES(ATAN(TAN(RADIANS(pe0-omega*B213))*(C213/sref)^(m_-1)))</f>
        <v/>
      </c>
      <c r="G213">
        <f>E213-F213</f>
        <v/>
      </c>
    </row>
    <row r="214">
      <c r="A214" t="inlineStr">
        <is>
          <t>SMHEA(1967) | ACXII/W3-b</t>
        </is>
      </c>
      <c r="B214" t="n">
        <v>0.2553080568720378</v>
      </c>
      <c r="C214" t="n">
        <v>0.6492378872841095</v>
      </c>
      <c r="D214" t="n">
        <v>0.7113664939557603</v>
      </c>
      <c r="E214">
        <f>DEGREES(ATAN(D214/C214))</f>
        <v/>
      </c>
      <c r="F214">
        <f>DEGREES(ATAN(TAN(RADIANS(pe0-omega*B214))*(C214/sref)^(m_-1)))</f>
        <v/>
      </c>
      <c r="G214">
        <f>E214-F214</f>
        <v/>
      </c>
    </row>
    <row r="215">
      <c r="A215" t="inlineStr">
        <is>
          <t>SMHEA(1967) | ACXII/W3-b</t>
        </is>
      </c>
      <c r="B215" t="n">
        <v>0.2553080568720378</v>
      </c>
      <c r="C215" t="n">
        <v>1.30210190099324</v>
      </c>
      <c r="D215" t="n">
        <v>1.334107693545566</v>
      </c>
      <c r="E215">
        <f>DEGREES(ATAN(D215/C215))</f>
        <v/>
      </c>
      <c r="F215">
        <f>DEGREES(ATAN(TAN(RADIANS(pe0-omega*B215))*(C215/sref)^(m_-1)))</f>
        <v/>
      </c>
      <c r="G215">
        <f>E215-F215</f>
        <v/>
      </c>
    </row>
    <row r="216">
      <c r="A216" t="inlineStr">
        <is>
          <t>SMHEA(1967) | ACXII/W3-b</t>
        </is>
      </c>
      <c r="B216" t="n">
        <v>0.2553080568720378</v>
      </c>
      <c r="C216" t="n">
        <v>1.9240443054742</v>
      </c>
      <c r="D216" t="n">
        <v>1.865247060180822</v>
      </c>
      <c r="E216">
        <f>DEGREES(ATAN(D216/C216))</f>
        <v/>
      </c>
      <c r="F216">
        <f>DEGREES(ATAN(TAN(RADIANS(pe0-omega*B216))*(C216/sref)^(m_-1)))</f>
        <v/>
      </c>
      <c r="G216">
        <f>E216-F216</f>
        <v/>
      </c>
    </row>
    <row r="217">
      <c r="A217" t="inlineStr">
        <is>
          <t>SMHEA(1967) | ZD/3B/2/CJ/32D-a</t>
        </is>
      </c>
      <c r="B217" t="n">
        <v>0.2820990099009903</v>
      </c>
      <c r="C217" t="n">
        <v>0.58173721781671</v>
      </c>
      <c r="D217" t="n">
        <v>0.6639536939309126</v>
      </c>
      <c r="E217">
        <f>DEGREES(ATAN(D217/C217))</f>
        <v/>
      </c>
      <c r="F217">
        <f>DEGREES(ATAN(TAN(RADIANS(pe0-omega*B217))*(C217/sref)^(m_-1)))</f>
        <v/>
      </c>
      <c r="G217">
        <f>E217-F217</f>
        <v/>
      </c>
    </row>
    <row r="218">
      <c r="A218" t="inlineStr">
        <is>
          <t>SMHEA(1967) | ZD/3B/2/CJ/32D-a</t>
        </is>
      </c>
      <c r="B218" t="n">
        <v>0.2820990099009903</v>
      </c>
      <c r="C218" t="n">
        <v>0.9930039821376652</v>
      </c>
      <c r="D218" t="n">
        <v>0.9858468903581585</v>
      </c>
      <c r="E218">
        <f>DEGREES(ATAN(D218/C218))</f>
        <v/>
      </c>
      <c r="F218">
        <f>DEGREES(ATAN(TAN(RADIANS(pe0-omega*B218))*(C218/sref)^(m_-1)))</f>
        <v/>
      </c>
      <c r="G218">
        <f>E218-F218</f>
        <v/>
      </c>
    </row>
    <row r="219">
      <c r="A219" t="inlineStr">
        <is>
          <t>SMHEA(1967) | ZD/3B/2/CJ/32D-a</t>
        </is>
      </c>
      <c r="B219" t="n">
        <v>0.2820990099009903</v>
      </c>
      <c r="C219" t="n">
        <v>1.770540419000116</v>
      </c>
      <c r="D219" t="n">
        <v>1.687066981563785</v>
      </c>
      <c r="E219">
        <f>DEGREES(ATAN(D219/C219))</f>
        <v/>
      </c>
      <c r="F219">
        <f>DEGREES(ATAN(TAN(RADIANS(pe0-omega*B219))*(C219/sref)^(m_-1)))</f>
        <v/>
      </c>
      <c r="G219">
        <f>E219-F219</f>
        <v/>
      </c>
    </row>
    <row r="220">
      <c r="A220" t="inlineStr">
        <is>
          <t>SMHEA(1967) | ZD/3B/2/CJ/32D-a</t>
        </is>
      </c>
      <c r="B220" t="n">
        <v>0.2820990099009903</v>
      </c>
      <c r="C220" t="n">
        <v>2.319242663295635</v>
      </c>
      <c r="D220" t="n">
        <v>2.144886831887838</v>
      </c>
      <c r="E220">
        <f>DEGREES(ATAN(D220/C220))</f>
        <v/>
      </c>
      <c r="F220">
        <f>DEGREES(ATAN(TAN(RADIANS(pe0-omega*B220))*(C220/sref)^(m_-1)))</f>
        <v/>
      </c>
      <c r="G220">
        <f>E220-F220</f>
        <v/>
      </c>
    </row>
    <row r="221">
      <c r="A221" t="inlineStr">
        <is>
          <t>SMHEA(1968) | YV11/005/1M-a</t>
        </is>
      </c>
      <c r="B221" t="n">
        <v>0.4492753623188406</v>
      </c>
      <c r="C221" t="n">
        <v>0.3259411163760386</v>
      </c>
      <c r="D221" t="n">
        <v>0.3844038777936464</v>
      </c>
      <c r="E221">
        <f>DEGREES(ATAN(D221/C221))</f>
        <v/>
      </c>
      <c r="F221">
        <f>DEGREES(ATAN(TAN(RADIANS(pe0-omega*B221))*(C221/sref)^(m_-1)))</f>
        <v/>
      </c>
      <c r="G221">
        <f>E221-F221</f>
        <v/>
      </c>
    </row>
    <row r="222">
      <c r="A222" t="inlineStr">
        <is>
          <t>SMHEA(1968) | YV11/005/1M-a</t>
        </is>
      </c>
      <c r="B222" t="n">
        <v>0.4492753623188406</v>
      </c>
      <c r="C222" t="n">
        <v>0.7716740007584594</v>
      </c>
      <c r="D222" t="n">
        <v>0.8258552712100127</v>
      </c>
      <c r="E222">
        <f>DEGREES(ATAN(D222/C222))</f>
        <v/>
      </c>
      <c r="F222">
        <f>DEGREES(ATAN(TAN(RADIANS(pe0-omega*B222))*(C222/sref)^(m_-1)))</f>
        <v/>
      </c>
      <c r="G222">
        <f>E222-F222</f>
        <v/>
      </c>
    </row>
    <row r="223">
      <c r="A223" t="inlineStr">
        <is>
          <t>SMHEA(1968) | YV11/005/1M-b</t>
        </is>
      </c>
      <c r="B223" t="n">
        <v>0.4492753623188406</v>
      </c>
      <c r="C223" t="n">
        <v>0.1286117477256428</v>
      </c>
      <c r="D223" t="n">
        <v>0.147681339730531</v>
      </c>
      <c r="E223">
        <f>DEGREES(ATAN(D223/C223))</f>
        <v/>
      </c>
      <c r="F223">
        <f>DEGREES(ATAN(TAN(RADIANS(pe0-omega*B223))*(C223/sref)^(m_-1)))</f>
        <v/>
      </c>
      <c r="G223">
        <f>E223-F223</f>
        <v/>
      </c>
    </row>
    <row r="224">
      <c r="A224" t="inlineStr">
        <is>
          <t>SMHEA(1968) | YV11/005/1M-b</t>
        </is>
      </c>
      <c r="B224" t="n">
        <v>0.4492753623188406</v>
      </c>
      <c r="C224" t="n">
        <v>0.2995320577603918</v>
      </c>
      <c r="D224" t="n">
        <v>0.3174453312566872</v>
      </c>
      <c r="E224">
        <f>DEGREES(ATAN(D224/C224))</f>
        <v/>
      </c>
      <c r="F224">
        <f>DEGREES(ATAN(TAN(RADIANS(pe0-omega*B224))*(C224/sref)^(m_-1)))</f>
        <v/>
      </c>
      <c r="G224">
        <f>E224-F224</f>
        <v/>
      </c>
    </row>
    <row r="225">
      <c r="A225" t="inlineStr">
        <is>
          <t>SMHEA(1968) | YV11/005/1M-b</t>
        </is>
      </c>
      <c r="B225" t="n">
        <v>0.4492753623188406</v>
      </c>
      <c r="C225" t="n">
        <v>0.7241026467899637</v>
      </c>
      <c r="D225" t="n">
        <v>0.7371467929328431</v>
      </c>
      <c r="E225">
        <f>DEGREES(ATAN(D225/C225))</f>
        <v/>
      </c>
      <c r="F225">
        <f>DEGREES(ATAN(TAN(RADIANS(pe0-omega*B225))*(C225/sref)^(m_-1)))</f>
        <v/>
      </c>
      <c r="G225">
        <f>E225-F225</f>
        <v/>
      </c>
    </row>
    <row r="226">
      <c r="A226" t="inlineStr">
        <is>
          <t>SMHEA(1968) | YV11/Q1/4-a</t>
        </is>
      </c>
      <c r="B226" t="n">
        <v>0.4492753623188406</v>
      </c>
      <c r="C226" t="n">
        <v>0.129352578001261</v>
      </c>
      <c r="D226" t="n">
        <v>0.1589108324083972</v>
      </c>
      <c r="E226">
        <f>DEGREES(ATAN(D226/C226))</f>
        <v/>
      </c>
      <c r="F226">
        <f>DEGREES(ATAN(TAN(RADIANS(pe0-omega*B226))*(C226/sref)^(m_-1)))</f>
        <v/>
      </c>
      <c r="G226">
        <f>E226-F226</f>
        <v/>
      </c>
    </row>
    <row r="227">
      <c r="A227" t="inlineStr">
        <is>
          <t>SMHEA(1968) | YV11/Q1/4-a</t>
        </is>
      </c>
      <c r="B227" t="n">
        <v>0.4492753623188406</v>
      </c>
      <c r="C227" t="n">
        <v>0.327869126576769</v>
      </c>
      <c r="D227" t="n">
        <v>0.348465498844564</v>
      </c>
      <c r="E227">
        <f>DEGREES(ATAN(D227/C227))</f>
        <v/>
      </c>
      <c r="F227">
        <f>DEGREES(ATAN(TAN(RADIANS(pe0-omega*B227))*(C227/sref)^(m_-1)))</f>
        <v/>
      </c>
      <c r="G227">
        <f>E227-F227</f>
        <v/>
      </c>
    </row>
    <row r="228">
      <c r="A228" t="inlineStr">
        <is>
          <t>SMHEA(1968) | YV11/Q1/4-a</t>
        </is>
      </c>
      <c r="B228" t="n">
        <v>0.4492753623188406</v>
      </c>
      <c r="C228" t="n">
        <v>0.7448456477030894</v>
      </c>
      <c r="D228" t="n">
        <v>0.7126478515419418</v>
      </c>
      <c r="E228">
        <f>DEGREES(ATAN(D228/C228))</f>
        <v/>
      </c>
      <c r="F228">
        <f>DEGREES(ATAN(TAN(RADIANS(pe0-omega*B228))*(C228/sref)^(m_-1)))</f>
        <v/>
      </c>
      <c r="G228">
        <f>E228-F228</f>
        <v/>
      </c>
    </row>
    <row r="229">
      <c r="A229" t="inlineStr">
        <is>
          <t>SMHEA(1968) | YV11/Q1/4-b</t>
        </is>
      </c>
      <c r="B229" t="n">
        <v>0.4492753623188406</v>
      </c>
      <c r="C229" t="n">
        <v>0.1262264148077986</v>
      </c>
      <c r="D229" t="n">
        <v>0.1311997475093222</v>
      </c>
      <c r="E229">
        <f>DEGREES(ATAN(D229/C229))</f>
        <v/>
      </c>
      <c r="F229">
        <f>DEGREES(ATAN(TAN(RADIANS(pe0-omega*B229))*(C229/sref)^(m_-1)))</f>
        <v/>
      </c>
      <c r="G229">
        <f>E229-F229</f>
        <v/>
      </c>
    </row>
    <row r="230">
      <c r="A230" t="inlineStr">
        <is>
          <t>SMHEA(1968) | YV11/Q1/4-b</t>
        </is>
      </c>
      <c r="B230" t="n">
        <v>0.4492753623188406</v>
      </c>
      <c r="C230" t="n">
        <v>0.2870818882452871</v>
      </c>
      <c r="D230" t="n">
        <v>0.2613423720954829</v>
      </c>
      <c r="E230">
        <f>DEGREES(ATAN(D230/C230))</f>
        <v/>
      </c>
      <c r="F230">
        <f>DEGREES(ATAN(TAN(RADIANS(pe0-omega*B230))*(C230/sref)^(m_-1)))</f>
        <v/>
      </c>
      <c r="G230">
        <f>E230-F230</f>
        <v/>
      </c>
    </row>
    <row r="231">
      <c r="A231" t="inlineStr">
        <is>
          <t>SMHEA(1968) | YV11/Q1/4-b</t>
        </is>
      </c>
      <c r="B231" t="n">
        <v>0.4492753623188406</v>
      </c>
      <c r="C231" t="n">
        <v>0.7055467624973871</v>
      </c>
      <c r="D231" t="n">
        <v>0.6601645188967633</v>
      </c>
      <c r="E231">
        <f>DEGREES(ATAN(D231/C231))</f>
        <v/>
      </c>
      <c r="F231">
        <f>DEGREES(ATAN(TAN(RADIANS(pe0-omega*B231))*(C231/sref)^(m_-1)))</f>
        <v/>
      </c>
      <c r="G231">
        <f>E231-F231</f>
        <v/>
      </c>
    </row>
    <row r="232">
      <c r="A232" t="inlineStr">
        <is>
          <t>SMHEA(1968) | YV11/Q1/4-c</t>
        </is>
      </c>
      <c r="B232" t="n">
        <v>0.4492753623188406</v>
      </c>
      <c r="C232" t="n">
        <v>0.1196767999782224</v>
      </c>
      <c r="D232" t="n">
        <v>0.1345408006524639</v>
      </c>
      <c r="E232">
        <f>DEGREES(ATAN(D232/C232))</f>
        <v/>
      </c>
      <c r="F232">
        <f>DEGREES(ATAN(TAN(RADIANS(pe0-omega*B232))*(C232/sref)^(m_-1)))</f>
        <v/>
      </c>
      <c r="G232">
        <f>E232-F232</f>
        <v/>
      </c>
    </row>
    <row r="233">
      <c r="A233" t="inlineStr">
        <is>
          <t>SMHEA(1968) | YV11/Q1/4-c</t>
        </is>
      </c>
      <c r="B233" t="n">
        <v>0.4492753623188406</v>
      </c>
      <c r="C233" t="n">
        <v>0.3001402470409129</v>
      </c>
      <c r="D233" t="n">
        <v>0.2810764402943264</v>
      </c>
      <c r="E233">
        <f>DEGREES(ATAN(D233/C233))</f>
        <v/>
      </c>
      <c r="F233">
        <f>DEGREES(ATAN(TAN(RADIANS(pe0-omega*B233))*(C233/sref)^(m_-1)))</f>
        <v/>
      </c>
      <c r="G233">
        <f>E233-F233</f>
        <v/>
      </c>
    </row>
    <row r="234">
      <c r="A234" t="inlineStr">
        <is>
          <t>SMHEA(1968) | YV11/Q1/4-c</t>
        </is>
      </c>
      <c r="B234" t="n">
        <v>0.4492753623188406</v>
      </c>
      <c r="C234" t="n">
        <v>0.7138683332867802</v>
      </c>
      <c r="D234" t="n">
        <v>0.6089552399243747</v>
      </c>
      <c r="E234">
        <f>DEGREES(ATAN(D234/C234))</f>
        <v/>
      </c>
      <c r="F234">
        <f>DEGREES(ATAN(TAN(RADIANS(pe0-omega*B234))*(C234/sref)^(m_-1)))</f>
        <v/>
      </c>
      <c r="G234">
        <f>E234-F234</f>
        <v/>
      </c>
    </row>
    <row r="235">
      <c r="A235" t="inlineStr">
        <is>
          <t>SMHEA(1968) | YV11/T2B/Q5/1D-a</t>
        </is>
      </c>
      <c r="B235" t="n">
        <v>0.4492753623188406</v>
      </c>
      <c r="C235" t="n">
        <v>0.1196907637007418</v>
      </c>
      <c r="D235" t="n">
        <v>0.1536514745127468</v>
      </c>
      <c r="E235">
        <f>DEGREES(ATAN(D235/C235))</f>
        <v/>
      </c>
      <c r="F235">
        <f>DEGREES(ATAN(TAN(RADIANS(pe0-omega*B235))*(C235/sref)^(m_-1)))</f>
        <v/>
      </c>
      <c r="G235">
        <f>E235-F235</f>
        <v/>
      </c>
    </row>
    <row r="236">
      <c r="A236" t="inlineStr">
        <is>
          <t>SMHEA(1968) | YV11/T2B/Q5/1D-a</t>
        </is>
      </c>
      <c r="B236" t="n">
        <v>0.4492753623188406</v>
      </c>
      <c r="C236" t="n">
        <v>0.1884710333665715</v>
      </c>
      <c r="D236" t="n">
        <v>0.2329018983272826</v>
      </c>
      <c r="E236">
        <f>DEGREES(ATAN(D236/C236))</f>
        <v/>
      </c>
      <c r="F236">
        <f>DEGREES(ATAN(TAN(RADIANS(pe0-omega*B236))*(C236/sref)^(m_-1)))</f>
        <v/>
      </c>
      <c r="G236">
        <f>E236-F236</f>
        <v/>
      </c>
    </row>
    <row r="237">
      <c r="A237" t="inlineStr">
        <is>
          <t>SMHEA(1968) | YV11/T2B/Q5/1D-a</t>
        </is>
      </c>
      <c r="B237" t="n">
        <v>0.4492753623188406</v>
      </c>
      <c r="C237" t="n">
        <v>0.7253205716058883</v>
      </c>
      <c r="D237" t="n">
        <v>0.6586649000246008</v>
      </c>
      <c r="E237">
        <f>DEGREES(ATAN(D237/C237))</f>
        <v/>
      </c>
      <c r="F237">
        <f>DEGREES(ATAN(TAN(RADIANS(pe0-omega*B237))*(C237/sref)^(m_-1)))</f>
        <v/>
      </c>
      <c r="G237">
        <f>E237-F237</f>
        <v/>
      </c>
    </row>
    <row r="238">
      <c r="A238" t="inlineStr">
        <is>
          <t>SMHEA(1968) | YV11/T2B/Q5/1D-a</t>
        </is>
      </c>
      <c r="B238" t="n">
        <v>0.4492753623188406</v>
      </c>
      <c r="C238" t="n">
        <v>0.9294378010311313</v>
      </c>
      <c r="D238" t="n">
        <v>0.8633202650502289</v>
      </c>
      <c r="E238">
        <f>DEGREES(ATAN(D238/C238))</f>
        <v/>
      </c>
      <c r="F238">
        <f>DEGREES(ATAN(TAN(RADIANS(pe0-omega*B238))*(C238/sref)^(m_-1)))</f>
        <v/>
      </c>
      <c r="G238">
        <f>E238-F238</f>
        <v/>
      </c>
    </row>
    <row r="239">
      <c r="A239" t="inlineStr">
        <is>
          <t>SMHEA(1968) | YV11/T2B/Q5/1D-a</t>
        </is>
      </c>
      <c r="B239" t="n">
        <v>0.4492753623188406</v>
      </c>
      <c r="C239" t="n">
        <v>1.115117247611397</v>
      </c>
      <c r="D239" t="n">
        <v>1.023930061442574</v>
      </c>
      <c r="E239">
        <f>DEGREES(ATAN(D239/C239))</f>
        <v/>
      </c>
      <c r="F239">
        <f>DEGREES(ATAN(TAN(RADIANS(pe0-omega*B239))*(C239/sref)^(m_-1)))</f>
        <v/>
      </c>
      <c r="G239">
        <f>E239-F239</f>
        <v/>
      </c>
    </row>
    <row r="240">
      <c r="A240" t="inlineStr">
        <is>
          <t>SMHEA(1968) | YV11/T2B/Q5/1D-a</t>
        </is>
      </c>
      <c r="B240" t="n">
        <v>0.4492753623188406</v>
      </c>
      <c r="C240" t="n">
        <v>1.294489286955643</v>
      </c>
      <c r="D240" t="n">
        <v>1.162228333159201</v>
      </c>
      <c r="E240">
        <f>DEGREES(ATAN(D240/C240))</f>
        <v/>
      </c>
      <c r="F240">
        <f>DEGREES(ATAN(TAN(RADIANS(pe0-omega*B240))*(C240/sref)^(m_-1)))</f>
        <v/>
      </c>
      <c r="G240">
        <f>E240-F240</f>
        <v/>
      </c>
    </row>
    <row r="241">
      <c r="A241" t="inlineStr">
        <is>
          <t>SMHEA(1968) | YV11/T2B/Q5/1D-c</t>
        </is>
      </c>
      <c r="B241" t="n">
        <v>0.3513513513513514</v>
      </c>
      <c r="C241" t="n">
        <v>0.1522534021392691</v>
      </c>
      <c r="D241" t="n">
        <v>0.2393459129080013</v>
      </c>
      <c r="E241">
        <f>DEGREES(ATAN(D241/C241))</f>
        <v/>
      </c>
      <c r="F241">
        <f>DEGREES(ATAN(TAN(RADIANS(pe0-omega*B241))*(C241/sref)^(m_-1)))</f>
        <v/>
      </c>
      <c r="G241">
        <f>E241-F241</f>
        <v/>
      </c>
    </row>
    <row r="242">
      <c r="A242" t="inlineStr">
        <is>
          <t>SMHEA(1968) | YV11/T2B/Q5/1D-c</t>
        </is>
      </c>
      <c r="B242" t="n">
        <v>0.3513513513513514</v>
      </c>
      <c r="C242" t="n">
        <v>0.2118136560610742</v>
      </c>
      <c r="D242" t="n">
        <v>0.2916108228435971</v>
      </c>
      <c r="E242">
        <f>DEGREES(ATAN(D242/C242))</f>
        <v/>
      </c>
      <c r="F242">
        <f>DEGREES(ATAN(TAN(RADIANS(pe0-omega*B242))*(C242/sref)^(m_-1)))</f>
        <v/>
      </c>
      <c r="G242">
        <f>E242-F242</f>
        <v/>
      </c>
    </row>
    <row r="243">
      <c r="A243" t="inlineStr">
        <is>
          <t>SMHEA(1968) | YV11/T2B/Q5/1D-c</t>
        </is>
      </c>
      <c r="B243" t="n">
        <v>0.3513513513513514</v>
      </c>
      <c r="C243" t="n">
        <v>0.3948843053201917</v>
      </c>
      <c r="D243" t="n">
        <v>0.5545034104898827</v>
      </c>
      <c r="E243">
        <f>DEGREES(ATAN(D243/C243))</f>
        <v/>
      </c>
      <c r="F243">
        <f>DEGREES(ATAN(TAN(RADIANS(pe0-omega*B243))*(C243/sref)^(m_-1)))</f>
        <v/>
      </c>
      <c r="G243">
        <f>E243-F243</f>
        <v/>
      </c>
    </row>
    <row r="244">
      <c r="A244" t="inlineStr">
        <is>
          <t>SMHEA(1968) | YV11/T2B/Q5/1D-c</t>
        </is>
      </c>
      <c r="B244" t="n">
        <v>0.3513513513513514</v>
      </c>
      <c r="C244" t="n">
        <v>0.7159771061044105</v>
      </c>
      <c r="D244" t="n">
        <v>0.8372413474556616</v>
      </c>
      <c r="E244">
        <f>DEGREES(ATAN(D244/C244))</f>
        <v/>
      </c>
      <c r="F244">
        <f>DEGREES(ATAN(TAN(RADIANS(pe0-omega*B244))*(C244/sref)^(m_-1)))</f>
        <v/>
      </c>
      <c r="G244">
        <f>E244-F244</f>
        <v/>
      </c>
    </row>
    <row r="245">
      <c r="A245" t="inlineStr">
        <is>
          <t>SMHEA(1968) | YV11/T2B/Q5/1D-c</t>
        </is>
      </c>
      <c r="B245" t="n">
        <v>0.3513513513513514</v>
      </c>
      <c r="C245" t="n">
        <v>1.369439587662931</v>
      </c>
      <c r="D245" t="n">
        <v>1.399788402065317</v>
      </c>
      <c r="E245">
        <f>DEGREES(ATAN(D245/C245))</f>
        <v/>
      </c>
      <c r="F245">
        <f>DEGREES(ATAN(TAN(RADIANS(pe0-omega*B245))*(C245/sref)^(m_-1)))</f>
        <v/>
      </c>
      <c r="G245">
        <f>E245-F245</f>
        <v/>
      </c>
    </row>
    <row r="246">
      <c r="A246" t="inlineStr">
        <is>
          <t>SMHEA(1968) | YV11/T2B/Q5/1D-c</t>
        </is>
      </c>
      <c r="B246" t="n">
        <v>0.3513513513513514</v>
      </c>
      <c r="C246" t="n">
        <v>1.957907501214291</v>
      </c>
      <c r="D246" t="n">
        <v>1.810522983871927</v>
      </c>
      <c r="E246">
        <f>DEGREES(ATAN(D246/C246))</f>
        <v/>
      </c>
      <c r="F246">
        <f>DEGREES(ATAN(TAN(RADIANS(pe0-omega*B246))*(C246/sref)^(m_-1)))</f>
        <v/>
      </c>
      <c r="G246">
        <f>E246-F246</f>
        <v/>
      </c>
    </row>
    <row r="247">
      <c r="A247" t="inlineStr">
        <is>
          <t>SMHEA(1968) | YV32/1E/1D</t>
        </is>
      </c>
      <c r="B247" t="n">
        <v>0.4492753623188406</v>
      </c>
      <c r="C247" t="n">
        <v>0.1177511017969857</v>
      </c>
      <c r="D247" t="n">
        <v>0.1399501941613751</v>
      </c>
      <c r="E247">
        <f>DEGREES(ATAN(D247/C247))</f>
        <v/>
      </c>
      <c r="F247">
        <f>DEGREES(ATAN(TAN(RADIANS(pe0-omega*B247))*(C247/sref)^(m_-1)))</f>
        <v/>
      </c>
      <c r="G247">
        <f>E247-F247</f>
        <v/>
      </c>
    </row>
    <row r="248">
      <c r="A248" t="inlineStr">
        <is>
          <t>SMHEA(1968) | YV32/1E/1D</t>
        </is>
      </c>
      <c r="B248" t="n">
        <v>0.4492753623188406</v>
      </c>
      <c r="C248" t="n">
        <v>0.3308338408405602</v>
      </c>
      <c r="D248" t="n">
        <v>0.37373759334374</v>
      </c>
      <c r="E248">
        <f>DEGREES(ATAN(D248/C248))</f>
        <v/>
      </c>
      <c r="F248">
        <f>DEGREES(ATAN(TAN(RADIANS(pe0-omega*B248))*(C248/sref)^(m_-1)))</f>
        <v/>
      </c>
      <c r="G248">
        <f>E248-F248</f>
        <v/>
      </c>
    </row>
    <row r="249">
      <c r="A249" t="inlineStr">
        <is>
          <t>SMHEA(1968) | YV32/1E/1D</t>
        </is>
      </c>
      <c r="B249" t="n">
        <v>0.4492753623188406</v>
      </c>
      <c r="C249" t="n">
        <v>0.7465789313589687</v>
      </c>
      <c r="D249" t="n">
        <v>0.6877943667517284</v>
      </c>
      <c r="E249">
        <f>DEGREES(ATAN(D249/C249))</f>
        <v/>
      </c>
      <c r="F249">
        <f>DEGREES(ATAN(TAN(RADIANS(pe0-omega*B249))*(C249/sref)^(m_-1)))</f>
        <v/>
      </c>
      <c r="G249">
        <f>E249-F249</f>
        <v/>
      </c>
    </row>
    <row r="250">
      <c r="A250" t="inlineStr">
        <is>
          <t>SMHEA(1968) | ZD/3B/2/VJ/19D-a</t>
        </is>
      </c>
      <c r="B250" t="n">
        <v>0.2820990099009903</v>
      </c>
      <c r="C250" t="n">
        <v>0.5456519526803771</v>
      </c>
      <c r="D250" t="n">
        <v>0.6254282850201471</v>
      </c>
      <c r="E250">
        <f>DEGREES(ATAN(D250/C250))</f>
        <v/>
      </c>
      <c r="F250">
        <f>DEGREES(ATAN(TAN(RADIANS(pe0-omega*B250))*(C250/sref)^(m_-1)))</f>
        <v/>
      </c>
      <c r="G250">
        <f>E250-F250</f>
        <v/>
      </c>
    </row>
    <row r="251">
      <c r="A251" t="inlineStr">
        <is>
          <t>SMHEA(1968) | ZD/3B/2/VJ/19D-a</t>
        </is>
      </c>
      <c r="B251" t="n">
        <v>0.2820990099009903</v>
      </c>
      <c r="C251" t="n">
        <v>1.039097297291015</v>
      </c>
      <c r="D251" t="n">
        <v>1.052695919174904</v>
      </c>
      <c r="E251">
        <f>DEGREES(ATAN(D251/C251))</f>
        <v/>
      </c>
      <c r="F251">
        <f>DEGREES(ATAN(TAN(RADIANS(pe0-omega*B251))*(C251/sref)^(m_-1)))</f>
        <v/>
      </c>
      <c r="G251">
        <f>E251-F251</f>
        <v/>
      </c>
    </row>
    <row r="252">
      <c r="A252" t="inlineStr">
        <is>
          <t>SMHEA(1968) | ZD/3B/2/VJ/19D-a</t>
        </is>
      </c>
      <c r="B252" t="n">
        <v>0.2820990099009903</v>
      </c>
      <c r="C252" t="n">
        <v>1.886012554791048</v>
      </c>
      <c r="D252" t="n">
        <v>1.735360719265796</v>
      </c>
      <c r="E252">
        <f>DEGREES(ATAN(D252/C252))</f>
        <v/>
      </c>
      <c r="F252">
        <f>DEGREES(ATAN(TAN(RADIANS(pe0-omega*B252))*(C252/sref)^(m_-1)))</f>
        <v/>
      </c>
      <c r="G252">
        <f>E252-F252</f>
        <v/>
      </c>
    </row>
    <row r="253">
      <c r="A253" t="inlineStr">
        <is>
          <t>SMHEA(1968) | ZD/3B/2/VJ/19D-a</t>
        </is>
      </c>
      <c r="B253" t="n">
        <v>0.2820990099009903</v>
      </c>
      <c r="C253" t="n">
        <v>2.493946921019188</v>
      </c>
      <c r="D253" t="n">
        <v>2.20532834053198</v>
      </c>
      <c r="E253">
        <f>DEGREES(ATAN(D253/C253))</f>
        <v/>
      </c>
      <c r="F253">
        <f>DEGREES(ATAN(TAN(RADIANS(pe0-omega*B253))*(C253/sref)^(m_-1)))</f>
        <v/>
      </c>
      <c r="G253">
        <f>E253-F253</f>
        <v/>
      </c>
    </row>
    <row r="254">
      <c r="A254" t="inlineStr">
        <is>
          <t>HEC (1970) | I-4066</t>
        </is>
      </c>
      <c r="B254" t="n">
        <v>0.3</v>
      </c>
      <c r="C254" t="n">
        <v>0.1361104662068904</v>
      </c>
      <c r="D254" t="n">
        <v>0.1825658533229494</v>
      </c>
      <c r="E254">
        <f>DEGREES(ATAN(D254/C254))</f>
        <v/>
      </c>
      <c r="F254">
        <f>DEGREES(ATAN(TAN(RADIANS(pe0-omega*B254))*(C254/sref)^(m_-1)))</f>
        <v/>
      </c>
      <c r="G254">
        <f>E254-F254</f>
        <v/>
      </c>
    </row>
    <row r="255">
      <c r="A255" t="inlineStr">
        <is>
          <t>HEC (1970) | I-4066</t>
        </is>
      </c>
      <c r="B255" t="n">
        <v>0.3</v>
      </c>
      <c r="C255" t="n">
        <v>0.3358797053047765</v>
      </c>
      <c r="D255" t="n">
        <v>0.4046694758637063</v>
      </c>
      <c r="E255">
        <f>DEGREES(ATAN(D255/C255))</f>
        <v/>
      </c>
      <c r="F255">
        <f>DEGREES(ATAN(TAN(RADIANS(pe0-omega*B255))*(C255/sref)^(m_-1)))</f>
        <v/>
      </c>
      <c r="G255">
        <f>E255-F255</f>
        <v/>
      </c>
    </row>
    <row r="256">
      <c r="A256" t="inlineStr">
        <is>
          <t>HEC (1970) | I-4066</t>
        </is>
      </c>
      <c r="B256" t="n">
        <v>0.3</v>
      </c>
      <c r="C256" t="n">
        <v>0.6608462579271271</v>
      </c>
      <c r="D256" t="n">
        <v>0.7322279644497472</v>
      </c>
      <c r="E256">
        <f>DEGREES(ATAN(D256/C256))</f>
        <v/>
      </c>
      <c r="F256">
        <f>DEGREES(ATAN(TAN(RADIANS(pe0-omega*B256))*(C256/sref)^(m_-1)))</f>
        <v/>
      </c>
      <c r="G256">
        <f>E256-F256</f>
        <v/>
      </c>
    </row>
    <row r="257">
      <c r="A257" t="inlineStr">
        <is>
          <t>HEC (1970) | I-4066</t>
        </is>
      </c>
      <c r="B257" t="n">
        <v>0.3</v>
      </c>
      <c r="C257" t="n">
        <v>1.268341491294954</v>
      </c>
      <c r="D257" t="n">
        <v>1.259661969369103</v>
      </c>
      <c r="E257">
        <f>DEGREES(ATAN(D257/C257))</f>
        <v/>
      </c>
      <c r="F257">
        <f>DEGREES(ATAN(TAN(RADIANS(pe0-omega*B257))*(C257/sref)^(m_-1)))</f>
        <v/>
      </c>
      <c r="G257">
        <f>E257-F257</f>
        <v/>
      </c>
    </row>
    <row r="258">
      <c r="A258" t="inlineStr">
        <is>
          <t>HEC (1970) | I-4067</t>
        </is>
      </c>
      <c r="B258" t="n">
        <v>0.3</v>
      </c>
      <c r="C258" t="n">
        <v>0.1334449421431248</v>
      </c>
      <c r="D258" t="n">
        <v>0.1526418268762296</v>
      </c>
      <c r="E258">
        <f>DEGREES(ATAN(D258/C258))</f>
        <v/>
      </c>
      <c r="F258">
        <f>DEGREES(ATAN(TAN(RADIANS(pe0-omega*B258))*(C258/sref)^(m_-1)))</f>
        <v/>
      </c>
      <c r="G258">
        <f>E258-F258</f>
        <v/>
      </c>
    </row>
    <row r="259">
      <c r="A259" t="inlineStr">
        <is>
          <t>HEC (1970) | I-4067</t>
        </is>
      </c>
      <c r="B259" t="n">
        <v>0.3</v>
      </c>
      <c r="C259" t="n">
        <v>0.3090565934799643</v>
      </c>
      <c r="D259" t="n">
        <v>0.3014626992833197</v>
      </c>
      <c r="E259">
        <f>DEGREES(ATAN(D259/C259))</f>
        <v/>
      </c>
      <c r="F259">
        <f>DEGREES(ATAN(TAN(RADIANS(pe0-omega*B259))*(C259/sref)^(m_-1)))</f>
        <v/>
      </c>
      <c r="G259">
        <f>E259-F259</f>
        <v/>
      </c>
    </row>
    <row r="260">
      <c r="A260" t="inlineStr">
        <is>
          <t>HEC (1970) | I-4067</t>
        </is>
      </c>
      <c r="B260" t="n">
        <v>0.3</v>
      </c>
      <c r="C260" t="n">
        <v>0.6087415583237512</v>
      </c>
      <c r="D260" t="n">
        <v>0.5536239240510331</v>
      </c>
      <c r="E260">
        <f>DEGREES(ATAN(D260/C260))</f>
        <v/>
      </c>
      <c r="F260">
        <f>DEGREES(ATAN(TAN(RADIANS(pe0-omega*B260))*(C260/sref)^(m_-1)))</f>
        <v/>
      </c>
      <c r="G260">
        <f>E260-F260</f>
        <v/>
      </c>
    </row>
    <row r="261">
      <c r="A261" t="inlineStr">
        <is>
          <t>HEC (1970) | I-4067</t>
        </is>
      </c>
      <c r="B261" t="n">
        <v>0.3</v>
      </c>
      <c r="C261" t="n">
        <v>1.202886476740875</v>
      </c>
      <c r="D261" t="n">
        <v>1.025683208041682</v>
      </c>
      <c r="E261">
        <f>DEGREES(ATAN(D261/C261))</f>
        <v/>
      </c>
      <c r="F261">
        <f>DEGREES(ATAN(TAN(RADIANS(pe0-omega*B261))*(C261/sref)^(m_-1)))</f>
        <v/>
      </c>
      <c r="G261">
        <f>E261-F261</f>
        <v/>
      </c>
    </row>
    <row r="262">
      <c r="A262" t="inlineStr">
        <is>
          <t>HEC (1970) | I-4124</t>
        </is>
      </c>
      <c r="B262" t="n">
        <v>0.35</v>
      </c>
      <c r="C262" t="n">
        <v>0.1490571655835242</v>
      </c>
      <c r="D262" t="n">
        <v>0.1876618162260235</v>
      </c>
      <c r="E262">
        <f>DEGREES(ATAN(D262/C262))</f>
        <v/>
      </c>
      <c r="F262">
        <f>DEGREES(ATAN(TAN(RADIANS(pe0-omega*B262))*(C262/sref)^(m_-1)))</f>
        <v/>
      </c>
      <c r="G262">
        <f>E262-F262</f>
        <v/>
      </c>
    </row>
    <row r="263">
      <c r="A263" t="inlineStr">
        <is>
          <t>HEC (1970) | I-4124</t>
        </is>
      </c>
      <c r="B263" t="n">
        <v>0.35</v>
      </c>
      <c r="C263" t="n">
        <v>0.3016997654694042</v>
      </c>
      <c r="D263" t="n">
        <v>0.2798575445888344</v>
      </c>
      <c r="E263">
        <f>DEGREES(ATAN(D263/C263))</f>
        <v/>
      </c>
      <c r="F263">
        <f>DEGREES(ATAN(TAN(RADIANS(pe0-omega*B263))*(C263/sref)^(m_-1)))</f>
        <v/>
      </c>
      <c r="G263">
        <f>E263-F263</f>
        <v/>
      </c>
    </row>
    <row r="264">
      <c r="A264" t="inlineStr">
        <is>
          <t>HEC (1970) | I-4124</t>
        </is>
      </c>
      <c r="B264" t="n">
        <v>0.35</v>
      </c>
      <c r="C264" t="n">
        <v>0.587298145036122</v>
      </c>
      <c r="D264" t="n">
        <v>0.4951550290924599</v>
      </c>
      <c r="E264">
        <f>DEGREES(ATAN(D264/C264))</f>
        <v/>
      </c>
      <c r="F264">
        <f>DEGREES(ATAN(TAN(RADIANS(pe0-omega*B264))*(C264/sref)^(m_-1)))</f>
        <v/>
      </c>
      <c r="G264">
        <f>E264-F264</f>
        <v/>
      </c>
    </row>
    <row r="265">
      <c r="A265" t="inlineStr">
        <is>
          <t>HEC (1970) | I-4124</t>
        </is>
      </c>
      <c r="B265" t="n">
        <v>0.35</v>
      </c>
      <c r="C265" t="n">
        <v>1.225520035258011</v>
      </c>
      <c r="D265" t="n">
        <v>1.035081902388046</v>
      </c>
      <c r="E265">
        <f>DEGREES(ATAN(D265/C265))</f>
        <v/>
      </c>
      <c r="F265">
        <f>DEGREES(ATAN(TAN(RADIANS(pe0-omega*B265))*(C265/sref)^(m_-1)))</f>
        <v/>
      </c>
      <c r="G265">
        <f>E265-F265</f>
        <v/>
      </c>
    </row>
    <row r="266">
      <c r="A266" t="inlineStr">
        <is>
          <t>HEC (1970) | II-4119/3</t>
        </is>
      </c>
      <c r="B266" t="n">
        <v>0.52</v>
      </c>
      <c r="C266" t="n">
        <v>0.1246331470032373</v>
      </c>
      <c r="D266" t="n">
        <v>0.1139450493291706</v>
      </c>
      <c r="E266">
        <f>DEGREES(ATAN(D266/C266))</f>
        <v/>
      </c>
      <c r="F266">
        <f>DEGREES(ATAN(TAN(RADIANS(pe0-omega*B266))*(C266/sref)^(m_-1)))</f>
        <v/>
      </c>
      <c r="G266">
        <f>E266-F266</f>
        <v/>
      </c>
    </row>
    <row r="267">
      <c r="A267" t="inlineStr">
        <is>
          <t>HEC (1970) | II-4119/3</t>
        </is>
      </c>
      <c r="B267" t="n">
        <v>0.57</v>
      </c>
      <c r="C267" t="n">
        <v>0.2375986921300413</v>
      </c>
      <c r="D267" t="n">
        <v>0.1932562927226976</v>
      </c>
      <c r="E267">
        <f>DEGREES(ATAN(D267/C267))</f>
        <v/>
      </c>
      <c r="F267">
        <f>DEGREES(ATAN(TAN(RADIANS(pe0-omega*B267))*(C267/sref)^(m_-1)))</f>
        <v/>
      </c>
      <c r="G267">
        <f>E267-F267</f>
        <v/>
      </c>
    </row>
    <row r="268">
      <c r="A268" t="inlineStr">
        <is>
          <t>HEC (1970) | II-4119/3</t>
        </is>
      </c>
      <c r="B268" t="n">
        <v>0.5600000000000001</v>
      </c>
      <c r="C268" t="n">
        <v>0.4634523839206012</v>
      </c>
      <c r="D268" t="n">
        <v>0.3453277445062478</v>
      </c>
      <c r="E268">
        <f>DEGREES(ATAN(D268/C268))</f>
        <v/>
      </c>
      <c r="F268">
        <f>DEGREES(ATAN(TAN(RADIANS(pe0-omega*B268))*(C268/sref)^(m_-1)))</f>
        <v/>
      </c>
      <c r="G268">
        <f>E268-F268</f>
        <v/>
      </c>
    </row>
    <row r="269">
      <c r="A269" t="inlineStr">
        <is>
          <t>HEC (1970) | II-4119/3</t>
        </is>
      </c>
      <c r="B269" t="n">
        <v>0.55</v>
      </c>
      <c r="C269" t="n">
        <v>0.9042226838829327</v>
      </c>
      <c r="D269" t="n">
        <v>0.617494010813384</v>
      </c>
      <c r="E269">
        <f>DEGREES(ATAN(D269/C269))</f>
        <v/>
      </c>
      <c r="F269">
        <f>DEGREES(ATAN(TAN(RADIANS(pe0-omega*B269))*(C269/sref)^(m_-1)))</f>
        <v/>
      </c>
      <c r="G269">
        <f>E269-F269</f>
        <v/>
      </c>
    </row>
    <row r="270">
      <c r="A270" t="inlineStr">
        <is>
          <t>HEC (1971) | I-4119/4</t>
        </is>
      </c>
      <c r="B270" t="n">
        <v>0.5</v>
      </c>
      <c r="C270" t="n">
        <v>0.238325148153314</v>
      </c>
      <c r="D270" t="n">
        <v>0.188699497773556</v>
      </c>
      <c r="E270">
        <f>DEGREES(ATAN(D270/C270))</f>
        <v/>
      </c>
      <c r="F270">
        <f>DEGREES(ATAN(TAN(RADIANS(pe0-omega*B270))*(C270/sref)^(m_-1)))</f>
        <v/>
      </c>
      <c r="G270">
        <f>E270-F270</f>
        <v/>
      </c>
    </row>
    <row r="271">
      <c r="A271" t="inlineStr">
        <is>
          <t>HEC (1971) | I-4119/4</t>
        </is>
      </c>
      <c r="B271" t="n">
        <v>0.5</v>
      </c>
      <c r="C271" t="n">
        <v>0.8775738139344041</v>
      </c>
      <c r="D271" t="n">
        <v>0.5623510133745856</v>
      </c>
      <c r="E271">
        <f>DEGREES(ATAN(D271/C271))</f>
        <v/>
      </c>
      <c r="F271">
        <f>DEGREES(ATAN(TAN(RADIANS(pe0-omega*B271))*(C271/sref)^(m_-1)))</f>
        <v/>
      </c>
      <c r="G271">
        <f>E271-F271</f>
        <v/>
      </c>
    </row>
    <row r="272">
      <c r="A272" t="inlineStr">
        <is>
          <t>HEC (1971) | III-4119/4</t>
        </is>
      </c>
      <c r="B272" t="n">
        <v>0.28</v>
      </c>
      <c r="C272" t="n">
        <v>0.1527534959658449</v>
      </c>
      <c r="D272" t="n">
        <v>0.2065312124447725</v>
      </c>
      <c r="E272">
        <f>DEGREES(ATAN(D272/C272))</f>
        <v/>
      </c>
      <c r="F272">
        <f>DEGREES(ATAN(TAN(RADIANS(pe0-omega*B272))*(C272/sref)^(m_-1)))</f>
        <v/>
      </c>
      <c r="G272">
        <f>E272-F272</f>
        <v/>
      </c>
    </row>
    <row r="273">
      <c r="A273" t="inlineStr">
        <is>
          <t>HEC (1971) | III-4119/4</t>
        </is>
      </c>
      <c r="B273" t="n">
        <v>0.28</v>
      </c>
      <c r="C273" t="n">
        <v>0.2907635227749968</v>
      </c>
      <c r="D273" t="n">
        <v>0.3370631810949213</v>
      </c>
      <c r="E273">
        <f>DEGREES(ATAN(D273/C273))</f>
        <v/>
      </c>
      <c r="F273">
        <f>DEGREES(ATAN(TAN(RADIANS(pe0-omega*B273))*(C273/sref)^(m_-1)))</f>
        <v/>
      </c>
      <c r="G273">
        <f>E273-F273</f>
        <v/>
      </c>
    </row>
    <row r="274">
      <c r="A274" t="inlineStr">
        <is>
          <t>HEC (1971) | III-4119/4</t>
        </is>
      </c>
      <c r="B274" t="n">
        <v>0.28</v>
      </c>
      <c r="C274" t="n">
        <v>0.5565774043264283</v>
      </c>
      <c r="D274" t="n">
        <v>0.557801454725169</v>
      </c>
      <c r="E274">
        <f>DEGREES(ATAN(D274/C274))</f>
        <v/>
      </c>
      <c r="F274">
        <f>DEGREES(ATAN(TAN(RADIANS(pe0-omega*B274))*(C274/sref)^(m_-1)))</f>
        <v/>
      </c>
      <c r="G274">
        <f>E274-F274</f>
        <v/>
      </c>
    </row>
    <row r="275">
      <c r="A275" t="inlineStr">
        <is>
          <t>HEC (1971) | III-4119/4</t>
        </is>
      </c>
      <c r="B275" t="n">
        <v>0.28</v>
      </c>
      <c r="C275" t="n">
        <v>0.8098524157924277</v>
      </c>
      <c r="D275" t="n">
        <v>0.7454943975696349</v>
      </c>
      <c r="E275">
        <f>DEGREES(ATAN(D275/C275))</f>
        <v/>
      </c>
      <c r="F275">
        <f>DEGREES(ATAN(TAN(RADIANS(pe0-omega*B275))*(C275/sref)^(m_-1)))</f>
        <v/>
      </c>
      <c r="G275">
        <f>E275-F275</f>
        <v/>
      </c>
    </row>
    <row r="276">
      <c r="A276" t="inlineStr">
        <is>
          <t>HEC (1971) | III-4119/4</t>
        </is>
      </c>
      <c r="B276" t="n">
        <v>0.28</v>
      </c>
      <c r="C276" t="n">
        <v>1.04645322211495</v>
      </c>
      <c r="D276" t="n">
        <v>0.8970436585190409</v>
      </c>
      <c r="E276">
        <f>DEGREES(ATAN(D276/C276))</f>
        <v/>
      </c>
      <c r="F276">
        <f>DEGREES(ATAN(TAN(RADIANS(pe0-omega*B276))*(C276/sref)^(m_-1)))</f>
        <v/>
      </c>
      <c r="G276">
        <f>E276-F276</f>
        <v/>
      </c>
    </row>
    <row r="277">
      <c r="A277" t="inlineStr">
        <is>
          <t>Marsal (1971) | C-Cd</t>
        </is>
      </c>
      <c r="B277" t="n">
        <v>0.59</v>
      </c>
      <c r="C277" t="n">
        <v>0.1353044195643151</v>
      </c>
      <c r="D277" t="n">
        <v>0.1290212713935451</v>
      </c>
      <c r="E277">
        <f>DEGREES(ATAN(D277/C277))</f>
        <v/>
      </c>
      <c r="F277">
        <f>DEGREES(ATAN(TAN(RADIANS(pe0-omega*B277))*(C277/sref)^(m_-1)))</f>
        <v/>
      </c>
      <c r="G277">
        <f>E277-F277</f>
        <v/>
      </c>
    </row>
    <row r="278">
      <c r="A278" t="inlineStr">
        <is>
          <t>Marsal (1971) | C-Cd</t>
        </is>
      </c>
      <c r="B278" t="n">
        <v>0.58</v>
      </c>
      <c r="C278" t="n">
        <v>0.8428413527468479</v>
      </c>
      <c r="D278" t="n">
        <v>0.6688153277595006</v>
      </c>
      <c r="E278">
        <f>DEGREES(ATAN(D278/C278))</f>
        <v/>
      </c>
      <c r="F278">
        <f>DEGREES(ATAN(TAN(RADIANS(pe0-omega*B278))*(C278/sref)^(m_-1)))</f>
        <v/>
      </c>
      <c r="G278">
        <f>E278-F278</f>
        <v/>
      </c>
    </row>
    <row r="279">
      <c r="A279" t="inlineStr">
        <is>
          <t>Marsal (1971) | C-Cl</t>
        </is>
      </c>
      <c r="B279" t="n">
        <v>0.68</v>
      </c>
      <c r="C279" t="n">
        <v>0.1314664384227864</v>
      </c>
      <c r="D279" t="n">
        <v>0.1174106958041656</v>
      </c>
      <c r="E279">
        <f>DEGREES(ATAN(D279/C279))</f>
        <v/>
      </c>
      <c r="F279">
        <f>DEGREES(ATAN(TAN(RADIANS(pe0-omega*B279))*(C279/sref)^(m_-1)))</f>
        <v/>
      </c>
      <c r="G279">
        <f>E279-F279</f>
        <v/>
      </c>
    </row>
    <row r="280">
      <c r="A280" t="inlineStr">
        <is>
          <t>Marsal (1971) | C-Cl</t>
        </is>
      </c>
      <c r="B280" t="n">
        <v>0.62</v>
      </c>
      <c r="C280" t="n">
        <v>0.8325977765700244</v>
      </c>
      <c r="D280" t="n">
        <v>0.6356053015711667</v>
      </c>
      <c r="E280">
        <f>DEGREES(ATAN(D280/C280))</f>
        <v/>
      </c>
      <c r="F280">
        <f>DEGREES(ATAN(TAN(RADIANS(pe0-omega*B280))*(C280/sref)^(m_-1)))</f>
        <v/>
      </c>
      <c r="G280">
        <f>E280-F280</f>
        <v/>
      </c>
    </row>
    <row r="281">
      <c r="A281" t="inlineStr">
        <is>
          <t>Marsal (1971) | C-Dd</t>
        </is>
      </c>
      <c r="B281" t="n">
        <v>0.74</v>
      </c>
      <c r="C281" t="n">
        <v>0.1356962046770926</v>
      </c>
      <c r="D281" t="n">
        <v>0.1182668479423371</v>
      </c>
      <c r="E281">
        <f>DEGREES(ATAN(D281/C281))</f>
        <v/>
      </c>
      <c r="F281">
        <f>DEGREES(ATAN(TAN(RADIANS(pe0-omega*B281))*(C281/sref)^(m_-1)))</f>
        <v/>
      </c>
      <c r="G281">
        <f>E281-F281</f>
        <v/>
      </c>
    </row>
    <row r="282">
      <c r="A282" t="inlineStr">
        <is>
          <t>Marsal (1971) | C-Dd</t>
        </is>
      </c>
      <c r="B282" t="n">
        <v>0.75</v>
      </c>
      <c r="C282" t="n">
        <v>0.8120878353420294</v>
      </c>
      <c r="D282" t="n">
        <v>0.5340076464603463</v>
      </c>
      <c r="E282">
        <f>DEGREES(ATAN(D282/C282))</f>
        <v/>
      </c>
      <c r="F282">
        <f>DEGREES(ATAN(TAN(RADIANS(pe0-omega*B282))*(C282/sref)^(m_-1)))</f>
        <v/>
      </c>
      <c r="G282">
        <f>E282-F282</f>
        <v/>
      </c>
    </row>
    <row r="283">
      <c r="A283" t="inlineStr">
        <is>
          <t>Marsal (1971) | C-Ed</t>
        </is>
      </c>
      <c r="B283" t="n">
        <v>0.3</v>
      </c>
      <c r="C283" t="n">
        <v>0.1311027728026301</v>
      </c>
      <c r="D283" t="n">
        <v>0.1261706712099387</v>
      </c>
      <c r="E283">
        <f>DEGREES(ATAN(D283/C283))</f>
        <v/>
      </c>
      <c r="F283">
        <f>DEGREES(ATAN(TAN(RADIANS(pe0-omega*B283))*(C283/sref)^(m_-1)))</f>
        <v/>
      </c>
      <c r="G283">
        <f>E283-F283</f>
        <v/>
      </c>
    </row>
    <row r="284">
      <c r="A284" t="inlineStr">
        <is>
          <t>Marsal (1971) | C-Ed</t>
        </is>
      </c>
      <c r="B284" t="n">
        <v>0.32</v>
      </c>
      <c r="C284" t="n">
        <v>0.8612509018793724</v>
      </c>
      <c r="D284" t="n">
        <v>0.7500563356689833</v>
      </c>
      <c r="E284">
        <f>DEGREES(ATAN(D284/C284))</f>
        <v/>
      </c>
      <c r="F284">
        <f>DEGREES(ATAN(TAN(RADIANS(pe0-omega*B284))*(C284/sref)^(m_-1)))</f>
        <v/>
      </c>
      <c r="G284">
        <f>E284-F284</f>
        <v/>
      </c>
    </row>
    <row r="285">
      <c r="A285" t="inlineStr">
        <is>
          <t>Marsal (1971) | C-Ed</t>
        </is>
      </c>
      <c r="B285" t="n">
        <v>0.3</v>
      </c>
      <c r="C285" t="n">
        <v>2.675696903804108</v>
      </c>
      <c r="D285" t="n">
        <v>2.138996708340685</v>
      </c>
      <c r="E285">
        <f>DEGREES(ATAN(D285/C285))</f>
        <v/>
      </c>
      <c r="F285">
        <f>DEGREES(ATAN(TAN(RADIANS(pe0-omega*B285))*(C285/sref)^(m_-1)))</f>
        <v/>
      </c>
      <c r="G285">
        <f>E285-F285</f>
        <v/>
      </c>
    </row>
    <row r="286">
      <c r="A286" t="inlineStr">
        <is>
          <t>Marsal (1971) | C-Ed</t>
        </is>
      </c>
      <c r="B286" t="n">
        <v>0.33</v>
      </c>
      <c r="C286" t="n">
        <v>3.587956948569327</v>
      </c>
      <c r="D286" t="n">
        <v>2.728547601792416</v>
      </c>
      <c r="E286">
        <f>DEGREES(ATAN(D286/C286))</f>
        <v/>
      </c>
      <c r="F286">
        <f>DEGREES(ATAN(TAN(RADIANS(pe0-omega*B286))*(C286/sref)^(m_-1)))</f>
        <v/>
      </c>
      <c r="G286">
        <f>E286-F286</f>
        <v/>
      </c>
    </row>
    <row r="287">
      <c r="A287" t="inlineStr">
        <is>
          <t>Marsal (1971) | LA-Cd</t>
        </is>
      </c>
      <c r="B287" t="n">
        <v>0.36</v>
      </c>
      <c r="C287" t="n">
        <v>0.1214408782280581</v>
      </c>
      <c r="D287" t="n">
        <v>0.09058015823238512</v>
      </c>
      <c r="E287">
        <f>DEGREES(ATAN(D287/C287))</f>
        <v/>
      </c>
      <c r="F287">
        <f>DEGREES(ATAN(TAN(RADIANS(pe0-omega*B287))*(C287/sref)^(m_-1)))</f>
        <v/>
      </c>
      <c r="G287">
        <f>E287-F287</f>
        <v/>
      </c>
    </row>
    <row r="288">
      <c r="A288" t="inlineStr">
        <is>
          <t>Marsal (1971) | LA-Cd</t>
        </is>
      </c>
      <c r="B288" t="n">
        <v>0.37</v>
      </c>
      <c r="C288" t="n">
        <v>0.8006657522592532</v>
      </c>
      <c r="D288" t="n">
        <v>0.5846458754191216</v>
      </c>
      <c r="E288">
        <f>DEGREES(ATAN(D288/C288))</f>
        <v/>
      </c>
      <c r="F288">
        <f>DEGREES(ATAN(TAN(RADIANS(pe0-omega*B288))*(C288/sref)^(m_-1)))</f>
        <v/>
      </c>
      <c r="G288">
        <f>E288-F288</f>
        <v/>
      </c>
    </row>
    <row r="289">
      <c r="A289" t="inlineStr">
        <is>
          <t>Marachi et al. (1972) | BL</t>
        </is>
      </c>
      <c r="B289" t="n">
        <v>0.43</v>
      </c>
      <c r="C289" t="n">
        <v>0.401769344964041</v>
      </c>
      <c r="D289" t="n">
        <v>0.4453314694737619</v>
      </c>
      <c r="E289">
        <f>DEGREES(ATAN(D289/C289))</f>
        <v/>
      </c>
      <c r="F289">
        <f>DEGREES(ATAN(TAN(RADIANS(pe0-omega*B289))*(C289/sref)^(m_-1)))</f>
        <v/>
      </c>
      <c r="G289">
        <f>E289-F289</f>
        <v/>
      </c>
    </row>
    <row r="290">
      <c r="A290" t="inlineStr">
        <is>
          <t>Marachi et al. (1972) | BL</t>
        </is>
      </c>
      <c r="B290" t="n">
        <v>0.43</v>
      </c>
      <c r="C290" t="n">
        <v>1.686334119413079</v>
      </c>
      <c r="D290" t="n">
        <v>1.459650635259555</v>
      </c>
      <c r="E290">
        <f>DEGREES(ATAN(D290/C290))</f>
        <v/>
      </c>
      <c r="F290">
        <f>DEGREES(ATAN(TAN(RADIANS(pe0-omega*B290))*(C290/sref)^(m_-1)))</f>
        <v/>
      </c>
      <c r="G290">
        <f>E290-F290</f>
        <v/>
      </c>
    </row>
    <row r="291">
      <c r="A291" t="inlineStr">
        <is>
          <t>Marachi et al. (1972) | BM</t>
        </is>
      </c>
      <c r="B291" t="n">
        <v>0.43</v>
      </c>
      <c r="C291" t="n">
        <v>0.3958128496743342</v>
      </c>
      <c r="D291" t="n">
        <v>0.4461435642739394</v>
      </c>
      <c r="E291">
        <f>DEGREES(ATAN(D291/C291))</f>
        <v/>
      </c>
      <c r="F291">
        <f>DEGREES(ATAN(TAN(RADIANS(pe0-omega*B291))*(C291/sref)^(m_-1)))</f>
        <v/>
      </c>
      <c r="G291">
        <f>E291-F291</f>
        <v/>
      </c>
    </row>
    <row r="292">
      <c r="A292" t="inlineStr">
        <is>
          <t>Marachi et al. (1972) | BM</t>
        </is>
      </c>
      <c r="B292" t="n">
        <v>0.43</v>
      </c>
      <c r="C292" t="n">
        <v>1.728636835034508</v>
      </c>
      <c r="D292" t="n">
        <v>1.582962343801351</v>
      </c>
      <c r="E292">
        <f>DEGREES(ATAN(D292/C292))</f>
        <v/>
      </c>
      <c r="F292">
        <f>DEGREES(ATAN(TAN(RADIANS(pe0-omega*B292))*(C292/sref)^(m_-1)))</f>
        <v/>
      </c>
      <c r="G292">
        <f>E292-F292</f>
        <v/>
      </c>
    </row>
    <row r="293">
      <c r="A293" t="inlineStr">
        <is>
          <t>Marachi et al. (1972) | BM</t>
        </is>
      </c>
      <c r="B293" t="n">
        <v>0.43</v>
      </c>
      <c r="C293" t="n">
        <v>4.994636810532553</v>
      </c>
      <c r="D293" t="n">
        <v>3.991299749972154</v>
      </c>
      <c r="E293">
        <f>DEGREES(ATAN(D293/C293))</f>
        <v/>
      </c>
      <c r="F293">
        <f>DEGREES(ATAN(TAN(RADIANS(pe0-omega*B293))*(C293/sref)^(m_-1)))</f>
        <v/>
      </c>
      <c r="G293">
        <f>E293-F293</f>
        <v/>
      </c>
    </row>
    <row r="294">
      <c r="A294" t="inlineStr">
        <is>
          <t>Marachi et al. (1972) | BS</t>
        </is>
      </c>
      <c r="B294" t="n">
        <v>0.43</v>
      </c>
      <c r="C294" t="n">
        <v>0.4264354030490241</v>
      </c>
      <c r="D294" t="n">
        <v>0.5389220080803497</v>
      </c>
      <c r="E294">
        <f>DEGREES(ATAN(D294/C294))</f>
        <v/>
      </c>
      <c r="F294">
        <f>DEGREES(ATAN(TAN(RADIANS(pe0-omega*B294))*(C294/sref)^(m_-1)))</f>
        <v/>
      </c>
      <c r="G294">
        <f>E294-F294</f>
        <v/>
      </c>
    </row>
    <row r="295">
      <c r="A295" t="inlineStr">
        <is>
          <t>Marachi et al. (1972) | BS</t>
        </is>
      </c>
      <c r="B295" t="n">
        <v>0.43</v>
      </c>
      <c r="C295" t="n">
        <v>1.72528950447861</v>
      </c>
      <c r="D295" t="n">
        <v>1.648579652699391</v>
      </c>
      <c r="E295">
        <f>DEGREES(ATAN(D295/C295))</f>
        <v/>
      </c>
      <c r="F295">
        <f>DEGREES(ATAN(TAN(RADIANS(pe0-omega*B295))*(C295/sref)^(m_-1)))</f>
        <v/>
      </c>
      <c r="G295">
        <f>E295-F295</f>
        <v/>
      </c>
    </row>
    <row r="296">
      <c r="A296" t="inlineStr">
        <is>
          <t>Marachi et al. (1972) | BS</t>
        </is>
      </c>
      <c r="B296" t="n">
        <v>0.43</v>
      </c>
      <c r="C296" t="n">
        <v>5.024070924586702</v>
      </c>
      <c r="D296" t="n">
        <v>4.243050142049283</v>
      </c>
      <c r="E296">
        <f>DEGREES(ATAN(D296/C296))</f>
        <v/>
      </c>
      <c r="F296">
        <f>DEGREES(ATAN(TAN(RADIANS(pe0-omega*B296))*(C296/sref)^(m_-1)))</f>
        <v/>
      </c>
      <c r="G296">
        <f>E296-F296</f>
        <v/>
      </c>
    </row>
    <row r="297">
      <c r="A297" t="inlineStr">
        <is>
          <t>Marachi et al. (1972) | BS</t>
        </is>
      </c>
      <c r="B297" t="n">
        <v>0.43</v>
      </c>
      <c r="C297" t="n">
        <v>7.702616782147403</v>
      </c>
      <c r="D297" t="n">
        <v>6.243815354246161</v>
      </c>
      <c r="E297">
        <f>DEGREES(ATAN(D297/C297))</f>
        <v/>
      </c>
      <c r="F297">
        <f>DEGREES(ATAN(TAN(RADIANS(pe0-omega*B297))*(C297/sref)^(m_-1)))</f>
        <v/>
      </c>
      <c r="G297">
        <f>E297-F297</f>
        <v/>
      </c>
    </row>
    <row r="298">
      <c r="A298" t="inlineStr">
        <is>
          <t>Marachi et al. (1972) | OL</t>
        </is>
      </c>
      <c r="B298" t="n">
        <v>0.22</v>
      </c>
      <c r="C298" t="n">
        <v>0.3772709380179193</v>
      </c>
      <c r="D298" t="n">
        <v>0.4090601413009569</v>
      </c>
      <c r="E298">
        <f>DEGREES(ATAN(D298/C298))</f>
        <v/>
      </c>
      <c r="F298">
        <f>DEGREES(ATAN(TAN(RADIANS(pe0-omega*B298))*(C298/sref)^(m_-1)))</f>
        <v/>
      </c>
      <c r="G298">
        <f>E298-F298</f>
        <v/>
      </c>
    </row>
    <row r="299">
      <c r="A299" t="inlineStr">
        <is>
          <t>Marachi et al. (1972) | OL</t>
        </is>
      </c>
      <c r="B299" t="n">
        <v>0.22</v>
      </c>
      <c r="C299" t="n">
        <v>1.732065838954457</v>
      </c>
      <c r="D299" t="n">
        <v>1.638031074750981</v>
      </c>
      <c r="E299">
        <f>DEGREES(ATAN(D299/C299))</f>
        <v/>
      </c>
      <c r="F299">
        <f>DEGREES(ATAN(TAN(RADIANS(pe0-omega*B299))*(C299/sref)^(m_-1)))</f>
        <v/>
      </c>
      <c r="G299">
        <f>E299-F299</f>
        <v/>
      </c>
    </row>
    <row r="300">
      <c r="A300" t="inlineStr">
        <is>
          <t>Marachi et al. (1972) | OL</t>
        </is>
      </c>
      <c r="B300" t="n">
        <v>0.22</v>
      </c>
      <c r="C300" t="n">
        <v>5.060199888350418</v>
      </c>
      <c r="D300" t="n">
        <v>4.269854243283402</v>
      </c>
      <c r="E300">
        <f>DEGREES(ATAN(D300/C300))</f>
        <v/>
      </c>
      <c r="F300">
        <f>DEGREES(ATAN(TAN(RADIANS(pe0-omega*B300))*(C300/sref)^(m_-1)))</f>
        <v/>
      </c>
      <c r="G300">
        <f>E300-F300</f>
        <v/>
      </c>
    </row>
    <row r="301">
      <c r="A301" t="inlineStr">
        <is>
          <t>Marachi et al. (1972) | OL</t>
        </is>
      </c>
      <c r="B301" t="n">
        <v>0.22</v>
      </c>
      <c r="C301" t="n">
        <v>7.597247418742417</v>
      </c>
      <c r="D301" t="n">
        <v>5.988065279567171</v>
      </c>
      <c r="E301">
        <f>DEGREES(ATAN(D301/C301))</f>
        <v/>
      </c>
      <c r="F301">
        <f>DEGREES(ATAN(TAN(RADIANS(pe0-omega*B301))*(C301/sref)^(m_-1)))</f>
        <v/>
      </c>
      <c r="G301">
        <f>E301-F301</f>
        <v/>
      </c>
    </row>
    <row r="302">
      <c r="A302" t="inlineStr">
        <is>
          <t>Marachi et al. (1972) | OM</t>
        </is>
      </c>
      <c r="B302" t="n">
        <v>0.22</v>
      </c>
      <c r="C302" t="n">
        <v>0.3843866900119821</v>
      </c>
      <c r="D302" t="n">
        <v>0.4347707647617152</v>
      </c>
      <c r="E302">
        <f>DEGREES(ATAN(D302/C302))</f>
        <v/>
      </c>
      <c r="F302">
        <f>DEGREES(ATAN(TAN(RADIANS(pe0-omega*B302))*(C302/sref)^(m_-1)))</f>
        <v/>
      </c>
      <c r="G302">
        <f>E302-F302</f>
        <v/>
      </c>
    </row>
    <row r="303">
      <c r="A303" t="inlineStr">
        <is>
          <t>Marachi et al. (1972) | OM</t>
        </is>
      </c>
      <c r="B303" t="n">
        <v>0.22</v>
      </c>
      <c r="C303" t="n">
        <v>1.729024508444054</v>
      </c>
      <c r="D303" t="n">
        <v>1.68382784921261</v>
      </c>
      <c r="E303">
        <f>DEGREES(ATAN(D303/C303))</f>
        <v/>
      </c>
      <c r="F303">
        <f>DEGREES(ATAN(TAN(RADIANS(pe0-omega*B303))*(C303/sref)^(m_-1)))</f>
        <v/>
      </c>
      <c r="G303">
        <f>E303-F303</f>
        <v/>
      </c>
    </row>
    <row r="304">
      <c r="A304" t="inlineStr">
        <is>
          <t>Marachi et al. (1972) | OM</t>
        </is>
      </c>
      <c r="B304" t="n">
        <v>0.22</v>
      </c>
      <c r="C304" t="n">
        <v>5.046813548804225</v>
      </c>
      <c r="D304" t="n">
        <v>4.408571575156508</v>
      </c>
      <c r="E304">
        <f>DEGREES(ATAN(D304/C304))</f>
        <v/>
      </c>
      <c r="F304">
        <f>DEGREES(ATAN(TAN(RADIANS(pe0-omega*B304))*(C304/sref)^(m_-1)))</f>
        <v/>
      </c>
      <c r="G304">
        <f>E304-F304</f>
        <v/>
      </c>
    </row>
    <row r="305">
      <c r="A305" t="inlineStr">
        <is>
          <t>Marachi et al. (1972) | OM</t>
        </is>
      </c>
      <c r="B305" t="n">
        <v>0.22</v>
      </c>
      <c r="C305" t="n">
        <v>7.685931019162973</v>
      </c>
      <c r="D305" t="n">
        <v>6.409447809863146</v>
      </c>
      <c r="E305">
        <f>DEGREES(ATAN(D305/C305))</f>
        <v/>
      </c>
      <c r="F305">
        <f>DEGREES(ATAN(TAN(RADIANS(pe0-omega*B305))*(C305/sref)^(m_-1)))</f>
        <v/>
      </c>
      <c r="G305">
        <f>E305-F305</f>
        <v/>
      </c>
    </row>
    <row r="306">
      <c r="A306" t="inlineStr">
        <is>
          <t>Marachi et al. (1972) | OS</t>
        </is>
      </c>
      <c r="B306" t="n">
        <v>0.22</v>
      </c>
      <c r="C306" t="n">
        <v>0.3965340036333953</v>
      </c>
      <c r="D306" t="n">
        <v>0.4874160735036192</v>
      </c>
      <c r="E306">
        <f>DEGREES(ATAN(D306/C306))</f>
        <v/>
      </c>
      <c r="F306">
        <f>DEGREES(ATAN(TAN(RADIANS(pe0-omega*B306))*(C306/sref)^(m_-1)))</f>
        <v/>
      </c>
      <c r="G306">
        <f>E306-F306</f>
        <v/>
      </c>
    </row>
    <row r="307">
      <c r="A307" t="inlineStr">
        <is>
          <t>Marachi et al. (1972) | OS</t>
        </is>
      </c>
      <c r="B307" t="n">
        <v>0.22</v>
      </c>
      <c r="C307" t="n">
        <v>1.79700187829374</v>
      </c>
      <c r="D307" t="n">
        <v>1.894313210199671</v>
      </c>
      <c r="E307">
        <f>DEGREES(ATAN(D307/C307))</f>
        <v/>
      </c>
      <c r="F307">
        <f>DEGREES(ATAN(TAN(RADIANS(pe0-omega*B307))*(C307/sref)^(m_-1)))</f>
        <v/>
      </c>
      <c r="G307">
        <f>E307-F307</f>
        <v/>
      </c>
    </row>
    <row r="308">
      <c r="A308" t="inlineStr">
        <is>
          <t>Marachi et al. (1972) | OS</t>
        </is>
      </c>
      <c r="B308" t="n">
        <v>0.22</v>
      </c>
      <c r="C308" t="n">
        <v>5.134332202792396</v>
      </c>
      <c r="D308" t="n">
        <v>4.695016428230349</v>
      </c>
      <c r="E308">
        <f>DEGREES(ATAN(D308/C308))</f>
        <v/>
      </c>
      <c r="F308">
        <f>DEGREES(ATAN(TAN(RADIANS(pe0-omega*B308))*(C308/sref)^(m_-1)))</f>
        <v/>
      </c>
      <c r="G308">
        <f>E308-F308</f>
        <v/>
      </c>
    </row>
    <row r="309">
      <c r="A309" t="inlineStr">
        <is>
          <t>Marachi et al. (1972) | OS</t>
        </is>
      </c>
      <c r="B309" t="n">
        <v>0.22</v>
      </c>
      <c r="C309" t="n">
        <v>7.860685101959433</v>
      </c>
      <c r="D309" t="n">
        <v>6.889303500174952</v>
      </c>
      <c r="E309">
        <f>DEGREES(ATAN(D309/C309))</f>
        <v/>
      </c>
      <c r="F309">
        <f>DEGREES(ATAN(TAN(RADIANS(pe0-omega*B309))*(C309/sref)^(m_-1)))</f>
        <v/>
      </c>
      <c r="G309">
        <f>E309-F309</f>
        <v/>
      </c>
    </row>
    <row r="310">
      <c r="A310" t="inlineStr">
        <is>
          <t>Marachi et al. (1972) | PL</t>
        </is>
      </c>
      <c r="B310" t="n">
        <v>0.45</v>
      </c>
      <c r="C310" t="n">
        <v>0.4203483793658108</v>
      </c>
      <c r="D310" t="n">
        <v>0.4429516710019793</v>
      </c>
      <c r="E310">
        <f>DEGREES(ATAN(D310/C310))</f>
        <v/>
      </c>
      <c r="F310">
        <f>DEGREES(ATAN(TAN(RADIANS(pe0-omega*B310))*(C310/sref)^(m_-1)))</f>
        <v/>
      </c>
      <c r="G310">
        <f>E310-F310</f>
        <v/>
      </c>
    </row>
    <row r="311">
      <c r="A311" t="inlineStr">
        <is>
          <t>Marachi et al. (1972) | PL</t>
        </is>
      </c>
      <c r="B311" t="n">
        <v>0.45</v>
      </c>
      <c r="C311" t="n">
        <v>1.474894923602882</v>
      </c>
      <c r="D311" t="n">
        <v>1.00607902337401</v>
      </c>
      <c r="E311">
        <f>DEGREES(ATAN(D311/C311))</f>
        <v/>
      </c>
      <c r="F311">
        <f>DEGREES(ATAN(TAN(RADIANS(pe0-omega*B311))*(C311/sref)^(m_-1)))</f>
        <v/>
      </c>
      <c r="G311">
        <f>E311-F311</f>
        <v/>
      </c>
    </row>
    <row r="312">
      <c r="A312" t="inlineStr">
        <is>
          <t>Marachi et al. (1972) | PM</t>
        </is>
      </c>
      <c r="B312" t="n">
        <v>0.45</v>
      </c>
      <c r="C312" t="n">
        <v>0.3925042802122757</v>
      </c>
      <c r="D312" t="n">
        <v>0.4258281812066953</v>
      </c>
      <c r="E312">
        <f>DEGREES(ATAN(D312/C312))</f>
        <v/>
      </c>
      <c r="F312">
        <f>DEGREES(ATAN(TAN(RADIANS(pe0-omega*B312))*(C312/sref)^(m_-1)))</f>
        <v/>
      </c>
      <c r="G312">
        <f>E312-F312</f>
        <v/>
      </c>
    </row>
    <row r="313">
      <c r="A313" t="inlineStr">
        <is>
          <t>Marachi et al. (1972) | PM</t>
        </is>
      </c>
      <c r="B313" t="n">
        <v>0.45</v>
      </c>
      <c r="C313" t="n">
        <v>1.699821010448251</v>
      </c>
      <c r="D313" t="n">
        <v>1.497109083250262</v>
      </c>
      <c r="E313">
        <f>DEGREES(ATAN(D313/C313))</f>
        <v/>
      </c>
      <c r="F313">
        <f>DEGREES(ATAN(TAN(RADIANS(pe0-omega*B313))*(C313/sref)^(m_-1)))</f>
        <v/>
      </c>
      <c r="G313">
        <f>E313-F313</f>
        <v/>
      </c>
    </row>
    <row r="314">
      <c r="A314" t="inlineStr">
        <is>
          <t>Marachi et al. (1972) | PS</t>
        </is>
      </c>
      <c r="B314" t="n">
        <v>0.45</v>
      </c>
      <c r="C314" t="n">
        <v>0.4111603356833974</v>
      </c>
      <c r="D314" t="n">
        <v>0.4947277112689859</v>
      </c>
      <c r="E314">
        <f>DEGREES(ATAN(D314/C314))</f>
        <v/>
      </c>
      <c r="F314">
        <f>DEGREES(ATAN(TAN(RADIANS(pe0-omega*B314))*(C314/sref)^(m_-1)))</f>
        <v/>
      </c>
      <c r="G314">
        <f>E314-F314</f>
        <v/>
      </c>
    </row>
    <row r="315">
      <c r="A315" t="inlineStr">
        <is>
          <t>Marachi et al. (1972) | PS</t>
        </is>
      </c>
      <c r="B315" t="n">
        <v>0.45</v>
      </c>
      <c r="C315" t="n">
        <v>1.718033450656318</v>
      </c>
      <c r="D315" t="n">
        <v>1.600560717270557</v>
      </c>
      <c r="E315">
        <f>DEGREES(ATAN(D315/C315))</f>
        <v/>
      </c>
      <c r="F315">
        <f>DEGREES(ATAN(TAN(RADIANS(pe0-omega*B315))*(C315/sref)^(m_-1)))</f>
        <v/>
      </c>
      <c r="G315">
        <f>E315-F315</f>
        <v/>
      </c>
    </row>
    <row r="316">
      <c r="A316" t="inlineStr">
        <is>
          <t>Marachi et al. (1972) | PS</t>
        </is>
      </c>
      <c r="B316" t="n">
        <v>0.45</v>
      </c>
      <c r="C316" t="n">
        <v>5.065104722339621</v>
      </c>
      <c r="D316" t="n">
        <v>4.222488680107352</v>
      </c>
      <c r="E316">
        <f>DEGREES(ATAN(D316/C316))</f>
        <v/>
      </c>
      <c r="F316">
        <f>DEGREES(ATAN(TAN(RADIANS(pe0-omega*B316))*(C316/sref)^(m_-1)))</f>
        <v/>
      </c>
      <c r="G316">
        <f>E316-F316</f>
        <v/>
      </c>
    </row>
    <row r="317">
      <c r="A317" t="inlineStr">
        <is>
          <t>Marachi et al. (1972) | PS</t>
        </is>
      </c>
      <c r="B317" t="n">
        <v>0.45</v>
      </c>
      <c r="C317" t="n">
        <v>7.657049331184021</v>
      </c>
      <c r="D317" t="n">
        <v>6.003092022950768</v>
      </c>
      <c r="E317">
        <f>DEGREES(ATAN(D317/C317))</f>
        <v/>
      </c>
      <c r="F317">
        <f>DEGREES(ATAN(TAN(RADIANS(pe0-omega*B317))*(C317/sref)^(m_-1)))</f>
        <v/>
      </c>
      <c r="G317">
        <f>E317-F317</f>
        <v/>
      </c>
    </row>
    <row r="318">
      <c r="A318" t="inlineStr">
        <is>
          <t>Marsal (1973) | M1</t>
        </is>
      </c>
      <c r="B318" t="n">
        <v>0.62</v>
      </c>
      <c r="C318" t="n">
        <v>0.11664357293612</v>
      </c>
      <c r="D318" t="n">
        <v>0.1212926815762496</v>
      </c>
      <c r="E318">
        <f>DEGREES(ATAN(D318/C318))</f>
        <v/>
      </c>
      <c r="F318">
        <f>DEGREES(ATAN(TAN(RADIANS(pe0-omega*B318))*(C318/sref)^(m_-1)))</f>
        <v/>
      </c>
      <c r="G318">
        <f>E318-F318</f>
        <v/>
      </c>
    </row>
    <row r="319">
      <c r="A319" t="inlineStr">
        <is>
          <t>Marsal (1973) | M1</t>
        </is>
      </c>
      <c r="B319" t="n">
        <v>0.61</v>
      </c>
      <c r="C319" t="n">
        <v>0.3479158313913757</v>
      </c>
      <c r="D319" t="n">
        <v>0.3546614360668399</v>
      </c>
      <c r="E319">
        <f>DEGREES(ATAN(D319/C319))</f>
        <v/>
      </c>
      <c r="F319">
        <f>DEGREES(ATAN(TAN(RADIANS(pe0-omega*B319))*(C319/sref)^(m_-1)))</f>
        <v/>
      </c>
      <c r="G319">
        <f>E319-F319</f>
        <v/>
      </c>
    </row>
    <row r="320">
      <c r="A320" t="inlineStr">
        <is>
          <t>Marsal (1973) | M1</t>
        </is>
      </c>
      <c r="B320" t="n">
        <v>0.59</v>
      </c>
      <c r="C320" t="n">
        <v>0.8457027884970512</v>
      </c>
      <c r="D320" t="n">
        <v>0.737764140099347</v>
      </c>
      <c r="E320">
        <f>DEGREES(ATAN(D320/C320))</f>
        <v/>
      </c>
      <c r="F320">
        <f>DEGREES(ATAN(TAN(RADIANS(pe0-omega*B320))*(C320/sref)^(m_-1)))</f>
        <v/>
      </c>
      <c r="G320">
        <f>E320-F320</f>
        <v/>
      </c>
    </row>
    <row r="321">
      <c r="A321" t="inlineStr">
        <is>
          <t>Marsal (1973) | M1</t>
        </is>
      </c>
      <c r="B321" t="n">
        <v>0.46</v>
      </c>
      <c r="C321" t="n">
        <v>1.712072183160668</v>
      </c>
      <c r="D321" t="n">
        <v>1.394917567298167</v>
      </c>
      <c r="E321">
        <f>DEGREES(ATAN(D321/C321))</f>
        <v/>
      </c>
      <c r="F321">
        <f>DEGREES(ATAN(TAN(RADIANS(pe0-omega*B321))*(C321/sref)^(m_-1)))</f>
        <v/>
      </c>
      <c r="G321">
        <f>E321-F321</f>
        <v/>
      </c>
    </row>
    <row r="322">
      <c r="A322" t="inlineStr">
        <is>
          <t>Marsal (1973) | M1</t>
        </is>
      </c>
      <c r="B322" t="n">
        <v>0.57</v>
      </c>
      <c r="C322" t="n">
        <v>2.748649619364773</v>
      </c>
      <c r="D322" t="n">
        <v>1.996478824891366</v>
      </c>
      <c r="E322">
        <f>DEGREES(ATAN(D322/C322))</f>
        <v/>
      </c>
      <c r="F322">
        <f>DEGREES(ATAN(TAN(RADIANS(pe0-omega*B322))*(C322/sref)^(m_-1)))</f>
        <v/>
      </c>
      <c r="G322">
        <f>E322-F322</f>
        <v/>
      </c>
    </row>
    <row r="323">
      <c r="A323" t="inlineStr">
        <is>
          <t>Marsal (1973) | M1</t>
        </is>
      </c>
      <c r="B323" t="n">
        <v>0.51</v>
      </c>
      <c r="C323" t="n">
        <v>4.090523575054197</v>
      </c>
      <c r="D323" t="n">
        <v>2.908876699528892</v>
      </c>
      <c r="E323">
        <f>DEGREES(ATAN(D323/C323))</f>
        <v/>
      </c>
      <c r="F323">
        <f>DEGREES(ATAN(TAN(RADIANS(pe0-omega*B323))*(C323/sref)^(m_-1)))</f>
        <v/>
      </c>
      <c r="G323">
        <f>E323-F323</f>
        <v/>
      </c>
    </row>
    <row r="324">
      <c r="A324" t="inlineStr">
        <is>
          <t>Marsal (1973) | M10</t>
        </is>
      </c>
      <c r="B324" t="n">
        <v>0.89</v>
      </c>
      <c r="C324" t="n">
        <v>0.1296446961488894</v>
      </c>
      <c r="D324" t="n">
        <v>0.1321559879866295</v>
      </c>
      <c r="E324">
        <f>DEGREES(ATAN(D324/C324))</f>
        <v/>
      </c>
      <c r="F324">
        <f>DEGREES(ATAN(TAN(RADIANS(pe0-omega*B324))*(C324/sref)^(m_-1)))</f>
        <v/>
      </c>
      <c r="G324">
        <f>E324-F324</f>
        <v/>
      </c>
    </row>
    <row r="325">
      <c r="A325" t="inlineStr">
        <is>
          <t>Marsal (1973) | M10</t>
        </is>
      </c>
      <c r="B325" t="n">
        <v>0.72</v>
      </c>
      <c r="C325" t="n">
        <v>0.2841144178640304</v>
      </c>
      <c r="D325" t="n">
        <v>0.2748234487695349</v>
      </c>
      <c r="E325">
        <f>DEGREES(ATAN(D325/C325))</f>
        <v/>
      </c>
      <c r="F325">
        <f>DEGREES(ATAN(TAN(RADIANS(pe0-omega*B325))*(C325/sref)^(m_-1)))</f>
        <v/>
      </c>
      <c r="G325">
        <f>E325-F325</f>
        <v/>
      </c>
    </row>
    <row r="326">
      <c r="A326" t="inlineStr">
        <is>
          <t>Marsal (1973) | M10</t>
        </is>
      </c>
      <c r="B326" t="n">
        <v>0.7</v>
      </c>
      <c r="C326" t="n">
        <v>0.8017110060126765</v>
      </c>
      <c r="D326" t="n">
        <v>0.6208756108354349</v>
      </c>
      <c r="E326">
        <f>DEGREES(ATAN(D326/C326))</f>
        <v/>
      </c>
      <c r="F326">
        <f>DEGREES(ATAN(TAN(RADIANS(pe0-omega*B326))*(C326/sref)^(m_-1)))</f>
        <v/>
      </c>
      <c r="G326">
        <f>E326-F326</f>
        <v/>
      </c>
    </row>
    <row r="327">
      <c r="A327" t="inlineStr">
        <is>
          <t>Marsal (1973) | M10</t>
        </is>
      </c>
      <c r="B327" t="n">
        <v>0.68</v>
      </c>
      <c r="C327" t="n">
        <v>1.359284784940547</v>
      </c>
      <c r="D327" t="n">
        <v>0.9414627319864859</v>
      </c>
      <c r="E327">
        <f>DEGREES(ATAN(D327/C327))</f>
        <v/>
      </c>
      <c r="F327">
        <f>DEGREES(ATAN(TAN(RADIANS(pe0-omega*B327))*(C327/sref)^(m_-1)))</f>
        <v/>
      </c>
      <c r="G327">
        <f>E327-F327</f>
        <v/>
      </c>
    </row>
    <row r="328">
      <c r="A328" t="inlineStr">
        <is>
          <t>Marsal (1973) | M10</t>
        </is>
      </c>
      <c r="B328" t="n">
        <v>0.79</v>
      </c>
      <c r="C328" t="n">
        <v>2.398827083774077</v>
      </c>
      <c r="D328" t="n">
        <v>1.494599451614506</v>
      </c>
      <c r="E328">
        <f>DEGREES(ATAN(D328/C328))</f>
        <v/>
      </c>
      <c r="F328">
        <f>DEGREES(ATAN(TAN(RADIANS(pe0-omega*B328))*(C328/sref)^(m_-1)))</f>
        <v/>
      </c>
      <c r="G328">
        <f>E328-F328</f>
        <v/>
      </c>
    </row>
    <row r="329">
      <c r="A329" t="inlineStr">
        <is>
          <t>Marsal (1973) | M11</t>
        </is>
      </c>
      <c r="B329" t="n">
        <v>0.33</v>
      </c>
      <c r="C329" t="n">
        <v>0.751308033762529</v>
      </c>
      <c r="D329" t="n">
        <v>0.568530705039005</v>
      </c>
      <c r="E329">
        <f>DEGREES(ATAN(D329/C329))</f>
        <v/>
      </c>
      <c r="F329">
        <f>DEGREES(ATAN(TAN(RADIANS(pe0-omega*B329))*(C329/sref)^(m_-1)))</f>
        <v/>
      </c>
      <c r="G329">
        <f>E329-F329</f>
        <v/>
      </c>
    </row>
    <row r="330">
      <c r="A330" t="inlineStr">
        <is>
          <t>Marsal (1973) | M11</t>
        </is>
      </c>
      <c r="B330" t="n">
        <v>0.36</v>
      </c>
      <c r="C330" t="n">
        <v>1.528470221902683</v>
      </c>
      <c r="D330" t="n">
        <v>1.030333479908403</v>
      </c>
      <c r="E330">
        <f>DEGREES(ATAN(D330/C330))</f>
        <v/>
      </c>
      <c r="F330">
        <f>DEGREES(ATAN(TAN(RADIANS(pe0-omega*B330))*(C330/sref)^(m_-1)))</f>
        <v/>
      </c>
      <c r="G330">
        <f>E330-F330</f>
        <v/>
      </c>
    </row>
    <row r="331">
      <c r="A331" t="inlineStr">
        <is>
          <t>Marsal (1973) | M11</t>
        </is>
      </c>
      <c r="B331" t="n">
        <v>0.38</v>
      </c>
      <c r="C331" t="n">
        <v>2.602491455569447</v>
      </c>
      <c r="D331" t="n">
        <v>1.672857474804583</v>
      </c>
      <c r="E331">
        <f>DEGREES(ATAN(D331/C331))</f>
        <v/>
      </c>
      <c r="F331">
        <f>DEGREES(ATAN(TAN(RADIANS(pe0-omega*B331))*(C331/sref)^(m_-1)))</f>
        <v/>
      </c>
      <c r="G331">
        <f>E331-F331</f>
        <v/>
      </c>
    </row>
    <row r="332">
      <c r="A332" t="inlineStr">
        <is>
          <t>Marsal (1973) | M11</t>
        </is>
      </c>
      <c r="B332" t="n">
        <v>0.36</v>
      </c>
      <c r="C332" t="n">
        <v>3.852437051916872</v>
      </c>
      <c r="D332" t="n">
        <v>2.423055606351756</v>
      </c>
      <c r="E332">
        <f>DEGREES(ATAN(D332/C332))</f>
        <v/>
      </c>
      <c r="F332">
        <f>DEGREES(ATAN(TAN(RADIANS(pe0-omega*B332))*(C332/sref)^(m_-1)))</f>
        <v/>
      </c>
      <c r="G332">
        <f>E332-F332</f>
        <v/>
      </c>
    </row>
    <row r="333">
      <c r="A333" t="inlineStr">
        <is>
          <t>Marsal (1973) | M12</t>
        </is>
      </c>
      <c r="B333" t="n">
        <v>0.63</v>
      </c>
      <c r="C333" t="n">
        <v>1.546633013013442</v>
      </c>
      <c r="D333" t="n">
        <v>1.005344067496165</v>
      </c>
      <c r="E333">
        <f>DEGREES(ATAN(D333/C333))</f>
        <v/>
      </c>
      <c r="F333">
        <f>DEGREES(ATAN(TAN(RADIANS(pe0-omega*B333))*(C333/sref)^(m_-1)))</f>
        <v/>
      </c>
      <c r="G333">
        <f>E333-F333</f>
        <v/>
      </c>
    </row>
    <row r="334">
      <c r="A334" t="inlineStr">
        <is>
          <t>Marsal (1973) | M12</t>
        </is>
      </c>
      <c r="B334" t="n">
        <v>0.67</v>
      </c>
      <c r="C334" t="n">
        <v>3.642688322426917</v>
      </c>
      <c r="D334" t="n">
        <v>1.90607363118449</v>
      </c>
      <c r="E334">
        <f>DEGREES(ATAN(D334/C334))</f>
        <v/>
      </c>
      <c r="F334">
        <f>DEGREES(ATAN(TAN(RADIANS(pe0-omega*B334))*(C334/sref)^(m_-1)))</f>
        <v/>
      </c>
      <c r="G334">
        <f>E334-F334</f>
        <v/>
      </c>
    </row>
    <row r="335">
      <c r="A335" t="inlineStr">
        <is>
          <t>Marsal (1973) | M13</t>
        </is>
      </c>
      <c r="B335" t="n">
        <v>0.36</v>
      </c>
      <c r="C335" t="n">
        <v>0.7181128468308273</v>
      </c>
      <c r="D335" t="n">
        <v>0.5135953259876896</v>
      </c>
      <c r="E335">
        <f>DEGREES(ATAN(D335/C335))</f>
        <v/>
      </c>
      <c r="F335">
        <f>DEGREES(ATAN(TAN(RADIANS(pe0-omega*B335))*(C335/sref)^(m_-1)))</f>
        <v/>
      </c>
      <c r="G335">
        <f>E335-F335</f>
        <v/>
      </c>
    </row>
    <row r="336">
      <c r="A336" t="inlineStr">
        <is>
          <t>Marsal (1973) | M13</t>
        </is>
      </c>
      <c r="B336" t="n">
        <v>0.34</v>
      </c>
      <c r="C336" t="n">
        <v>1.515095453032689</v>
      </c>
      <c r="D336" t="n">
        <v>1.002811227082615</v>
      </c>
      <c r="E336">
        <f>DEGREES(ATAN(D336/C336))</f>
        <v/>
      </c>
      <c r="F336">
        <f>DEGREES(ATAN(TAN(RADIANS(pe0-omega*B336))*(C336/sref)^(m_-1)))</f>
        <v/>
      </c>
      <c r="G336">
        <f>E336-F336</f>
        <v/>
      </c>
    </row>
    <row r="337">
      <c r="A337" t="inlineStr">
        <is>
          <t>Marsal (1973) | M13</t>
        </is>
      </c>
      <c r="B337" t="n">
        <v>0.36</v>
      </c>
      <c r="C337" t="n">
        <v>2.520603361919231</v>
      </c>
      <c r="D337" t="n">
        <v>1.604737431892235</v>
      </c>
      <c r="E337">
        <f>DEGREES(ATAN(D337/C337))</f>
        <v/>
      </c>
      <c r="F337">
        <f>DEGREES(ATAN(TAN(RADIANS(pe0-omega*B337))*(C337/sref)^(m_-1)))</f>
        <v/>
      </c>
      <c r="G337">
        <f>E337-F337</f>
        <v/>
      </c>
    </row>
    <row r="338">
      <c r="A338" t="inlineStr">
        <is>
          <t>Marsal (1973) | M13</t>
        </is>
      </c>
      <c r="B338" t="n">
        <v>0.34</v>
      </c>
      <c r="C338" t="n">
        <v>3.790472497672528</v>
      </c>
      <c r="D338" t="n">
        <v>2.41326761260388</v>
      </c>
      <c r="E338">
        <f>DEGREES(ATAN(D338/C338))</f>
        <v/>
      </c>
      <c r="F338">
        <f>DEGREES(ATAN(TAN(RADIANS(pe0-omega*B338))*(C338/sref)^(m_-1)))</f>
        <v/>
      </c>
      <c r="G338">
        <f>E338-F338</f>
        <v/>
      </c>
    </row>
    <row r="339">
      <c r="A339" t="inlineStr">
        <is>
          <t>Marsal (1973) | M14</t>
        </is>
      </c>
      <c r="B339" t="n">
        <v>0.61</v>
      </c>
      <c r="C339" t="n">
        <v>1.437380057872357</v>
      </c>
      <c r="D339" t="n">
        <v>0.8162366978681288</v>
      </c>
      <c r="E339">
        <f>DEGREES(ATAN(D339/C339))</f>
        <v/>
      </c>
      <c r="F339">
        <f>DEGREES(ATAN(TAN(RADIANS(pe0-omega*B339))*(C339/sref)^(m_-1)))</f>
        <v/>
      </c>
      <c r="G339">
        <f>E339-F339</f>
        <v/>
      </c>
    </row>
    <row r="340">
      <c r="A340" t="inlineStr">
        <is>
          <t>Marsal (1973) | M14</t>
        </is>
      </c>
      <c r="B340" t="n">
        <v>0.59</v>
      </c>
      <c r="C340" t="n">
        <v>2.531305458713422</v>
      </c>
      <c r="D340" t="n">
        <v>1.479525480554182</v>
      </c>
      <c r="E340">
        <f>DEGREES(ATAN(D340/C340))</f>
        <v/>
      </c>
      <c r="F340">
        <f>DEGREES(ATAN(TAN(RADIANS(pe0-omega*B340))*(C340/sref)^(m_-1)))</f>
        <v/>
      </c>
      <c r="G340">
        <f>E340-F340</f>
        <v/>
      </c>
    </row>
    <row r="341">
      <c r="A341" t="inlineStr">
        <is>
          <t>Marsal (1973) | M14</t>
        </is>
      </c>
      <c r="B341" t="n">
        <v>0.67</v>
      </c>
      <c r="C341" t="n">
        <v>3.686601399658649</v>
      </c>
      <c r="D341" t="n">
        <v>2.028141332064806</v>
      </c>
      <c r="E341">
        <f>DEGREES(ATAN(D341/C341))</f>
        <v/>
      </c>
      <c r="F341">
        <f>DEGREES(ATAN(TAN(RADIANS(pe0-omega*B341))*(C341/sref)^(m_-1)))</f>
        <v/>
      </c>
      <c r="G341">
        <f>E341-F341</f>
        <v/>
      </c>
    </row>
    <row r="342">
      <c r="A342" t="inlineStr">
        <is>
          <t>Marsal (1973) | M2</t>
        </is>
      </c>
      <c r="B342" t="n">
        <v>0.63</v>
      </c>
      <c r="C342" t="n">
        <v>0.1656713902595394</v>
      </c>
      <c r="D342" t="n">
        <v>0.1734472915397039</v>
      </c>
      <c r="E342">
        <f>DEGREES(ATAN(D342/C342))</f>
        <v/>
      </c>
      <c r="F342">
        <f>DEGREES(ATAN(TAN(RADIANS(pe0-omega*B342))*(C342/sref)^(m_-1)))</f>
        <v/>
      </c>
      <c r="G342">
        <f>E342-F342</f>
        <v/>
      </c>
    </row>
    <row r="343">
      <c r="A343" t="inlineStr">
        <is>
          <t>Marsal (1973) | M2</t>
        </is>
      </c>
      <c r="B343" t="n">
        <v>0.6</v>
      </c>
      <c r="C343" t="n">
        <v>0.3477293815577428</v>
      </c>
      <c r="D343" t="n">
        <v>0.3428332700547556</v>
      </c>
      <c r="E343">
        <f>DEGREES(ATAN(D343/C343))</f>
        <v/>
      </c>
      <c r="F343">
        <f>DEGREES(ATAN(TAN(RADIANS(pe0-omega*B343))*(C343/sref)^(m_-1)))</f>
        <v/>
      </c>
      <c r="G343">
        <f>E343-F343</f>
        <v/>
      </c>
    </row>
    <row r="344">
      <c r="A344" t="inlineStr">
        <is>
          <t>Marsal (1973) | M2</t>
        </is>
      </c>
      <c r="B344" t="n">
        <v>0.53</v>
      </c>
      <c r="C344" t="n">
        <v>0.8185260303497863</v>
      </c>
      <c r="D344" t="n">
        <v>0.6647437780971818</v>
      </c>
      <c r="E344">
        <f>DEGREES(ATAN(D344/C344))</f>
        <v/>
      </c>
      <c r="F344">
        <f>DEGREES(ATAN(TAN(RADIANS(pe0-omega*B344))*(C344/sref)^(m_-1)))</f>
        <v/>
      </c>
      <c r="G344">
        <f>E344-F344</f>
        <v/>
      </c>
    </row>
    <row r="345">
      <c r="A345" t="inlineStr">
        <is>
          <t>Marsal (1973) | M2</t>
        </is>
      </c>
      <c r="B345" t="n">
        <v>0.5600000000000001</v>
      </c>
      <c r="C345" t="n">
        <v>1.649136680423321</v>
      </c>
      <c r="D345" t="n">
        <v>1.243496445742229</v>
      </c>
      <c r="E345">
        <f>DEGREES(ATAN(D345/C345))</f>
        <v/>
      </c>
      <c r="F345">
        <f>DEGREES(ATAN(TAN(RADIANS(pe0-omega*B345))*(C345/sref)^(m_-1)))</f>
        <v/>
      </c>
      <c r="G345">
        <f>E345-F345</f>
        <v/>
      </c>
    </row>
    <row r="346">
      <c r="A346" t="inlineStr">
        <is>
          <t>Marsal (1973) | M2</t>
        </is>
      </c>
      <c r="B346" t="n">
        <v>0.51</v>
      </c>
      <c r="C346" t="n">
        <v>2.752467404849264</v>
      </c>
      <c r="D346" t="n">
        <v>1.957515014412029</v>
      </c>
      <c r="E346">
        <f>DEGREES(ATAN(D346/C346))</f>
        <v/>
      </c>
      <c r="F346">
        <f>DEGREES(ATAN(TAN(RADIANS(pe0-omega*B346))*(C346/sref)^(m_-1)))</f>
        <v/>
      </c>
      <c r="G346">
        <f>E346-F346</f>
        <v/>
      </c>
    </row>
    <row r="347">
      <c r="A347" t="inlineStr">
        <is>
          <t>Marsal (1973) | M2</t>
        </is>
      </c>
      <c r="B347" t="n">
        <v>0.49</v>
      </c>
      <c r="C347" t="n">
        <v>4.018447474317356</v>
      </c>
      <c r="D347" t="n">
        <v>2.738542309737558</v>
      </c>
      <c r="E347">
        <f>DEGREES(ATAN(D347/C347))</f>
        <v/>
      </c>
      <c r="F347">
        <f>DEGREES(ATAN(TAN(RADIANS(pe0-omega*B347))*(C347/sref)^(m_-1)))</f>
        <v/>
      </c>
      <c r="G347">
        <f>E347-F347</f>
        <v/>
      </c>
    </row>
    <row r="348">
      <c r="A348" t="inlineStr">
        <is>
          <t>Marsal (1973) | M3</t>
        </is>
      </c>
      <c r="B348" t="n">
        <v>0.29</v>
      </c>
      <c r="C348" t="n">
        <v>0.3597938817294333</v>
      </c>
      <c r="D348" t="n">
        <v>0.4075416737654805</v>
      </c>
      <c r="E348">
        <f>DEGREES(ATAN(D348/C348))</f>
        <v/>
      </c>
      <c r="F348">
        <f>DEGREES(ATAN(TAN(RADIANS(pe0-omega*B348))*(C348/sref)^(m_-1)))</f>
        <v/>
      </c>
      <c r="G348">
        <f>E348-F348</f>
        <v/>
      </c>
    </row>
    <row r="349">
      <c r="A349" t="inlineStr">
        <is>
          <t>Marsal (1973) | M3</t>
        </is>
      </c>
      <c r="B349" t="n">
        <v>0.28</v>
      </c>
      <c r="C349" t="n">
        <v>0.9712912790435511</v>
      </c>
      <c r="D349" t="n">
        <v>0.9037483481282991</v>
      </c>
      <c r="E349">
        <f>DEGREES(ATAN(D349/C349))</f>
        <v/>
      </c>
      <c r="F349">
        <f>DEGREES(ATAN(TAN(RADIANS(pe0-omega*B349))*(C349/sref)^(m_-1)))</f>
        <v/>
      </c>
      <c r="G349">
        <f>E349-F349</f>
        <v/>
      </c>
    </row>
    <row r="350">
      <c r="A350" t="inlineStr">
        <is>
          <t>Marsal (1973) | M3</t>
        </is>
      </c>
      <c r="B350" t="n">
        <v>0.29</v>
      </c>
      <c r="C350" t="n">
        <v>1.822855617727342</v>
      </c>
      <c r="D350" t="n">
        <v>1.624175210522204</v>
      </c>
      <c r="E350">
        <f>DEGREES(ATAN(D350/C350))</f>
        <v/>
      </c>
      <c r="F350">
        <f>DEGREES(ATAN(TAN(RADIANS(pe0-omega*B350))*(C350/sref)^(m_-1)))</f>
        <v/>
      </c>
      <c r="G350">
        <f>E350-F350</f>
        <v/>
      </c>
    </row>
    <row r="351">
      <c r="A351" t="inlineStr">
        <is>
          <t>Marsal (1973) | M3</t>
        </is>
      </c>
      <c r="B351" t="n">
        <v>0.31</v>
      </c>
      <c r="C351" t="n">
        <v>2.824083922738184</v>
      </c>
      <c r="D351" t="n">
        <v>2.305452124445935</v>
      </c>
      <c r="E351">
        <f>DEGREES(ATAN(D351/C351))</f>
        <v/>
      </c>
      <c r="F351">
        <f>DEGREES(ATAN(TAN(RADIANS(pe0-omega*B351))*(C351/sref)^(m_-1)))</f>
        <v/>
      </c>
      <c r="G351">
        <f>E351-F351</f>
        <v/>
      </c>
    </row>
    <row r="352">
      <c r="A352" t="inlineStr">
        <is>
          <t>Marsal (1973) | M3</t>
        </is>
      </c>
      <c r="B352" t="n">
        <v>0.29</v>
      </c>
      <c r="C352" t="n">
        <v>4.198244164091486</v>
      </c>
      <c r="D352" t="n">
        <v>3.371447270309121</v>
      </c>
      <c r="E352">
        <f>DEGREES(ATAN(D352/C352))</f>
        <v/>
      </c>
      <c r="F352">
        <f>DEGREES(ATAN(TAN(RADIANS(pe0-omega*B352))*(C352/sref)^(m_-1)))</f>
        <v/>
      </c>
      <c r="G352">
        <f>E352-F352</f>
        <v/>
      </c>
    </row>
    <row r="353">
      <c r="A353" t="inlineStr">
        <is>
          <t>Marsal (1973) | M4</t>
        </is>
      </c>
      <c r="B353" t="n">
        <v>0.43</v>
      </c>
      <c r="C353" t="n">
        <v>0.3617621695525765</v>
      </c>
      <c r="D353" t="n">
        <v>0.4028767939148858</v>
      </c>
      <c r="E353">
        <f>DEGREES(ATAN(D353/C353))</f>
        <v/>
      </c>
      <c r="F353">
        <f>DEGREES(ATAN(TAN(RADIANS(pe0-omega*B353))*(C353/sref)^(m_-1)))</f>
        <v/>
      </c>
      <c r="G353">
        <f>E353-F353</f>
        <v/>
      </c>
    </row>
    <row r="354">
      <c r="A354" t="inlineStr">
        <is>
          <t>Marsal (1973) | M4</t>
        </is>
      </c>
      <c r="B354" t="n">
        <v>0.34</v>
      </c>
      <c r="C354" t="n">
        <v>0.9265083132874516</v>
      </c>
      <c r="D354" t="n">
        <v>0.9349886468518166</v>
      </c>
      <c r="E354">
        <f>DEGREES(ATAN(D354/C354))</f>
        <v/>
      </c>
      <c r="F354">
        <f>DEGREES(ATAN(TAN(RADIANS(pe0-omega*B354))*(C354/sref)^(m_-1)))</f>
        <v/>
      </c>
      <c r="G354">
        <f>E354-F354</f>
        <v/>
      </c>
    </row>
    <row r="355">
      <c r="A355" t="inlineStr">
        <is>
          <t>Marsal (1973) | M4</t>
        </is>
      </c>
      <c r="B355" t="n">
        <v>0.45</v>
      </c>
      <c r="C355" t="n">
        <v>1.648222529071147</v>
      </c>
      <c r="D355" t="n">
        <v>1.313469402431206</v>
      </c>
      <c r="E355">
        <f>DEGREES(ATAN(D355/C355))</f>
        <v/>
      </c>
      <c r="F355">
        <f>DEGREES(ATAN(TAN(RADIANS(pe0-omega*B355))*(C355/sref)^(m_-1)))</f>
        <v/>
      </c>
      <c r="G355">
        <f>E355-F355</f>
        <v/>
      </c>
    </row>
    <row r="356">
      <c r="A356" t="inlineStr">
        <is>
          <t>Marsal (1973) | M4</t>
        </is>
      </c>
      <c r="B356" t="n">
        <v>0.37</v>
      </c>
      <c r="C356" t="n">
        <v>2.91194829857802</v>
      </c>
      <c r="D356" t="n">
        <v>2.357161699289323</v>
      </c>
      <c r="E356">
        <f>DEGREES(ATAN(D356/C356))</f>
        <v/>
      </c>
      <c r="F356">
        <f>DEGREES(ATAN(TAN(RADIANS(pe0-omega*B356))*(C356/sref)^(m_-1)))</f>
        <v/>
      </c>
      <c r="G356">
        <f>E356-F356</f>
        <v/>
      </c>
    </row>
    <row r="357">
      <c r="A357" t="inlineStr">
        <is>
          <t>Marsal (1973) | M4</t>
        </is>
      </c>
      <c r="B357" t="n">
        <v>0.39</v>
      </c>
      <c r="C357" t="n">
        <v>4.150485707182948</v>
      </c>
      <c r="D357" t="n">
        <v>3.107721493100157</v>
      </c>
      <c r="E357">
        <f>DEGREES(ATAN(D357/C357))</f>
        <v/>
      </c>
      <c r="F357">
        <f>DEGREES(ATAN(TAN(RADIANS(pe0-omega*B357))*(C357/sref)^(m_-1)))</f>
        <v/>
      </c>
      <c r="G357">
        <f>E357-F357</f>
        <v/>
      </c>
    </row>
    <row r="358">
      <c r="A358" t="inlineStr">
        <is>
          <t>Marsal (1973) | M5</t>
        </is>
      </c>
      <c r="B358" t="n">
        <v>0.39</v>
      </c>
      <c r="C358" t="n">
        <v>0.8594876616608169</v>
      </c>
      <c r="D358" t="n">
        <v>0.8493920344062799</v>
      </c>
      <c r="E358">
        <f>DEGREES(ATAN(D358/C358))</f>
        <v/>
      </c>
      <c r="F358">
        <f>DEGREES(ATAN(TAN(RADIANS(pe0-omega*B358))*(C358/sref)^(m_-1)))</f>
        <v/>
      </c>
      <c r="G358">
        <f>E358-F358</f>
        <v/>
      </c>
    </row>
    <row r="359">
      <c r="A359" t="inlineStr">
        <is>
          <t>Marsal (1973) | M5</t>
        </is>
      </c>
      <c r="B359" t="n">
        <v>0.33</v>
      </c>
      <c r="C359" t="n">
        <v>1.657171792667374</v>
      </c>
      <c r="D359" t="n">
        <v>1.418356084041239</v>
      </c>
      <c r="E359">
        <f>DEGREES(ATAN(D359/C359))</f>
        <v/>
      </c>
      <c r="F359">
        <f>DEGREES(ATAN(TAN(RADIANS(pe0-omega*B359))*(C359/sref)^(m_-1)))</f>
        <v/>
      </c>
      <c r="G359">
        <f>E359-F359</f>
        <v/>
      </c>
    </row>
    <row r="360">
      <c r="A360" t="inlineStr">
        <is>
          <t>Marsal (1973) | M5</t>
        </is>
      </c>
      <c r="B360" t="n">
        <v>0.38</v>
      </c>
      <c r="C360" t="n">
        <v>4.154666987011391</v>
      </c>
      <c r="D360" t="n">
        <v>3.228960556121979</v>
      </c>
      <c r="E360">
        <f>DEGREES(ATAN(D360/C360))</f>
        <v/>
      </c>
      <c r="F360">
        <f>DEGREES(ATAN(TAN(RADIANS(pe0-omega*B360))*(C360/sref)^(m_-1)))</f>
        <v/>
      </c>
      <c r="G360">
        <f>E360-F360</f>
        <v/>
      </c>
    </row>
    <row r="361">
      <c r="A361" t="inlineStr">
        <is>
          <t>Marsal (1973) | M6</t>
        </is>
      </c>
      <c r="B361" t="n">
        <v>0.39</v>
      </c>
      <c r="C361" t="n">
        <v>0.8751942238542714</v>
      </c>
      <c r="D361" t="n">
        <v>0.9009018076420273</v>
      </c>
      <c r="E361">
        <f>DEGREES(ATAN(D361/C361))</f>
        <v/>
      </c>
      <c r="F361">
        <f>DEGREES(ATAN(TAN(RADIANS(pe0-omega*B361))*(C361/sref)^(m_-1)))</f>
        <v/>
      </c>
      <c r="G361">
        <f>E361-F361</f>
        <v/>
      </c>
    </row>
    <row r="362">
      <c r="A362" t="inlineStr">
        <is>
          <t>Marsal (1973) | M6</t>
        </is>
      </c>
      <c r="B362" t="n">
        <v>0.33</v>
      </c>
      <c r="C362" t="n">
        <v>1.730141534418154</v>
      </c>
      <c r="D362" t="n">
        <v>1.559530874594786</v>
      </c>
      <c r="E362">
        <f>DEGREES(ATAN(D362/C362))</f>
        <v/>
      </c>
      <c r="F362">
        <f>DEGREES(ATAN(TAN(RADIANS(pe0-omega*B362))*(C362/sref)^(m_-1)))</f>
        <v/>
      </c>
      <c r="G362">
        <f>E362-F362</f>
        <v/>
      </c>
    </row>
    <row r="363">
      <c r="A363" t="inlineStr">
        <is>
          <t>Marsal (1973) | M6</t>
        </is>
      </c>
      <c r="B363" t="n">
        <v>0.35</v>
      </c>
      <c r="C363" t="n">
        <v>4.205844679801795</v>
      </c>
      <c r="D363" t="n">
        <v>3.280446882675866</v>
      </c>
      <c r="E363">
        <f>DEGREES(ATAN(D363/C363))</f>
        <v/>
      </c>
      <c r="F363">
        <f>DEGREES(ATAN(TAN(RADIANS(pe0-omega*B363))*(C363/sref)^(m_-1)))</f>
        <v/>
      </c>
      <c r="G363">
        <f>E363-F363</f>
        <v/>
      </c>
    </row>
    <row r="364">
      <c r="A364" t="inlineStr">
        <is>
          <t>Marsal (1973) | M7</t>
        </is>
      </c>
      <c r="B364" t="n">
        <v>0.55</v>
      </c>
      <c r="C364" t="n">
        <v>0.2894814026360203</v>
      </c>
      <c r="D364" t="n">
        <v>0.2922730640325381</v>
      </c>
      <c r="E364">
        <f>DEGREES(ATAN(D364/C364))</f>
        <v/>
      </c>
      <c r="F364">
        <f>DEGREES(ATAN(TAN(RADIANS(pe0-omega*B364))*(C364/sref)^(m_-1)))</f>
        <v/>
      </c>
      <c r="G364">
        <f>E364-F364</f>
        <v/>
      </c>
    </row>
    <row r="365">
      <c r="A365" t="inlineStr">
        <is>
          <t>Marsal (1973) | M7</t>
        </is>
      </c>
      <c r="B365" t="n">
        <v>0.55</v>
      </c>
      <c r="C365" t="n">
        <v>0.7914364211682904</v>
      </c>
      <c r="D365" t="n">
        <v>0.6764655825593273</v>
      </c>
      <c r="E365">
        <f>DEGREES(ATAN(D365/C365))</f>
        <v/>
      </c>
      <c r="F365">
        <f>DEGREES(ATAN(TAN(RADIANS(pe0-omega*B365))*(C365/sref)^(m_-1)))</f>
        <v/>
      </c>
      <c r="G365">
        <f>E365-F365</f>
        <v/>
      </c>
    </row>
    <row r="366">
      <c r="A366" t="inlineStr">
        <is>
          <t>Marsal (1973) | M7</t>
        </is>
      </c>
      <c r="B366" t="n">
        <v>0.55</v>
      </c>
      <c r="C366" t="n">
        <v>1.537882909038962</v>
      </c>
      <c r="D366" t="n">
        <v>1.077576449782383</v>
      </c>
      <c r="E366">
        <f>DEGREES(ATAN(D366/C366))</f>
        <v/>
      </c>
      <c r="F366">
        <f>DEGREES(ATAN(TAN(RADIANS(pe0-omega*B366))*(C366/sref)^(m_-1)))</f>
        <v/>
      </c>
      <c r="G366">
        <f>E366-F366</f>
        <v/>
      </c>
    </row>
    <row r="367">
      <c r="A367" t="inlineStr">
        <is>
          <t>Marsal (1973) | M7</t>
        </is>
      </c>
      <c r="B367" t="n">
        <v>0.42</v>
      </c>
      <c r="C367" t="n">
        <v>3.986896022135815</v>
      </c>
      <c r="D367" t="n">
        <v>2.703072154738213</v>
      </c>
      <c r="E367">
        <f>DEGREES(ATAN(D367/C367))</f>
        <v/>
      </c>
      <c r="F367">
        <f>DEGREES(ATAN(TAN(RADIANS(pe0-omega*B367))*(C367/sref)^(m_-1)))</f>
        <v/>
      </c>
      <c r="G367">
        <f>E367-F367</f>
        <v/>
      </c>
    </row>
    <row r="368">
      <c r="A368" t="inlineStr">
        <is>
          <t>Marsal (1973) | M8</t>
        </is>
      </c>
      <c r="B368" t="n">
        <v>0.75</v>
      </c>
      <c r="C368" t="n">
        <v>0.1772124502506861</v>
      </c>
      <c r="D368" t="n">
        <v>0.1855811479378937</v>
      </c>
      <c r="E368">
        <f>DEGREES(ATAN(D368/C368))</f>
        <v/>
      </c>
      <c r="F368">
        <f>DEGREES(ATAN(TAN(RADIANS(pe0-omega*B368))*(C368/sref)^(m_-1)))</f>
        <v/>
      </c>
      <c r="G368">
        <f>E368-F368</f>
        <v/>
      </c>
    </row>
    <row r="369">
      <c r="A369" t="inlineStr">
        <is>
          <t>Marsal (1973) | M8</t>
        </is>
      </c>
      <c r="B369" t="n">
        <v>0.75</v>
      </c>
      <c r="C369" t="n">
        <v>0.2894104758838897</v>
      </c>
      <c r="D369" t="n">
        <v>0.2593034423233331</v>
      </c>
      <c r="E369">
        <f>DEGREES(ATAN(D369/C369))</f>
        <v/>
      </c>
      <c r="F369">
        <f>DEGREES(ATAN(TAN(RADIANS(pe0-omega*B369))*(C369/sref)^(m_-1)))</f>
        <v/>
      </c>
      <c r="G369">
        <f>E369-F369</f>
        <v/>
      </c>
    </row>
    <row r="370">
      <c r="A370" t="inlineStr">
        <is>
          <t>Marsal (1973) | M8</t>
        </is>
      </c>
      <c r="B370" t="n">
        <v>0.78</v>
      </c>
      <c r="C370" t="n">
        <v>0.7593510290524976</v>
      </c>
      <c r="D370" t="n">
        <v>0.5609899498838795</v>
      </c>
      <c r="E370">
        <f>DEGREES(ATAN(D370/C370))</f>
        <v/>
      </c>
      <c r="F370">
        <f>DEGREES(ATAN(TAN(RADIANS(pe0-omega*B370))*(C370/sref)^(m_-1)))</f>
        <v/>
      </c>
      <c r="G370">
        <f>E370-F370</f>
        <v/>
      </c>
    </row>
    <row r="371">
      <c r="A371" t="inlineStr">
        <is>
          <t>Marsal (1973) | M8</t>
        </is>
      </c>
      <c r="B371" t="n">
        <v>0.77</v>
      </c>
      <c r="C371" t="n">
        <v>1.452291036777824</v>
      </c>
      <c r="D371" t="n">
        <v>0.897919076566157</v>
      </c>
      <c r="E371">
        <f>DEGREES(ATAN(D371/C371))</f>
        <v/>
      </c>
      <c r="F371">
        <f>DEGREES(ATAN(TAN(RADIANS(pe0-omega*B371))*(C371/sref)^(m_-1)))</f>
        <v/>
      </c>
      <c r="G371">
        <f>E371-F371</f>
        <v/>
      </c>
    </row>
    <row r="372">
      <c r="A372" t="inlineStr">
        <is>
          <t>Marsal (1973) | M8</t>
        </is>
      </c>
      <c r="B372" t="n">
        <v>0.75</v>
      </c>
      <c r="C372" t="n">
        <v>2.681762336892489</v>
      </c>
      <c r="D372" t="n">
        <v>1.769858244145893</v>
      </c>
      <c r="E372">
        <f>DEGREES(ATAN(D372/C372))</f>
        <v/>
      </c>
      <c r="F372">
        <f>DEGREES(ATAN(TAN(RADIANS(pe0-omega*B372))*(C372/sref)^(m_-1)))</f>
        <v/>
      </c>
      <c r="G372">
        <f>E372-F372</f>
        <v/>
      </c>
    </row>
    <row r="373">
      <c r="A373" t="inlineStr">
        <is>
          <t>Marsal (1973) | M9</t>
        </is>
      </c>
      <c r="B373" t="n">
        <v>0.64</v>
      </c>
      <c r="C373" t="n">
        <v>0.312594370349396</v>
      </c>
      <c r="D373" t="n">
        <v>0.3095942748334244</v>
      </c>
      <c r="E373">
        <f>DEGREES(ATAN(D373/C373))</f>
        <v/>
      </c>
      <c r="F373">
        <f>DEGREES(ATAN(TAN(RADIANS(pe0-omega*B373))*(C373/sref)^(m_-1)))</f>
        <v/>
      </c>
      <c r="G373">
        <f>E373-F373</f>
        <v/>
      </c>
    </row>
    <row r="374">
      <c r="A374" t="inlineStr">
        <is>
          <t>Marsal (1973) | M9</t>
        </is>
      </c>
      <c r="B374" t="n">
        <v>0.68</v>
      </c>
      <c r="C374" t="n">
        <v>0.794503554940083</v>
      </c>
      <c r="D374" t="n">
        <v>0.6421712468875387</v>
      </c>
      <c r="E374">
        <f>DEGREES(ATAN(D374/C374))</f>
        <v/>
      </c>
      <c r="F374">
        <f>DEGREES(ATAN(TAN(RADIANS(pe0-omega*B374))*(C374/sref)^(m_-1)))</f>
        <v/>
      </c>
      <c r="G374">
        <f>E374-F374</f>
        <v/>
      </c>
    </row>
    <row r="375">
      <c r="A375" t="inlineStr">
        <is>
          <t>Marsal (1973) | M9</t>
        </is>
      </c>
      <c r="B375" t="n">
        <v>0.63</v>
      </c>
      <c r="C375" t="n">
        <v>1.372947951217505</v>
      </c>
      <c r="D375" t="n">
        <v>1.048937449236229</v>
      </c>
      <c r="E375">
        <f>DEGREES(ATAN(D375/C375))</f>
        <v/>
      </c>
      <c r="F375">
        <f>DEGREES(ATAN(TAN(RADIANS(pe0-omega*B375))*(C375/sref)^(m_-1)))</f>
        <v/>
      </c>
      <c r="G375">
        <f>E375-F375</f>
        <v/>
      </c>
    </row>
    <row r="376">
      <c r="A376" t="inlineStr">
        <is>
          <t>Marsal (1973) | M9</t>
        </is>
      </c>
      <c r="B376" t="n">
        <v>0.58</v>
      </c>
      <c r="C376" t="n">
        <v>2.450592264400703</v>
      </c>
      <c r="D376" t="n">
        <v>1.67754067596474</v>
      </c>
      <c r="E376">
        <f>DEGREES(ATAN(D376/C376))</f>
        <v/>
      </c>
      <c r="F376">
        <f>DEGREES(ATAN(TAN(RADIANS(pe0-omega*B376))*(C376/sref)^(m_-1)))</f>
        <v/>
      </c>
      <c r="G376">
        <f>E376-F376</f>
        <v/>
      </c>
    </row>
    <row r="377">
      <c r="A377" t="inlineStr">
        <is>
          <t>Marsal (1973) | M9</t>
        </is>
      </c>
      <c r="B377" t="n">
        <v>0.59</v>
      </c>
      <c r="C377" t="n">
        <v>3.673248706828043</v>
      </c>
      <c r="D377" t="n">
        <v>2.364714284710831</v>
      </c>
      <c r="E377">
        <f>DEGREES(ATAN(D377/C377))</f>
        <v/>
      </c>
      <c r="F377">
        <f>DEGREES(ATAN(TAN(RADIANS(pe0-omega*B377))*(C377/sref)^(m_-1)))</f>
        <v/>
      </c>
      <c r="G377">
        <f>E377-F377</f>
        <v/>
      </c>
    </row>
    <row r="378">
      <c r="A378" t="inlineStr">
        <is>
          <t>SMEC (1973) | WH11/1Q/1M - a</t>
        </is>
      </c>
      <c r="B378" t="n">
        <v>0.3445177664974621</v>
      </c>
      <c r="C378" t="n">
        <v>0.6149755140032985</v>
      </c>
      <c r="D378" t="n">
        <v>0.5779005570784729</v>
      </c>
      <c r="E378">
        <f>DEGREES(ATAN(D378/C378))</f>
        <v/>
      </c>
      <c r="F378">
        <f>DEGREES(ATAN(TAN(RADIANS(pe0-omega*B378))*(C378/sref)^(m_-1)))</f>
        <v/>
      </c>
      <c r="G378">
        <f>E378-F378</f>
        <v/>
      </c>
    </row>
    <row r="379">
      <c r="A379" t="inlineStr">
        <is>
          <t>SMEC (1973) | WH11/1Q/1M - a</t>
        </is>
      </c>
      <c r="B379" t="n">
        <v>0.3310050251256282</v>
      </c>
      <c r="C379" t="n">
        <v>1.24334931710744</v>
      </c>
      <c r="D379" t="n">
        <v>1.116586709971243</v>
      </c>
      <c r="E379">
        <f>DEGREES(ATAN(D379/C379))</f>
        <v/>
      </c>
      <c r="F379">
        <f>DEGREES(ATAN(TAN(RADIANS(pe0-omega*B379))*(C379/sref)^(m_-1)))</f>
        <v/>
      </c>
      <c r="G379">
        <f>E379-F379</f>
        <v/>
      </c>
    </row>
    <row r="380">
      <c r="A380" t="inlineStr">
        <is>
          <t>SMEC (1973) | WH11/1Q/1M - a</t>
        </is>
      </c>
      <c r="B380" t="n">
        <v>0.3583076923076924</v>
      </c>
      <c r="C380" t="n">
        <v>2.344366463969984</v>
      </c>
      <c r="D380" t="n">
        <v>1.874173677351552</v>
      </c>
      <c r="E380">
        <f>DEGREES(ATAN(D380/C380))</f>
        <v/>
      </c>
      <c r="F380">
        <f>DEGREES(ATAN(TAN(RADIANS(pe0-omega*B380))*(C380/sref)^(m_-1)))</f>
        <v/>
      </c>
      <c r="G380">
        <f>E380-F380</f>
        <v/>
      </c>
    </row>
    <row r="381">
      <c r="A381" t="inlineStr">
        <is>
          <t>SMEC (1973) | WH11/1Q/1M - b</t>
        </is>
      </c>
      <c r="B381" t="n">
        <v>0.37953125</v>
      </c>
      <c r="C381" t="n">
        <v>0.6220602673387879</v>
      </c>
      <c r="D381" t="n">
        <v>0.5879712821136616</v>
      </c>
      <c r="E381">
        <f>DEGREES(ATAN(D381/C381))</f>
        <v/>
      </c>
      <c r="F381">
        <f>DEGREES(ATAN(TAN(RADIANS(pe0-omega*B381))*(C381/sref)^(m_-1)))</f>
        <v/>
      </c>
      <c r="G381">
        <f>E381-F381</f>
        <v/>
      </c>
    </row>
    <row r="382">
      <c r="A382" t="inlineStr">
        <is>
          <t>SMEC (1973) | WH11/1Q/1M - b</t>
        </is>
      </c>
      <c r="B382" t="n">
        <v>0.3940526315789474</v>
      </c>
      <c r="C382" t="n">
        <v>1.199529131432973</v>
      </c>
      <c r="D382" t="n">
        <v>1.028580840542895</v>
      </c>
      <c r="E382">
        <f>DEGREES(ATAN(D382/C382))</f>
        <v/>
      </c>
      <c r="F382">
        <f>DEGREES(ATAN(TAN(RADIANS(pe0-omega*B382))*(C382/sref)^(m_-1)))</f>
        <v/>
      </c>
      <c r="G382">
        <f>E382-F382</f>
        <v/>
      </c>
    </row>
    <row r="383">
      <c r="A383" t="inlineStr">
        <is>
          <t>SMEC (1973) | WH11/1Q/1M - b</t>
        </is>
      </c>
      <c r="B383" t="n">
        <v>0.3867539267015707</v>
      </c>
      <c r="C383" t="n">
        <v>2.35541074409007</v>
      </c>
      <c r="D383" t="n">
        <v>1.88236122620778</v>
      </c>
      <c r="E383">
        <f>DEGREES(ATAN(D383/C383))</f>
        <v/>
      </c>
      <c r="F383">
        <f>DEGREES(ATAN(TAN(RADIANS(pe0-omega*B383))*(C383/sref)^(m_-1)))</f>
        <v/>
      </c>
      <c r="G383">
        <f>E383-F383</f>
        <v/>
      </c>
    </row>
    <row r="384">
      <c r="A384" t="inlineStr">
        <is>
          <t>SMEC (1973) | WH11/1Q/1M - c</t>
        </is>
      </c>
      <c r="B384" t="n">
        <v>0.3177611940298508</v>
      </c>
      <c r="C384" t="n">
        <v>0.651480922946911</v>
      </c>
      <c r="D384" t="n">
        <v>0.6750541327856463</v>
      </c>
      <c r="E384">
        <f>DEGREES(ATAN(D384/C384))</f>
        <v/>
      </c>
      <c r="F384">
        <f>DEGREES(ATAN(TAN(RADIANS(pe0-omega*B384))*(C384/sref)^(m_-1)))</f>
        <v/>
      </c>
      <c r="G384">
        <f>E384-F384</f>
        <v/>
      </c>
    </row>
    <row r="385">
      <c r="A385" t="inlineStr">
        <is>
          <t>SMEC (1973) | WH11/1Q/1M - c</t>
        </is>
      </c>
      <c r="B385" t="n">
        <v>0.3177611940298508</v>
      </c>
      <c r="C385" t="n">
        <v>1.275851253810476</v>
      </c>
      <c r="D385" t="n">
        <v>1.209427287468873</v>
      </c>
      <c r="E385">
        <f>DEGREES(ATAN(D385/C385))</f>
        <v/>
      </c>
      <c r="F385">
        <f>DEGREES(ATAN(TAN(RADIANS(pe0-omega*B385))*(C385/sref)^(m_-1)))</f>
        <v/>
      </c>
      <c r="G385">
        <f>E385-F385</f>
        <v/>
      </c>
    </row>
    <row r="386">
      <c r="A386" t="inlineStr">
        <is>
          <t>SMEC (1973) | WH11/1Q/1M - c</t>
        </is>
      </c>
      <c r="B386" t="n">
        <v>0.3112376237623764</v>
      </c>
      <c r="C386" t="n">
        <v>2.43069376777882</v>
      </c>
      <c r="D386" t="n">
        <v>2.02118514876962</v>
      </c>
      <c r="E386">
        <f>DEGREES(ATAN(D386/C386))</f>
        <v/>
      </c>
      <c r="F386">
        <f>DEGREES(ATAN(TAN(RADIANS(pe0-omega*B386))*(C386/sref)^(m_-1)))</f>
        <v/>
      </c>
      <c r="G386">
        <f>E386-F386</f>
        <v/>
      </c>
    </row>
    <row r="387">
      <c r="A387" t="inlineStr">
        <is>
          <t>SMEC (1973) | WH11/1Q/2M</t>
        </is>
      </c>
      <c r="B387" t="n">
        <v>0.3513775510204082</v>
      </c>
      <c r="C387" t="n">
        <v>0.6321427142314426</v>
      </c>
      <c r="D387" t="n">
        <v>0.6097721183181535</v>
      </c>
      <c r="E387">
        <f>DEGREES(ATAN(D387/C387))</f>
        <v/>
      </c>
      <c r="F387">
        <f>DEGREES(ATAN(TAN(RADIANS(pe0-omega*B387))*(C387/sref)^(m_-1)))</f>
        <v/>
      </c>
      <c r="G387">
        <f>E387-F387</f>
        <v/>
      </c>
    </row>
    <row r="388">
      <c r="A388" t="inlineStr">
        <is>
          <t>SMEC (1973) | WH11/1Q/2M</t>
        </is>
      </c>
      <c r="B388" t="n">
        <v>0.3445177664974621</v>
      </c>
      <c r="C388" t="n">
        <v>1.209602520872116</v>
      </c>
      <c r="D388" t="n">
        <v>1.045151686565863</v>
      </c>
      <c r="E388">
        <f>DEGREES(ATAN(D388/C388))</f>
        <v/>
      </c>
      <c r="F388">
        <f>DEGREES(ATAN(TAN(RADIANS(pe0-omega*B388))*(C388/sref)^(m_-1)))</f>
        <v/>
      </c>
      <c r="G388">
        <f>E388-F388</f>
        <v/>
      </c>
    </row>
    <row r="389">
      <c r="A389" t="inlineStr">
        <is>
          <t>SMEC (1973) | WH11/1Q/3M</t>
        </is>
      </c>
      <c r="B389" t="n">
        <v>0.3583076923076924</v>
      </c>
      <c r="C389" t="n">
        <v>0.6451847587333833</v>
      </c>
      <c r="D389" t="n">
        <v>0.6505234311902065</v>
      </c>
      <c r="E389">
        <f>DEGREES(ATAN(D389/C389))</f>
        <v/>
      </c>
      <c r="F389">
        <f>DEGREES(ATAN(TAN(RADIANS(pe0-omega*B389))*(C389/sref)^(m_-1)))</f>
        <v/>
      </c>
      <c r="G389">
        <f>E389-F389</f>
        <v/>
      </c>
    </row>
    <row r="390">
      <c r="A390" t="inlineStr">
        <is>
          <t>SMEC (1973) | WH11/1Q/3M</t>
        </is>
      </c>
      <c r="B390" t="n">
        <v>0.3583076923076924</v>
      </c>
      <c r="C390" t="n">
        <v>1.273611201382193</v>
      </c>
      <c r="D390" t="n">
        <v>1.194245205572608</v>
      </c>
      <c r="E390">
        <f>DEGREES(ATAN(D390/C390))</f>
        <v/>
      </c>
      <c r="F390">
        <f>DEGREES(ATAN(TAN(RADIANS(pe0-omega*B390))*(C390/sref)^(m_-1)))</f>
        <v/>
      </c>
      <c r="G390">
        <f>E390-F390</f>
        <v/>
      </c>
    </row>
    <row r="391">
      <c r="A391" t="inlineStr">
        <is>
          <t>SMEC (1973) | WH11/1Q/3M</t>
        </is>
      </c>
      <c r="B391" t="n">
        <v>0.3445177664974621</v>
      </c>
      <c r="C391" t="n">
        <v>2.439832919013861</v>
      </c>
      <c r="D391" t="n">
        <v>2.004039084414737</v>
      </c>
      <c r="E391">
        <f>DEGREES(ATAN(D391/C391))</f>
        <v/>
      </c>
      <c r="F391">
        <f>DEGREES(ATAN(TAN(RADIANS(pe0-omega*B391))*(C391/sref)^(m_-1)))</f>
        <v/>
      </c>
      <c r="G391">
        <f>E391-F391</f>
        <v/>
      </c>
    </row>
    <row r="392">
      <c r="A392" t="inlineStr">
        <is>
          <t>SMEC (1973) | WH3/3E/3D</t>
        </is>
      </c>
      <c r="B392" t="n">
        <v>0.4317297297297298</v>
      </c>
      <c r="C392" t="n">
        <v>0.6407477679206522</v>
      </c>
      <c r="D392" t="n">
        <v>0.6373745113336404</v>
      </c>
      <c r="E392">
        <f>DEGREES(ATAN(D392/C392))</f>
        <v/>
      </c>
      <c r="F392">
        <f>DEGREES(ATAN(TAN(RADIANS(pe0-omega*B392))*(C392/sref)^(m_-1)))</f>
        <v/>
      </c>
      <c r="G392">
        <f>E392-F392</f>
        <v/>
      </c>
    </row>
    <row r="393">
      <c r="A393" t="inlineStr">
        <is>
          <t>SMEC (1973) | WH3/3E/3D</t>
        </is>
      </c>
      <c r="B393" t="n">
        <v>0.4395108695652177</v>
      </c>
      <c r="C393" t="n">
        <v>1.277700272098578</v>
      </c>
      <c r="D393" t="n">
        <v>1.171823913234382</v>
      </c>
      <c r="E393">
        <f>DEGREES(ATAN(D393/C393))</f>
        <v/>
      </c>
      <c r="F393">
        <f>DEGREES(ATAN(TAN(RADIANS(pe0-omega*B393))*(C393/sref)^(m_-1)))</f>
        <v/>
      </c>
      <c r="G393">
        <f>E393-F393</f>
        <v/>
      </c>
    </row>
    <row r="394">
      <c r="A394" t="inlineStr">
        <is>
          <t>SMEC (1973) | WH3/3E/3D</t>
        </is>
      </c>
      <c r="B394" t="n">
        <v>0.4395108695652177</v>
      </c>
      <c r="C394" t="n">
        <v>2.457064374334345</v>
      </c>
      <c r="D394" t="n">
        <v>2.022360176385877</v>
      </c>
      <c r="E394">
        <f>DEGREES(ATAN(D394/C394))</f>
        <v/>
      </c>
      <c r="F394">
        <f>DEGREES(ATAN(TAN(RADIANS(pe0-omega*B394))*(C394/sref)^(m_-1)))</f>
        <v/>
      </c>
      <c r="G394">
        <f>E394-F394</f>
        <v/>
      </c>
    </row>
    <row r="395">
      <c r="A395" t="inlineStr">
        <is>
          <t>Good (1976) | G</t>
        </is>
      </c>
      <c r="B395" t="n">
        <v>0.1531052631578949</v>
      </c>
      <c r="C395" t="n">
        <v>0.3008195731266245</v>
      </c>
      <c r="D395" t="n">
        <v>0.3383328284170051</v>
      </c>
      <c r="E395">
        <f>DEGREES(ATAN(D395/C395))</f>
        <v/>
      </c>
      <c r="F395">
        <f>DEGREES(ATAN(TAN(RADIANS(pe0-omega*B395))*(C395/sref)^(m_-1)))</f>
        <v/>
      </c>
      <c r="G395">
        <f>E395-F395</f>
        <v/>
      </c>
    </row>
    <row r="396">
      <c r="A396" t="inlineStr">
        <is>
          <t>Good (1976) | G</t>
        </is>
      </c>
      <c r="B396" t="n">
        <v>0.1531052631578949</v>
      </c>
      <c r="C396" t="n">
        <v>0.5553504487999054</v>
      </c>
      <c r="D396" t="n">
        <v>0.5772691309141252</v>
      </c>
      <c r="E396">
        <f>DEGREES(ATAN(D396/C396))</f>
        <v/>
      </c>
      <c r="F396">
        <f>DEGREES(ATAN(TAN(RADIANS(pe0-omega*B396))*(C396/sref)^(m_-1)))</f>
        <v/>
      </c>
      <c r="G396">
        <f>E396-F396</f>
        <v/>
      </c>
    </row>
    <row r="397">
      <c r="A397" t="inlineStr">
        <is>
          <t>Good (1976) | G</t>
        </is>
      </c>
      <c r="B397" t="n">
        <v>0.1531052631578949</v>
      </c>
      <c r="C397" t="n">
        <v>0.9587036906198014</v>
      </c>
      <c r="D397" t="n">
        <v>0.872364479174513</v>
      </c>
      <c r="E397">
        <f>DEGREES(ATAN(D397/C397))</f>
        <v/>
      </c>
      <c r="F397">
        <f>DEGREES(ATAN(TAN(RADIANS(pe0-omega*B397))*(C397/sref)^(m_-1)))</f>
        <v/>
      </c>
      <c r="G397">
        <f>E397-F397</f>
        <v/>
      </c>
    </row>
    <row r="398">
      <c r="A398" t="inlineStr">
        <is>
          <t>Good (1976) | G</t>
        </is>
      </c>
      <c r="B398" t="n">
        <v>0.1531052631578949</v>
      </c>
      <c r="C398" t="n">
        <v>1.837259356587972</v>
      </c>
      <c r="D398" t="n">
        <v>1.463398126495726</v>
      </c>
      <c r="E398">
        <f>DEGREES(ATAN(D398/C398))</f>
        <v/>
      </c>
      <c r="F398">
        <f>DEGREES(ATAN(TAN(RADIANS(pe0-omega*B398))*(C398/sref)^(m_-1)))</f>
        <v/>
      </c>
      <c r="G398">
        <f>E398-F398</f>
        <v/>
      </c>
    </row>
    <row r="399">
      <c r="A399" t="inlineStr">
        <is>
          <t>Donaghe &amp; Cohen (1978) | D180</t>
        </is>
      </c>
      <c r="B399" t="n">
        <v>0.41</v>
      </c>
      <c r="C399" t="n">
        <v>0.7865847513708977</v>
      </c>
      <c r="D399" t="n">
        <v>0.8399152633762176</v>
      </c>
      <c r="E399">
        <f>DEGREES(ATAN(D399/C399))</f>
        <v/>
      </c>
      <c r="F399">
        <f>DEGREES(ATAN(TAN(RADIANS(pe0-omega*B399))*(C399/sref)^(m_-1)))</f>
        <v/>
      </c>
      <c r="G399">
        <f>E399-F399</f>
        <v/>
      </c>
    </row>
    <row r="400">
      <c r="A400" t="inlineStr">
        <is>
          <t>Donaghe &amp; Cohen (1978) | D180</t>
        </is>
      </c>
      <c r="B400" t="n">
        <v>0.41</v>
      </c>
      <c r="C400" t="n">
        <v>1.574598803562325</v>
      </c>
      <c r="D400" t="n">
        <v>1.501885849649113</v>
      </c>
      <c r="E400">
        <f>DEGREES(ATAN(D400/C400))</f>
        <v/>
      </c>
      <c r="F400">
        <f>DEGREES(ATAN(TAN(RADIANS(pe0-omega*B400))*(C400/sref)^(m_-1)))</f>
        <v/>
      </c>
      <c r="G400">
        <f>E400-F400</f>
        <v/>
      </c>
    </row>
    <row r="401">
      <c r="A401" t="inlineStr">
        <is>
          <t>Donaghe &amp; Cohen (1978) | D196</t>
        </is>
      </c>
      <c r="B401" t="n">
        <v>0.37</v>
      </c>
      <c r="C401" t="n">
        <v>0.8250118129759803</v>
      </c>
      <c r="D401" t="n">
        <v>0.907785123112384</v>
      </c>
      <c r="E401">
        <f>DEGREES(ATAN(D401/C401))</f>
        <v/>
      </c>
      <c r="F401">
        <f>DEGREES(ATAN(TAN(RADIANS(pe0-omega*B401))*(C401/sref)^(m_-1)))</f>
        <v/>
      </c>
      <c r="G401">
        <f>E401-F401</f>
        <v/>
      </c>
    </row>
    <row r="402">
      <c r="A402" t="inlineStr">
        <is>
          <t>Donaghe &amp; Cohen (1978) | D196</t>
        </is>
      </c>
      <c r="B402" t="n">
        <v>0.39</v>
      </c>
      <c r="C402" t="n">
        <v>1.683812168239982</v>
      </c>
      <c r="D402" t="n">
        <v>1.655813925438044</v>
      </c>
      <c r="E402">
        <f>DEGREES(ATAN(D402/C402))</f>
        <v/>
      </c>
      <c r="F402">
        <f>DEGREES(ATAN(TAN(RADIANS(pe0-omega*B402))*(C402/sref)^(m_-1)))</f>
        <v/>
      </c>
      <c r="G402">
        <f>E402-F402</f>
        <v/>
      </c>
    </row>
    <row r="403">
      <c r="A403" t="inlineStr">
        <is>
          <t>Donaghe &amp; Cohen (1978) | D196</t>
        </is>
      </c>
      <c r="B403" t="n">
        <v>0.37</v>
      </c>
      <c r="C403" t="n">
        <v>3.645013521002105</v>
      </c>
      <c r="D403" t="n">
        <v>2.879657078944462</v>
      </c>
      <c r="E403">
        <f>DEGREES(ATAN(D403/C403))</f>
        <v/>
      </c>
      <c r="F403">
        <f>DEGREES(ATAN(TAN(RADIANS(pe0-omega*B403))*(C403/sref)^(m_-1)))</f>
        <v/>
      </c>
      <c r="G403">
        <f>E403-F403</f>
        <v/>
      </c>
    </row>
    <row r="404">
      <c r="A404" t="inlineStr">
        <is>
          <t>Donaghe &amp; Cohen (1978) | D196</t>
        </is>
      </c>
      <c r="B404" t="n">
        <v>0.37</v>
      </c>
      <c r="C404" t="n">
        <v>4.916642643470547</v>
      </c>
      <c r="D404" t="n">
        <v>3.824823883656745</v>
      </c>
      <c r="E404">
        <f>DEGREES(ATAN(D404/C404))</f>
        <v/>
      </c>
      <c r="F404">
        <f>DEGREES(ATAN(TAN(RADIANS(pe0-omega*B404))*(C404/sref)^(m_-1)))</f>
        <v/>
      </c>
      <c r="G404">
        <f>E404-F404</f>
        <v/>
      </c>
    </row>
    <row r="405">
      <c r="A405" t="inlineStr">
        <is>
          <t>Donaghe &amp; Cohen (1978) | D206</t>
        </is>
      </c>
      <c r="B405" t="n">
        <v>0.36</v>
      </c>
      <c r="C405" t="n">
        <v>0.8811503646045754</v>
      </c>
      <c r="D405" t="n">
        <v>1.078270381036657</v>
      </c>
      <c r="E405">
        <f>DEGREES(ATAN(D405/C405))</f>
        <v/>
      </c>
      <c r="F405">
        <f>DEGREES(ATAN(TAN(RADIANS(pe0-omega*B405))*(C405/sref)^(m_-1)))</f>
        <v/>
      </c>
      <c r="G405">
        <f>E405-F405</f>
        <v/>
      </c>
    </row>
    <row r="406">
      <c r="A406" t="inlineStr">
        <is>
          <t>Donaghe &amp; Cohen (1978) | D206</t>
        </is>
      </c>
      <c r="B406" t="n">
        <v>0.36</v>
      </c>
      <c r="C406" t="n">
        <v>1.639900400740674</v>
      </c>
      <c r="D406" t="n">
        <v>1.650069356389634</v>
      </c>
      <c r="E406">
        <f>DEGREES(ATAN(D406/C406))</f>
        <v/>
      </c>
      <c r="F406">
        <f>DEGREES(ATAN(TAN(RADIANS(pe0-omega*B406))*(C406/sref)^(m_-1)))</f>
        <v/>
      </c>
      <c r="G406">
        <f>E406-F406</f>
        <v/>
      </c>
    </row>
    <row r="407">
      <c r="A407" t="inlineStr">
        <is>
          <t>Donaghe &amp; Cohen (1978) | D206</t>
        </is>
      </c>
      <c r="B407" t="n">
        <v>0.36</v>
      </c>
      <c r="C407" t="n">
        <v>3.716392890777972</v>
      </c>
      <c r="D407" t="n">
        <v>3.182963241582274</v>
      </c>
      <c r="E407">
        <f>DEGREES(ATAN(D407/C407))</f>
        <v/>
      </c>
      <c r="F407">
        <f>DEGREES(ATAN(TAN(RADIANS(pe0-omega*B407))*(C407/sref)^(m_-1)))</f>
        <v/>
      </c>
      <c r="G407">
        <f>E407-F407</f>
        <v/>
      </c>
    </row>
    <row r="408">
      <c r="A408" t="inlineStr">
        <is>
          <t>Donaghe &amp; Cohen (1978) | D206</t>
        </is>
      </c>
      <c r="B408" t="n">
        <v>0.37</v>
      </c>
      <c r="C408" t="n">
        <v>4.957357877166493</v>
      </c>
      <c r="D408" t="n">
        <v>4.12472491915392</v>
      </c>
      <c r="E408">
        <f>DEGREES(ATAN(D408/C408))</f>
        <v/>
      </c>
      <c r="F408">
        <f>DEGREES(ATAN(TAN(RADIANS(pe0-omega*B408))*(C408/sref)^(m_-1)))</f>
        <v/>
      </c>
      <c r="G408">
        <f>E408-F408</f>
        <v/>
      </c>
    </row>
    <row r="409">
      <c r="A409" t="inlineStr">
        <is>
          <t>Donaghe &amp; Cohen (1978) | D228</t>
        </is>
      </c>
      <c r="B409" t="n">
        <v>0.29</v>
      </c>
      <c r="C409" t="n">
        <v>0.7708778224868339</v>
      </c>
      <c r="D409" t="n">
        <v>0.8425399642575824</v>
      </c>
      <c r="E409">
        <f>DEGREES(ATAN(D409/C409))</f>
        <v/>
      </c>
      <c r="F409">
        <f>DEGREES(ATAN(TAN(RADIANS(pe0-omega*B409))*(C409/sref)^(m_-1)))</f>
        <v/>
      </c>
      <c r="G409">
        <f>E409-F409</f>
        <v/>
      </c>
    </row>
    <row r="410">
      <c r="A410" t="inlineStr">
        <is>
          <t>Donaghe &amp; Cohen (1978) | D228</t>
        </is>
      </c>
      <c r="B410" t="n">
        <v>0.29</v>
      </c>
      <c r="C410" t="n">
        <v>1.65064465715889</v>
      </c>
      <c r="D410" t="n">
        <v>1.728714795797194</v>
      </c>
      <c r="E410">
        <f>DEGREES(ATAN(D410/C410))</f>
        <v/>
      </c>
      <c r="F410">
        <f>DEGREES(ATAN(TAN(RADIANS(pe0-omega*B410))*(C410/sref)^(m_-1)))</f>
        <v/>
      </c>
      <c r="G410">
        <f>E410-F410</f>
        <v/>
      </c>
    </row>
    <row r="411">
      <c r="A411" t="inlineStr">
        <is>
          <t>Donaghe &amp; Cohen (1978) | D228</t>
        </is>
      </c>
      <c r="B411" t="n">
        <v>0.29</v>
      </c>
      <c r="C411" t="n">
        <v>3.787397489541179</v>
      </c>
      <c r="D411" t="n">
        <v>3.470363950166055</v>
      </c>
      <c r="E411">
        <f>DEGREES(ATAN(D411/C411))</f>
        <v/>
      </c>
      <c r="F411">
        <f>DEGREES(ATAN(TAN(RADIANS(pe0-omega*B411))*(C411/sref)^(m_-1)))</f>
        <v/>
      </c>
      <c r="G411">
        <f>E411-F411</f>
        <v/>
      </c>
    </row>
    <row r="412">
      <c r="A412" t="inlineStr">
        <is>
          <t>Donaghe &amp; Cohen (1978) | D228</t>
        </is>
      </c>
      <c r="B412" t="n">
        <v>0.29</v>
      </c>
      <c r="C412" t="n">
        <v>4.897871092505662</v>
      </c>
      <c r="D412" t="n">
        <v>4.212942130814018</v>
      </c>
      <c r="E412">
        <f>DEGREES(ATAN(D412/C412))</f>
        <v/>
      </c>
      <c r="F412">
        <f>DEGREES(ATAN(TAN(RADIANS(pe0-omega*B412))*(C412/sref)^(m_-1)))</f>
        <v/>
      </c>
      <c r="G412">
        <f>E412-F412</f>
        <v/>
      </c>
    </row>
    <row r="413">
      <c r="A413" t="inlineStr">
        <is>
          <t>Donaghe &amp; Cohen (1978) | D250</t>
        </is>
      </c>
      <c r="B413" t="n">
        <v>0.31</v>
      </c>
      <c r="C413" t="n">
        <v>0.7601941073979097</v>
      </c>
      <c r="D413" t="n">
        <v>0.7442065392075622</v>
      </c>
      <c r="E413">
        <f>DEGREES(ATAN(D413/C413))</f>
        <v/>
      </c>
      <c r="F413">
        <f>DEGREES(ATAN(TAN(RADIANS(pe0-omega*B413))*(C413/sref)^(m_-1)))</f>
        <v/>
      </c>
      <c r="G413">
        <f>E413-F413</f>
        <v/>
      </c>
    </row>
    <row r="414">
      <c r="A414" t="inlineStr">
        <is>
          <t>Donaghe &amp; Cohen (1978) | D250</t>
        </is>
      </c>
      <c r="B414" t="n">
        <v>0.31</v>
      </c>
      <c r="C414" t="n">
        <v>1.549840446975338</v>
      </c>
      <c r="D414" t="n">
        <v>1.402616635211941</v>
      </c>
      <c r="E414">
        <f>DEGREES(ATAN(D414/C414))</f>
        <v/>
      </c>
      <c r="F414">
        <f>DEGREES(ATAN(TAN(RADIANS(pe0-omega*B414))*(C414/sref)^(m_-1)))</f>
        <v/>
      </c>
      <c r="G414">
        <f>E414-F414</f>
        <v/>
      </c>
    </row>
    <row r="415">
      <c r="A415" t="inlineStr">
        <is>
          <t>Donaghe &amp; Cohen (1978) | D250</t>
        </is>
      </c>
      <c r="B415" t="n">
        <v>0.32</v>
      </c>
      <c r="C415" t="n">
        <v>3.484854574074189</v>
      </c>
      <c r="D415" t="n">
        <v>2.718974237846685</v>
      </c>
      <c r="E415">
        <f>DEGREES(ATAN(D415/C415))</f>
        <v/>
      </c>
      <c r="F415">
        <f>DEGREES(ATAN(TAN(RADIANS(pe0-omega*B415))*(C415/sref)^(m_-1)))</f>
        <v/>
      </c>
      <c r="G415">
        <f>E415-F415</f>
        <v/>
      </c>
    </row>
    <row r="416">
      <c r="A416" t="inlineStr">
        <is>
          <t>Donaghe &amp; Cohen (1978) | D250</t>
        </is>
      </c>
      <c r="B416" t="n">
        <v>0.32</v>
      </c>
      <c r="C416" t="n">
        <v>5.232749759559717</v>
      </c>
      <c r="D416" t="n">
        <v>3.990711234212676</v>
      </c>
      <c r="E416">
        <f>DEGREES(ATAN(D416/C416))</f>
        <v/>
      </c>
      <c r="F416">
        <f>DEGREES(ATAN(TAN(RADIANS(pe0-omega*B416))*(C416/sref)^(m_-1)))</f>
        <v/>
      </c>
      <c r="G416">
        <f>E416-F416</f>
        <v/>
      </c>
    </row>
    <row r="417">
      <c r="A417" t="inlineStr">
        <is>
          <t>Donaghe &amp; Cohen (1978) | D254</t>
        </is>
      </c>
      <c r="B417" t="n">
        <v>0.4</v>
      </c>
      <c r="C417" t="n">
        <v>0.7051746900383166</v>
      </c>
      <c r="D417" t="n">
        <v>0.5947490084723092</v>
      </c>
      <c r="E417">
        <f>DEGREES(ATAN(D417/C417))</f>
        <v/>
      </c>
      <c r="F417">
        <f>DEGREES(ATAN(TAN(RADIANS(pe0-omega*B417))*(C417/sref)^(m_-1)))</f>
        <v/>
      </c>
      <c r="G417">
        <f>E417-F417</f>
        <v/>
      </c>
    </row>
    <row r="418">
      <c r="A418" t="inlineStr">
        <is>
          <t>Donaghe &amp; Cohen (1978) | D254</t>
        </is>
      </c>
      <c r="B418" t="n">
        <v>0.41</v>
      </c>
      <c r="C418" t="n">
        <v>1.419596811614022</v>
      </c>
      <c r="D418" t="n">
        <v>1.110186367339056</v>
      </c>
      <c r="E418">
        <f>DEGREES(ATAN(D418/C418))</f>
        <v/>
      </c>
      <c r="F418">
        <f>DEGREES(ATAN(TAN(RADIANS(pe0-omega*B418))*(C418/sref)^(m_-1)))</f>
        <v/>
      </c>
      <c r="G418">
        <f>E418-F418</f>
        <v/>
      </c>
    </row>
    <row r="419">
      <c r="A419" t="inlineStr">
        <is>
          <t>Donaghe &amp; Cohen (1978) | D254</t>
        </is>
      </c>
      <c r="B419" t="n">
        <v>0.4</v>
      </c>
      <c r="C419" t="n">
        <v>3.380236505943929</v>
      </c>
      <c r="D419" t="n">
        <v>2.531155197798864</v>
      </c>
      <c r="E419">
        <f>DEGREES(ATAN(D419/C419))</f>
        <v/>
      </c>
      <c r="F419">
        <f>DEGREES(ATAN(TAN(RADIANS(pe0-omega*B419))*(C419/sref)^(m_-1)))</f>
        <v/>
      </c>
      <c r="G419">
        <f>E419-F419</f>
        <v/>
      </c>
    </row>
    <row r="420">
      <c r="A420" t="inlineStr">
        <is>
          <t>Donaghe &amp; Cohen (1978) | D258</t>
        </is>
      </c>
      <c r="B420" t="n">
        <v>0.38</v>
      </c>
      <c r="C420" t="n">
        <v>0.74842984068957</v>
      </c>
      <c r="D420" t="n">
        <v>0.7203411422353148</v>
      </c>
      <c r="E420">
        <f>DEGREES(ATAN(D420/C420))</f>
        <v/>
      </c>
      <c r="F420">
        <f>DEGREES(ATAN(TAN(RADIANS(pe0-omega*B420))*(C420/sref)^(m_-1)))</f>
        <v/>
      </c>
      <c r="G420">
        <f>E420-F420</f>
        <v/>
      </c>
    </row>
    <row r="421">
      <c r="A421" t="inlineStr">
        <is>
          <t>Donaghe &amp; Cohen (1978) | D258</t>
        </is>
      </c>
      <c r="B421" t="n">
        <v>0.39</v>
      </c>
      <c r="C421" t="n">
        <v>1.503523828191862</v>
      </c>
      <c r="D421" t="n">
        <v>1.315239033927481</v>
      </c>
      <c r="E421">
        <f>DEGREES(ATAN(D421/C421))</f>
        <v/>
      </c>
      <c r="F421">
        <f>DEGREES(ATAN(TAN(RADIANS(pe0-omega*B421))*(C421/sref)^(m_-1)))</f>
        <v/>
      </c>
      <c r="G421">
        <f>E421-F421</f>
        <v/>
      </c>
    </row>
    <row r="422">
      <c r="A422" t="inlineStr">
        <is>
          <t>Donaghe &amp; Cohen (1978) | D258</t>
        </is>
      </c>
      <c r="B422" t="n">
        <v>0.38</v>
      </c>
      <c r="C422" t="n">
        <v>3.504896767739356</v>
      </c>
      <c r="D422" t="n">
        <v>2.782340056425697</v>
      </c>
      <c r="E422">
        <f>DEGREES(ATAN(D422/C422))</f>
        <v/>
      </c>
      <c r="F422">
        <f>DEGREES(ATAN(TAN(RADIANS(pe0-omega*B422))*(C422/sref)^(m_-1)))</f>
        <v/>
      </c>
      <c r="G422">
        <f>E422-F422</f>
        <v/>
      </c>
    </row>
    <row r="423">
      <c r="A423" t="inlineStr">
        <is>
          <t>Donaghe &amp; Cohen (1978) | D258</t>
        </is>
      </c>
      <c r="B423" t="n">
        <v>0.39</v>
      </c>
      <c r="C423" t="n">
        <v>5.218437202963976</v>
      </c>
      <c r="D423" t="n">
        <v>4.007625816596246</v>
      </c>
      <c r="E423">
        <f>DEGREES(ATAN(D423/C423))</f>
        <v/>
      </c>
      <c r="F423">
        <f>DEGREES(ATAN(TAN(RADIANS(pe0-omega*B423))*(C423/sref)^(m_-1)))</f>
        <v/>
      </c>
      <c r="G423">
        <f>E423-F423</f>
        <v/>
      </c>
    </row>
    <row r="424">
      <c r="A424" t="inlineStr">
        <is>
          <t>Donaghe &amp; Cohen (1978) | D262</t>
        </is>
      </c>
      <c r="B424" t="n">
        <v>0.48</v>
      </c>
      <c r="C424" t="n">
        <v>0.6924259171906764</v>
      </c>
      <c r="D424" t="n">
        <v>0.5603087079518053</v>
      </c>
      <c r="E424">
        <f>DEGREES(ATAN(D424/C424))</f>
        <v/>
      </c>
      <c r="F424">
        <f>DEGREES(ATAN(TAN(RADIANS(pe0-omega*B424))*(C424/sref)^(m_-1)))</f>
        <v/>
      </c>
      <c r="G424">
        <f>E424-F424</f>
        <v/>
      </c>
    </row>
    <row r="425">
      <c r="A425" t="inlineStr">
        <is>
          <t>Donaghe &amp; Cohen (1978) | D262</t>
        </is>
      </c>
      <c r="B425" t="n">
        <v>0.48</v>
      </c>
      <c r="C425" t="n">
        <v>1.405748570623284</v>
      </c>
      <c r="D425" t="n">
        <v>1.074736562310995</v>
      </c>
      <c r="E425">
        <f>DEGREES(ATAN(D425/C425))</f>
        <v/>
      </c>
      <c r="F425">
        <f>DEGREES(ATAN(TAN(RADIANS(pe0-omega*B425))*(C425/sref)^(m_-1)))</f>
        <v/>
      </c>
      <c r="G425">
        <f>E425-F425</f>
        <v/>
      </c>
    </row>
    <row r="426">
      <c r="A426" t="inlineStr">
        <is>
          <t>Donaghe &amp; Cohen (1978) | D268</t>
        </is>
      </c>
      <c r="B426" t="n">
        <v>0.4</v>
      </c>
      <c r="C426" t="n">
        <v>0.8199545993933682</v>
      </c>
      <c r="D426" t="n">
        <v>0.9233217691093125</v>
      </c>
      <c r="E426">
        <f>DEGREES(ATAN(D426/C426))</f>
        <v/>
      </c>
      <c r="F426">
        <f>DEGREES(ATAN(TAN(RADIANS(pe0-omega*B426))*(C426/sref)^(m_-1)))</f>
        <v/>
      </c>
      <c r="G426">
        <f>E426-F426</f>
        <v/>
      </c>
    </row>
    <row r="427">
      <c r="A427" t="inlineStr">
        <is>
          <t>Donaghe &amp; Cohen (1978) | D268</t>
        </is>
      </c>
      <c r="B427" t="n">
        <v>0.4</v>
      </c>
      <c r="C427" t="n">
        <v>1.62883225566315</v>
      </c>
      <c r="D427" t="n">
        <v>1.598263706458403</v>
      </c>
      <c r="E427">
        <f>DEGREES(ATAN(D427/C427))</f>
        <v/>
      </c>
      <c r="F427">
        <f>DEGREES(ATAN(TAN(RADIANS(pe0-omega*B427))*(C427/sref)^(m_-1)))</f>
        <v/>
      </c>
      <c r="G427">
        <f>E427-F427</f>
        <v/>
      </c>
    </row>
    <row r="428">
      <c r="A428" t="inlineStr">
        <is>
          <t>Donaghe &amp; Cohen (1978) | D268</t>
        </is>
      </c>
      <c r="B428" t="n">
        <v>0.4</v>
      </c>
      <c r="C428" t="n">
        <v>3.812826770297268</v>
      </c>
      <c r="D428" t="n">
        <v>3.302297535218978</v>
      </c>
      <c r="E428">
        <f>DEGREES(ATAN(D428/C428))</f>
        <v/>
      </c>
      <c r="F428">
        <f>DEGREES(ATAN(TAN(RADIANS(pe0-omega*B428))*(C428/sref)^(m_-1)))</f>
        <v/>
      </c>
      <c r="G428">
        <f>E428-F428</f>
        <v/>
      </c>
    </row>
    <row r="429">
      <c r="A429" t="inlineStr">
        <is>
          <t>Donaghe &amp; Cohen (1978) | D268</t>
        </is>
      </c>
      <c r="B429" t="n">
        <v>0.4</v>
      </c>
      <c r="C429" t="n">
        <v>5.98796009651946</v>
      </c>
      <c r="D429" t="n">
        <v>4.570841146658842</v>
      </c>
      <c r="E429">
        <f>DEGREES(ATAN(D429/C429))</f>
        <v/>
      </c>
      <c r="F429">
        <f>DEGREES(ATAN(TAN(RADIANS(pe0-omega*B429))*(C429/sref)^(m_-1)))</f>
        <v/>
      </c>
      <c r="G429">
        <f>E429-F429</f>
        <v/>
      </c>
    </row>
    <row r="430">
      <c r="A430" t="inlineStr">
        <is>
          <t>Donaghe &amp; Cohen (1978) | D272</t>
        </is>
      </c>
      <c r="B430" t="n">
        <v>0.41</v>
      </c>
      <c r="C430" t="n">
        <v>0.8317339286573098</v>
      </c>
      <c r="D430" t="n">
        <v>0.9716943067615481</v>
      </c>
      <c r="E430">
        <f>DEGREES(ATAN(D430/C430))</f>
        <v/>
      </c>
      <c r="F430">
        <f>DEGREES(ATAN(TAN(RADIANS(pe0-omega*B430))*(C430/sref)^(m_-1)))</f>
        <v/>
      </c>
      <c r="G430">
        <f>E430-F430</f>
        <v/>
      </c>
    </row>
    <row r="431">
      <c r="A431" t="inlineStr">
        <is>
          <t>Donaghe &amp; Cohen (1978) | D272</t>
        </is>
      </c>
      <c r="B431" t="n">
        <v>0.41</v>
      </c>
      <c r="C431" t="n">
        <v>1.621284196798939</v>
      </c>
      <c r="D431" t="n">
        <v>1.630581942452347</v>
      </c>
      <c r="E431">
        <f>DEGREES(ATAN(D431/C431))</f>
        <v/>
      </c>
      <c r="F431">
        <f>DEGREES(ATAN(TAN(RADIANS(pe0-omega*B431))*(C431/sref)^(m_-1)))</f>
        <v/>
      </c>
      <c r="G431">
        <f>E431-F431</f>
        <v/>
      </c>
    </row>
    <row r="432">
      <c r="A432" t="inlineStr">
        <is>
          <t>Donaghe &amp; Cohen (1978) | D272</t>
        </is>
      </c>
      <c r="B432" t="n">
        <v>0.41</v>
      </c>
      <c r="C432" t="n">
        <v>3.734831128251071</v>
      </c>
      <c r="D432" t="n">
        <v>3.273327355014418</v>
      </c>
      <c r="E432">
        <f>DEGREES(ATAN(D432/C432))</f>
        <v/>
      </c>
      <c r="F432">
        <f>DEGREES(ATAN(TAN(RADIANS(pe0-omega*B432))*(C432/sref)^(m_-1)))</f>
        <v/>
      </c>
      <c r="G432">
        <f>E432-F432</f>
        <v/>
      </c>
    </row>
    <row r="433">
      <c r="A433" t="inlineStr">
        <is>
          <t>Donaghe &amp; Cohen (1978) | D272</t>
        </is>
      </c>
      <c r="B433" t="n">
        <v>0.4</v>
      </c>
      <c r="C433" t="n">
        <v>6.107466002227746</v>
      </c>
      <c r="D433" t="n">
        <v>4.978586341490125</v>
      </c>
      <c r="E433">
        <f>DEGREES(ATAN(D433/C433))</f>
        <v/>
      </c>
      <c r="F433">
        <f>DEGREES(ATAN(TAN(RADIANS(pe0-omega*B433))*(C433/sref)^(m_-1)))</f>
        <v/>
      </c>
      <c r="G433">
        <f>E433-F433</f>
        <v/>
      </c>
    </row>
    <row r="434">
      <c r="A434" t="inlineStr">
        <is>
          <t>Donaghe &amp; Cohen (1978) | D276</t>
        </is>
      </c>
      <c r="B434" t="n">
        <v>0.52</v>
      </c>
      <c r="C434" t="n">
        <v>0.7826781226172782</v>
      </c>
      <c r="D434" t="n">
        <v>0.7887196346006123</v>
      </c>
      <c r="E434">
        <f>DEGREES(ATAN(D434/C434))</f>
        <v/>
      </c>
      <c r="F434">
        <f>DEGREES(ATAN(TAN(RADIANS(pe0-omega*B434))*(C434/sref)^(m_-1)))</f>
        <v/>
      </c>
      <c r="G434">
        <f>E434-F434</f>
        <v/>
      </c>
    </row>
    <row r="435">
      <c r="A435" t="inlineStr">
        <is>
          <t>Donaghe &amp; Cohen (1978) | D276</t>
        </is>
      </c>
      <c r="B435" t="n">
        <v>0.52</v>
      </c>
      <c r="C435" t="n">
        <v>1.529053553014974</v>
      </c>
      <c r="D435" t="n">
        <v>1.32727265879458</v>
      </c>
      <c r="E435">
        <f>DEGREES(ATAN(D435/C435))</f>
        <v/>
      </c>
      <c r="F435">
        <f>DEGREES(ATAN(TAN(RADIANS(pe0-omega*B435))*(C435/sref)^(m_-1)))</f>
        <v/>
      </c>
      <c r="G435">
        <f>E435-F435</f>
        <v/>
      </c>
    </row>
    <row r="436">
      <c r="A436" t="inlineStr">
        <is>
          <t>Donaghe &amp; Cohen (1978) | D280</t>
        </is>
      </c>
      <c r="B436" t="n">
        <v>0.5</v>
      </c>
      <c r="C436" t="n">
        <v>0.7537167731674587</v>
      </c>
      <c r="D436" t="n">
        <v>0.7478435836050628</v>
      </c>
      <c r="E436">
        <f>DEGREES(ATAN(D436/C436))</f>
        <v/>
      </c>
      <c r="F436">
        <f>DEGREES(ATAN(TAN(RADIANS(pe0-omega*B436))*(C436/sref)^(m_-1)))</f>
        <v/>
      </c>
      <c r="G436">
        <f>E436-F436</f>
        <v/>
      </c>
    </row>
    <row r="437">
      <c r="A437" t="inlineStr">
        <is>
          <t>Donaghe &amp; Cohen (1978) | D280</t>
        </is>
      </c>
      <c r="B437" t="n">
        <v>0.52</v>
      </c>
      <c r="C437" t="n">
        <v>1.521875004505571</v>
      </c>
      <c r="D437" t="n">
        <v>1.370914473712462</v>
      </c>
      <c r="E437">
        <f>DEGREES(ATAN(D437/C437))</f>
        <v/>
      </c>
      <c r="F437">
        <f>DEGREES(ATAN(TAN(RADIANS(pe0-omega*B437))*(C437/sref)^(m_-1)))</f>
        <v/>
      </c>
      <c r="G437">
        <f>E437-F437</f>
        <v/>
      </c>
    </row>
    <row r="438">
      <c r="A438" t="inlineStr">
        <is>
          <t>Donaghe &amp; Torrey (1979) | 10,14</t>
        </is>
      </c>
      <c r="B438" t="n">
        <v>0.358</v>
      </c>
      <c r="C438" t="n">
        <v>0.6778951097657082</v>
      </c>
      <c r="D438" t="n">
        <v>0.5463886439931431</v>
      </c>
      <c r="E438">
        <f>DEGREES(ATAN(D438/C438))</f>
        <v/>
      </c>
      <c r="F438">
        <f>DEGREES(ATAN(TAN(RADIANS(pe0-omega*B438))*(C438/sref)^(m_-1)))</f>
        <v/>
      </c>
      <c r="G438">
        <f>E438-F438</f>
        <v/>
      </c>
    </row>
    <row r="439">
      <c r="A439" t="inlineStr">
        <is>
          <t>Donaghe &amp; Torrey (1979) | 10,14</t>
        </is>
      </c>
      <c r="B439" t="n">
        <v>0.351</v>
      </c>
      <c r="C439" t="n">
        <v>2.248591156807324</v>
      </c>
      <c r="D439" t="n">
        <v>1.779068495344817</v>
      </c>
      <c r="E439">
        <f>DEGREES(ATAN(D439/C439))</f>
        <v/>
      </c>
      <c r="F439">
        <f>DEGREES(ATAN(TAN(RADIANS(pe0-omega*B439))*(C439/sref)^(m_-1)))</f>
        <v/>
      </c>
      <c r="G439">
        <f>E439-F439</f>
        <v/>
      </c>
    </row>
    <row r="440">
      <c r="A440" t="inlineStr">
        <is>
          <t>Donaghe &amp; Torrey (1979) | 15,18</t>
        </is>
      </c>
      <c r="B440" t="n">
        <v>0.275</v>
      </c>
      <c r="C440" t="n">
        <v>0.6631999840134792</v>
      </c>
      <c r="D440" t="n">
        <v>0.4751213545003961</v>
      </c>
      <c r="E440">
        <f>DEGREES(ATAN(D440/C440))</f>
        <v/>
      </c>
      <c r="F440">
        <f>DEGREES(ATAN(TAN(RADIANS(pe0-omega*B440))*(C440/sref)^(m_-1)))</f>
        <v/>
      </c>
      <c r="G440">
        <f>E440-F440</f>
        <v/>
      </c>
    </row>
    <row r="441">
      <c r="A441" t="inlineStr">
        <is>
          <t>Donaghe &amp; Torrey (1979) | 15,18</t>
        </is>
      </c>
      <c r="B441" t="n">
        <v>0.267</v>
      </c>
      <c r="C441" t="n">
        <v>2.217134520209085</v>
      </c>
      <c r="D441" t="n">
        <v>1.528807267085224</v>
      </c>
      <c r="E441">
        <f>DEGREES(ATAN(D441/C441))</f>
        <v/>
      </c>
      <c r="F441">
        <f>DEGREES(ATAN(TAN(RADIANS(pe0-omega*B441))*(C441/sref)^(m_-1)))</f>
        <v/>
      </c>
      <c r="G441">
        <f>E441-F441</f>
        <v/>
      </c>
    </row>
    <row r="442">
      <c r="A442" t="inlineStr">
        <is>
          <t>Donaghe &amp; Torrey (1979) | 16,19</t>
        </is>
      </c>
      <c r="B442" t="n">
        <v>0.268</v>
      </c>
      <c r="C442" t="n">
        <v>0.69463379123069</v>
      </c>
      <c r="D442" t="n">
        <v>0.5613403387073779</v>
      </c>
      <c r="E442">
        <f>DEGREES(ATAN(D442/C442))</f>
        <v/>
      </c>
      <c r="F442">
        <f>DEGREES(ATAN(TAN(RADIANS(pe0-omega*B442))*(C442/sref)^(m_-1)))</f>
        <v/>
      </c>
      <c r="G442">
        <f>E442-F442</f>
        <v/>
      </c>
    </row>
    <row r="443">
      <c r="A443" t="inlineStr">
        <is>
          <t>Donaghe &amp; Torrey (1979) | 16,19</t>
        </is>
      </c>
      <c r="B443" t="n">
        <v>0.251</v>
      </c>
      <c r="C443" t="n">
        <v>2.26182213476151</v>
      </c>
      <c r="D443" t="n">
        <v>1.68414307532597</v>
      </c>
      <c r="E443">
        <f>DEGREES(ATAN(D443/C443))</f>
        <v/>
      </c>
      <c r="F443">
        <f>DEGREES(ATAN(TAN(RADIANS(pe0-omega*B443))*(C443/sref)^(m_-1)))</f>
        <v/>
      </c>
      <c r="G443">
        <f>E443-F443</f>
        <v/>
      </c>
    </row>
    <row r="444">
      <c r="A444" t="inlineStr">
        <is>
          <t>Donaghe &amp; Torrey (1979) | 17,20</t>
        </is>
      </c>
      <c r="B444" t="n">
        <v>0.286</v>
      </c>
      <c r="C444" t="n">
        <v>0.6734622503532642</v>
      </c>
      <c r="D444" t="n">
        <v>0.5717526515752792</v>
      </c>
      <c r="E444">
        <f>DEGREES(ATAN(D444/C444))</f>
        <v/>
      </c>
      <c r="F444">
        <f>DEGREES(ATAN(TAN(RADIANS(pe0-omega*B444))*(C444/sref)^(m_-1)))</f>
        <v/>
      </c>
      <c r="G444">
        <f>E444-F444</f>
        <v/>
      </c>
    </row>
    <row r="445">
      <c r="A445" t="inlineStr">
        <is>
          <t>Donaghe &amp; Torrey (1979) | 17,20</t>
        </is>
      </c>
      <c r="B445" t="n">
        <v>0.284</v>
      </c>
      <c r="C445" t="n">
        <v>2.293906469153411</v>
      </c>
      <c r="D445" t="n">
        <v>2.014490385689628</v>
      </c>
      <c r="E445">
        <f>DEGREES(ATAN(D445/C445))</f>
        <v/>
      </c>
      <c r="F445">
        <f>DEGREES(ATAN(TAN(RADIANS(pe0-omega*B445))*(C445/sref)^(m_-1)))</f>
        <v/>
      </c>
      <c r="G445">
        <f>E445-F445</f>
        <v/>
      </c>
    </row>
    <row r="446">
      <c r="A446" t="inlineStr">
        <is>
          <t>Donaghe &amp; Torrey (1979) | 7,11</t>
        </is>
      </c>
      <c r="B446" t="n">
        <v>0.329</v>
      </c>
      <c r="C446" t="n">
        <v>0.6509150861084902</v>
      </c>
      <c r="D446" t="n">
        <v>0.4370812430309409</v>
      </c>
      <c r="E446">
        <f>DEGREES(ATAN(D446/C446))</f>
        <v/>
      </c>
      <c r="F446">
        <f>DEGREES(ATAN(TAN(RADIANS(pe0-omega*B446))*(C446/sref)^(m_-1)))</f>
        <v/>
      </c>
      <c r="G446">
        <f>E446-F446</f>
        <v/>
      </c>
    </row>
    <row r="447">
      <c r="A447" t="inlineStr">
        <is>
          <t>Donaghe &amp; Torrey (1979) | 7,11</t>
        </is>
      </c>
      <c r="B447" t="n">
        <v>0.326</v>
      </c>
      <c r="C447" t="n">
        <v>2.149125016330471</v>
      </c>
      <c r="D447" t="n">
        <v>1.390853394617465</v>
      </c>
      <c r="E447">
        <f>DEGREES(ATAN(D447/C447))</f>
        <v/>
      </c>
      <c r="F447">
        <f>DEGREES(ATAN(TAN(RADIANS(pe0-omega*B447))*(C447/sref)^(m_-1)))</f>
        <v/>
      </c>
      <c r="G447">
        <f>E447-F447</f>
        <v/>
      </c>
    </row>
    <row r="448">
      <c r="A448" t="inlineStr">
        <is>
          <t>Donaghe &amp; Torrey (1979) | 8,12</t>
        </is>
      </c>
      <c r="B448" t="n">
        <v>0.317</v>
      </c>
      <c r="C448" t="n">
        <v>0.679120815468422</v>
      </c>
      <c r="D448" t="n">
        <v>0.5269252404372051</v>
      </c>
      <c r="E448">
        <f>DEGREES(ATAN(D448/C448))</f>
        <v/>
      </c>
      <c r="F448">
        <f>DEGREES(ATAN(TAN(RADIANS(pe0-omega*B448))*(C448/sref)^(m_-1)))</f>
        <v/>
      </c>
      <c r="G448">
        <f>E448-F448</f>
        <v/>
      </c>
    </row>
    <row r="449">
      <c r="A449" t="inlineStr">
        <is>
          <t>Donaghe &amp; Torrey (1979) | 8,12</t>
        </is>
      </c>
      <c r="B449" t="n">
        <v>0.309</v>
      </c>
      <c r="C449" t="n">
        <v>2.233114144749265</v>
      </c>
      <c r="D449" t="n">
        <v>1.642545322985673</v>
      </c>
      <c r="E449">
        <f>DEGREES(ATAN(D449/C449))</f>
        <v/>
      </c>
      <c r="F449">
        <f>DEGREES(ATAN(TAN(RADIANS(pe0-omega*B449))*(C449/sref)^(m_-1)))</f>
        <v/>
      </c>
      <c r="G449">
        <f>E449-F449</f>
        <v/>
      </c>
    </row>
    <row r="450">
      <c r="A450" t="inlineStr">
        <is>
          <t>Alva-Hurtado et al. (1981) | Al-comp</t>
        </is>
      </c>
      <c r="B450" t="n">
        <v>0.65</v>
      </c>
      <c r="C450" t="n">
        <v>0.1302585883805203</v>
      </c>
      <c r="D450" t="n">
        <v>0.1476329405856522</v>
      </c>
      <c r="E450">
        <f>DEGREES(ATAN(D450/C450))</f>
        <v/>
      </c>
      <c r="F450">
        <f>DEGREES(ATAN(TAN(RADIANS(pe0-omega*B450))*(C450/sref)^(m_-1)))</f>
        <v/>
      </c>
      <c r="G450">
        <f>E450-F450</f>
        <v/>
      </c>
    </row>
    <row r="451">
      <c r="A451" t="inlineStr">
        <is>
          <t>Alva-Hurtado et al. (1981) | Al-comp</t>
        </is>
      </c>
      <c r="B451" t="n">
        <v>0.65</v>
      </c>
      <c r="C451" t="n">
        <v>0.1934573605259714</v>
      </c>
      <c r="D451" t="n">
        <v>0.2135970283504609</v>
      </c>
      <c r="E451">
        <f>DEGREES(ATAN(D451/C451))</f>
        <v/>
      </c>
      <c r="F451">
        <f>DEGREES(ATAN(TAN(RADIANS(pe0-omega*B451))*(C451/sref)^(m_-1)))</f>
        <v/>
      </c>
      <c r="G451">
        <f>E451-F451</f>
        <v/>
      </c>
    </row>
    <row r="452">
      <c r="A452" t="inlineStr">
        <is>
          <t>Alva-Hurtado et al. (1981) | Al-comp</t>
        </is>
      </c>
      <c r="B452" t="n">
        <v>0.65</v>
      </c>
      <c r="C452" t="n">
        <v>0.2519942170536991</v>
      </c>
      <c r="D452" t="n">
        <v>0.260397916607124</v>
      </c>
      <c r="E452">
        <f>DEGREES(ATAN(D452/C452))</f>
        <v/>
      </c>
      <c r="F452">
        <f>DEGREES(ATAN(TAN(RADIANS(pe0-omega*B452))*(C452/sref)^(m_-1)))</f>
        <v/>
      </c>
      <c r="G452">
        <f>E452-F452</f>
        <v/>
      </c>
    </row>
    <row r="453">
      <c r="A453" t="inlineStr">
        <is>
          <t>Alva-Hurtado et al. (1981) | Al-uncomp</t>
        </is>
      </c>
      <c r="B453" t="n">
        <v>0.74</v>
      </c>
      <c r="C453" t="n">
        <v>0.141018314677215</v>
      </c>
      <c r="D453" t="n">
        <v>0.1440483797781866</v>
      </c>
      <c r="E453">
        <f>DEGREES(ATAN(D453/C453))</f>
        <v/>
      </c>
      <c r="F453">
        <f>DEGREES(ATAN(TAN(RADIANS(pe0-omega*B453))*(C453/sref)^(m_-1)))</f>
        <v/>
      </c>
      <c r="G453">
        <f>E453-F453</f>
        <v/>
      </c>
    </row>
    <row r="454">
      <c r="A454" t="inlineStr">
        <is>
          <t>Alva-Hurtado et al. (1981) | Al-uncomp</t>
        </is>
      </c>
      <c r="B454" t="n">
        <v>0.74</v>
      </c>
      <c r="C454" t="n">
        <v>0.1948535101630965</v>
      </c>
      <c r="D454" t="n">
        <v>0.1750985747503964</v>
      </c>
      <c r="E454">
        <f>DEGREES(ATAN(D454/C454))</f>
        <v/>
      </c>
      <c r="F454">
        <f>DEGREES(ATAN(TAN(RADIANS(pe0-omega*B454))*(C454/sref)^(m_-1)))</f>
        <v/>
      </c>
      <c r="G454">
        <f>E454-F454</f>
        <v/>
      </c>
    </row>
    <row r="455">
      <c r="A455" t="inlineStr">
        <is>
          <t>Alva-Hurtado et al. (1981) | Al-uncomp</t>
        </is>
      </c>
      <c r="B455" t="n">
        <v>0.74</v>
      </c>
      <c r="C455" t="n">
        <v>0.2037770360518912</v>
      </c>
      <c r="D455" t="n">
        <v>0.1875421902615807</v>
      </c>
      <c r="E455">
        <f>DEGREES(ATAN(D455/C455))</f>
        <v/>
      </c>
      <c r="F455">
        <f>DEGREES(ATAN(TAN(RADIANS(pe0-omega*B455))*(C455/sref)^(m_-1)))</f>
        <v/>
      </c>
      <c r="G455">
        <f>E455-F455</f>
        <v/>
      </c>
    </row>
    <row r="456">
      <c r="A456" t="inlineStr">
        <is>
          <t>Alva-Hurtado et al. (1981) | Al-uncomp</t>
        </is>
      </c>
      <c r="B456" t="n">
        <v>0.74</v>
      </c>
      <c r="C456" t="n">
        <v>0.2706130321072042</v>
      </c>
      <c r="D456" t="n">
        <v>0.2455696419741717</v>
      </c>
      <c r="E456">
        <f>DEGREES(ATAN(D456/C456))</f>
        <v/>
      </c>
      <c r="F456">
        <f>DEGREES(ATAN(TAN(RADIANS(pe0-omega*B456))*(C456/sref)^(m_-1)))</f>
        <v/>
      </c>
      <c r="G456">
        <f>E456-F456</f>
        <v/>
      </c>
    </row>
    <row r="457">
      <c r="A457" t="inlineStr">
        <is>
          <t>Charles &amp; Watts (1980) | A</t>
        </is>
      </c>
      <c r="B457" t="n">
        <v>0.33</v>
      </c>
      <c r="C457" t="n">
        <v>0.1955983277618764</v>
      </c>
      <c r="D457" t="n">
        <v>0.2352936879668045</v>
      </c>
      <c r="E457">
        <f>DEGREES(ATAN(D457/C457))</f>
        <v/>
      </c>
      <c r="F457">
        <f>DEGREES(ATAN(TAN(RADIANS(pe0-omega*B457))*(C457/sref)^(m_-1)))</f>
        <v/>
      </c>
      <c r="G457">
        <f>E457-F457</f>
        <v/>
      </c>
    </row>
    <row r="458">
      <c r="A458" t="inlineStr">
        <is>
          <t>Charles &amp; Watts (1980) | A</t>
        </is>
      </c>
      <c r="B458" t="n">
        <v>0.33</v>
      </c>
      <c r="C458" t="n">
        <v>0.5318192784395948</v>
      </c>
      <c r="D458" t="n">
        <v>0.4866968498876427</v>
      </c>
      <c r="E458">
        <f>DEGREES(ATAN(D458/C458))</f>
        <v/>
      </c>
      <c r="F458">
        <f>DEGREES(ATAN(TAN(RADIANS(pe0-omega*B458))*(C458/sref)^(m_-1)))</f>
        <v/>
      </c>
      <c r="G458">
        <f>E458-F458</f>
        <v/>
      </c>
    </row>
    <row r="459">
      <c r="A459" t="inlineStr">
        <is>
          <t>Charles &amp; Watts (1980) | A</t>
        </is>
      </c>
      <c r="B459" t="n">
        <v>0.33</v>
      </c>
      <c r="C459" t="n">
        <v>1.262328781412656</v>
      </c>
      <c r="D459" t="n">
        <v>0.992890172646</v>
      </c>
      <c r="E459">
        <f>DEGREES(ATAN(D459/C459))</f>
        <v/>
      </c>
      <c r="F459">
        <f>DEGREES(ATAN(TAN(RADIANS(pe0-omega*B459))*(C459/sref)^(m_-1)))</f>
        <v/>
      </c>
      <c r="G459">
        <f>E459-F459</f>
        <v/>
      </c>
    </row>
    <row r="460">
      <c r="A460" t="inlineStr">
        <is>
          <t>SMEC (1976-80) | UC13/TRH-a</t>
        </is>
      </c>
      <c r="B460" t="n">
        <v>0.2612857142857143</v>
      </c>
      <c r="C460" t="n">
        <v>0.6266373311525412</v>
      </c>
      <c r="D460" t="n">
        <v>0.6546122735534092</v>
      </c>
      <c r="E460">
        <f>DEGREES(ATAN(D460/C460))</f>
        <v/>
      </c>
      <c r="F460">
        <f>DEGREES(ATAN(TAN(RADIANS(pe0-omega*B460))*(C460/sref)^(m_-1)))</f>
        <v/>
      </c>
      <c r="G460">
        <f>E460-F460</f>
        <v/>
      </c>
    </row>
    <row r="461">
      <c r="A461" t="inlineStr">
        <is>
          <t>SMEC (1976-80) | UC13/TRH-a</t>
        </is>
      </c>
      <c r="B461" t="n">
        <v>0.2612857142857143</v>
      </c>
      <c r="C461" t="n">
        <v>2.408672242866448</v>
      </c>
      <c r="D461" t="n">
        <v>1.978686164706502</v>
      </c>
      <c r="E461">
        <f>DEGREES(ATAN(D461/C461))</f>
        <v/>
      </c>
      <c r="F461">
        <f>DEGREES(ATAN(TAN(RADIANS(pe0-omega*B461))*(C461/sref)^(m_-1)))</f>
        <v/>
      </c>
      <c r="G461">
        <f>E461-F461</f>
        <v/>
      </c>
    </row>
    <row r="462">
      <c r="A462" t="inlineStr">
        <is>
          <t>SMEC (1976-80) | UC13/TRH-b</t>
        </is>
      </c>
      <c r="B462" t="n">
        <v>0.2612857142857143</v>
      </c>
      <c r="C462" t="n">
        <v>0.667792352729633</v>
      </c>
      <c r="D462" t="n">
        <v>0.7175397698538728</v>
      </c>
      <c r="E462">
        <f>DEGREES(ATAN(D462/C462))</f>
        <v/>
      </c>
      <c r="F462">
        <f>DEGREES(ATAN(TAN(RADIANS(pe0-omega*B462))*(C462/sref)^(m_-1)))</f>
        <v/>
      </c>
      <c r="G462">
        <f>E462-F462</f>
        <v/>
      </c>
    </row>
    <row r="463">
      <c r="A463" t="inlineStr">
        <is>
          <t>SMEC (1976-80) | UC13/TRH-b</t>
        </is>
      </c>
      <c r="B463" t="n">
        <v>0.2612857142857143</v>
      </c>
      <c r="C463" t="n">
        <v>1.247139334271957</v>
      </c>
      <c r="D463" t="n">
        <v>1.153123034613085</v>
      </c>
      <c r="E463">
        <f>DEGREES(ATAN(D463/C463))</f>
        <v/>
      </c>
      <c r="F463">
        <f>DEGREES(ATAN(TAN(RADIANS(pe0-omega*B463))*(C463/sref)^(m_-1)))</f>
        <v/>
      </c>
      <c r="G463">
        <f>E463-F463</f>
        <v/>
      </c>
    </row>
    <row r="464">
      <c r="A464" t="inlineStr">
        <is>
          <t>SMEC (1976-80) | UC13/TRH-b</t>
        </is>
      </c>
      <c r="B464" t="n">
        <v>0.2612857142857143</v>
      </c>
      <c r="C464" t="n">
        <v>2.44577683446547</v>
      </c>
      <c r="D464" t="n">
        <v>2.075674448022661</v>
      </c>
      <c r="E464">
        <f>DEGREES(ATAN(D464/C464))</f>
        <v/>
      </c>
      <c r="F464">
        <f>DEGREES(ATAN(TAN(RADIANS(pe0-omega*B464))*(C464/sref)^(m_-1)))</f>
        <v/>
      </c>
      <c r="G464">
        <f>E464-F464</f>
        <v/>
      </c>
    </row>
    <row r="465">
      <c r="A465" t="inlineStr">
        <is>
          <t>SMEC (1976-80) | UC13/TRS</t>
        </is>
      </c>
      <c r="B465" t="n">
        <v>0.3583076923076924</v>
      </c>
      <c r="C465" t="n">
        <v>0.6383575632264989</v>
      </c>
      <c r="D465" t="n">
        <v>0.571124951780143</v>
      </c>
      <c r="E465">
        <f>DEGREES(ATAN(D465/C465))</f>
        <v/>
      </c>
      <c r="F465">
        <f>DEGREES(ATAN(TAN(RADIANS(pe0-omega*B465))*(C465/sref)^(m_-1)))</f>
        <v/>
      </c>
      <c r="G465">
        <f>E465-F465</f>
        <v/>
      </c>
    </row>
    <row r="466">
      <c r="A466" t="inlineStr">
        <is>
          <t>SMEC (1976-80) | UC13/TRS</t>
        </is>
      </c>
      <c r="B466" t="n">
        <v>0.3583076923076924</v>
      </c>
      <c r="C466" t="n">
        <v>1.286974281418772</v>
      </c>
      <c r="D466" t="n">
        <v>0.9343691623727297</v>
      </c>
      <c r="E466">
        <f>DEGREES(ATAN(D466/C466))</f>
        <v/>
      </c>
      <c r="F466">
        <f>DEGREES(ATAN(TAN(RADIANS(pe0-omega*B466))*(C466/sref)^(m_-1)))</f>
        <v/>
      </c>
      <c r="G466">
        <f>E466-F466</f>
        <v/>
      </c>
    </row>
    <row r="467">
      <c r="A467" t="inlineStr">
        <is>
          <t>SMEC (1976-80) | UC13/TRS</t>
        </is>
      </c>
      <c r="B467" t="n">
        <v>0.3583076923076924</v>
      </c>
      <c r="C467" t="n">
        <v>1.90992619327569</v>
      </c>
      <c r="D467" t="n">
        <v>1.359272694638719</v>
      </c>
      <c r="E467">
        <f>DEGREES(ATAN(D467/C467))</f>
        <v/>
      </c>
      <c r="F467">
        <f>DEGREES(ATAN(TAN(RADIANS(pe0-omega*B467))*(C467/sref)^(m_-1)))</f>
        <v/>
      </c>
      <c r="G467">
        <f>E467-F467</f>
        <v/>
      </c>
    </row>
    <row r="468">
      <c r="A468" t="inlineStr">
        <is>
          <t>SMEC (1976-80) | UC13/TRS/2-a</t>
        </is>
      </c>
      <c r="B468" t="n">
        <v>0.3867539267015707</v>
      </c>
      <c r="C468" t="n">
        <v>0.2766810973854597</v>
      </c>
      <c r="D468" t="n">
        <v>0.1924112420394781</v>
      </c>
      <c r="E468">
        <f>DEGREES(ATAN(D468/C468))</f>
        <v/>
      </c>
      <c r="F468">
        <f>DEGREES(ATAN(TAN(RADIANS(pe0-omega*B468))*(C468/sref)^(m_-1)))</f>
        <v/>
      </c>
      <c r="G468">
        <f>E468-F468</f>
        <v/>
      </c>
    </row>
    <row r="469">
      <c r="A469" t="inlineStr">
        <is>
          <t>SMEC (1976-80) | UC13/TRS/2-a</t>
        </is>
      </c>
      <c r="B469" t="n">
        <v>0.3867539267015707</v>
      </c>
      <c r="C469" t="n">
        <v>0.5239824625072602</v>
      </c>
      <c r="D469" t="n">
        <v>0.3242745514149088</v>
      </c>
      <c r="E469">
        <f>DEGREES(ATAN(D469/C469))</f>
        <v/>
      </c>
      <c r="F469">
        <f>DEGREES(ATAN(TAN(RADIANS(pe0-omega*B469))*(C469/sref)^(m_-1)))</f>
        <v/>
      </c>
      <c r="G469">
        <f>E469-F469</f>
        <v/>
      </c>
    </row>
    <row r="470">
      <c r="A470" t="inlineStr">
        <is>
          <t>SMEC (1976-80) | UC13/TRS/3-a</t>
        </is>
      </c>
      <c r="B470" t="n">
        <v>0.3583076923076924</v>
      </c>
      <c r="C470" t="n">
        <v>0.520835014944937</v>
      </c>
      <c r="D470" t="n">
        <v>0.3877920779049041</v>
      </c>
      <c r="E470">
        <f>DEGREES(ATAN(D470/C470))</f>
        <v/>
      </c>
      <c r="F470">
        <f>DEGREES(ATAN(TAN(RADIANS(pe0-omega*B470))*(C470/sref)^(m_-1)))</f>
        <v/>
      </c>
      <c r="G470">
        <f>E470-F470</f>
        <v/>
      </c>
    </row>
    <row r="471">
      <c r="A471" t="inlineStr">
        <is>
          <t>SMEC (1976-80) | UC13/TRS/3-a</t>
        </is>
      </c>
      <c r="B471" t="n">
        <v>0.3583076923076924</v>
      </c>
      <c r="C471" t="n">
        <v>0.9548071294991434</v>
      </c>
      <c r="D471" t="n">
        <v>0.6334001287197958</v>
      </c>
      <c r="E471">
        <f>DEGREES(ATAN(D471/C471))</f>
        <v/>
      </c>
      <c r="F471">
        <f>DEGREES(ATAN(TAN(RADIANS(pe0-omega*B471))*(C471/sref)^(m_-1)))</f>
        <v/>
      </c>
      <c r="G471">
        <f>E471-F471</f>
        <v/>
      </c>
    </row>
    <row r="472">
      <c r="A472" t="inlineStr">
        <is>
          <t>SMEC (1976-80) | UC13/TRS/3-a</t>
        </is>
      </c>
      <c r="B472" t="n">
        <v>0.3583076923076924</v>
      </c>
      <c r="C472" t="n">
        <v>1.507819393123812</v>
      </c>
      <c r="D472" t="n">
        <v>1.033329588180035</v>
      </c>
      <c r="E472">
        <f>DEGREES(ATAN(D472/C472))</f>
        <v/>
      </c>
      <c r="F472">
        <f>DEGREES(ATAN(TAN(RADIANS(pe0-omega*B472))*(C472/sref)^(m_-1)))</f>
        <v/>
      </c>
      <c r="G472">
        <f>E472-F472</f>
        <v/>
      </c>
    </row>
    <row r="473">
      <c r="A473" t="inlineStr">
        <is>
          <t>SMEC (1976-80) | UC13/TRS/4-a</t>
        </is>
      </c>
      <c r="B473" t="n">
        <v>0.3583076923076924</v>
      </c>
      <c r="C473" t="n">
        <v>0.6477813399996554</v>
      </c>
      <c r="D473" t="n">
        <v>0.5134572020407893</v>
      </c>
      <c r="E473">
        <f>DEGREES(ATAN(D473/C473))</f>
        <v/>
      </c>
      <c r="F473">
        <f>DEGREES(ATAN(TAN(RADIANS(pe0-omega*B473))*(C473/sref)^(m_-1)))</f>
        <v/>
      </c>
      <c r="G473">
        <f>E473-F473</f>
        <v/>
      </c>
    </row>
    <row r="474">
      <c r="A474" t="inlineStr">
        <is>
          <t>SMEC (1976-80) | UC13/TRS/4-a</t>
        </is>
      </c>
      <c r="B474" t="n">
        <v>0.3583076923076924</v>
      </c>
      <c r="C474" t="n">
        <v>1.057256377471433</v>
      </c>
      <c r="D474" t="n">
        <v>0.8193156313821294</v>
      </c>
      <c r="E474">
        <f>DEGREES(ATAN(D474/C474))</f>
        <v/>
      </c>
      <c r="F474">
        <f>DEGREES(ATAN(TAN(RADIANS(pe0-omega*B474))*(C474/sref)^(m_-1)))</f>
        <v/>
      </c>
      <c r="G474">
        <f>E474-F474</f>
        <v/>
      </c>
    </row>
    <row r="475">
      <c r="A475" t="inlineStr">
        <is>
          <t>SMEC (1976-80) | UC13/TRS/4-b</t>
        </is>
      </c>
      <c r="B475" t="n">
        <v>0.3583076923076924</v>
      </c>
      <c r="C475" t="n">
        <v>0.9685865815825871</v>
      </c>
      <c r="D475" t="n">
        <v>0.7872082648189821</v>
      </c>
      <c r="E475">
        <f>DEGREES(ATAN(D475/C475))</f>
        <v/>
      </c>
      <c r="F475">
        <f>DEGREES(ATAN(TAN(RADIANS(pe0-omega*B475))*(C475/sref)^(m_-1)))</f>
        <v/>
      </c>
      <c r="G475">
        <f>E475-F475</f>
        <v/>
      </c>
    </row>
    <row r="476">
      <c r="A476" t="inlineStr">
        <is>
          <t>SMEC (1976-80) | UC25/3A/19T-a</t>
        </is>
      </c>
      <c r="B476" t="n">
        <v>0.2205990783410139</v>
      </c>
      <c r="C476" t="n">
        <v>0.6550653856684875</v>
      </c>
      <c r="D476" t="n">
        <v>0.6637045717030422</v>
      </c>
      <c r="E476">
        <f>DEGREES(ATAN(D476/C476))</f>
        <v/>
      </c>
      <c r="F476">
        <f>DEGREES(ATAN(TAN(RADIANS(pe0-omega*B476))*(C476/sref)^(m_-1)))</f>
        <v/>
      </c>
      <c r="G476">
        <f>E476-F476</f>
        <v/>
      </c>
    </row>
    <row r="477">
      <c r="A477" t="inlineStr">
        <is>
          <t>SMEC (1976-80) | UC25/3A/19T-a</t>
        </is>
      </c>
      <c r="B477" t="n">
        <v>0.2205990783410139</v>
      </c>
      <c r="C477" t="n">
        <v>1.245338733691128</v>
      </c>
      <c r="D477" t="n">
        <v>1.146601800276684</v>
      </c>
      <c r="E477">
        <f>DEGREES(ATAN(D477/C477))</f>
        <v/>
      </c>
      <c r="F477">
        <f>DEGREES(ATAN(TAN(RADIANS(pe0-omega*B477))*(C477/sref)^(m_-1)))</f>
        <v/>
      </c>
      <c r="G477">
        <f>E477-F477</f>
        <v/>
      </c>
    </row>
    <row r="478">
      <c r="A478" t="inlineStr">
        <is>
          <t>SMEC (1976-80) | UC25/3A/19T-a</t>
        </is>
      </c>
      <c r="B478" t="n">
        <v>0.2205990783410139</v>
      </c>
      <c r="C478" t="n">
        <v>2.449127394537436</v>
      </c>
      <c r="D478" t="n">
        <v>2.106080950724625</v>
      </c>
      <c r="E478">
        <f>DEGREES(ATAN(D478/C478))</f>
        <v/>
      </c>
      <c r="F478">
        <f>DEGREES(ATAN(TAN(RADIANS(pe0-omega*B478))*(C478/sref)^(m_-1)))</f>
        <v/>
      </c>
      <c r="G478">
        <f>E478-F478</f>
        <v/>
      </c>
    </row>
    <row r="479">
      <c r="A479" t="inlineStr">
        <is>
          <t>SMEC (1976-80) | UC25/3A/3T-a</t>
        </is>
      </c>
      <c r="B479" t="n">
        <v>0.1719911504424778</v>
      </c>
      <c r="C479" t="n">
        <v>0.6174070889171842</v>
      </c>
      <c r="D479" t="n">
        <v>0.6579106077763031</v>
      </c>
      <c r="E479">
        <f>DEGREES(ATAN(D479/C479))</f>
        <v/>
      </c>
      <c r="F479">
        <f>DEGREES(ATAN(TAN(RADIANS(pe0-omega*B479))*(C479/sref)^(m_-1)))</f>
        <v/>
      </c>
      <c r="G479">
        <f>E479-F479</f>
        <v/>
      </c>
    </row>
    <row r="480">
      <c r="A480" t="inlineStr">
        <is>
          <t>SMEC (1976-80) | UC25/3A/3T-a</t>
        </is>
      </c>
      <c r="B480" t="n">
        <v>0.1719911504424778</v>
      </c>
      <c r="C480" t="n">
        <v>1.235708935012298</v>
      </c>
      <c r="D480" t="n">
        <v>1.261635827526178</v>
      </c>
      <c r="E480">
        <f>DEGREES(ATAN(D480/C480))</f>
        <v/>
      </c>
      <c r="F480">
        <f>DEGREES(ATAN(TAN(RADIANS(pe0-omega*B480))*(C480/sref)^(m_-1)))</f>
        <v/>
      </c>
      <c r="G480">
        <f>E480-F480</f>
        <v/>
      </c>
    </row>
    <row r="481">
      <c r="A481" t="inlineStr">
        <is>
          <t>SMEC (1976-80) | UC25/3A/3T-a</t>
        </is>
      </c>
      <c r="B481" t="n">
        <v>0.1719911504424778</v>
      </c>
      <c r="C481" t="n">
        <v>2.3153779115916</v>
      </c>
      <c r="D481" t="n">
        <v>2.081740959983828</v>
      </c>
      <c r="E481">
        <f>DEGREES(ATAN(D481/C481))</f>
        <v/>
      </c>
      <c r="F481">
        <f>DEGREES(ATAN(TAN(RADIANS(pe0-omega*B481))*(C481/sref)^(m_-1)))</f>
        <v/>
      </c>
      <c r="G481">
        <f>E481-F481</f>
        <v/>
      </c>
    </row>
    <row r="482">
      <c r="A482" t="inlineStr">
        <is>
          <t>SMEC (1976-80) | UC25/3A/4T-a</t>
        </is>
      </c>
      <c r="B482" t="n">
        <v>0.3310050251256282</v>
      </c>
      <c r="C482" t="n">
        <v>0.5425843270176178</v>
      </c>
      <c r="D482" t="n">
        <v>0.457381428289069</v>
      </c>
      <c r="E482">
        <f>DEGREES(ATAN(D482/C482))</f>
        <v/>
      </c>
      <c r="F482">
        <f>DEGREES(ATAN(TAN(RADIANS(pe0-omega*B482))*(C482/sref)^(m_-1)))</f>
        <v/>
      </c>
      <c r="G482">
        <f>E482-F482</f>
        <v/>
      </c>
    </row>
    <row r="483">
      <c r="A483" t="inlineStr">
        <is>
          <t>SMEC (1976-80) | UC25/3A/4T-a</t>
        </is>
      </c>
      <c r="B483" t="n">
        <v>0.3310050251256282</v>
      </c>
      <c r="C483" t="n">
        <v>1.191044236262178</v>
      </c>
      <c r="D483" t="n">
        <v>1.086032229727739</v>
      </c>
      <c r="E483">
        <f>DEGREES(ATAN(D483/C483))</f>
        <v/>
      </c>
      <c r="F483">
        <f>DEGREES(ATAN(TAN(RADIANS(pe0-omega*B483))*(C483/sref)^(m_-1)))</f>
        <v/>
      </c>
      <c r="G483">
        <f>E483-F483</f>
        <v/>
      </c>
    </row>
    <row r="484">
      <c r="A484" t="inlineStr">
        <is>
          <t>SMEC (1976-80) | UC25/3A/4T-a</t>
        </is>
      </c>
      <c r="B484" t="n">
        <v>0.3310050251256282</v>
      </c>
      <c r="C484" t="n">
        <v>2.315294936982227</v>
      </c>
      <c r="D484" t="n">
        <v>1.927235996445952</v>
      </c>
      <c r="E484">
        <f>DEGREES(ATAN(D484/C484))</f>
        <v/>
      </c>
      <c r="F484">
        <f>DEGREES(ATAN(TAN(RADIANS(pe0-omega*B484))*(C484/sref)^(m_-1)))</f>
        <v/>
      </c>
      <c r="G484">
        <f>E484-F484</f>
        <v/>
      </c>
    </row>
    <row r="485">
      <c r="A485" t="inlineStr">
        <is>
          <t>SMEC (1976-80) | UC25/3A/7T-a</t>
        </is>
      </c>
      <c r="B485" t="n">
        <v>0.2553080568720378</v>
      </c>
      <c r="C485" t="n">
        <v>0.745518626032146</v>
      </c>
      <c r="D485" t="n">
        <v>0.7878682904996146</v>
      </c>
      <c r="E485">
        <f>DEGREES(ATAN(D485/C485))</f>
        <v/>
      </c>
      <c r="F485">
        <f>DEGREES(ATAN(TAN(RADIANS(pe0-omega*B485))*(C485/sref)^(m_-1)))</f>
        <v/>
      </c>
      <c r="G485">
        <f>E485-F485</f>
        <v/>
      </c>
    </row>
    <row r="486">
      <c r="A486" t="inlineStr">
        <is>
          <t>SMEC (1976-80) | UC25/3A/7T-a</t>
        </is>
      </c>
      <c r="B486" t="n">
        <v>0.2553080568720378</v>
      </c>
      <c r="C486" t="n">
        <v>1.368942729446191</v>
      </c>
      <c r="D486" t="n">
        <v>1.18353162558797</v>
      </c>
      <c r="E486">
        <f>DEGREES(ATAN(D486/C486))</f>
        <v/>
      </c>
      <c r="F486">
        <f>DEGREES(ATAN(TAN(RADIANS(pe0-omega*B486))*(C486/sref)^(m_-1)))</f>
        <v/>
      </c>
      <c r="G486">
        <f>E486-F486</f>
        <v/>
      </c>
    </row>
    <row r="487">
      <c r="A487" t="inlineStr">
        <is>
          <t>SMEC (1976-80) | UC25/3A/7T-a</t>
        </is>
      </c>
      <c r="B487" t="n">
        <v>0.2553080568720378</v>
      </c>
      <c r="C487" t="n">
        <v>2.512073078856575</v>
      </c>
      <c r="D487" t="n">
        <v>1.777208955344216</v>
      </c>
      <c r="E487">
        <f>DEGREES(ATAN(D487/C487))</f>
        <v/>
      </c>
      <c r="F487">
        <f>DEGREES(ATAN(TAN(RADIANS(pe0-omega*B487))*(C487/sref)^(m_-1)))</f>
        <v/>
      </c>
      <c r="G487">
        <f>E487-F487</f>
        <v/>
      </c>
    </row>
    <row r="488">
      <c r="A488" t="inlineStr">
        <is>
          <t>SMEC (1976-80) | UC25/4/15T-a</t>
        </is>
      </c>
      <c r="B488" t="n">
        <v>0.3112376237623764</v>
      </c>
      <c r="C488" t="n">
        <v>0.6521480554107055</v>
      </c>
      <c r="D488" t="n">
        <v>0.6322160569409208</v>
      </c>
      <c r="E488">
        <f>DEGREES(ATAN(D488/C488))</f>
        <v/>
      </c>
      <c r="F488">
        <f>DEGREES(ATAN(TAN(RADIANS(pe0-omega*B488))*(C488/sref)^(m_-1)))</f>
        <v/>
      </c>
      <c r="G488">
        <f>E488-F488</f>
        <v/>
      </c>
    </row>
    <row r="489">
      <c r="A489" t="inlineStr">
        <is>
          <t>SMEC (1976-80) | UC25/4/15T-a</t>
        </is>
      </c>
      <c r="B489" t="n">
        <v>0.3112376237623764</v>
      </c>
      <c r="C489" t="n">
        <v>1.242947317671828</v>
      </c>
      <c r="D489" t="n">
        <v>1.071010773150422</v>
      </c>
      <c r="E489">
        <f>DEGREES(ATAN(D489/C489))</f>
        <v/>
      </c>
      <c r="F489">
        <f>DEGREES(ATAN(TAN(RADIANS(pe0-omega*B489))*(C489/sref)^(m_-1)))</f>
        <v/>
      </c>
      <c r="G489">
        <f>E489-F489</f>
        <v/>
      </c>
    </row>
    <row r="490">
      <c r="A490" t="inlineStr">
        <is>
          <t>SMEC (1976-80) | UC25/4/15T-a</t>
        </is>
      </c>
      <c r="B490" t="n">
        <v>0.3112376237623764</v>
      </c>
      <c r="C490" t="n">
        <v>2.418692894292509</v>
      </c>
      <c r="D490" t="n">
        <v>1.889806716478079</v>
      </c>
      <c r="E490">
        <f>DEGREES(ATAN(D490/C490))</f>
        <v/>
      </c>
      <c r="F490">
        <f>DEGREES(ATAN(TAN(RADIANS(pe0-omega*B490))*(C490/sref)^(m_-1)))</f>
        <v/>
      </c>
      <c r="G490">
        <f>E490-F490</f>
        <v/>
      </c>
    </row>
    <row r="491">
      <c r="A491" t="inlineStr">
        <is>
          <t>SMEC (1976-80) | UC25/4/1T-a</t>
        </is>
      </c>
      <c r="B491" t="n">
        <v>0.2734134615384616</v>
      </c>
      <c r="C491" t="n">
        <v>0.5663711856710004</v>
      </c>
      <c r="D491" t="n">
        <v>0.4997691676762543</v>
      </c>
      <c r="E491">
        <f>DEGREES(ATAN(D491/C491))</f>
        <v/>
      </c>
      <c r="F491">
        <f>DEGREES(ATAN(TAN(RADIANS(pe0-omega*B491))*(C491/sref)^(m_-1)))</f>
        <v/>
      </c>
      <c r="G491">
        <f>E491-F491</f>
        <v/>
      </c>
    </row>
    <row r="492">
      <c r="A492" t="inlineStr">
        <is>
          <t>SMEC (1976-80) | UC25/4/1T-a</t>
        </is>
      </c>
      <c r="B492" t="n">
        <v>0.2734134615384616</v>
      </c>
      <c r="C492" t="n">
        <v>1.238691000361746</v>
      </c>
      <c r="D492" t="n">
        <v>1.080985534610377</v>
      </c>
      <c r="E492">
        <f>DEGREES(ATAN(D492/C492))</f>
        <v/>
      </c>
      <c r="F492">
        <f>DEGREES(ATAN(TAN(RADIANS(pe0-omega*B492))*(C492/sref)^(m_-1)))</f>
        <v/>
      </c>
      <c r="G492">
        <f>E492-F492</f>
        <v/>
      </c>
    </row>
    <row r="493">
      <c r="A493" t="inlineStr">
        <is>
          <t>SMEC (1976-80) | UC25/4/1T-a</t>
        </is>
      </c>
      <c r="B493" t="n">
        <v>0.2734134615384616</v>
      </c>
      <c r="C493" t="n">
        <v>1.739429289221783</v>
      </c>
      <c r="D493" t="n">
        <v>1.315965632945316</v>
      </c>
      <c r="E493">
        <f>DEGREES(ATAN(D493/C493))</f>
        <v/>
      </c>
      <c r="F493">
        <f>DEGREES(ATAN(TAN(RADIANS(pe0-omega*B493))*(C493/sref)^(m_-1)))</f>
        <v/>
      </c>
      <c r="G493">
        <f>E493-F493</f>
        <v/>
      </c>
    </row>
    <row r="494">
      <c r="A494" t="inlineStr">
        <is>
          <t>SMEC (1976-80) | UC25/4/1T-a</t>
        </is>
      </c>
      <c r="B494" t="n">
        <v>0.2734134615384616</v>
      </c>
      <c r="C494" t="n">
        <v>2.288592499738147</v>
      </c>
      <c r="D494" t="n">
        <v>1.635386122126971</v>
      </c>
      <c r="E494">
        <f>DEGREES(ATAN(D494/C494))</f>
        <v/>
      </c>
      <c r="F494">
        <f>DEGREES(ATAN(TAN(RADIANS(pe0-omega*B494))*(C494/sref)^(m_-1)))</f>
        <v/>
      </c>
      <c r="G494">
        <f>E494-F494</f>
        <v/>
      </c>
    </row>
    <row r="495">
      <c r="A495" t="inlineStr">
        <is>
          <t>SMEC (1976-80) | UC25/4/6T-a</t>
        </is>
      </c>
      <c r="B495" t="n">
        <v>0.2673205741626796</v>
      </c>
      <c r="C495" t="n">
        <v>0.6068088534466762</v>
      </c>
      <c r="D495" t="n">
        <v>0.6009925676754063</v>
      </c>
      <c r="E495">
        <f>DEGREES(ATAN(D495/C495))</f>
        <v/>
      </c>
      <c r="F495">
        <f>DEGREES(ATAN(TAN(RADIANS(pe0-omega*B495))*(C495/sref)^(m_-1)))</f>
        <v/>
      </c>
      <c r="G495">
        <f>E495-F495</f>
        <v/>
      </c>
    </row>
    <row r="496">
      <c r="A496" t="inlineStr">
        <is>
          <t>SMEC (1976-80) | UC25/4/6T-a</t>
        </is>
      </c>
      <c r="B496" t="n">
        <v>0.2673205741626796</v>
      </c>
      <c r="C496" t="n">
        <v>1.232888405280087</v>
      </c>
      <c r="D496" t="n">
        <v>1.115360723370246</v>
      </c>
      <c r="E496">
        <f>DEGREES(ATAN(D496/C496))</f>
        <v/>
      </c>
      <c r="F496">
        <f>DEGREES(ATAN(TAN(RADIANS(pe0-omega*B496))*(C496/sref)^(m_-1)))</f>
        <v/>
      </c>
      <c r="G496">
        <f>E496-F496</f>
        <v/>
      </c>
    </row>
    <row r="497">
      <c r="A497" t="inlineStr">
        <is>
          <t>SMEC (1976-80) | UC25/4/6T-a</t>
        </is>
      </c>
      <c r="B497" t="n">
        <v>0.2673205741626796</v>
      </c>
      <c r="C497" t="n">
        <v>2.279190670012352</v>
      </c>
      <c r="D497" t="n">
        <v>1.771729038135624</v>
      </c>
      <c r="E497">
        <f>DEGREES(ATAN(D497/C497))</f>
        <v/>
      </c>
      <c r="F497">
        <f>DEGREES(ATAN(TAN(RADIANS(pe0-omega*B497))*(C497/sref)^(m_-1)))</f>
        <v/>
      </c>
      <c r="G497">
        <f>E497-F497</f>
        <v/>
      </c>
    </row>
    <row r="498">
      <c r="A498" t="inlineStr">
        <is>
          <t>SMEC (1976-80) | UC25/4/9T-a</t>
        </is>
      </c>
      <c r="B498" t="n">
        <v>0.3112376237623764</v>
      </c>
      <c r="C498" t="n">
        <v>0.6476708932624695</v>
      </c>
      <c r="D498" t="n">
        <v>0.6531936351470531</v>
      </c>
      <c r="E498">
        <f>DEGREES(ATAN(D498/C498))</f>
        <v/>
      </c>
      <c r="F498">
        <f>DEGREES(ATAN(TAN(RADIANS(pe0-omega*B498))*(C498/sref)^(m_-1)))</f>
        <v/>
      </c>
      <c r="G498">
        <f>E498-F498</f>
        <v/>
      </c>
    </row>
    <row r="499">
      <c r="A499" t="inlineStr">
        <is>
          <t>SMEC (1976-80) | UC25/4/9T-a</t>
        </is>
      </c>
      <c r="B499" t="n">
        <v>0.3112376237623764</v>
      </c>
      <c r="C499" t="n">
        <v>1.241171536822862</v>
      </c>
      <c r="D499" t="n">
        <v>1.108159587260245</v>
      </c>
      <c r="E499">
        <f>DEGREES(ATAN(D499/C499))</f>
        <v/>
      </c>
      <c r="F499">
        <f>DEGREES(ATAN(TAN(RADIANS(pe0-omega*B499))*(C499/sref)^(m_-1)))</f>
        <v/>
      </c>
      <c r="G499">
        <f>E499-F499</f>
        <v/>
      </c>
    </row>
    <row r="500">
      <c r="A500" t="inlineStr">
        <is>
          <t>SMEC (1976-80) | UC25/4/9T-a</t>
        </is>
      </c>
      <c r="B500" t="n">
        <v>0.3112376237623764</v>
      </c>
      <c r="C500" t="n">
        <v>2.44168078202854</v>
      </c>
      <c r="D500" t="n">
        <v>2.011637033260907</v>
      </c>
      <c r="E500">
        <f>DEGREES(ATAN(D500/C500))</f>
        <v/>
      </c>
      <c r="F500">
        <f>DEGREES(ATAN(TAN(RADIANS(pe0-omega*B500))*(C500/sref)^(m_-1)))</f>
        <v/>
      </c>
      <c r="G500">
        <f>E500-F500</f>
        <v/>
      </c>
    </row>
    <row r="501">
      <c r="A501" t="inlineStr">
        <is>
          <t>Al-Hussaini (1983) | A1</t>
        </is>
      </c>
      <c r="B501" t="n">
        <v>0.53</v>
      </c>
      <c r="C501" t="n">
        <v>0.7886555634175524</v>
      </c>
      <c r="D501" t="n">
        <v>0.8017955216424404</v>
      </c>
      <c r="E501">
        <f>DEGREES(ATAN(D501/C501))</f>
        <v/>
      </c>
      <c r="F501">
        <f>DEGREES(ATAN(TAN(RADIANS(pe0-omega*B501))*(C501/sref)^(m_-1)))</f>
        <v/>
      </c>
      <c r="G501">
        <f>E501-F501</f>
        <v/>
      </c>
    </row>
    <row r="502">
      <c r="A502" t="inlineStr">
        <is>
          <t>Al-Hussaini (1983) | A1</t>
        </is>
      </c>
      <c r="B502" t="n">
        <v>0.53</v>
      </c>
      <c r="C502" t="n">
        <v>1.60384988013975</v>
      </c>
      <c r="D502" t="n">
        <v>1.466766774032228</v>
      </c>
      <c r="E502">
        <f>DEGREES(ATAN(D502/C502))</f>
        <v/>
      </c>
      <c r="F502">
        <f>DEGREES(ATAN(TAN(RADIANS(pe0-omega*B502))*(C502/sref)^(m_-1)))</f>
        <v/>
      </c>
      <c r="G502">
        <f>E502-F502</f>
        <v/>
      </c>
    </row>
    <row r="503">
      <c r="A503" t="inlineStr">
        <is>
          <t>Al-Hussaini (1983) | A1</t>
        </is>
      </c>
      <c r="B503" t="n">
        <v>0.53</v>
      </c>
      <c r="C503" t="n">
        <v>3.56667401556889</v>
      </c>
      <c r="D503" t="n">
        <v>2.719996468597368</v>
      </c>
      <c r="E503">
        <f>DEGREES(ATAN(D503/C503))</f>
        <v/>
      </c>
      <c r="F503">
        <f>DEGREES(ATAN(TAN(RADIANS(pe0-omega*B503))*(C503/sref)^(m_-1)))</f>
        <v/>
      </c>
      <c r="G503">
        <f>E503-F503</f>
        <v/>
      </c>
    </row>
    <row r="504">
      <c r="A504" t="inlineStr">
        <is>
          <t>Al-Hussaini (1983) | A13</t>
        </is>
      </c>
      <c r="B504" t="n">
        <v>0.45</v>
      </c>
      <c r="C504" t="n">
        <v>0.811584299891068</v>
      </c>
      <c r="D504" t="n">
        <v>0.8902534918327063</v>
      </c>
      <c r="E504">
        <f>DEGREES(ATAN(D504/C504))</f>
        <v/>
      </c>
      <c r="F504">
        <f>DEGREES(ATAN(TAN(RADIANS(pe0-omega*B504))*(C504/sref)^(m_-1)))</f>
        <v/>
      </c>
      <c r="G504">
        <f>E504-F504</f>
        <v/>
      </c>
    </row>
    <row r="505">
      <c r="A505" t="inlineStr">
        <is>
          <t>Al-Hussaini (1983) | A13</t>
        </is>
      </c>
      <c r="B505" t="n">
        <v>0.45</v>
      </c>
      <c r="C505" t="n">
        <v>1.652442594601603</v>
      </c>
      <c r="D505" t="n">
        <v>1.627697612735952</v>
      </c>
      <c r="E505">
        <f>DEGREES(ATAN(D505/C505))</f>
        <v/>
      </c>
      <c r="F505">
        <f>DEGREES(ATAN(TAN(RADIANS(pe0-omega*B505))*(C505/sref)^(m_-1)))</f>
        <v/>
      </c>
      <c r="G505">
        <f>E505-F505</f>
        <v/>
      </c>
    </row>
    <row r="506">
      <c r="A506" t="inlineStr">
        <is>
          <t>Al-Hussaini (1983) | A13</t>
        </is>
      </c>
      <c r="B506" t="n">
        <v>0.45</v>
      </c>
      <c r="C506" t="n">
        <v>3.637441081417549</v>
      </c>
      <c r="D506" t="n">
        <v>2.955616863456333</v>
      </c>
      <c r="E506">
        <f>DEGREES(ATAN(D506/C506))</f>
        <v/>
      </c>
      <c r="F506">
        <f>DEGREES(ATAN(TAN(RADIANS(pe0-omega*B506))*(C506/sref)^(m_-1)))</f>
        <v/>
      </c>
      <c r="G506">
        <f>E506-F506</f>
        <v/>
      </c>
    </row>
    <row r="507">
      <c r="A507" t="inlineStr">
        <is>
          <t>Al-Hussaini (1983) | A13</t>
        </is>
      </c>
      <c r="B507" t="n">
        <v>0.45</v>
      </c>
      <c r="C507" t="n">
        <v>5.413938357421032</v>
      </c>
      <c r="D507" t="n">
        <v>4.189711089863343</v>
      </c>
      <c r="E507">
        <f>DEGREES(ATAN(D507/C507))</f>
        <v/>
      </c>
      <c r="F507">
        <f>DEGREES(ATAN(TAN(RADIANS(pe0-omega*B507))*(C507/sref)^(m_-1)))</f>
        <v/>
      </c>
      <c r="G507">
        <f>E507-F507</f>
        <v/>
      </c>
    </row>
    <row r="508">
      <c r="A508" t="inlineStr">
        <is>
          <t>Al-Hussaini (1983) | A17</t>
        </is>
      </c>
      <c r="B508" t="n">
        <v>0.36</v>
      </c>
      <c r="C508" t="n">
        <v>0.8634621939599089</v>
      </c>
      <c r="D508" t="n">
        <v>1.047648875232099</v>
      </c>
      <c r="E508">
        <f>DEGREES(ATAN(D508/C508))</f>
        <v/>
      </c>
      <c r="F508">
        <f>DEGREES(ATAN(TAN(RADIANS(pe0-omega*B508))*(C508/sref)^(m_-1)))</f>
        <v/>
      </c>
      <c r="G508">
        <f>E508-F508</f>
        <v/>
      </c>
    </row>
    <row r="509">
      <c r="A509" t="inlineStr">
        <is>
          <t>Al-Hussaini (1983) | A17</t>
        </is>
      </c>
      <c r="B509" t="n">
        <v>0.36</v>
      </c>
      <c r="C509" t="n">
        <v>1.720510981698613</v>
      </c>
      <c r="D509" t="n">
        <v>1.80236298132184</v>
      </c>
      <c r="E509">
        <f>DEGREES(ATAN(D509/C509))</f>
        <v/>
      </c>
      <c r="F509">
        <f>DEGREES(ATAN(TAN(RADIANS(pe0-omega*B509))*(C509/sref)^(m_-1)))</f>
        <v/>
      </c>
      <c r="G509">
        <f>E509-F509</f>
        <v/>
      </c>
    </row>
    <row r="510">
      <c r="A510" t="inlineStr">
        <is>
          <t>Al-Hussaini (1983) | A17</t>
        </is>
      </c>
      <c r="B510" t="n">
        <v>0.36</v>
      </c>
      <c r="C510" t="n">
        <v>3.865051176538359</v>
      </c>
      <c r="D510" t="n">
        <v>3.374990694110947</v>
      </c>
      <c r="E510">
        <f>DEGREES(ATAN(D510/C510))</f>
        <v/>
      </c>
      <c r="F510">
        <f>DEGREES(ATAN(TAN(RADIANS(pe0-omega*B510))*(C510/sref)^(m_-1)))</f>
        <v/>
      </c>
      <c r="G510">
        <f>E510-F510</f>
        <v/>
      </c>
    </row>
    <row r="511">
      <c r="A511" t="inlineStr">
        <is>
          <t>Al-Hussaini (1983) | A17</t>
        </is>
      </c>
      <c r="B511" t="n">
        <v>0.36</v>
      </c>
      <c r="C511" t="n">
        <v>5.618520227256217</v>
      </c>
      <c r="D511" t="n">
        <v>4.511470965640496</v>
      </c>
      <c r="E511">
        <f>DEGREES(ATAN(D511/C511))</f>
        <v/>
      </c>
      <c r="F511">
        <f>DEGREES(ATAN(TAN(RADIANS(pe0-omega*B511))*(C511/sref)^(m_-1)))</f>
        <v/>
      </c>
      <c r="G511">
        <f>E511-F511</f>
        <v/>
      </c>
    </row>
    <row r="512">
      <c r="A512" t="inlineStr">
        <is>
          <t>Al-Hussaini (1983) | A18</t>
        </is>
      </c>
      <c r="B512" t="n">
        <v>0.4325</v>
      </c>
      <c r="C512" t="n">
        <v>0.8120052498433461</v>
      </c>
      <c r="D512" t="n">
        <v>0.9127545491301869</v>
      </c>
      <c r="E512">
        <f>DEGREES(ATAN(D512/C512))</f>
        <v/>
      </c>
      <c r="F512">
        <f>DEGREES(ATAN(TAN(RADIANS(pe0-omega*B512))*(C512/sref)^(m_-1)))</f>
        <v/>
      </c>
      <c r="G512">
        <f>E512-F512</f>
        <v/>
      </c>
    </row>
    <row r="513">
      <c r="A513" t="inlineStr">
        <is>
          <t>Al-Hussaini (1983) | A18</t>
        </is>
      </c>
      <c r="B513" t="n">
        <v>0.4325</v>
      </c>
      <c r="C513" t="n">
        <v>1.621632331117196</v>
      </c>
      <c r="D513" t="n">
        <v>1.603027035128633</v>
      </c>
      <c r="E513">
        <f>DEGREES(ATAN(D513/C513))</f>
        <v/>
      </c>
      <c r="F513">
        <f>DEGREES(ATAN(TAN(RADIANS(pe0-omega*B513))*(C513/sref)^(m_-1)))</f>
        <v/>
      </c>
      <c r="G513">
        <f>E513-F513</f>
        <v/>
      </c>
    </row>
    <row r="514">
      <c r="A514" t="inlineStr">
        <is>
          <t>Al-Hussaini (1983) | A18</t>
        </is>
      </c>
      <c r="B514" t="n">
        <v>0.4325</v>
      </c>
      <c r="C514" t="n">
        <v>3.708084919861048</v>
      </c>
      <c r="D514" t="n">
        <v>3.161858626044204</v>
      </c>
      <c r="E514">
        <f>DEGREES(ATAN(D514/C514))</f>
        <v/>
      </c>
      <c r="F514">
        <f>DEGREES(ATAN(TAN(RADIANS(pe0-omega*B514))*(C514/sref)^(m_-1)))</f>
        <v/>
      </c>
      <c r="G514">
        <f>E514-F514</f>
        <v/>
      </c>
    </row>
    <row r="515">
      <c r="A515" t="inlineStr">
        <is>
          <t>Al-Hussaini (1983) | A18</t>
        </is>
      </c>
      <c r="B515" t="n">
        <v>0.4325</v>
      </c>
      <c r="C515" t="n">
        <v>5.468661296091144</v>
      </c>
      <c r="D515" t="n">
        <v>4.388665773712647</v>
      </c>
      <c r="E515">
        <f>DEGREES(ATAN(D515/C515))</f>
        <v/>
      </c>
      <c r="F515">
        <f>DEGREES(ATAN(TAN(RADIANS(pe0-omega*B515))*(C515/sref)^(m_-1)))</f>
        <v/>
      </c>
      <c r="G515">
        <f>E515-F515</f>
        <v/>
      </c>
    </row>
    <row r="516">
      <c r="A516" t="inlineStr">
        <is>
          <t>Al-Hussaini (1983) | A21</t>
        </is>
      </c>
      <c r="B516" t="n">
        <v>0.635</v>
      </c>
      <c r="C516" t="n">
        <v>0.7322804050071678</v>
      </c>
      <c r="D516" t="n">
        <v>0.6608222652313942</v>
      </c>
      <c r="E516">
        <f>DEGREES(ATAN(D516/C516))</f>
        <v/>
      </c>
      <c r="F516">
        <f>DEGREES(ATAN(TAN(RADIANS(pe0-omega*B516))*(C516/sref)^(m_-1)))</f>
        <v/>
      </c>
      <c r="G516">
        <f>E516-F516</f>
        <v/>
      </c>
    </row>
    <row r="517">
      <c r="A517" t="inlineStr">
        <is>
          <t>Al-Hussaini (1983) | A21</t>
        </is>
      </c>
      <c r="B517" t="n">
        <v>0.635</v>
      </c>
      <c r="C517" t="n">
        <v>1.484872083898512</v>
      </c>
      <c r="D517" t="n">
        <v>1.227489668347439</v>
      </c>
      <c r="E517">
        <f>DEGREES(ATAN(D517/C517))</f>
        <v/>
      </c>
      <c r="F517">
        <f>DEGREES(ATAN(TAN(RADIANS(pe0-omega*B517))*(C517/sref)^(m_-1)))</f>
        <v/>
      </c>
      <c r="G517">
        <f>E517-F517</f>
        <v/>
      </c>
    </row>
    <row r="518">
      <c r="A518" t="inlineStr">
        <is>
          <t>Al-Hussaini (1983) | A25</t>
        </is>
      </c>
      <c r="B518" t="n">
        <v>0.5475</v>
      </c>
      <c r="C518" t="n">
        <v>0.7865304254497217</v>
      </c>
      <c r="D518" t="n">
        <v>0.8000206367194032</v>
      </c>
      <c r="E518">
        <f>DEGREES(ATAN(D518/C518))</f>
        <v/>
      </c>
      <c r="F518">
        <f>DEGREES(ATAN(TAN(RADIANS(pe0-omega*B518))*(C518/sref)^(m_-1)))</f>
        <v/>
      </c>
      <c r="G518">
        <f>E518-F518</f>
        <v/>
      </c>
    </row>
    <row r="519">
      <c r="A519" t="inlineStr">
        <is>
          <t>Al-Hussaini (1983) | A25</t>
        </is>
      </c>
      <c r="B519" t="n">
        <v>0.5475</v>
      </c>
      <c r="C519" t="n">
        <v>1.505326881886999</v>
      </c>
      <c r="D519" t="n">
        <v>1.292987872994084</v>
      </c>
      <c r="E519">
        <f>DEGREES(ATAN(D519/C519))</f>
        <v/>
      </c>
      <c r="F519">
        <f>DEGREES(ATAN(TAN(RADIANS(pe0-omega*B519))*(C519/sref)^(m_-1)))</f>
        <v/>
      </c>
      <c r="G519">
        <f>E519-F519</f>
        <v/>
      </c>
    </row>
    <row r="520">
      <c r="A520" t="inlineStr">
        <is>
          <t>Al-Hussaini (1983) | A29</t>
        </is>
      </c>
      <c r="B520" t="n">
        <v>0.4925</v>
      </c>
      <c r="C520" t="n">
        <v>0.8061158807679122</v>
      </c>
      <c r="D520" t="n">
        <v>0.8628533615883314</v>
      </c>
      <c r="E520">
        <f>DEGREES(ATAN(D520/C520))</f>
        <v/>
      </c>
      <c r="F520">
        <f>DEGREES(ATAN(TAN(RADIANS(pe0-omega*B520))*(C520/sref)^(m_-1)))</f>
        <v/>
      </c>
      <c r="G520">
        <f>E520-F520</f>
        <v/>
      </c>
    </row>
    <row r="521">
      <c r="A521" t="inlineStr">
        <is>
          <t>Al-Hussaini (1983) | A29</t>
        </is>
      </c>
      <c r="B521" t="n">
        <v>0.4925</v>
      </c>
      <c r="C521" t="n">
        <v>1.609710969770937</v>
      </c>
      <c r="D521" t="n">
        <v>1.521096083978685</v>
      </c>
      <c r="E521">
        <f>DEGREES(ATAN(D521/C521))</f>
        <v/>
      </c>
      <c r="F521">
        <f>DEGREES(ATAN(TAN(RADIANS(pe0-omega*B521))*(C521/sref)^(m_-1)))</f>
        <v/>
      </c>
      <c r="G521">
        <f>E521-F521</f>
        <v/>
      </c>
    </row>
    <row r="522">
      <c r="A522" t="inlineStr">
        <is>
          <t>Al-Hussaini (1983) | A29</t>
        </is>
      </c>
      <c r="B522" t="n">
        <v>0.4925</v>
      </c>
      <c r="C522" t="n">
        <v>3.636708705795544</v>
      </c>
      <c r="D522" t="n">
        <v>2.9284425735892</v>
      </c>
      <c r="E522">
        <f>DEGREES(ATAN(D522/C522))</f>
        <v/>
      </c>
      <c r="F522">
        <f>DEGREES(ATAN(TAN(RADIANS(pe0-omega*B522))*(C522/sref)^(m_-1)))</f>
        <v/>
      </c>
      <c r="G522">
        <f>E522-F522</f>
        <v/>
      </c>
    </row>
    <row r="523">
      <c r="A523" t="inlineStr">
        <is>
          <t>Al-Hussaini (1983) | A29</t>
        </is>
      </c>
      <c r="B523" t="n">
        <v>0.4925</v>
      </c>
      <c r="C523" t="n">
        <v>5.346117899596247</v>
      </c>
      <c r="D523" t="n">
        <v>4.036468063453208</v>
      </c>
      <c r="E523">
        <f>DEGREES(ATAN(D523/C523))</f>
        <v/>
      </c>
      <c r="F523">
        <f>DEGREES(ATAN(TAN(RADIANS(pe0-omega*B523))*(C523/sref)^(m_-1)))</f>
        <v/>
      </c>
      <c r="G523">
        <f>E523-F523</f>
        <v/>
      </c>
    </row>
    <row r="524">
      <c r="A524" t="inlineStr">
        <is>
          <t>Al-Hussaini (1983) | A33</t>
        </is>
      </c>
      <c r="B524" t="n">
        <v>0.37</v>
      </c>
      <c r="C524" t="n">
        <v>0.848076598651044</v>
      </c>
      <c r="D524" t="n">
        <v>1.032847759164826</v>
      </c>
      <c r="E524">
        <f>DEGREES(ATAN(D524/C524))</f>
        <v/>
      </c>
      <c r="F524">
        <f>DEGREES(ATAN(TAN(RADIANS(pe0-omega*B524))*(C524/sref)^(m_-1)))</f>
        <v/>
      </c>
      <c r="G524">
        <f>E524-F524</f>
        <v/>
      </c>
    </row>
    <row r="525">
      <c r="A525" t="inlineStr">
        <is>
          <t>Al-Hussaini (1983) | A33</t>
        </is>
      </c>
      <c r="B525" t="n">
        <v>0.37</v>
      </c>
      <c r="C525" t="n">
        <v>1.71479587412114</v>
      </c>
      <c r="D525" t="n">
        <v>1.844600455439041</v>
      </c>
      <c r="E525">
        <f>DEGREES(ATAN(D525/C525))</f>
        <v/>
      </c>
      <c r="F525">
        <f>DEGREES(ATAN(TAN(RADIANS(pe0-omega*B525))*(C525/sref)^(m_-1)))</f>
        <v/>
      </c>
      <c r="G525">
        <f>E525-F525</f>
        <v/>
      </c>
    </row>
    <row r="526">
      <c r="A526" t="inlineStr">
        <is>
          <t>Al-Hussaini (1983) | A33</t>
        </is>
      </c>
      <c r="B526" t="n">
        <v>0.37</v>
      </c>
      <c r="C526" t="n">
        <v>3.823917272434676</v>
      </c>
      <c r="D526" t="n">
        <v>3.424810221933812</v>
      </c>
      <c r="E526">
        <f>DEGREES(ATAN(D526/C526))</f>
        <v/>
      </c>
      <c r="F526">
        <f>DEGREES(ATAN(TAN(RADIANS(pe0-omega*B526))*(C526/sref)^(m_-1)))</f>
        <v/>
      </c>
      <c r="G526">
        <f>E526-F526</f>
        <v/>
      </c>
    </row>
    <row r="527">
      <c r="A527" t="inlineStr">
        <is>
          <t>Al-Hussaini (1983) | A33</t>
        </is>
      </c>
      <c r="B527" t="n">
        <v>0.37</v>
      </c>
      <c r="C527" t="n">
        <v>5.625568604802858</v>
      </c>
      <c r="D527" t="n">
        <v>4.707486426608837</v>
      </c>
      <c r="E527">
        <f>DEGREES(ATAN(D527/C527))</f>
        <v/>
      </c>
      <c r="F527">
        <f>DEGREES(ATAN(TAN(RADIANS(pe0-omega*B527))*(C527/sref)^(m_-1)))</f>
        <v/>
      </c>
      <c r="G527">
        <f>E527-F527</f>
        <v/>
      </c>
    </row>
    <row r="528">
      <c r="A528" t="inlineStr">
        <is>
          <t>Al-Hussaini (1983) | A5</t>
        </is>
      </c>
      <c r="B528" t="n">
        <v>0.45</v>
      </c>
      <c r="C528" t="n">
        <v>0.7857515185433948</v>
      </c>
      <c r="D528" t="n">
        <v>0.8223526472736606</v>
      </c>
      <c r="E528">
        <f>DEGREES(ATAN(D528/C528))</f>
        <v/>
      </c>
      <c r="F528">
        <f>DEGREES(ATAN(TAN(RADIANS(pe0-omega*B528))*(C528/sref)^(m_-1)))</f>
        <v/>
      </c>
      <c r="G528">
        <f>E528-F528</f>
        <v/>
      </c>
    </row>
    <row r="529">
      <c r="A529" t="inlineStr">
        <is>
          <t>Al-Hussaini (1983) | A5</t>
        </is>
      </c>
      <c r="B529" t="n">
        <v>0.45</v>
      </c>
      <c r="C529" t="n">
        <v>1.599819108340429</v>
      </c>
      <c r="D529" t="n">
        <v>1.513430831610735</v>
      </c>
      <c r="E529">
        <f>DEGREES(ATAN(D529/C529))</f>
        <v/>
      </c>
      <c r="F529">
        <f>DEGREES(ATAN(TAN(RADIANS(pe0-omega*B529))*(C529/sref)^(m_-1)))</f>
        <v/>
      </c>
      <c r="G529">
        <f>E529-F529</f>
        <v/>
      </c>
    </row>
    <row r="530">
      <c r="A530" t="inlineStr">
        <is>
          <t>Al-Hussaini (1983) | A5</t>
        </is>
      </c>
      <c r="B530" t="n">
        <v>0.45</v>
      </c>
      <c r="C530" t="n">
        <v>3.582271261670883</v>
      </c>
      <c r="D530" t="n">
        <v>2.865192604471567</v>
      </c>
      <c r="E530">
        <f>DEGREES(ATAN(D530/C530))</f>
        <v/>
      </c>
      <c r="F530">
        <f>DEGREES(ATAN(TAN(RADIANS(pe0-omega*B530))*(C530/sref)^(m_-1)))</f>
        <v/>
      </c>
      <c r="G530">
        <f>E530-F530</f>
        <v/>
      </c>
    </row>
    <row r="531">
      <c r="A531" t="inlineStr">
        <is>
          <t>Al-Hussaini (1983) | A5</t>
        </is>
      </c>
      <c r="B531" t="n">
        <v>0.45</v>
      </c>
      <c r="C531" t="n">
        <v>5.385562702651892</v>
      </c>
      <c r="D531" t="n">
        <v>4.171723131812597</v>
      </c>
      <c r="E531">
        <f>DEGREES(ATAN(D531/C531))</f>
        <v/>
      </c>
      <c r="F531">
        <f>DEGREES(ATAN(TAN(RADIANS(pe0-omega*B531))*(C531/sref)^(m_-1)))</f>
        <v/>
      </c>
      <c r="G531">
        <f>E531-F531</f>
        <v/>
      </c>
    </row>
    <row r="532">
      <c r="A532" t="inlineStr">
        <is>
          <t>Al-Hussaini (1983) | A9</t>
        </is>
      </c>
      <c r="B532" t="n">
        <v>0.41</v>
      </c>
      <c r="C532" t="n">
        <v>0.8365584889365058</v>
      </c>
      <c r="D532" t="n">
        <v>0.9572585948052723</v>
      </c>
      <c r="E532">
        <f>DEGREES(ATAN(D532/C532))</f>
        <v/>
      </c>
      <c r="F532">
        <f>DEGREES(ATAN(TAN(RADIANS(pe0-omega*B532))*(C532/sref)^(m_-1)))</f>
        <v/>
      </c>
      <c r="G532">
        <f>E532-F532</f>
        <v/>
      </c>
    </row>
    <row r="533">
      <c r="A533" t="inlineStr">
        <is>
          <t>Al-Hussaini (1983) | A9</t>
        </is>
      </c>
      <c r="B533" t="n">
        <v>0.41</v>
      </c>
      <c r="C533" t="n">
        <v>1.691767564501761</v>
      </c>
      <c r="D533" t="n">
        <v>1.707198206461381</v>
      </c>
      <c r="E533">
        <f>DEGREES(ATAN(D533/C533))</f>
        <v/>
      </c>
      <c r="F533">
        <f>DEGREES(ATAN(TAN(RADIANS(pe0-omega*B533))*(C533/sref)^(m_-1)))</f>
        <v/>
      </c>
      <c r="G533">
        <f>E533-F533</f>
        <v/>
      </c>
    </row>
    <row r="534">
      <c r="A534" t="inlineStr">
        <is>
          <t>Al-Hussaini (1983) | A9</t>
        </is>
      </c>
      <c r="B534" t="n">
        <v>0.41</v>
      </c>
      <c r="C534" t="n">
        <v>3.783285419923712</v>
      </c>
      <c r="D534" t="n">
        <v>3.186655137857716</v>
      </c>
      <c r="E534">
        <f>DEGREES(ATAN(D534/C534))</f>
        <v/>
      </c>
      <c r="F534">
        <f>DEGREES(ATAN(TAN(RADIANS(pe0-omega*B534))*(C534/sref)^(m_-1)))</f>
        <v/>
      </c>
      <c r="G534">
        <f>E534-F534</f>
        <v/>
      </c>
    </row>
    <row r="535">
      <c r="A535" t="inlineStr">
        <is>
          <t>Al-Hussaini (1983) | A9</t>
        </is>
      </c>
      <c r="B535" t="n">
        <v>0.41</v>
      </c>
      <c r="C535" t="n">
        <v>5.502500311796386</v>
      </c>
      <c r="D535" t="n">
        <v>4.272352439790301</v>
      </c>
      <c r="E535">
        <f>DEGREES(ATAN(D535/C535))</f>
        <v/>
      </c>
      <c r="F535">
        <f>DEGREES(ATAN(TAN(RADIANS(pe0-omega*B535))*(C535/sref)^(m_-1)))</f>
        <v/>
      </c>
      <c r="G535">
        <f>E535-F535</f>
        <v/>
      </c>
    </row>
    <row r="536">
      <c r="A536" t="inlineStr">
        <is>
          <t>HEC (1984) | B-4479</t>
        </is>
      </c>
      <c r="B536" t="n">
        <v>0.23</v>
      </c>
      <c r="C536" t="n">
        <v>0.2030764006450768</v>
      </c>
      <c r="D536" t="n">
        <v>0.2527834909491641</v>
      </c>
      <c r="E536">
        <f>DEGREES(ATAN(D536/C536))</f>
        <v/>
      </c>
      <c r="F536">
        <f>DEGREES(ATAN(TAN(RADIANS(pe0-omega*B536))*(C536/sref)^(m_-1)))</f>
        <v/>
      </c>
      <c r="G536">
        <f>E536-F536</f>
        <v/>
      </c>
    </row>
    <row r="537">
      <c r="A537" t="inlineStr">
        <is>
          <t>HEC (1984) | B-4479</t>
        </is>
      </c>
      <c r="B537" t="n">
        <v>0.23</v>
      </c>
      <c r="C537" t="n">
        <v>0.3820278098841862</v>
      </c>
      <c r="D537" t="n">
        <v>0.4129830452805187</v>
      </c>
      <c r="E537">
        <f>DEGREES(ATAN(D537/C537))</f>
        <v/>
      </c>
      <c r="F537">
        <f>DEGREES(ATAN(TAN(RADIANS(pe0-omega*B537))*(C537/sref)^(m_-1)))</f>
        <v/>
      </c>
      <c r="G537">
        <f>E537-F537</f>
        <v/>
      </c>
    </row>
    <row r="538">
      <c r="A538" t="inlineStr">
        <is>
          <t>HEC (1984) | B-4479</t>
        </is>
      </c>
      <c r="B538" t="n">
        <v>0.23</v>
      </c>
      <c r="C538" t="n">
        <v>0.752057671407849</v>
      </c>
      <c r="D538" t="n">
        <v>0.7420228395543641</v>
      </c>
      <c r="E538">
        <f>DEGREES(ATAN(D538/C538))</f>
        <v/>
      </c>
      <c r="F538">
        <f>DEGREES(ATAN(TAN(RADIANS(pe0-omega*B538))*(C538/sref)^(m_-1)))</f>
        <v/>
      </c>
      <c r="G538">
        <f>E538-F538</f>
        <v/>
      </c>
    </row>
    <row r="539">
      <c r="A539" t="inlineStr">
        <is>
          <t>HEC (1984) | R-4479</t>
        </is>
      </c>
      <c r="B539" t="n">
        <v>0.34</v>
      </c>
      <c r="C539" t="n">
        <v>0.1882932285189174</v>
      </c>
      <c r="D539" t="n">
        <v>0.2140053632708515</v>
      </c>
      <c r="E539">
        <f>DEGREES(ATAN(D539/C539))</f>
        <v/>
      </c>
      <c r="F539">
        <f>DEGREES(ATAN(TAN(RADIANS(pe0-omega*B539))*(C539/sref)^(m_-1)))</f>
        <v/>
      </c>
      <c r="G539">
        <f>E539-F539</f>
        <v/>
      </c>
    </row>
    <row r="540">
      <c r="A540" t="inlineStr">
        <is>
          <t>HEC (1984) | R-4479</t>
        </is>
      </c>
      <c r="B540" t="n">
        <v>0.34</v>
      </c>
      <c r="C540" t="n">
        <v>0.3592254729736152</v>
      </c>
      <c r="D540" t="n">
        <v>0.3665383992828917</v>
      </c>
      <c r="E540">
        <f>DEGREES(ATAN(D540/C540))</f>
        <v/>
      </c>
      <c r="F540">
        <f>DEGREES(ATAN(TAN(RADIANS(pe0-omega*B540))*(C540/sref)^(m_-1)))</f>
        <v/>
      </c>
      <c r="G540">
        <f>E540-F540</f>
        <v/>
      </c>
    </row>
    <row r="541">
      <c r="A541" t="inlineStr">
        <is>
          <t>HEC (1984) | R-4479</t>
        </is>
      </c>
      <c r="B541" t="n">
        <v>0.34</v>
      </c>
      <c r="C541" t="n">
        <v>0.7267202099977217</v>
      </c>
      <c r="D541" t="n">
        <v>0.7151283393173101</v>
      </c>
      <c r="E541">
        <f>DEGREES(ATAN(D541/C541))</f>
        <v/>
      </c>
      <c r="F541">
        <f>DEGREES(ATAN(TAN(RADIANS(pe0-omega*B541))*(C541/sref)^(m_-1)))</f>
        <v/>
      </c>
      <c r="G541">
        <f>E541-F541</f>
        <v/>
      </c>
    </row>
    <row r="542">
      <c r="A542" t="inlineStr">
        <is>
          <t>Naylor et al. (1986) | N</t>
        </is>
      </c>
      <c r="B542" t="n">
        <v>0.25</v>
      </c>
      <c r="C542" t="n">
        <v>0.2121579485253584</v>
      </c>
      <c r="D542" t="n">
        <v>0.2456079418994142</v>
      </c>
      <c r="E542">
        <f>DEGREES(ATAN(D542/C542))</f>
        <v/>
      </c>
      <c r="F542">
        <f>DEGREES(ATAN(TAN(RADIANS(pe0-omega*B542))*(C542/sref)^(m_-1)))</f>
        <v/>
      </c>
      <c r="G542">
        <f>E542-F542</f>
        <v/>
      </c>
    </row>
    <row r="543">
      <c r="A543" t="inlineStr">
        <is>
          <t>Naylor et al. (1986) | N</t>
        </is>
      </c>
      <c r="B543" t="n">
        <v>0.25</v>
      </c>
      <c r="C543" t="n">
        <v>0.5690551599803327</v>
      </c>
      <c r="D543" t="n">
        <v>0.5084753363377295</v>
      </c>
      <c r="E543">
        <f>DEGREES(ATAN(D543/C543))</f>
        <v/>
      </c>
      <c r="F543">
        <f>DEGREES(ATAN(TAN(RADIANS(pe0-omega*B543))*(C543/sref)^(m_-1)))</f>
        <v/>
      </c>
      <c r="G543">
        <f>E543-F543</f>
        <v/>
      </c>
    </row>
    <row r="544">
      <c r="A544" t="inlineStr">
        <is>
          <t>Naylor et al. (1986) | N</t>
        </is>
      </c>
      <c r="B544" t="n">
        <v>0.25</v>
      </c>
      <c r="C544" t="n">
        <v>0.909001992634749</v>
      </c>
      <c r="D544" t="n">
        <v>0.7266503681275321</v>
      </c>
      <c r="E544">
        <f>DEGREES(ATAN(D544/C544))</f>
        <v/>
      </c>
      <c r="F544">
        <f>DEGREES(ATAN(TAN(RADIANS(pe0-omega*B544))*(C544/sref)^(m_-1)))</f>
        <v/>
      </c>
      <c r="G544">
        <f>E544-F544</f>
        <v/>
      </c>
    </row>
    <row r="545">
      <c r="A545" t="inlineStr">
        <is>
          <t>Siddiqi et al. (1987) | Sid1</t>
        </is>
      </c>
      <c r="B545" t="n">
        <v>0.37734</v>
      </c>
      <c r="C545" t="n">
        <v>0.2433909192786113</v>
      </c>
      <c r="D545" t="n">
        <v>0.2025430488632366</v>
      </c>
      <c r="E545">
        <f>DEGREES(ATAN(D545/C545))</f>
        <v/>
      </c>
      <c r="F545">
        <f>DEGREES(ATAN(TAN(RADIANS(pe0-omega*B545))*(C545/sref)^(m_-1)))</f>
        <v/>
      </c>
      <c r="G545">
        <f>E545-F545</f>
        <v/>
      </c>
    </row>
    <row r="546">
      <c r="A546" t="inlineStr">
        <is>
          <t>Siddiqi et al. (1987) | Sid1</t>
        </is>
      </c>
      <c r="B546" t="n">
        <v>0.37734</v>
      </c>
      <c r="C546" t="n">
        <v>0.2610546969437846</v>
      </c>
      <c r="D546" t="n">
        <v>0.2067868201070519</v>
      </c>
      <c r="E546">
        <f>DEGREES(ATAN(D546/C546))</f>
        <v/>
      </c>
      <c r="F546">
        <f>DEGREES(ATAN(TAN(RADIANS(pe0-omega*B546))*(C546/sref)^(m_-1)))</f>
        <v/>
      </c>
      <c r="G546">
        <f>E546-F546</f>
        <v/>
      </c>
    </row>
    <row r="547">
      <c r="A547" t="inlineStr">
        <is>
          <t>Siddiqi et al. (1987) | Sid1</t>
        </is>
      </c>
      <c r="B547" t="n">
        <v>0.37734</v>
      </c>
      <c r="C547" t="n">
        <v>0.302758565187085</v>
      </c>
      <c r="D547" t="n">
        <v>0.2482983274960386</v>
      </c>
      <c r="E547">
        <f>DEGREES(ATAN(D547/C547))</f>
        <v/>
      </c>
      <c r="F547">
        <f>DEGREES(ATAN(TAN(RADIANS(pe0-omega*B547))*(C547/sref)^(m_-1)))</f>
        <v/>
      </c>
      <c r="G547">
        <f>E547-F547</f>
        <v/>
      </c>
    </row>
    <row r="548">
      <c r="A548" t="inlineStr">
        <is>
          <t>Ayers et al. (1989) | B10</t>
        </is>
      </c>
      <c r="B548" t="n">
        <v>0.61251875</v>
      </c>
      <c r="C548" t="n">
        <v>0.1853662088649095</v>
      </c>
      <c r="D548" t="n">
        <v>0.1812024579330892</v>
      </c>
      <c r="E548">
        <f>DEGREES(ATAN(D548/C548))</f>
        <v/>
      </c>
      <c r="F548">
        <f>DEGREES(ATAN(TAN(RADIANS(pe0-omega*B548))*(C548/sref)^(m_-1)))</f>
        <v/>
      </c>
      <c r="G548">
        <f>E548-F548</f>
        <v/>
      </c>
    </row>
    <row r="549">
      <c r="A549" t="inlineStr">
        <is>
          <t>Ayers et al. (1989) | B10</t>
        </is>
      </c>
      <c r="B549" t="n">
        <v>0.61251875</v>
      </c>
      <c r="C549" t="n">
        <v>0.3828559817864717</v>
      </c>
      <c r="D549" t="n">
        <v>0.3644874589753168</v>
      </c>
      <c r="E549">
        <f>DEGREES(ATAN(D549/C549))</f>
        <v/>
      </c>
      <c r="F549">
        <f>DEGREES(ATAN(TAN(RADIANS(pe0-omega*B549))*(C549/sref)^(m_-1)))</f>
        <v/>
      </c>
      <c r="G549">
        <f>E549-F549</f>
        <v/>
      </c>
    </row>
    <row r="550">
      <c r="A550" t="inlineStr">
        <is>
          <t>Ayers et al. (1989) | B11</t>
        </is>
      </c>
      <c r="B550" t="n">
        <v>0.5357321428571429</v>
      </c>
      <c r="C550" t="n">
        <v>0.2098484107143072</v>
      </c>
      <c r="D550" t="n">
        <v>0.2426867511707831</v>
      </c>
      <c r="E550">
        <f>DEGREES(ATAN(D550/C550))</f>
        <v/>
      </c>
      <c r="F550">
        <f>DEGREES(ATAN(TAN(RADIANS(pe0-omega*B550))*(C550/sref)^(m_-1)))</f>
        <v/>
      </c>
      <c r="G550">
        <f>E550-F550</f>
        <v/>
      </c>
    </row>
    <row r="551">
      <c r="A551" t="inlineStr">
        <is>
          <t>Ayers et al. (1989) | B11</t>
        </is>
      </c>
      <c r="B551" t="n">
        <v>0.5357321428571429</v>
      </c>
      <c r="C551" t="n">
        <v>0.3979241105088048</v>
      </c>
      <c r="D551" t="n">
        <v>0.3997366784710263</v>
      </c>
      <c r="E551">
        <f>DEGREES(ATAN(D551/C551))</f>
        <v/>
      </c>
      <c r="F551">
        <f>DEGREES(ATAN(TAN(RADIANS(pe0-omega*B551))*(C551/sref)^(m_-1)))</f>
        <v/>
      </c>
      <c r="G551">
        <f>E551-F551</f>
        <v/>
      </c>
    </row>
    <row r="552">
      <c r="A552" t="inlineStr">
        <is>
          <t>Ayers et al. (1989) | B12</t>
        </is>
      </c>
      <c r="B552" t="n">
        <v>0.4659261363636362</v>
      </c>
      <c r="C552" t="n">
        <v>0.2496214910107721</v>
      </c>
      <c r="D552" t="n">
        <v>0.3445860173916547</v>
      </c>
      <c r="E552">
        <f>DEGREES(ATAN(D552/C552))</f>
        <v/>
      </c>
      <c r="F552">
        <f>DEGREES(ATAN(TAN(RADIANS(pe0-omega*B552))*(C552/sref)^(m_-1)))</f>
        <v/>
      </c>
      <c r="G552">
        <f>E552-F552</f>
        <v/>
      </c>
    </row>
    <row r="553">
      <c r="A553" t="inlineStr">
        <is>
          <t>Ayers et al. (1989) | B12</t>
        </is>
      </c>
      <c r="B553" t="n">
        <v>0.4659261363636362</v>
      </c>
      <c r="C553" t="n">
        <v>0.4338878564989713</v>
      </c>
      <c r="D553" t="n">
        <v>0.4781849858614198</v>
      </c>
      <c r="E553">
        <f>DEGREES(ATAN(D553/C553))</f>
        <v/>
      </c>
      <c r="F553">
        <f>DEGREES(ATAN(TAN(RADIANS(pe0-omega*B553))*(C553/sref)^(m_-1)))</f>
        <v/>
      </c>
      <c r="G553">
        <f>E553-F553</f>
        <v/>
      </c>
    </row>
    <row r="554">
      <c r="A554" t="inlineStr">
        <is>
          <t>Ayers et al. (1989) | B13</t>
        </is>
      </c>
      <c r="B554" t="n">
        <v>0.4856763005780347</v>
      </c>
      <c r="C554" t="n">
        <v>0.2114268563956184</v>
      </c>
      <c r="D554" t="n">
        <v>0.2396671529476186</v>
      </c>
      <c r="E554">
        <f>DEGREES(ATAN(D554/C554))</f>
        <v/>
      </c>
      <c r="F554">
        <f>DEGREES(ATAN(TAN(RADIANS(pe0-omega*B554))*(C554/sref)^(m_-1)))</f>
        <v/>
      </c>
      <c r="G554">
        <f>E554-F554</f>
        <v/>
      </c>
    </row>
    <row r="555">
      <c r="A555" t="inlineStr">
        <is>
          <t>Ayers et al. (1989) | B13</t>
        </is>
      </c>
      <c r="B555" t="n">
        <v>0.4856763005780347</v>
      </c>
      <c r="C555" t="n">
        <v>0.3864137421283281</v>
      </c>
      <c r="D555" t="n">
        <v>0.3689656599255179</v>
      </c>
      <c r="E555">
        <f>DEGREES(ATAN(D555/C555))</f>
        <v/>
      </c>
      <c r="F555">
        <f>DEGREES(ATAN(TAN(RADIANS(pe0-omega*B555))*(C555/sref)^(m_-1)))</f>
        <v/>
      </c>
      <c r="G555">
        <f>E555-F555</f>
        <v/>
      </c>
    </row>
    <row r="556">
      <c r="A556" t="inlineStr">
        <is>
          <t>Ayers et al. (1989) | B14</t>
        </is>
      </c>
      <c r="B556" t="n">
        <v>0.443943820224719</v>
      </c>
      <c r="C556" t="n">
        <v>0.2172874599911044</v>
      </c>
      <c r="D556" t="n">
        <v>0.2694589666335515</v>
      </c>
      <c r="E556">
        <f>DEGREES(ATAN(D556/C556))</f>
        <v/>
      </c>
      <c r="F556">
        <f>DEGREES(ATAN(TAN(RADIANS(pe0-omega*B556))*(C556/sref)^(m_-1)))</f>
        <v/>
      </c>
      <c r="G556">
        <f>E556-F556</f>
        <v/>
      </c>
    </row>
    <row r="557">
      <c r="A557" t="inlineStr">
        <is>
          <t>Ayers et al. (1989) | B14</t>
        </is>
      </c>
      <c r="B557" t="n">
        <v>0.443943820224719</v>
      </c>
      <c r="C557" t="n">
        <v>0.3956973684767572</v>
      </c>
      <c r="D557" t="n">
        <v>0.4123915864527718</v>
      </c>
      <c r="E557">
        <f>DEGREES(ATAN(D557/C557))</f>
        <v/>
      </c>
      <c r="F557">
        <f>DEGREES(ATAN(TAN(RADIANS(pe0-omega*B557))*(C557/sref)^(m_-1)))</f>
        <v/>
      </c>
      <c r="G557">
        <f>E557-F557</f>
        <v/>
      </c>
    </row>
    <row r="558">
      <c r="A558" t="inlineStr">
        <is>
          <t>Ayers et al. (1989) | B15</t>
        </is>
      </c>
      <c r="B558" t="n">
        <v>0.4122087912087913</v>
      </c>
      <c r="C558" t="n">
        <v>0.2192428484423207</v>
      </c>
      <c r="D558" t="n">
        <v>0.2898444929294701</v>
      </c>
      <c r="E558">
        <f>DEGREES(ATAN(D558/C558))</f>
        <v/>
      </c>
      <c r="F558">
        <f>DEGREES(ATAN(TAN(RADIANS(pe0-omega*B558))*(C558/sref)^(m_-1)))</f>
        <v/>
      </c>
      <c r="G558">
        <f>E558-F558</f>
        <v/>
      </c>
    </row>
    <row r="559">
      <c r="A559" t="inlineStr">
        <is>
          <t>Ayers et al. (1989) | B15</t>
        </is>
      </c>
      <c r="B559" t="n">
        <v>0.4122087912087913</v>
      </c>
      <c r="C559" t="n">
        <v>0.3986011528460404</v>
      </c>
      <c r="D559" t="n">
        <v>0.4441231044438321</v>
      </c>
      <c r="E559">
        <f>DEGREES(ATAN(D559/C559))</f>
        <v/>
      </c>
      <c r="F559">
        <f>DEGREES(ATAN(TAN(RADIANS(pe0-omega*B559))*(C559/sref)^(m_-1)))</f>
        <v/>
      </c>
      <c r="G559">
        <f>E559-F559</f>
        <v/>
      </c>
    </row>
    <row r="560">
      <c r="A560" t="inlineStr">
        <is>
          <t>Ayers et al. (1989) | B7</t>
        </is>
      </c>
      <c r="B560" t="n">
        <v>0.6538653846153846</v>
      </c>
      <c r="C560" t="n">
        <v>0.2011463244756076</v>
      </c>
      <c r="D560" t="n">
        <v>0.211718390019589</v>
      </c>
      <c r="E560">
        <f>DEGREES(ATAN(D560/C560))</f>
        <v/>
      </c>
      <c r="F560">
        <f>DEGREES(ATAN(TAN(RADIANS(pe0-omega*B560))*(C560/sref)^(m_-1)))</f>
        <v/>
      </c>
      <c r="G560">
        <f>E560-F560</f>
        <v/>
      </c>
    </row>
    <row r="561">
      <c r="A561" t="inlineStr">
        <is>
          <t>Ayers et al. (1989) | B7</t>
        </is>
      </c>
      <c r="B561" t="n">
        <v>0.6538653846153846</v>
      </c>
      <c r="C561" t="n">
        <v>0.3887305936623892</v>
      </c>
      <c r="D561" t="n">
        <v>0.3639428553736805</v>
      </c>
      <c r="E561">
        <f>DEGREES(ATAN(D561/C561))</f>
        <v/>
      </c>
      <c r="F561">
        <f>DEGREES(ATAN(TAN(RADIANS(pe0-omega*B561))*(C561/sref)^(m_-1)))</f>
        <v/>
      </c>
      <c r="G561">
        <f>E561-F561</f>
        <v/>
      </c>
    </row>
    <row r="562">
      <c r="A562" t="inlineStr">
        <is>
          <t>Ayers et al. (1989) | B8</t>
        </is>
      </c>
      <c r="B562" t="n">
        <v>0.582840490797546</v>
      </c>
      <c r="C562" t="n">
        <v>0.204375776357098</v>
      </c>
      <c r="D562" t="n">
        <v>0.2437495131107621</v>
      </c>
      <c r="E562">
        <f>DEGREES(ATAN(D562/C562))</f>
        <v/>
      </c>
      <c r="F562">
        <f>DEGREES(ATAN(TAN(RADIANS(pe0-omega*B562))*(C562/sref)^(m_-1)))</f>
        <v/>
      </c>
      <c r="G562">
        <f>E562-F562</f>
        <v/>
      </c>
    </row>
    <row r="563">
      <c r="A563" t="inlineStr">
        <is>
          <t>Ayers et al. (1989) | B8</t>
        </is>
      </c>
      <c r="B563" t="n">
        <v>0.582840490797546</v>
      </c>
      <c r="C563" t="n">
        <v>0.3907045888595577</v>
      </c>
      <c r="D563" t="n">
        <v>0.4141973583484659</v>
      </c>
      <c r="E563">
        <f>DEGREES(ATAN(D563/C563))</f>
        <v/>
      </c>
      <c r="F563">
        <f>DEGREES(ATAN(TAN(RADIANS(pe0-omega*B563))*(C563/sref)^(m_-1)))</f>
        <v/>
      </c>
      <c r="G563">
        <f>E563-F563</f>
        <v/>
      </c>
    </row>
    <row r="564">
      <c r="A564" t="inlineStr">
        <is>
          <t>Ayers et al. (1989) | B9</t>
        </is>
      </c>
      <c r="B564" t="n">
        <v>0.5357321428571429</v>
      </c>
      <c r="C564" t="n">
        <v>0.2332857065262353</v>
      </c>
      <c r="D564" t="n">
        <v>0.323894053910785</v>
      </c>
      <c r="E564">
        <f>DEGREES(ATAN(D564/C564))</f>
        <v/>
      </c>
      <c r="F564">
        <f>DEGREES(ATAN(TAN(RADIANS(pe0-omega*B564))*(C564/sref)^(m_-1)))</f>
        <v/>
      </c>
      <c r="G564">
        <f>E564-F564</f>
        <v/>
      </c>
    </row>
    <row r="565">
      <c r="A565" t="inlineStr">
        <is>
          <t>Ayers et al. (1989) | B9</t>
        </is>
      </c>
      <c r="B565" t="n">
        <v>0.5357321428571429</v>
      </c>
      <c r="C565" t="n">
        <v>0.4221665770932131</v>
      </c>
      <c r="D565" t="n">
        <v>0.4870270306486618</v>
      </c>
      <c r="E565">
        <f>DEGREES(ATAN(D565/C565))</f>
        <v/>
      </c>
      <c r="F565">
        <f>DEGREES(ATAN(TAN(RADIANS(pe0-omega*B565))*(C565/sref)^(m_-1)))</f>
        <v/>
      </c>
      <c r="G565">
        <f>E565-F565</f>
        <v/>
      </c>
    </row>
    <row r="566">
      <c r="A566" t="inlineStr">
        <is>
          <t>Ayers et al. (1989) | CD4</t>
        </is>
      </c>
      <c r="B566" t="n">
        <v>0.8428785714285714</v>
      </c>
      <c r="C566" t="n">
        <v>0.1819344189156172</v>
      </c>
      <c r="D566" t="n">
        <v>0.1770586446303063</v>
      </c>
      <c r="E566">
        <f>DEGREES(ATAN(D566/C566))</f>
        <v/>
      </c>
      <c r="F566">
        <f>DEGREES(ATAN(TAN(RADIANS(pe0-omega*B566))*(C566/sref)^(m_-1)))</f>
        <v/>
      </c>
      <c r="G566">
        <f>E566-F566</f>
        <v/>
      </c>
    </row>
    <row r="567">
      <c r="A567" t="inlineStr">
        <is>
          <t>Ayers et al. (1989) | CD4</t>
        </is>
      </c>
      <c r="B567" t="n">
        <v>0.8428785714285714</v>
      </c>
      <c r="C567" t="n">
        <v>0.3790966240532868</v>
      </c>
      <c r="D567" t="n">
        <v>0.3663661208291673</v>
      </c>
      <c r="E567">
        <f>DEGREES(ATAN(D567/C567))</f>
        <v/>
      </c>
      <c r="F567">
        <f>DEGREES(ATAN(TAN(RADIANS(pe0-omega*B567))*(C567/sref)^(m_-1)))</f>
        <v/>
      </c>
      <c r="G567">
        <f>E567-F567</f>
        <v/>
      </c>
    </row>
    <row r="568">
      <c r="A568" t="inlineStr">
        <is>
          <t>Ayers et al. (1989) | CD5</t>
        </is>
      </c>
      <c r="B568" t="n">
        <v>0.7315637583892618</v>
      </c>
      <c r="C568" t="n">
        <v>0.2038706664010161</v>
      </c>
      <c r="D568" t="n">
        <v>0.2219538077009141</v>
      </c>
      <c r="E568">
        <f>DEGREES(ATAN(D568/C568))</f>
        <v/>
      </c>
      <c r="F568">
        <f>DEGREES(ATAN(TAN(RADIANS(pe0-omega*B568))*(C568/sref)^(m_-1)))</f>
        <v/>
      </c>
      <c r="G568">
        <f>E568-F568</f>
        <v/>
      </c>
    </row>
    <row r="569">
      <c r="A569" t="inlineStr">
        <is>
          <t>Ayers et al. (1989) | CD5</t>
        </is>
      </c>
      <c r="B569" t="n">
        <v>0.7315637583892618</v>
      </c>
      <c r="C569" t="n">
        <v>0.4069449694045802</v>
      </c>
      <c r="D569" t="n">
        <v>0.4034458879227514</v>
      </c>
      <c r="E569">
        <f>DEGREES(ATAN(D569/C569))</f>
        <v/>
      </c>
      <c r="F569">
        <f>DEGREES(ATAN(TAN(RADIANS(pe0-omega*B569))*(C569/sref)^(m_-1)))</f>
        <v/>
      </c>
      <c r="G569">
        <f>E569-F569</f>
        <v/>
      </c>
    </row>
    <row r="570">
      <c r="A570" t="inlineStr">
        <is>
          <t>Ayers et al. (1989) | CD6</t>
        </is>
      </c>
      <c r="B570" t="n">
        <v>0.6538653846153846</v>
      </c>
      <c r="C570" t="n">
        <v>0.2407186515047902</v>
      </c>
      <c r="D570" t="n">
        <v>0.3108673268513241</v>
      </c>
      <c r="E570">
        <f>DEGREES(ATAN(D570/C570))</f>
        <v/>
      </c>
      <c r="F570">
        <f>DEGREES(ATAN(TAN(RADIANS(pe0-omega*B570))*(C570/sref)^(m_-1)))</f>
        <v/>
      </c>
      <c r="G570">
        <f>E570-F570</f>
        <v/>
      </c>
    </row>
    <row r="571">
      <c r="A571" t="inlineStr">
        <is>
          <t>Ayers et al. (1989) | CD6</t>
        </is>
      </c>
      <c r="B571" t="n">
        <v>0.6538653846153846</v>
      </c>
      <c r="C571" t="n">
        <v>0.4180040407231563</v>
      </c>
      <c r="D571" t="n">
        <v>0.4306321520534757</v>
      </c>
      <c r="E571">
        <f>DEGREES(ATAN(D571/C571))</f>
        <v/>
      </c>
      <c r="F571">
        <f>DEGREES(ATAN(TAN(RADIANS(pe0-omega*B571))*(C571/sref)^(m_-1)))</f>
        <v/>
      </c>
      <c r="G571">
        <f>E571-F571</f>
        <v/>
      </c>
    </row>
    <row r="572">
      <c r="A572" t="inlineStr">
        <is>
          <t>Raad et al. (1989) | CLS1b</t>
        </is>
      </c>
      <c r="B572" t="n">
        <v>0.5766071428571429</v>
      </c>
      <c r="C572" t="n">
        <v>0.1721283448500718</v>
      </c>
      <c r="D572" t="n">
        <v>0.1416224730380085</v>
      </c>
      <c r="E572">
        <f>DEGREES(ATAN(D572/C572))</f>
        <v/>
      </c>
      <c r="F572">
        <f>DEGREES(ATAN(TAN(RADIANS(pe0-omega*B572))*(C572/sref)^(m_-1)))</f>
        <v/>
      </c>
      <c r="G572">
        <f>E572-F572</f>
        <v/>
      </c>
    </row>
    <row r="573">
      <c r="A573" t="inlineStr">
        <is>
          <t>Raad et al. (1989) | CLS1b</t>
        </is>
      </c>
      <c r="B573" t="n">
        <v>0.5766071428571429</v>
      </c>
      <c r="C573" t="n">
        <v>0.2707561953177687</v>
      </c>
      <c r="D573" t="n">
        <v>0.2275265928810896</v>
      </c>
      <c r="E573">
        <f>DEGREES(ATAN(D573/C573))</f>
        <v/>
      </c>
      <c r="F573">
        <f>DEGREES(ATAN(TAN(RADIANS(pe0-omega*B573))*(C573/sref)^(m_-1)))</f>
        <v/>
      </c>
      <c r="G573">
        <f>E573-F573</f>
        <v/>
      </c>
    </row>
    <row r="574">
      <c r="A574" t="inlineStr">
        <is>
          <t>Raad et al. (1989) | CLS2a</t>
        </is>
      </c>
      <c r="B574" t="n">
        <v>0.3112376237623764</v>
      </c>
      <c r="C574" t="n">
        <v>0.2061677648599834</v>
      </c>
      <c r="D574" t="n">
        <v>0.2638914975904491</v>
      </c>
      <c r="E574">
        <f>DEGREES(ATAN(D574/C574))</f>
        <v/>
      </c>
      <c r="F574">
        <f>DEGREES(ATAN(TAN(RADIANS(pe0-omega*B574))*(C574/sref)^(m_-1)))</f>
        <v/>
      </c>
      <c r="G574">
        <f>E574-F574</f>
        <v/>
      </c>
    </row>
    <row r="575">
      <c r="A575" t="inlineStr">
        <is>
          <t>Raad et al. (1989) | CLS2a</t>
        </is>
      </c>
      <c r="B575" t="n">
        <v>0.3112376237623764</v>
      </c>
      <c r="C575" t="n">
        <v>0.3144864918192787</v>
      </c>
      <c r="D575" t="n">
        <v>0.3853494848955785</v>
      </c>
      <c r="E575">
        <f>DEGREES(ATAN(D575/C575))</f>
        <v/>
      </c>
      <c r="F575">
        <f>DEGREES(ATAN(TAN(RADIANS(pe0-omega*B575))*(C575/sref)^(m_-1)))</f>
        <v/>
      </c>
      <c r="G575">
        <f>E575-F575</f>
        <v/>
      </c>
    </row>
    <row r="576">
      <c r="A576" t="inlineStr">
        <is>
          <t>Raad et al. (1989) | CLS2b</t>
        </is>
      </c>
      <c r="B576" t="n">
        <v>0.2920487804878049</v>
      </c>
      <c r="C576" t="n">
        <v>0.2453648961000274</v>
      </c>
      <c r="D576" t="n">
        <v>0.3690323167653495</v>
      </c>
      <c r="E576">
        <f>DEGREES(ATAN(D576/C576))</f>
        <v/>
      </c>
      <c r="F576">
        <f>DEGREES(ATAN(TAN(RADIANS(pe0-omega*B576))*(C576/sref)^(m_-1)))</f>
        <v/>
      </c>
      <c r="G576">
        <f>E576-F576</f>
        <v/>
      </c>
    </row>
    <row r="577">
      <c r="A577" t="inlineStr">
        <is>
          <t>Raad et al. (1989) | CLS2b</t>
        </is>
      </c>
      <c r="B577" t="n">
        <v>0.2920487804878049</v>
      </c>
      <c r="C577" t="n">
        <v>0.3669628437374394</v>
      </c>
      <c r="D577" t="n">
        <v>0.5086095448814885</v>
      </c>
      <c r="E577">
        <f>DEGREES(ATAN(D577/C577))</f>
        <v/>
      </c>
      <c r="F577">
        <f>DEGREES(ATAN(TAN(RADIANS(pe0-omega*B577))*(C577/sref)^(m_-1)))</f>
        <v/>
      </c>
      <c r="G577">
        <f>E577-F577</f>
        <v/>
      </c>
    </row>
    <row r="578">
      <c r="A578" t="inlineStr">
        <is>
          <t>Raad et al. (1989) | CLS3a</t>
        </is>
      </c>
      <c r="B578" t="n">
        <v>0.2612857142857143</v>
      </c>
      <c r="C578" t="n">
        <v>0.2477368648381383</v>
      </c>
      <c r="D578" t="n">
        <v>0.3741507032347354</v>
      </c>
      <c r="E578">
        <f>DEGREES(ATAN(D578/C578))</f>
        <v/>
      </c>
      <c r="F578">
        <f>DEGREES(ATAN(TAN(RADIANS(pe0-omega*B578))*(C578/sref)^(m_-1)))</f>
        <v/>
      </c>
      <c r="G578">
        <f>E578-F578</f>
        <v/>
      </c>
    </row>
    <row r="579">
      <c r="A579" t="inlineStr">
        <is>
          <t>Raad et al. (1989) | CLS3a</t>
        </is>
      </c>
      <c r="B579" t="n">
        <v>0.2612857142857143</v>
      </c>
      <c r="C579" t="n">
        <v>0.3649308989179657</v>
      </c>
      <c r="D579" t="n">
        <v>0.5026835248738896</v>
      </c>
      <c r="E579">
        <f>DEGREES(ATAN(D579/C579))</f>
        <v/>
      </c>
      <c r="F579">
        <f>DEGREES(ATAN(TAN(RADIANS(pe0-omega*B579))*(C579/sref)^(m_-1)))</f>
        <v/>
      </c>
      <c r="G579">
        <f>E579-F579</f>
        <v/>
      </c>
    </row>
    <row r="580">
      <c r="A580" t="inlineStr">
        <is>
          <t>Raad et al. (1989) | CLS3b</t>
        </is>
      </c>
      <c r="B580" t="n">
        <v>0.2553080568720378</v>
      </c>
      <c r="C580" t="n">
        <v>0.2491734473787495</v>
      </c>
      <c r="D580" t="n">
        <v>0.3771801865935675</v>
      </c>
      <c r="E580">
        <f>DEGREES(ATAN(D580/C580))</f>
        <v/>
      </c>
      <c r="F580">
        <f>DEGREES(ATAN(TAN(RADIANS(pe0-omega*B580))*(C580/sref)^(m_-1)))</f>
        <v/>
      </c>
      <c r="G580">
        <f>E580-F580</f>
        <v/>
      </c>
    </row>
    <row r="581">
      <c r="A581" t="inlineStr">
        <is>
          <t>Raad et al. (1989) | CLS3b</t>
        </is>
      </c>
      <c r="B581" t="n">
        <v>0.2553080568720378</v>
      </c>
      <c r="C581" t="n">
        <v>0.3594744483140323</v>
      </c>
      <c r="D581" t="n">
        <v>0.4892105916504655</v>
      </c>
      <c r="E581">
        <f>DEGREES(ATAN(D581/C581))</f>
        <v/>
      </c>
      <c r="F581">
        <f>DEGREES(ATAN(TAN(RADIANS(pe0-omega*B581))*(C581/sref)^(m_-1)))</f>
        <v/>
      </c>
      <c r="G581">
        <f>E581-F581</f>
        <v/>
      </c>
    </row>
    <row r="582">
      <c r="A582" t="inlineStr">
        <is>
          <t>Nishio &amp; Tamaoki (1990) | recon</t>
        </is>
      </c>
      <c r="B582" t="n">
        <v>0.38</v>
      </c>
      <c r="C582" t="n">
        <v>0.1708974044968505</v>
      </c>
      <c r="D582" t="n">
        <v>0.1677673301977383</v>
      </c>
      <c r="E582">
        <f>DEGREES(ATAN(D582/C582))</f>
        <v/>
      </c>
      <c r="F582">
        <f>DEGREES(ATAN(TAN(RADIANS(pe0-omega*B582))*(C582/sref)^(m_-1)))</f>
        <v/>
      </c>
      <c r="G582">
        <f>E582-F582</f>
        <v/>
      </c>
    </row>
    <row r="583">
      <c r="A583" t="inlineStr">
        <is>
          <t>Nishio &amp; Tamaoki (1990) | recon</t>
        </is>
      </c>
      <c r="B583" t="n">
        <v>0.38</v>
      </c>
      <c r="C583" t="n">
        <v>0.6748214633080907</v>
      </c>
      <c r="D583" t="n">
        <v>0.6193193023426856</v>
      </c>
      <c r="E583">
        <f>DEGREES(ATAN(D583/C583))</f>
        <v/>
      </c>
      <c r="F583">
        <f>DEGREES(ATAN(TAN(RADIANS(pe0-omega*B583))*(C583/sref)^(m_-1)))</f>
        <v/>
      </c>
      <c r="G583">
        <f>E583-F583</f>
        <v/>
      </c>
    </row>
    <row r="584">
      <c r="A584" t="inlineStr">
        <is>
          <t>Nishio &amp; Tamaoki (1990) | undis</t>
        </is>
      </c>
      <c r="B584" t="n">
        <v>0.37</v>
      </c>
      <c r="C584" t="n">
        <v>0.1839086772315543</v>
      </c>
      <c r="D584" t="n">
        <v>0.2114991791591293</v>
      </c>
      <c r="E584">
        <f>DEGREES(ATAN(D584/C584))</f>
        <v/>
      </c>
      <c r="F584">
        <f>DEGREES(ATAN(TAN(RADIANS(pe0-omega*B584))*(C584/sref)^(m_-1)))</f>
        <v/>
      </c>
      <c r="G584">
        <f>E584-F584</f>
        <v/>
      </c>
    </row>
    <row r="585">
      <c r="A585" t="inlineStr">
        <is>
          <t>Nishio &amp; Tamaoki (1990) | undis</t>
        </is>
      </c>
      <c r="B585" t="n">
        <v>0.37</v>
      </c>
      <c r="C585" t="n">
        <v>0.7010244940492865</v>
      </c>
      <c r="D585" t="n">
        <v>0.6935560238192235</v>
      </c>
      <c r="E585">
        <f>DEGREES(ATAN(D585/C585))</f>
        <v/>
      </c>
      <c r="F585">
        <f>DEGREES(ATAN(TAN(RADIANS(pe0-omega*B585))*(C585/sref)^(m_-1)))</f>
        <v/>
      </c>
      <c r="G585">
        <f>E585-F585</f>
        <v/>
      </c>
    </row>
    <row r="586">
      <c r="A586" t="inlineStr">
        <is>
          <t>Goto et al. (1992) | low-dis</t>
        </is>
      </c>
      <c r="B586" t="n">
        <v>0.4240322580645162</v>
      </c>
      <c r="C586" t="n">
        <v>0.3166235764445242</v>
      </c>
      <c r="D586" t="n">
        <v>0.2738301537443815</v>
      </c>
      <c r="E586">
        <f>DEGREES(ATAN(D586/C586))</f>
        <v/>
      </c>
      <c r="F586">
        <f>DEGREES(ATAN(TAN(RADIANS(pe0-omega*B586))*(C586/sref)^(m_-1)))</f>
        <v/>
      </c>
      <c r="G586">
        <f>E586-F586</f>
        <v/>
      </c>
    </row>
    <row r="587">
      <c r="A587" t="inlineStr">
        <is>
          <t>Goto et al. (1992) | low-dis</t>
        </is>
      </c>
      <c r="B587" t="n">
        <v>0.4240322580645162</v>
      </c>
      <c r="C587" t="n">
        <v>0.6710095741467599</v>
      </c>
      <c r="D587" t="n">
        <v>0.5656809651991068</v>
      </c>
      <c r="E587">
        <f>DEGREES(ATAN(D587/C587))</f>
        <v/>
      </c>
      <c r="F587">
        <f>DEGREES(ATAN(TAN(RADIANS(pe0-omega*B587))*(C587/sref)^(m_-1)))</f>
        <v/>
      </c>
      <c r="G587">
        <f>E587-F587</f>
        <v/>
      </c>
    </row>
    <row r="588">
      <c r="A588" t="inlineStr">
        <is>
          <t>Goto et al. (1992) | low-dis</t>
        </is>
      </c>
      <c r="B588" t="n">
        <v>0.4240322580645162</v>
      </c>
      <c r="C588" t="n">
        <v>0.9877469370518449</v>
      </c>
      <c r="D588" t="n">
        <v>0.7961571680689485</v>
      </c>
      <c r="E588">
        <f>DEGREES(ATAN(D588/C588))</f>
        <v/>
      </c>
      <c r="F588">
        <f>DEGREES(ATAN(TAN(RADIANS(pe0-omega*B588))*(C588/sref)^(m_-1)))</f>
        <v/>
      </c>
      <c r="G588">
        <f>E588-F588</f>
        <v/>
      </c>
    </row>
    <row r="589">
      <c r="A589" t="inlineStr">
        <is>
          <t>Goto et al. (1992) | low-undis</t>
        </is>
      </c>
      <c r="B589" t="n">
        <v>0.4240322580645162</v>
      </c>
      <c r="C589" t="n">
        <v>0.3206531969336922</v>
      </c>
      <c r="D589" t="n">
        <v>0.2831238009004505</v>
      </c>
      <c r="E589">
        <f>DEGREES(ATAN(D589/C589))</f>
        <v/>
      </c>
      <c r="F589">
        <f>DEGREES(ATAN(TAN(RADIANS(pe0-omega*B589))*(C589/sref)^(m_-1)))</f>
        <v/>
      </c>
      <c r="G589">
        <f>E589-F589</f>
        <v/>
      </c>
    </row>
    <row r="590">
      <c r="A590" t="inlineStr">
        <is>
          <t>Goto et al. (1992) | low-undis</t>
        </is>
      </c>
      <c r="B590" t="n">
        <v>0.4240322580645162</v>
      </c>
      <c r="C590" t="n">
        <v>0.6750726066386561</v>
      </c>
      <c r="D590" t="n">
        <v>0.5730890500725322</v>
      </c>
      <c r="E590">
        <f>DEGREES(ATAN(D590/C590))</f>
        <v/>
      </c>
      <c r="F590">
        <f>DEGREES(ATAN(TAN(RADIANS(pe0-omega*B590))*(C590/sref)^(m_-1)))</f>
        <v/>
      </c>
      <c r="G590">
        <f>E590-F590</f>
        <v/>
      </c>
    </row>
    <row r="591">
      <c r="A591" t="inlineStr">
        <is>
          <t>Goto et al. (1992) | low-undis</t>
        </is>
      </c>
      <c r="B591" t="n">
        <v>0.4240322580645162</v>
      </c>
      <c r="C591" t="n">
        <v>0.9905925828226418</v>
      </c>
      <c r="D591" t="n">
        <v>0.7982721940324174</v>
      </c>
      <c r="E591">
        <f>DEGREES(ATAN(D591/C591))</f>
        <v/>
      </c>
      <c r="F591">
        <f>DEGREES(ATAN(TAN(RADIANS(pe0-omega*B591))*(C591/sref)^(m_-1)))</f>
        <v/>
      </c>
      <c r="G591">
        <f>E591-F591</f>
        <v/>
      </c>
    </row>
    <row r="592">
      <c r="A592" t="inlineStr">
        <is>
          <t>Goto et al. (1992) | up-dis</t>
        </is>
      </c>
      <c r="B592" t="n">
        <v>0.3445177664974621</v>
      </c>
      <c r="C592" t="n">
        <v>0.2306984313096114</v>
      </c>
      <c r="D592" t="n">
        <v>0.2349643035975375</v>
      </c>
      <c r="E592">
        <f>DEGREES(ATAN(D592/C592))</f>
        <v/>
      </c>
      <c r="F592">
        <f>DEGREES(ATAN(TAN(RADIANS(pe0-omega*B592))*(C592/sref)^(m_-1)))</f>
        <v/>
      </c>
      <c r="G592">
        <f>E592-F592</f>
        <v/>
      </c>
    </row>
    <row r="593">
      <c r="A593" t="inlineStr">
        <is>
          <t>Goto et al. (1992) | up-dis</t>
        </is>
      </c>
      <c r="B593" t="n">
        <v>0.3445177664974621</v>
      </c>
      <c r="C593" t="n">
        <v>0.4228076555238073</v>
      </c>
      <c r="D593" t="n">
        <v>0.3908582937751839</v>
      </c>
      <c r="E593">
        <f>DEGREES(ATAN(D593/C593))</f>
        <v/>
      </c>
      <c r="F593">
        <f>DEGREES(ATAN(TAN(RADIANS(pe0-omega*B593))*(C593/sref)^(m_-1)))</f>
        <v/>
      </c>
      <c r="G593">
        <f>E593-F593</f>
        <v/>
      </c>
    </row>
    <row r="594">
      <c r="A594" t="inlineStr">
        <is>
          <t>Goto et al. (1992) | up-dis</t>
        </is>
      </c>
      <c r="B594" t="n">
        <v>0.3445177664974621</v>
      </c>
      <c r="C594" t="n">
        <v>0.8521722700157921</v>
      </c>
      <c r="D594" t="n">
        <v>0.768625933933986</v>
      </c>
      <c r="E594">
        <f>DEGREES(ATAN(D594/C594))</f>
        <v/>
      </c>
      <c r="F594">
        <f>DEGREES(ATAN(TAN(RADIANS(pe0-omega*B594))*(C594/sref)^(m_-1)))</f>
        <v/>
      </c>
      <c r="G594">
        <f>E594-F594</f>
        <v/>
      </c>
    </row>
    <row r="595">
      <c r="A595" t="inlineStr">
        <is>
          <t>Goto et al. (1992) | up-undis</t>
        </is>
      </c>
      <c r="B595" t="n">
        <v>0.3445177664974621</v>
      </c>
      <c r="C595" t="n">
        <v>0.2266228553359299</v>
      </c>
      <c r="D595" t="n">
        <v>0.2301225222044763</v>
      </c>
      <c r="E595">
        <f>DEGREES(ATAN(D595/C595))</f>
        <v/>
      </c>
      <c r="F595">
        <f>DEGREES(ATAN(TAN(RADIANS(pe0-omega*B595))*(C595/sref)^(m_-1)))</f>
        <v/>
      </c>
      <c r="G595">
        <f>E595-F595</f>
        <v/>
      </c>
    </row>
    <row r="596">
      <c r="A596" t="inlineStr">
        <is>
          <t>Goto et al. (1992) | up-undis</t>
        </is>
      </c>
      <c r="B596" t="n">
        <v>0.3445177664974621</v>
      </c>
      <c r="C596" t="n">
        <v>0.4302503899331221</v>
      </c>
      <c r="D596" t="n">
        <v>0.4166527930811875</v>
      </c>
      <c r="E596">
        <f>DEGREES(ATAN(D596/C596))</f>
        <v/>
      </c>
      <c r="F596">
        <f>DEGREES(ATAN(TAN(RADIANS(pe0-omega*B596))*(C596/sref)^(m_-1)))</f>
        <v/>
      </c>
      <c r="G596">
        <f>E596-F596</f>
        <v/>
      </c>
    </row>
    <row r="597">
      <c r="A597" t="inlineStr">
        <is>
          <t>Goto et al. (1992) | up-undis</t>
        </is>
      </c>
      <c r="B597" t="n">
        <v>0.3445177664974621</v>
      </c>
      <c r="C597" t="n">
        <v>0.8497974505039212</v>
      </c>
      <c r="D597" t="n">
        <v>0.7838815617463425</v>
      </c>
      <c r="E597">
        <f>DEGREES(ATAN(D597/C597))</f>
        <v/>
      </c>
      <c r="F597">
        <f>DEGREES(ATAN(TAN(RADIANS(pe0-omega*B597))*(C597/sref)^(m_-1)))</f>
        <v/>
      </c>
      <c r="G597">
        <f>E597-F597</f>
        <v/>
      </c>
    </row>
    <row r="598">
      <c r="A598" t="inlineStr">
        <is>
          <t>Indraratna et al (1993) | IWB-A</t>
        </is>
      </c>
      <c r="B598" t="n">
        <v>0.4492753623188406</v>
      </c>
      <c r="C598" t="n">
        <v>0.1816578799352041</v>
      </c>
      <c r="D598" t="n">
        <v>0.1781749586300584</v>
      </c>
      <c r="E598">
        <f>DEGREES(ATAN(D598/C598))</f>
        <v/>
      </c>
      <c r="F598">
        <f>DEGREES(ATAN(TAN(RADIANS(pe0-omega*B598))*(C598/sref)^(m_-1)))</f>
        <v/>
      </c>
      <c r="G598">
        <f>E598-F598</f>
        <v/>
      </c>
    </row>
    <row r="599">
      <c r="A599" t="inlineStr">
        <is>
          <t>Indraratna et al (1993) | IWB-A</t>
        </is>
      </c>
      <c r="B599" t="n">
        <v>0.4492753623188406</v>
      </c>
      <c r="C599" t="n">
        <v>0.3628640143526012</v>
      </c>
      <c r="D599" t="n">
        <v>0.3348343392247742</v>
      </c>
      <c r="E599">
        <f>DEGREES(ATAN(D599/C599))</f>
        <v/>
      </c>
      <c r="F599">
        <f>DEGREES(ATAN(TAN(RADIANS(pe0-omega*B599))*(C599/sref)^(m_-1)))</f>
        <v/>
      </c>
      <c r="G599">
        <f>E599-F599</f>
        <v/>
      </c>
    </row>
    <row r="600">
      <c r="A600" t="inlineStr">
        <is>
          <t>Indraratna et al (1993) | IWB-A</t>
        </is>
      </c>
      <c r="B600" t="n">
        <v>0.4492753623188406</v>
      </c>
      <c r="C600" t="n">
        <v>0.5314885515458387</v>
      </c>
      <c r="D600" t="n">
        <v>0.4609101869834961</v>
      </c>
      <c r="E600">
        <f>DEGREES(ATAN(D600/C600))</f>
        <v/>
      </c>
      <c r="F600">
        <f>DEGREES(ATAN(TAN(RADIANS(pe0-omega*B600))*(C600/sref)^(m_-1)))</f>
        <v/>
      </c>
      <c r="G600">
        <f>E600-F600</f>
        <v/>
      </c>
    </row>
    <row r="601">
      <c r="A601" t="inlineStr">
        <is>
          <t>Indraratna et al (1993) | IWB-A</t>
        </is>
      </c>
      <c r="B601" t="n">
        <v>0.4492753623188406</v>
      </c>
      <c r="C601" t="n">
        <v>0.7001236175949973</v>
      </c>
      <c r="D601" t="n">
        <v>0.5838517710020057</v>
      </c>
      <c r="E601">
        <f>DEGREES(ATAN(D601/C601))</f>
        <v/>
      </c>
      <c r="F601">
        <f>DEGREES(ATAN(TAN(RADIANS(pe0-omega*B601))*(C601/sref)^(m_-1)))</f>
        <v/>
      </c>
      <c r="G601">
        <f>E601-F601</f>
        <v/>
      </c>
    </row>
    <row r="602">
      <c r="A602" t="inlineStr">
        <is>
          <t>Indraratna et al (1993) | IWB-A</t>
        </is>
      </c>
      <c r="B602" t="n">
        <v>0.4492753623188406</v>
      </c>
      <c r="C602" t="n">
        <v>0.8646176912556865</v>
      </c>
      <c r="D602" t="n">
        <v>0.6972698430041926</v>
      </c>
      <c r="E602">
        <f>DEGREES(ATAN(D602/C602))</f>
        <v/>
      </c>
      <c r="F602">
        <f>DEGREES(ATAN(TAN(RADIANS(pe0-omega*B602))*(C602/sref)^(m_-1)))</f>
        <v/>
      </c>
      <c r="G602">
        <f>E602-F602</f>
        <v/>
      </c>
    </row>
    <row r="603">
      <c r="A603" t="inlineStr">
        <is>
          <t>Indraratna et al (1993) | IWB-A</t>
        </is>
      </c>
      <c r="B603" t="n">
        <v>0.4492753623188406</v>
      </c>
      <c r="C603" t="n">
        <v>1.030687574879525</v>
      </c>
      <c r="D603" t="n">
        <v>0.8127973255034804</v>
      </c>
      <c r="E603">
        <f>DEGREES(ATAN(D603/C603))</f>
        <v/>
      </c>
      <c r="F603">
        <f>DEGREES(ATAN(TAN(RADIANS(pe0-omega*B603))*(C603/sref)^(m_-1)))</f>
        <v/>
      </c>
      <c r="G603">
        <f>E603-F603</f>
        <v/>
      </c>
    </row>
    <row r="604">
      <c r="A604" t="inlineStr">
        <is>
          <t>Indraratna et al (1993) | IWB-B</t>
        </is>
      </c>
      <c r="B604" t="n">
        <v>0.4492753623188406</v>
      </c>
      <c r="C604" t="n">
        <v>0.1717909055324914</v>
      </c>
      <c r="D604" t="n">
        <v>0.1547734912155535</v>
      </c>
      <c r="E604">
        <f>DEGREES(ATAN(D604/C604))</f>
        <v/>
      </c>
      <c r="F604">
        <f>DEGREES(ATAN(TAN(RADIANS(pe0-omega*B604))*(C604/sref)^(m_-1)))</f>
        <v/>
      </c>
      <c r="G604">
        <f>E604-F604</f>
        <v/>
      </c>
    </row>
    <row r="605">
      <c r="A605" t="inlineStr">
        <is>
          <t>Indraratna et al (1993) | IWB-B</t>
        </is>
      </c>
      <c r="B605" t="n">
        <v>0.4492753623188406</v>
      </c>
      <c r="C605" t="n">
        <v>0.3543881200483273</v>
      </c>
      <c r="D605" t="n">
        <v>0.3156474334503552</v>
      </c>
      <c r="E605">
        <f>DEGREES(ATAN(D605/C605))</f>
        <v/>
      </c>
      <c r="F605">
        <f>DEGREES(ATAN(TAN(RADIANS(pe0-omega*B605))*(C605/sref)^(m_-1)))</f>
        <v/>
      </c>
      <c r="G605">
        <f>E605-F605</f>
        <v/>
      </c>
    </row>
    <row r="606">
      <c r="A606" t="inlineStr">
        <is>
          <t>Indraratna et al (1993) | IWB-B</t>
        </is>
      </c>
      <c r="B606" t="n">
        <v>0.4492753623188406</v>
      </c>
      <c r="C606" t="n">
        <v>0.5265354830464332</v>
      </c>
      <c r="D606" t="n">
        <v>0.4499084962919147</v>
      </c>
      <c r="E606">
        <f>DEGREES(ATAN(D606/C606))</f>
        <v/>
      </c>
      <c r="F606">
        <f>DEGREES(ATAN(TAN(RADIANS(pe0-omega*B606))*(C606/sref)^(m_-1)))</f>
        <v/>
      </c>
      <c r="G606">
        <f>E606-F606</f>
        <v/>
      </c>
    </row>
    <row r="607">
      <c r="A607" t="inlineStr">
        <is>
          <t>Indraratna et al (1993) | IWB-B</t>
        </is>
      </c>
      <c r="B607" t="n">
        <v>0.4492753623188406</v>
      </c>
      <c r="C607" t="n">
        <v>0.7034277752841697</v>
      </c>
      <c r="D607" t="n">
        <v>0.590246778039237</v>
      </c>
      <c r="E607">
        <f>DEGREES(ATAN(D607/C607))</f>
        <v/>
      </c>
      <c r="F607">
        <f>DEGREES(ATAN(TAN(RADIANS(pe0-omega*B607))*(C607/sref)^(m_-1)))</f>
        <v/>
      </c>
      <c r="G607">
        <f>E607-F607</f>
        <v/>
      </c>
    </row>
    <row r="608">
      <c r="A608" t="inlineStr">
        <is>
          <t>Indraratna et al (1993) | IWB-B</t>
        </is>
      </c>
      <c r="B608" t="n">
        <v>0.4492753623188406</v>
      </c>
      <c r="C608" t="n">
        <v>0.8470442612268034</v>
      </c>
      <c r="D608" t="n">
        <v>0.665145701919708</v>
      </c>
      <c r="E608">
        <f>DEGREES(ATAN(D608/C608))</f>
        <v/>
      </c>
      <c r="F608">
        <f>DEGREES(ATAN(TAN(RADIANS(pe0-omega*B608))*(C608/sref)^(m_-1)))</f>
        <v/>
      </c>
      <c r="G608">
        <f>E608-F608</f>
        <v/>
      </c>
    </row>
    <row r="609">
      <c r="A609" t="inlineStr">
        <is>
          <t>Indraratna et al (1993) | IWB-B</t>
        </is>
      </c>
      <c r="B609" t="n">
        <v>0.4492753623188406</v>
      </c>
      <c r="C609" t="n">
        <v>1.029320732896305</v>
      </c>
      <c r="D609" t="n">
        <v>0.8124601049903249</v>
      </c>
      <c r="E609">
        <f>DEGREES(ATAN(D609/C609))</f>
        <v/>
      </c>
      <c r="F609">
        <f>DEGREES(ATAN(TAN(RADIANS(pe0-omega*B609))*(C609/sref)^(m_-1)))</f>
        <v/>
      </c>
      <c r="G609">
        <f>E609-F609</f>
        <v/>
      </c>
    </row>
    <row r="610">
      <c r="A610" t="inlineStr">
        <is>
          <t>Indraratna et al (1998) | IIC-A</t>
        </is>
      </c>
      <c r="B610" t="n">
        <v>0.82</v>
      </c>
      <c r="C610" t="n">
        <v>0.1529597295458013</v>
      </c>
      <c r="D610" t="n">
        <v>0.2295907449855075</v>
      </c>
      <c r="E610">
        <f>DEGREES(ATAN(D610/C610))</f>
        <v/>
      </c>
      <c r="F610">
        <f>DEGREES(ATAN(TAN(RADIANS(pe0-omega*B610))*(C610/sref)^(m_-1)))</f>
        <v/>
      </c>
      <c r="G610">
        <f>E610-F610</f>
        <v/>
      </c>
    </row>
    <row r="611">
      <c r="A611" t="inlineStr">
        <is>
          <t>Indraratna et al (1998) | IIC-A</t>
        </is>
      </c>
      <c r="B611" t="n">
        <v>0.82</v>
      </c>
      <c r="C611" t="n">
        <v>0.2017534660762701</v>
      </c>
      <c r="D611" t="n">
        <v>0.256395376466365</v>
      </c>
      <c r="E611">
        <f>DEGREES(ATAN(D611/C611))</f>
        <v/>
      </c>
      <c r="F611">
        <f>DEGREES(ATAN(TAN(RADIANS(pe0-omega*B611))*(C611/sref)^(m_-1)))</f>
        <v/>
      </c>
      <c r="G611">
        <f>E611-F611</f>
        <v/>
      </c>
    </row>
    <row r="612">
      <c r="A612" t="inlineStr">
        <is>
          <t>Indraratna et al (1998) | IIC-A</t>
        </is>
      </c>
      <c r="B612" t="n">
        <v>0.82</v>
      </c>
      <c r="C612" t="n">
        <v>0.2585010507191507</v>
      </c>
      <c r="D612" t="n">
        <v>0.3026851491649563</v>
      </c>
      <c r="E612">
        <f>DEGREES(ATAN(D612/C612))</f>
        <v/>
      </c>
      <c r="F612">
        <f>DEGREES(ATAN(TAN(RADIANS(pe0-omega*B612))*(C612/sref)^(m_-1)))</f>
        <v/>
      </c>
      <c r="G612">
        <f>E612-F612</f>
        <v/>
      </c>
    </row>
    <row r="613">
      <c r="A613" t="inlineStr">
        <is>
          <t>Indraratna et al (1998) | IIC-A</t>
        </is>
      </c>
      <c r="B613" t="n">
        <v>0.82</v>
      </c>
      <c r="C613" t="n">
        <v>0.500837969564512</v>
      </c>
      <c r="D613" t="n">
        <v>0.5105089571053066</v>
      </c>
      <c r="E613">
        <f>DEGREES(ATAN(D613/C613))</f>
        <v/>
      </c>
      <c r="F613">
        <f>DEGREES(ATAN(TAN(RADIANS(pe0-omega*B613))*(C613/sref)^(m_-1)))</f>
        <v/>
      </c>
      <c r="G613">
        <f>E613-F613</f>
        <v/>
      </c>
    </row>
    <row r="614">
      <c r="A614" t="inlineStr">
        <is>
          <t>Indraratna et al (1998) | IIC-B</t>
        </is>
      </c>
      <c r="B614" t="n">
        <v>0.77</v>
      </c>
      <c r="C614" t="n">
        <v>0.153324729279352</v>
      </c>
      <c r="D614" t="n">
        <v>0.2299669894339359</v>
      </c>
      <c r="E614">
        <f>DEGREES(ATAN(D614/C614))</f>
        <v/>
      </c>
      <c r="F614">
        <f>DEGREES(ATAN(TAN(RADIANS(pe0-omega*B614))*(C614/sref)^(m_-1)))</f>
        <v/>
      </c>
      <c r="G614">
        <f>E614-F614</f>
        <v/>
      </c>
    </row>
    <row r="615">
      <c r="A615" t="inlineStr">
        <is>
          <t>Indraratna et al (1998) | IIC-B</t>
        </is>
      </c>
      <c r="B615" t="n">
        <v>0.77</v>
      </c>
      <c r="C615" t="n">
        <v>0.2005788141346641</v>
      </c>
      <c r="D615" t="n">
        <v>0.2531238977605426</v>
      </c>
      <c r="E615">
        <f>DEGREES(ATAN(D615/C615))</f>
        <v/>
      </c>
      <c r="F615">
        <f>DEGREES(ATAN(TAN(RADIANS(pe0-omega*B615))*(C615/sref)^(m_-1)))</f>
        <v/>
      </c>
      <c r="G615">
        <f>E615-F615</f>
        <v/>
      </c>
    </row>
    <row r="616">
      <c r="A616" t="inlineStr">
        <is>
          <t>Indraratna et al (1998) | IIC-B</t>
        </is>
      </c>
      <c r="B616" t="n">
        <v>0.77</v>
      </c>
      <c r="C616" t="n">
        <v>0.2642326385373073</v>
      </c>
      <c r="D616" t="n">
        <v>0.3144996597240313</v>
      </c>
      <c r="E616">
        <f>DEGREES(ATAN(D616/C616))</f>
        <v/>
      </c>
      <c r="F616">
        <f>DEGREES(ATAN(TAN(RADIANS(pe0-omega*B616))*(C616/sref)^(m_-1)))</f>
        <v/>
      </c>
      <c r="G616">
        <f>E616-F616</f>
        <v/>
      </c>
    </row>
    <row r="617">
      <c r="A617" t="inlineStr">
        <is>
          <t>Indraratna et al (1998) | IIC-B</t>
        </is>
      </c>
      <c r="B617" t="n">
        <v>0.77</v>
      </c>
      <c r="C617" t="n">
        <v>0.4975902528076458</v>
      </c>
      <c r="D617" t="n">
        <v>0.5030498734121438</v>
      </c>
      <c r="E617">
        <f>DEGREES(ATAN(D617/C617))</f>
        <v/>
      </c>
      <c r="F617">
        <f>DEGREES(ATAN(TAN(RADIANS(pe0-omega*B617))*(C617/sref)^(m_-1)))</f>
        <v/>
      </c>
      <c r="G617">
        <f>E617-F617</f>
        <v/>
      </c>
    </row>
    <row r="618">
      <c r="A618" t="inlineStr">
        <is>
          <t>Ionescu and Indraratna (2003) | A fresh</t>
        </is>
      </c>
      <c r="B618" t="n">
        <v>0.6052727272727274</v>
      </c>
      <c r="C618" t="n">
        <v>0.1462381600349334</v>
      </c>
      <c r="D618" t="n">
        <v>0.2333696976657325</v>
      </c>
      <c r="E618">
        <f>DEGREES(ATAN(D618/C618))</f>
        <v/>
      </c>
      <c r="F618">
        <f>DEGREES(ATAN(TAN(RADIANS(pe0-omega*B618))*(C618/sref)^(m_-1)))</f>
        <v/>
      </c>
      <c r="G618">
        <f>E618-F618</f>
        <v/>
      </c>
    </row>
    <row r="619">
      <c r="A619" t="inlineStr">
        <is>
          <t>Ionescu and Indraratna (2003) | A fresh</t>
        </is>
      </c>
      <c r="B619" t="n">
        <v>0.6052727272727274</v>
      </c>
      <c r="C619" t="n">
        <v>0.2604582920320801</v>
      </c>
      <c r="D619" t="n">
        <v>0.3369763480999475</v>
      </c>
      <c r="E619">
        <f>DEGREES(ATAN(D619/C619))</f>
        <v/>
      </c>
      <c r="F619">
        <f>DEGREES(ATAN(TAN(RADIANS(pe0-omega*B619))*(C619/sref)^(m_-1)))</f>
        <v/>
      </c>
      <c r="G619">
        <f>E619-F619</f>
        <v/>
      </c>
    </row>
    <row r="620">
      <c r="A620" t="inlineStr">
        <is>
          <t>Ionescu and Indraratna (2003) | A fresh</t>
        </is>
      </c>
      <c r="B620" t="n">
        <v>0.6052727272727274</v>
      </c>
      <c r="C620" t="n">
        <v>0.5174746250749499</v>
      </c>
      <c r="D620" t="n">
        <v>0.5958901807341678</v>
      </c>
      <c r="E620">
        <f>DEGREES(ATAN(D620/C620))</f>
        <v/>
      </c>
      <c r="F620">
        <f>DEGREES(ATAN(TAN(RADIANS(pe0-omega*B620))*(C620/sref)^(m_-1)))</f>
        <v/>
      </c>
      <c r="G620">
        <f>E620-F620</f>
        <v/>
      </c>
    </row>
    <row r="621">
      <c r="A621" t="inlineStr">
        <is>
          <t>Ionescu and Indraratna (2003) | A recycled</t>
        </is>
      </c>
      <c r="B621" t="n">
        <v>0.6052727272727274</v>
      </c>
      <c r="C621" t="n">
        <v>0.1382807257986708</v>
      </c>
      <c r="D621" t="n">
        <v>0.2037893098129756</v>
      </c>
      <c r="E621">
        <f>DEGREES(ATAN(D621/C621))</f>
        <v/>
      </c>
      <c r="F621">
        <f>DEGREES(ATAN(TAN(RADIANS(pe0-omega*B621))*(C621/sref)^(m_-1)))</f>
        <v/>
      </c>
      <c r="G621">
        <f>E621-F621</f>
        <v/>
      </c>
    </row>
    <row r="622">
      <c r="A622" t="inlineStr">
        <is>
          <t>Ionescu and Indraratna (2003) | A recycled</t>
        </is>
      </c>
      <c r="B622" t="n">
        <v>0.6052727272727274</v>
      </c>
      <c r="C622" t="n">
        <v>0.2535836700648135</v>
      </c>
      <c r="D622" t="n">
        <v>0.3123624653207832</v>
      </c>
      <c r="E622">
        <f>DEGREES(ATAN(D622/C622))</f>
        <v/>
      </c>
      <c r="F622">
        <f>DEGREES(ATAN(TAN(RADIANS(pe0-omega*B622))*(C622/sref)^(m_-1)))</f>
        <v/>
      </c>
      <c r="G622">
        <f>E622-F622</f>
        <v/>
      </c>
    </row>
    <row r="623">
      <c r="A623" t="inlineStr">
        <is>
          <t>Ionescu and Indraratna (2003) | A recycled</t>
        </is>
      </c>
      <c r="B623" t="n">
        <v>0.6052727272727274</v>
      </c>
      <c r="C623" t="n">
        <v>0.4868974873418096</v>
      </c>
      <c r="D623" t="n">
        <v>0.5221198051924797</v>
      </c>
      <c r="E623">
        <f>DEGREES(ATAN(D623/C623))</f>
        <v/>
      </c>
      <c r="F623">
        <f>DEGREES(ATAN(TAN(RADIANS(pe0-omega*B623))*(C623/sref)^(m_-1)))</f>
        <v/>
      </c>
      <c r="G623">
        <f>E623-F623</f>
        <v/>
      </c>
    </row>
    <row r="624">
      <c r="A624" t="inlineStr">
        <is>
          <t>Ionescu and Indraratna (2003) | B fresh</t>
        </is>
      </c>
      <c r="B624" t="n">
        <v>0.6052727272727274</v>
      </c>
      <c r="C624" t="n">
        <v>0.1556457748349906</v>
      </c>
      <c r="D624" t="n">
        <v>0.2491560255165162</v>
      </c>
      <c r="E624">
        <f>DEGREES(ATAN(D624/C624))</f>
        <v/>
      </c>
      <c r="F624">
        <f>DEGREES(ATAN(TAN(RADIANS(pe0-omega*B624))*(C624/sref)^(m_-1)))</f>
        <v/>
      </c>
      <c r="G624">
        <f>E624-F624</f>
        <v/>
      </c>
    </row>
    <row r="625">
      <c r="A625" t="inlineStr">
        <is>
          <t>Ionescu and Indraratna (2003) | B fresh</t>
        </is>
      </c>
      <c r="B625" t="n">
        <v>0.6052727272727274</v>
      </c>
      <c r="C625" t="n">
        <v>0.2826818097803758</v>
      </c>
      <c r="D625" t="n">
        <v>0.3705206194003741</v>
      </c>
      <c r="E625">
        <f>DEGREES(ATAN(D625/C625))</f>
        <v/>
      </c>
      <c r="F625">
        <f>DEGREES(ATAN(TAN(RADIANS(pe0-omega*B625))*(C625/sref)^(m_-1)))</f>
        <v/>
      </c>
      <c r="G625">
        <f>E625-F625</f>
        <v/>
      </c>
    </row>
    <row r="626">
      <c r="A626" t="inlineStr">
        <is>
          <t>Ionescu and Indraratna (2003) | B fresh</t>
        </is>
      </c>
      <c r="B626" t="n">
        <v>0.6052727272727274</v>
      </c>
      <c r="C626" t="n">
        <v>0.5474529810645877</v>
      </c>
      <c r="D626" t="n">
        <v>0.6196960783009113</v>
      </c>
      <c r="E626">
        <f>DEGREES(ATAN(D626/C626))</f>
        <v/>
      </c>
      <c r="F626">
        <f>DEGREES(ATAN(TAN(RADIANS(pe0-omega*B626))*(C626/sref)^(m_-1)))</f>
        <v/>
      </c>
      <c r="G626">
        <f>E626-F626</f>
        <v/>
      </c>
    </row>
    <row r="627">
      <c r="A627" t="inlineStr">
        <is>
          <t>Ionescu and Indraratna (2003) | B recycled</t>
        </is>
      </c>
      <c r="B627" t="n">
        <v>0.6052727272727274</v>
      </c>
      <c r="C627" t="n">
        <v>0.135762679497109</v>
      </c>
      <c r="D627" t="n">
        <v>0.2045482711144025</v>
      </c>
      <c r="E627">
        <f>DEGREES(ATAN(D627/C627))</f>
        <v/>
      </c>
      <c r="F627">
        <f>DEGREES(ATAN(TAN(RADIANS(pe0-omega*B627))*(C627/sref)^(m_-1)))</f>
        <v/>
      </c>
      <c r="G627">
        <f>E627-F627</f>
        <v/>
      </c>
    </row>
    <row r="628">
      <c r="A628" t="inlineStr">
        <is>
          <t>Ionescu and Indraratna (2003) | B recycled</t>
        </is>
      </c>
      <c r="B628" t="n">
        <v>0.6052727272727274</v>
      </c>
      <c r="C628" t="n">
        <v>0.2547305585159542</v>
      </c>
      <c r="D628" t="n">
        <v>0.326530169763952</v>
      </c>
      <c r="E628">
        <f>DEGREES(ATAN(D628/C628))</f>
        <v/>
      </c>
      <c r="F628">
        <f>DEGREES(ATAN(TAN(RADIANS(pe0-omega*B628))*(C628/sref)^(m_-1)))</f>
        <v/>
      </c>
      <c r="G628">
        <f>E628-F628</f>
        <v/>
      </c>
    </row>
    <row r="629">
      <c r="A629" t="inlineStr">
        <is>
          <t>Ionescu and Indraratna (2003) | B recycled</t>
        </is>
      </c>
      <c r="B629" t="n">
        <v>0.6052727272727274</v>
      </c>
      <c r="C629" t="n">
        <v>0.4960136665693372</v>
      </c>
      <c r="D629" t="n">
        <v>0.5619969409330142</v>
      </c>
      <c r="E629">
        <f>DEGREES(ATAN(D629/C629))</f>
        <v/>
      </c>
      <c r="F629">
        <f>DEGREES(ATAN(TAN(RADIANS(pe0-omega*B629))*(C629/sref)^(m_-1)))</f>
        <v/>
      </c>
      <c r="G629">
        <f>E629-F629</f>
        <v/>
      </c>
    </row>
    <row r="630">
      <c r="A630" t="inlineStr">
        <is>
          <t>Ionescu and Indraratna (2003) | C recycled</t>
        </is>
      </c>
      <c r="B630" t="n">
        <v>0.6052727272727274</v>
      </c>
      <c r="C630" t="n">
        <v>0.2451300485320125</v>
      </c>
      <c r="D630" t="n">
        <v>0.3002608058984135</v>
      </c>
      <c r="E630">
        <f>DEGREES(ATAN(D630/C630))</f>
        <v/>
      </c>
      <c r="F630">
        <f>DEGREES(ATAN(TAN(RADIANS(pe0-omega*B630))*(C630/sref)^(m_-1)))</f>
        <v/>
      </c>
      <c r="G630">
        <f>E630-F630</f>
        <v/>
      </c>
    </row>
    <row r="631">
      <c r="A631" t="inlineStr">
        <is>
          <t>Ionescu and Indraratna (2003) | C recycled</t>
        </is>
      </c>
      <c r="B631" t="n">
        <v>0.6052727272727274</v>
      </c>
      <c r="C631" t="n">
        <v>0.496032873598111</v>
      </c>
      <c r="D631" t="n">
        <v>0.5570948147791722</v>
      </c>
      <c r="E631">
        <f>DEGREES(ATAN(D631/C631))</f>
        <v/>
      </c>
      <c r="F631">
        <f>DEGREES(ATAN(TAN(RADIANS(pe0-omega*B631))*(C631/sref)^(m_-1)))</f>
        <v/>
      </c>
      <c r="G631">
        <f>E631-F631</f>
        <v/>
      </c>
    </row>
    <row r="632">
      <c r="A632" t="inlineStr">
        <is>
          <t>Tosun et al. (1999) | A</t>
        </is>
      </c>
      <c r="B632" t="n">
        <v>0.4880337078651686</v>
      </c>
      <c r="C632" t="n">
        <v>0.1794537104199085</v>
      </c>
      <c r="D632" t="n">
        <v>0.1797538552482872</v>
      </c>
      <c r="E632">
        <f>DEGREES(ATAN(D632/C632))</f>
        <v/>
      </c>
      <c r="F632">
        <f>DEGREES(ATAN(TAN(RADIANS(pe0-omega*B632))*(C632/sref)^(m_-1)))</f>
        <v/>
      </c>
      <c r="G632">
        <f>E632-F632</f>
        <v/>
      </c>
    </row>
    <row r="633">
      <c r="A633" t="inlineStr">
        <is>
          <t>Tosun et al. (1999) | A</t>
        </is>
      </c>
      <c r="B633" t="n">
        <v>0.4880337078651686</v>
      </c>
      <c r="C633" t="n">
        <v>0.3693888898389313</v>
      </c>
      <c r="D633" t="n">
        <v>0.3374067662893372</v>
      </c>
      <c r="E633">
        <f>DEGREES(ATAN(D633/C633))</f>
        <v/>
      </c>
      <c r="F633">
        <f>DEGREES(ATAN(TAN(RADIANS(pe0-omega*B633))*(C633/sref)^(m_-1)))</f>
        <v/>
      </c>
      <c r="G633">
        <f>E633-F633</f>
        <v/>
      </c>
    </row>
    <row r="634">
      <c r="A634" t="inlineStr">
        <is>
          <t>Tosun et al. (1999) | B</t>
        </is>
      </c>
      <c r="B634" t="n">
        <v>0.4395108695652177</v>
      </c>
      <c r="C634" t="n">
        <v>0.1864226504999062</v>
      </c>
      <c r="D634" t="n">
        <v>0.19530220531748</v>
      </c>
      <c r="E634">
        <f>DEGREES(ATAN(D634/C634))</f>
        <v/>
      </c>
      <c r="F634">
        <f>DEGREES(ATAN(TAN(RADIANS(pe0-omega*B634))*(C634/sref)^(m_-1)))</f>
        <v/>
      </c>
      <c r="G634">
        <f>E634-F634</f>
        <v/>
      </c>
    </row>
    <row r="635">
      <c r="A635" t="inlineStr">
        <is>
          <t>Tosun et al. (1999) | B</t>
        </is>
      </c>
      <c r="B635" t="n">
        <v>0.4395108695652177</v>
      </c>
      <c r="C635" t="n">
        <v>0.3792211289190002</v>
      </c>
      <c r="D635" t="n">
        <v>0.3743470581134399</v>
      </c>
      <c r="E635">
        <f>DEGREES(ATAN(D635/C635))</f>
        <v/>
      </c>
      <c r="F635">
        <f>DEGREES(ATAN(TAN(RADIANS(pe0-omega*B635))*(C635/sref)^(m_-1)))</f>
        <v/>
      </c>
      <c r="G635">
        <f>E635-F635</f>
        <v/>
      </c>
    </row>
    <row r="636">
      <c r="A636" t="inlineStr">
        <is>
          <t>Tosun et al. (1999) | C</t>
        </is>
      </c>
      <c r="B636" t="n">
        <v>0.4317297297297298</v>
      </c>
      <c r="C636" t="n">
        <v>0.1734227785427124</v>
      </c>
      <c r="D636" t="n">
        <v>0.1509389162680816</v>
      </c>
      <c r="E636">
        <f>DEGREES(ATAN(D636/C636))</f>
        <v/>
      </c>
      <c r="F636">
        <f>DEGREES(ATAN(TAN(RADIANS(pe0-omega*B636))*(C636/sref)^(m_-1)))</f>
        <v/>
      </c>
      <c r="G636">
        <f>E636-F636</f>
        <v/>
      </c>
    </row>
    <row r="637">
      <c r="A637" t="inlineStr">
        <is>
          <t>Tosun et al. (1999) | C</t>
        </is>
      </c>
      <c r="B637" t="n">
        <v>0.4317297297297298</v>
      </c>
      <c r="C637" t="n">
        <v>0.3508252271318815</v>
      </c>
      <c r="D637" t="n">
        <v>0.2943661307593125</v>
      </c>
      <c r="E637">
        <f>DEGREES(ATAN(D637/C637))</f>
        <v/>
      </c>
      <c r="F637">
        <f>DEGREES(ATAN(TAN(RADIANS(pe0-omega*B637))*(C637/sref)^(m_-1)))</f>
        <v/>
      </c>
      <c r="G637">
        <f>E637-F637</f>
        <v/>
      </c>
    </row>
    <row r="638">
      <c r="A638" t="inlineStr">
        <is>
          <t>Tosun et al. (1999) | D80</t>
        </is>
      </c>
      <c r="B638" t="n">
        <v>0.3310050251256282</v>
      </c>
      <c r="C638" t="n">
        <v>0.1731547418383417</v>
      </c>
      <c r="D638" t="n">
        <v>0.1661393205028941</v>
      </c>
      <c r="E638">
        <f>DEGREES(ATAN(D638/C638))</f>
        <v/>
      </c>
      <c r="F638">
        <f>DEGREES(ATAN(TAN(RADIANS(pe0-omega*B638))*(C638/sref)^(m_-1)))</f>
        <v/>
      </c>
      <c r="G638">
        <f>E638-F638</f>
        <v/>
      </c>
    </row>
    <row r="639">
      <c r="A639" t="inlineStr">
        <is>
          <t>Tosun et al. (1999) | D80</t>
        </is>
      </c>
      <c r="B639" t="n">
        <v>0.3310050251256282</v>
      </c>
      <c r="C639" t="n">
        <v>0.3296979021383614</v>
      </c>
      <c r="D639" t="n">
        <v>0.2904639378238297</v>
      </c>
      <c r="E639">
        <f>DEGREES(ATAN(D639/C639))</f>
        <v/>
      </c>
      <c r="F639">
        <f>DEGREES(ATAN(TAN(RADIANS(pe0-omega*B639))*(C639/sref)^(m_-1)))</f>
        <v/>
      </c>
      <c r="G639">
        <f>E639-F639</f>
        <v/>
      </c>
    </row>
    <row r="640">
      <c r="A640" t="inlineStr">
        <is>
          <t>Tosun et al. (1999) | D90A</t>
        </is>
      </c>
      <c r="B640" t="n">
        <v>0.3112376237623764</v>
      </c>
      <c r="C640" t="n">
        <v>0.131811250574663</v>
      </c>
      <c r="D640" t="n">
        <v>0.1363716572462113</v>
      </c>
      <c r="E640">
        <f>DEGREES(ATAN(D640/C640))</f>
        <v/>
      </c>
      <c r="F640">
        <f>DEGREES(ATAN(TAN(RADIANS(pe0-omega*B640))*(C640/sref)^(m_-1)))</f>
        <v/>
      </c>
      <c r="G640">
        <f>E640-F640</f>
        <v/>
      </c>
    </row>
    <row r="641">
      <c r="A641" t="inlineStr">
        <is>
          <t>Tosun et al. (1999) | D90A</t>
        </is>
      </c>
      <c r="B641" t="n">
        <v>0.3112376237623764</v>
      </c>
      <c r="C641" t="n">
        <v>0.174090093042483</v>
      </c>
      <c r="D641" t="n">
        <v>0.1713497515453608</v>
      </c>
      <c r="E641">
        <f>DEGREES(ATAN(D641/C641))</f>
        <v/>
      </c>
      <c r="F641">
        <f>DEGREES(ATAN(TAN(RADIANS(pe0-omega*B641))*(C641/sref)^(m_-1)))</f>
        <v/>
      </c>
      <c r="G641">
        <f>E641-F641</f>
        <v/>
      </c>
    </row>
    <row r="642">
      <c r="A642" t="inlineStr">
        <is>
          <t>Tosun et al. (1999) | D90B</t>
        </is>
      </c>
      <c r="B642" t="n">
        <v>0.3112376237623764</v>
      </c>
      <c r="C642" t="n">
        <v>0.1785089577745825</v>
      </c>
      <c r="D642" t="n">
        <v>0.1855380613103771</v>
      </c>
      <c r="E642">
        <f>DEGREES(ATAN(D642/C642))</f>
        <v/>
      </c>
      <c r="F642">
        <f>DEGREES(ATAN(TAN(RADIANS(pe0-omega*B642))*(C642/sref)^(m_-1)))</f>
        <v/>
      </c>
      <c r="G642">
        <f>E642-F642</f>
        <v/>
      </c>
    </row>
    <row r="643">
      <c r="A643" t="inlineStr">
        <is>
          <t>Tosun et al. (1999) | D90B</t>
        </is>
      </c>
      <c r="B643" t="n">
        <v>0.3112376237623764</v>
      </c>
      <c r="C643" t="n">
        <v>0.2683821716673441</v>
      </c>
      <c r="D643" t="n">
        <v>0.2785615065262587</v>
      </c>
      <c r="E643">
        <f>DEGREES(ATAN(D643/C643))</f>
        <v/>
      </c>
      <c r="F643">
        <f>DEGREES(ATAN(TAN(RADIANS(pe0-omega*B643))*(C643/sref)^(m_-1)))</f>
        <v/>
      </c>
      <c r="G643">
        <f>E643-F643</f>
        <v/>
      </c>
    </row>
    <row r="644">
      <c r="A644" t="inlineStr">
        <is>
          <t>Tosun et al. (1999) | E</t>
        </is>
      </c>
      <c r="B644" t="n">
        <v>0.3177611940298508</v>
      </c>
      <c r="C644" t="n">
        <v>0.1684360279135574</v>
      </c>
      <c r="D644" t="n">
        <v>0.1504312429121396</v>
      </c>
      <c r="E644">
        <f>DEGREES(ATAN(D644/C644))</f>
        <v/>
      </c>
      <c r="F644">
        <f>DEGREES(ATAN(TAN(RADIANS(pe0-omega*B644))*(C644/sref)^(m_-1)))</f>
        <v/>
      </c>
      <c r="G644">
        <f>E644-F644</f>
        <v/>
      </c>
    </row>
    <row r="645">
      <c r="A645" t="inlineStr">
        <is>
          <t>Tosun et al. (1999) | E</t>
        </is>
      </c>
      <c r="B645" t="n">
        <v>0.3177611940298508</v>
      </c>
      <c r="C645" t="n">
        <v>0.2415893299252933</v>
      </c>
      <c r="D645" t="n">
        <v>0.1918597668943812</v>
      </c>
      <c r="E645">
        <f>DEGREES(ATAN(D645/C645))</f>
        <v/>
      </c>
      <c r="F645">
        <f>DEGREES(ATAN(TAN(RADIANS(pe0-omega*B645))*(C645/sref)^(m_-1)))</f>
        <v/>
      </c>
      <c r="G645">
        <f>E645-F645</f>
        <v/>
      </c>
    </row>
    <row r="646">
      <c r="A646" t="inlineStr">
        <is>
          <t>Tosun et al. (1999) | E</t>
        </is>
      </c>
      <c r="B646" t="n">
        <v>0.3177611940298508</v>
      </c>
      <c r="C646" t="n">
        <v>0.34164622902146</v>
      </c>
      <c r="D646" t="n">
        <v>0.3013361486958365</v>
      </c>
      <c r="E646">
        <f>DEGREES(ATAN(D646/C646))</f>
        <v/>
      </c>
      <c r="F646">
        <f>DEGREES(ATAN(TAN(RADIANS(pe0-omega*B646))*(C646/sref)^(m_-1)))</f>
        <v/>
      </c>
      <c r="G646">
        <f>E646-F646</f>
        <v/>
      </c>
    </row>
    <row r="647">
      <c r="A647" t="inlineStr">
        <is>
          <t>Tosun et al. (1999) | E</t>
        </is>
      </c>
      <c r="B647" t="n">
        <v>0.3177611940298508</v>
      </c>
      <c r="C647" t="n">
        <v>0.4946727821965354</v>
      </c>
      <c r="D647" t="n">
        <v>0.4089770416416649</v>
      </c>
      <c r="E647">
        <f>DEGREES(ATAN(D647/C647))</f>
        <v/>
      </c>
      <c r="F647">
        <f>DEGREES(ATAN(TAN(RADIANS(pe0-omega*B647))*(C647/sref)^(m_-1)))</f>
        <v/>
      </c>
      <c r="G647">
        <f>E647-F647</f>
        <v/>
      </c>
    </row>
    <row r="648">
      <c r="A648" t="inlineStr">
        <is>
          <t>Tosun et al. (1999) | F</t>
        </is>
      </c>
      <c r="B648" t="n">
        <v>0.2920487804878049</v>
      </c>
      <c r="C648" t="n">
        <v>0.1358090004917723</v>
      </c>
      <c r="D648" t="n">
        <v>0.1472688186778501</v>
      </c>
      <c r="E648">
        <f>DEGREES(ATAN(D648/C648))</f>
        <v/>
      </c>
      <c r="F648">
        <f>DEGREES(ATAN(TAN(RADIANS(pe0-omega*B648))*(C648/sref)^(m_-1)))</f>
        <v/>
      </c>
      <c r="G648">
        <f>E648-F648</f>
        <v/>
      </c>
    </row>
    <row r="649">
      <c r="A649" t="inlineStr">
        <is>
          <t>Tosun et al. (1999) | F</t>
        </is>
      </c>
      <c r="B649" t="n">
        <v>0.2920487804878049</v>
      </c>
      <c r="C649" t="n">
        <v>0.2694712637227274</v>
      </c>
      <c r="D649" t="n">
        <v>0.2660917902395022</v>
      </c>
      <c r="E649">
        <f>DEGREES(ATAN(D649/C649))</f>
        <v/>
      </c>
      <c r="F649">
        <f>DEGREES(ATAN(TAN(RADIANS(pe0-omega*B649))*(C649/sref)^(m_-1)))</f>
        <v/>
      </c>
      <c r="G649">
        <f>E649-F649</f>
        <v/>
      </c>
    </row>
    <row r="650">
      <c r="A650" t="inlineStr">
        <is>
          <t>Tosun et al. (1999) | F</t>
        </is>
      </c>
      <c r="B650" t="n">
        <v>0.2920487804878049</v>
      </c>
      <c r="C650" t="n">
        <v>0.3519514402596935</v>
      </c>
      <c r="D650" t="n">
        <v>0.3317425608165473</v>
      </c>
      <c r="E650">
        <f>DEGREES(ATAN(D650/C650))</f>
        <v/>
      </c>
      <c r="F650">
        <f>DEGREES(ATAN(TAN(RADIANS(pe0-omega*B650))*(C650/sref)^(m_-1)))</f>
        <v/>
      </c>
      <c r="G650">
        <f>E650-F650</f>
        <v/>
      </c>
    </row>
    <row r="651">
      <c r="A651" t="inlineStr">
        <is>
          <t>Ovalle et al (2014) | CP1</t>
        </is>
      </c>
      <c r="B651" t="n">
        <v>0.84</v>
      </c>
      <c r="C651" t="n">
        <v>0.195859065748907</v>
      </c>
      <c r="D651" t="n">
        <v>0.2135553007861491</v>
      </c>
      <c r="E651">
        <f>DEGREES(ATAN(D651/C651))</f>
        <v/>
      </c>
      <c r="F651">
        <f>DEGREES(ATAN(TAN(RADIANS(pe0-omega*B651))*(C651/sref)^(m_-1)))</f>
        <v/>
      </c>
      <c r="G651">
        <f>E651-F651</f>
        <v/>
      </c>
    </row>
    <row r="652">
      <c r="A652" t="inlineStr">
        <is>
          <t>Ovalle et al (2014) | CP1</t>
        </is>
      </c>
      <c r="B652" t="n">
        <v>0.84</v>
      </c>
      <c r="C652" t="n">
        <v>0.3720913492727498</v>
      </c>
      <c r="D652" t="n">
        <v>0.3563552788917352</v>
      </c>
      <c r="E652">
        <f>DEGREES(ATAN(D652/C652))</f>
        <v/>
      </c>
      <c r="F652">
        <f>DEGREES(ATAN(TAN(RADIANS(pe0-omega*B652))*(C652/sref)^(m_-1)))</f>
        <v/>
      </c>
      <c r="G652">
        <f>E652-F652</f>
        <v/>
      </c>
    </row>
    <row r="653">
      <c r="A653" t="inlineStr">
        <is>
          <t>Ovalle et al (2014) | CP1</t>
        </is>
      </c>
      <c r="B653" t="n">
        <v>0.84</v>
      </c>
      <c r="C653" t="n">
        <v>0.72077774427057</v>
      </c>
      <c r="D653" t="n">
        <v>0.619478408316573</v>
      </c>
      <c r="E653">
        <f>DEGREES(ATAN(D653/C653))</f>
        <v/>
      </c>
      <c r="F653">
        <f>DEGREES(ATAN(TAN(RADIANS(pe0-omega*B653))*(C653/sref)^(m_-1)))</f>
        <v/>
      </c>
      <c r="G653">
        <f>E653-F653</f>
        <v/>
      </c>
    </row>
    <row r="654">
      <c r="A654" t="inlineStr">
        <is>
          <t>Ovalle et al (2014) | CP2</t>
        </is>
      </c>
      <c r="B654" t="n">
        <v>0.89</v>
      </c>
      <c r="C654" t="n">
        <v>0.3576052334057621</v>
      </c>
      <c r="D654" t="n">
        <v>0.3077531907004474</v>
      </c>
      <c r="E654">
        <f>DEGREES(ATAN(D654/C654))</f>
        <v/>
      </c>
      <c r="F654">
        <f>DEGREES(ATAN(TAN(RADIANS(pe0-omega*B654))*(C654/sref)^(m_-1)))</f>
        <v/>
      </c>
      <c r="G654">
        <f>E654-F654</f>
        <v/>
      </c>
    </row>
    <row r="655">
      <c r="A655" t="inlineStr">
        <is>
          <t>Ovalle et al (2014) | CP2</t>
        </is>
      </c>
      <c r="B655" t="n">
        <v>0.89</v>
      </c>
      <c r="C655" t="n">
        <v>0.6994048994150646</v>
      </c>
      <c r="D655" t="n">
        <v>0.5484455962688334</v>
      </c>
      <c r="E655">
        <f>DEGREES(ATAN(D655/C655))</f>
        <v/>
      </c>
      <c r="F655">
        <f>DEGREES(ATAN(TAN(RADIANS(pe0-omega*B655))*(C655/sref)^(m_-1)))</f>
        <v/>
      </c>
      <c r="G655">
        <f>E655-F655</f>
        <v/>
      </c>
    </row>
    <row r="656">
      <c r="A656" t="inlineStr">
        <is>
          <t>Ovalle et al (2014) | STV1</t>
        </is>
      </c>
      <c r="B656" t="n">
        <v>0.5</v>
      </c>
      <c r="C656" t="n">
        <v>0.2186945685899641</v>
      </c>
      <c r="D656" t="n">
        <v>0.2818696446364106</v>
      </c>
      <c r="E656">
        <f>DEGREES(ATAN(D656/C656))</f>
        <v/>
      </c>
      <c r="F656">
        <f>DEGREES(ATAN(TAN(RADIANS(pe0-omega*B656))*(C656/sref)^(m_-1)))</f>
        <v/>
      </c>
      <c r="G656">
        <f>E656-F656</f>
        <v/>
      </c>
    </row>
    <row r="657">
      <c r="A657" t="inlineStr">
        <is>
          <t>Ovalle et al (2014) | STV1</t>
        </is>
      </c>
      <c r="B657" t="n">
        <v>0.5</v>
      </c>
      <c r="C657" t="n">
        <v>0.3990096678848979</v>
      </c>
      <c r="D657" t="n">
        <v>0.42870397572129</v>
      </c>
      <c r="E657">
        <f>DEGREES(ATAN(D657/C657))</f>
        <v/>
      </c>
      <c r="F657">
        <f>DEGREES(ATAN(TAN(RADIANS(pe0-omega*B657))*(C657/sref)^(m_-1)))</f>
        <v/>
      </c>
      <c r="G657">
        <f>E657-F657</f>
        <v/>
      </c>
    </row>
    <row r="658">
      <c r="A658" t="inlineStr">
        <is>
          <t>Ovalle et al (2014) | STV1</t>
        </is>
      </c>
      <c r="B658" t="n">
        <v>0.5</v>
      </c>
      <c r="C658" t="n">
        <v>0.5822449934453436</v>
      </c>
      <c r="D658" t="n">
        <v>0.5758662938230132</v>
      </c>
      <c r="E658">
        <f>DEGREES(ATAN(D658/C658))</f>
        <v/>
      </c>
      <c r="F658">
        <f>DEGREES(ATAN(TAN(RADIANS(pe0-omega*B658))*(C658/sref)^(m_-1)))</f>
        <v/>
      </c>
      <c r="G658">
        <f>E658-F658</f>
        <v/>
      </c>
    </row>
    <row r="659">
      <c r="A659" t="inlineStr">
        <is>
          <t>Ovalle et al (2014) | STV1</t>
        </is>
      </c>
      <c r="B659" t="n">
        <v>0.5</v>
      </c>
      <c r="C659" t="n">
        <v>0.7827078187413311</v>
      </c>
      <c r="D659" t="n">
        <v>0.7528470451599812</v>
      </c>
      <c r="E659">
        <f>DEGREES(ATAN(D659/C659))</f>
        <v/>
      </c>
      <c r="F659">
        <f>DEGREES(ATAN(TAN(RADIANS(pe0-omega*B659))*(C659/sref)^(m_-1)))</f>
        <v/>
      </c>
      <c r="G659">
        <f>E659-F659</f>
        <v/>
      </c>
    </row>
    <row r="660">
      <c r="A660" t="inlineStr">
        <is>
          <t>Ovalle et al (2014) | STV2</t>
        </is>
      </c>
      <c r="B660" t="n">
        <v>0.53</v>
      </c>
      <c r="C660" t="n">
        <v>0.3925411949244678</v>
      </c>
      <c r="D660" t="n">
        <v>0.3945194437392926</v>
      </c>
      <c r="E660">
        <f>DEGREES(ATAN(D660/C660))</f>
        <v/>
      </c>
      <c r="F660">
        <f>DEGREES(ATAN(TAN(RADIANS(pe0-omega*B660))*(C660/sref)^(m_-1)))</f>
        <v/>
      </c>
      <c r="G660">
        <f>E660-F660</f>
        <v/>
      </c>
    </row>
    <row r="661">
      <c r="A661" t="inlineStr">
        <is>
          <t>Ovalle et al (2014) | STV2</t>
        </is>
      </c>
      <c r="B661" t="n">
        <v>0.53</v>
      </c>
      <c r="C661" t="n">
        <v>0.5852259420865015</v>
      </c>
      <c r="D661" t="n">
        <v>0.5549621854166754</v>
      </c>
      <c r="E661">
        <f>DEGREES(ATAN(D661/C661))</f>
        <v/>
      </c>
      <c r="F661">
        <f>DEGREES(ATAN(TAN(RADIANS(pe0-omega*B661))*(C661/sref)^(m_-1)))</f>
        <v/>
      </c>
      <c r="G661">
        <f>E661-F661</f>
        <v/>
      </c>
    </row>
    <row r="662">
      <c r="A662" t="inlineStr">
        <is>
          <t>Ovalle et al (2014) | STV2</t>
        </is>
      </c>
      <c r="B662" t="n">
        <v>0.53</v>
      </c>
      <c r="C662" t="n">
        <v>0.7420259112394959</v>
      </c>
      <c r="D662" t="n">
        <v>0.6435591231913935</v>
      </c>
      <c r="E662">
        <f>DEGREES(ATAN(D662/C662))</f>
        <v/>
      </c>
      <c r="F662">
        <f>DEGREES(ATAN(TAN(RADIANS(pe0-omega*B662))*(C662/sref)^(m_-1)))</f>
        <v/>
      </c>
      <c r="G662">
        <f>E662-F662</f>
        <v/>
      </c>
    </row>
    <row r="663">
      <c r="A663" t="inlineStr">
        <is>
          <t>Xiao et al. (2014) | e=0.189</t>
        </is>
      </c>
      <c r="B663" t="n">
        <v>0.189</v>
      </c>
      <c r="C663" t="n">
        <v>0.7312620048122321</v>
      </c>
      <c r="D663" t="n">
        <v>0.7220481483636292</v>
      </c>
      <c r="E663">
        <f>DEGREES(ATAN(D663/C663))</f>
        <v/>
      </c>
      <c r="F663">
        <f>DEGREES(ATAN(TAN(RADIANS(pe0-omega*B663))*(C663/sref)^(m_-1)))</f>
        <v/>
      </c>
      <c r="G663">
        <f>E663-F663</f>
        <v/>
      </c>
    </row>
    <row r="664">
      <c r="A664" t="inlineStr">
        <is>
          <t>Xiao et al. (2014) | e=0.189</t>
        </is>
      </c>
      <c r="B664" t="n">
        <v>0.189</v>
      </c>
      <c r="C664" t="n">
        <v>1.4243190405722</v>
      </c>
      <c r="D664" t="n">
        <v>1.290815338434237</v>
      </c>
      <c r="E664">
        <f>DEGREES(ATAN(D664/C664))</f>
        <v/>
      </c>
      <c r="F664">
        <f>DEGREES(ATAN(TAN(RADIANS(pe0-omega*B664))*(C664/sref)^(m_-1)))</f>
        <v/>
      </c>
      <c r="G664">
        <f>E664-F664</f>
        <v/>
      </c>
    </row>
    <row r="665">
      <c r="A665" t="inlineStr">
        <is>
          <t>Xiao et al. (2014) | e=0.189</t>
        </is>
      </c>
      <c r="B665" t="n">
        <v>0.189</v>
      </c>
      <c r="C665" t="n">
        <v>2.777867470521338</v>
      </c>
      <c r="D665" t="n">
        <v>2.316787276315504</v>
      </c>
      <c r="E665">
        <f>DEGREES(ATAN(D665/C665))</f>
        <v/>
      </c>
      <c r="F665">
        <f>DEGREES(ATAN(TAN(RADIANS(pe0-omega*B665))*(C665/sref)^(m_-1)))</f>
        <v/>
      </c>
      <c r="G665">
        <f>E665-F665</f>
        <v/>
      </c>
    </row>
    <row r="666">
      <c r="A666" t="inlineStr">
        <is>
          <t>Xiao et al. (2014) | e=0.244</t>
        </is>
      </c>
      <c r="B666" t="n">
        <v>0.244</v>
      </c>
      <c r="C666" t="n">
        <v>0.7168615118633157</v>
      </c>
      <c r="D666" t="n">
        <v>0.6923677170266643</v>
      </c>
      <c r="E666">
        <f>DEGREES(ATAN(D666/C666))</f>
        <v/>
      </c>
      <c r="F666">
        <f>DEGREES(ATAN(TAN(RADIANS(pe0-omega*B666))*(C666/sref)^(m_-1)))</f>
        <v/>
      </c>
      <c r="G666">
        <f>E666-F666</f>
        <v/>
      </c>
    </row>
    <row r="667">
      <c r="A667" t="inlineStr">
        <is>
          <t>Xiao et al. (2014) | e=0.244</t>
        </is>
      </c>
      <c r="B667" t="n">
        <v>0.244</v>
      </c>
      <c r="C667" t="n">
        <v>1.426091641697269</v>
      </c>
      <c r="D667" t="n">
        <v>1.301601955410516</v>
      </c>
      <c r="E667">
        <f>DEGREES(ATAN(D667/C667))</f>
        <v/>
      </c>
      <c r="F667">
        <f>DEGREES(ATAN(TAN(RADIANS(pe0-omega*B667))*(C667/sref)^(m_-1)))</f>
        <v/>
      </c>
      <c r="G667">
        <f>E667-F667</f>
        <v/>
      </c>
    </row>
    <row r="668">
      <c r="A668" t="inlineStr">
        <is>
          <t>Xiao et al. (2014) | e=0.244</t>
        </is>
      </c>
      <c r="B668" t="n">
        <v>0.244</v>
      </c>
      <c r="C668" t="n">
        <v>2.7633142083217</v>
      </c>
      <c r="D668" t="n">
        <v>2.306103762559617</v>
      </c>
      <c r="E668">
        <f>DEGREES(ATAN(D668/C668))</f>
        <v/>
      </c>
      <c r="F668">
        <f>DEGREES(ATAN(TAN(RADIANS(pe0-omega*B668))*(C668/sref)^(m_-1)))</f>
        <v/>
      </c>
      <c r="G668">
        <f>E668-F668</f>
        <v/>
      </c>
    </row>
    <row r="669">
      <c r="A669" t="inlineStr">
        <is>
          <t>Xiao et al. (2014) | e=0.285</t>
        </is>
      </c>
      <c r="B669" t="n">
        <v>0.285</v>
      </c>
      <c r="C669" t="n">
        <v>0.7106747962400327</v>
      </c>
      <c r="D669" t="n">
        <v>0.662114082265939</v>
      </c>
      <c r="E669">
        <f>DEGREES(ATAN(D669/C669))</f>
        <v/>
      </c>
      <c r="F669">
        <f>DEGREES(ATAN(TAN(RADIANS(pe0-omega*B669))*(C669/sref)^(m_-1)))</f>
        <v/>
      </c>
      <c r="G669">
        <f>E669-F669</f>
        <v/>
      </c>
    </row>
    <row r="670">
      <c r="A670" t="inlineStr">
        <is>
          <t>Xiao et al. (2014) | e=0.285</t>
        </is>
      </c>
      <c r="B670" t="n">
        <v>0.285</v>
      </c>
      <c r="C670" t="n">
        <v>1.43325004267852</v>
      </c>
      <c r="D670" t="n">
        <v>1.280486423226278</v>
      </c>
      <c r="E670">
        <f>DEGREES(ATAN(D670/C670))</f>
        <v/>
      </c>
      <c r="F670">
        <f>DEGREES(ATAN(TAN(RADIANS(pe0-omega*B670))*(C670/sref)^(m_-1)))</f>
        <v/>
      </c>
      <c r="G670">
        <f>E670-F670</f>
        <v/>
      </c>
    </row>
    <row r="671">
      <c r="A671" t="inlineStr">
        <is>
          <t>Xiao et al. (2014) | e=0.285</t>
        </is>
      </c>
      <c r="B671" t="n">
        <v>0.285</v>
      </c>
      <c r="C671" t="n">
        <v>2.737480216016206</v>
      </c>
      <c r="D671" t="n">
        <v>2.189320094902046</v>
      </c>
      <c r="E671">
        <f>DEGREES(ATAN(D671/C671))</f>
        <v/>
      </c>
      <c r="F671">
        <f>DEGREES(ATAN(TAN(RADIANS(pe0-omega*B671))*(C671/sref)^(m_-1)))</f>
        <v/>
      </c>
      <c r="G671">
        <f>E671-F671</f>
        <v/>
      </c>
    </row>
    <row r="672">
      <c r="A672" t="inlineStr">
        <is>
          <t>Xiao et al. (2014) | e=0.317</t>
        </is>
      </c>
      <c r="B672" t="n">
        <v>0.317</v>
      </c>
      <c r="C672" t="n">
        <v>0.693273811453277</v>
      </c>
      <c r="D672" t="n">
        <v>0.6252830726514235</v>
      </c>
      <c r="E672">
        <f>DEGREES(ATAN(D672/C672))</f>
        <v/>
      </c>
      <c r="F672">
        <f>DEGREES(ATAN(TAN(RADIANS(pe0-omega*B672))*(C672/sref)^(m_-1)))</f>
        <v/>
      </c>
      <c r="G672">
        <f>E672-F672</f>
        <v/>
      </c>
    </row>
    <row r="673">
      <c r="A673" t="inlineStr">
        <is>
          <t>Xiao et al. (2014) | e=0.317</t>
        </is>
      </c>
      <c r="B673" t="n">
        <v>0.317</v>
      </c>
      <c r="C673" t="n">
        <v>1.433869628613232</v>
      </c>
      <c r="D673" t="n">
        <v>1.283763423624734</v>
      </c>
      <c r="E673">
        <f>DEGREES(ATAN(D673/C673))</f>
        <v/>
      </c>
      <c r="F673">
        <f>DEGREES(ATAN(TAN(RADIANS(pe0-omega*B673))*(C673/sref)^(m_-1)))</f>
        <v/>
      </c>
      <c r="G673">
        <f>E673-F673</f>
        <v/>
      </c>
    </row>
    <row r="674">
      <c r="A674" t="inlineStr">
        <is>
          <t>Xiao et al. (2014) | e=0.317</t>
        </is>
      </c>
      <c r="B674" t="n">
        <v>0.317</v>
      </c>
      <c r="C674" t="n">
        <v>2.740735505246569</v>
      </c>
      <c r="D674" t="n">
        <v>2.201331626825578</v>
      </c>
      <c r="E674">
        <f>DEGREES(ATAN(D674/C674))</f>
        <v/>
      </c>
      <c r="F674">
        <f>DEGREES(ATAN(TAN(RADIANS(pe0-omega*B674))*(C674/sref)^(m_-1)))</f>
        <v/>
      </c>
      <c r="G674">
        <f>E674-F674</f>
        <v/>
      </c>
    </row>
    <row r="675">
      <c r="A675" t="inlineStr">
        <is>
          <t>Alonso et al (2016) | Specimen 2</t>
        </is>
      </c>
      <c r="B675" t="n">
        <v>0.544</v>
      </c>
      <c r="C675" t="n">
        <v>0.6947050637279004</v>
      </c>
      <c r="D675" t="n">
        <v>0.6949043225060424</v>
      </c>
      <c r="E675">
        <f>DEGREES(ATAN(D675/C675))</f>
        <v/>
      </c>
      <c r="F675">
        <f>DEGREES(ATAN(TAN(RADIANS(pe0-omega*B675))*(C675/sref)^(m_-1)))</f>
        <v/>
      </c>
      <c r="G675">
        <f>E675-F675</f>
        <v/>
      </c>
    </row>
    <row r="676">
      <c r="A676" t="inlineStr">
        <is>
          <t>Alonso et al (2016) | Specimen 2</t>
        </is>
      </c>
      <c r="B676" t="n">
        <v>0.544</v>
      </c>
      <c r="C676" t="n">
        <v>1.117119745611431</v>
      </c>
      <c r="D676" t="n">
        <v>1.002052655240787</v>
      </c>
      <c r="E676">
        <f>DEGREES(ATAN(D676/C676))</f>
        <v/>
      </c>
      <c r="F676">
        <f>DEGREES(ATAN(TAN(RADIANS(pe0-omega*B676))*(C676/sref)^(m_-1)))</f>
        <v/>
      </c>
      <c r="G676">
        <f>E676-F676</f>
        <v/>
      </c>
    </row>
    <row r="677">
      <c r="A677" t="inlineStr">
        <is>
          <t>Alonso et al (2016) | Specimen 2</t>
        </is>
      </c>
      <c r="B677" t="n">
        <v>0.544</v>
      </c>
      <c r="C677" t="n">
        <v>1.80212314146477</v>
      </c>
      <c r="D677" t="n">
        <v>1.185785504305265</v>
      </c>
      <c r="E677">
        <f>DEGREES(ATAN(D677/C677))</f>
        <v/>
      </c>
      <c r="F677">
        <f>DEGREES(ATAN(TAN(RADIANS(pe0-omega*B677))*(C677/sref)^(m_-1)))</f>
        <v/>
      </c>
      <c r="G677">
        <f>E677-F677</f>
        <v/>
      </c>
    </row>
    <row r="678">
      <c r="A678" t="inlineStr">
        <is>
          <t>Ovalle et al. (2020) | 1</t>
        </is>
      </c>
      <c r="B678" t="n">
        <v>0.86</v>
      </c>
      <c r="C678" t="n">
        <v>0.1802257132921206</v>
      </c>
      <c r="D678" t="n">
        <v>0.1629005926626175</v>
      </c>
      <c r="E678">
        <f>DEGREES(ATAN(D678/C678))</f>
        <v/>
      </c>
      <c r="F678">
        <f>DEGREES(ATAN(TAN(RADIANS(pe0-omega*B678))*(C678/sref)^(m_-1)))</f>
        <v/>
      </c>
      <c r="G678">
        <f>E678-F678</f>
        <v/>
      </c>
    </row>
    <row r="679">
      <c r="A679" t="inlineStr">
        <is>
          <t>Ovalle et al. (2020) | 1</t>
        </is>
      </c>
      <c r="B679" t="n">
        <v>0.84</v>
      </c>
      <c r="C679" t="n">
        <v>0.1790545349958853</v>
      </c>
      <c r="D679" t="n">
        <v>0.1605224818208275</v>
      </c>
      <c r="E679">
        <f>DEGREES(ATAN(D679/C679))</f>
        <v/>
      </c>
      <c r="F679">
        <f>DEGREES(ATAN(TAN(RADIANS(pe0-omega*B679))*(C679/sref)^(m_-1)))</f>
        <v/>
      </c>
      <c r="G679">
        <f>E679-F679</f>
        <v/>
      </c>
    </row>
    <row r="680">
      <c r="A680" t="inlineStr">
        <is>
          <t>Ovalle et al. (2020) | 1</t>
        </is>
      </c>
      <c r="B680" t="n">
        <v>0.82</v>
      </c>
      <c r="C680" t="n">
        <v>0.3449547076189838</v>
      </c>
      <c r="D680" t="n">
        <v>0.2819736738606636</v>
      </c>
      <c r="E680">
        <f>DEGREES(ATAN(D680/C680))</f>
        <v/>
      </c>
      <c r="F680">
        <f>DEGREES(ATAN(TAN(RADIANS(pe0-omega*B680))*(C680/sref)^(m_-1)))</f>
        <v/>
      </c>
      <c r="G680">
        <f>E680-F680</f>
        <v/>
      </c>
    </row>
    <row r="681">
      <c r="A681" t="inlineStr">
        <is>
          <t>Ovalle et al. (2020) | 2</t>
        </is>
      </c>
      <c r="B681" t="n">
        <v>0.309</v>
      </c>
      <c r="C681" t="n">
        <v>0.1869271146362598</v>
      </c>
      <c r="D681" t="n">
        <v>0.1780000104015912</v>
      </c>
      <c r="E681">
        <f>DEGREES(ATAN(D681/C681))</f>
        <v/>
      </c>
      <c r="F681">
        <f>DEGREES(ATAN(TAN(RADIANS(pe0-omega*B681))*(C681/sref)^(m_-1)))</f>
        <v/>
      </c>
      <c r="G681">
        <f>E681-F681</f>
        <v/>
      </c>
    </row>
    <row r="682">
      <c r="A682" t="inlineStr">
        <is>
          <t>Ovalle et al. (2020) | 2</t>
        </is>
      </c>
      <c r="B682" t="n">
        <v>0.304</v>
      </c>
      <c r="C682" t="n">
        <v>0.3546178836484581</v>
      </c>
      <c r="D682" t="n">
        <v>0.309187249542806</v>
      </c>
      <c r="E682">
        <f>DEGREES(ATAN(D682/C682))</f>
        <v/>
      </c>
      <c r="F682">
        <f>DEGREES(ATAN(TAN(RADIANS(pe0-omega*B682))*(C682/sref)^(m_-1)))</f>
        <v/>
      </c>
      <c r="G682">
        <f>E682-F682</f>
        <v/>
      </c>
    </row>
    <row r="683">
      <c r="A683" t="inlineStr">
        <is>
          <t>Ovalle et al. (2020) | 2</t>
        </is>
      </c>
      <c r="B683" t="n">
        <v>0.316</v>
      </c>
      <c r="C683" t="n">
        <v>0.5233322040428895</v>
      </c>
      <c r="D683" t="n">
        <v>0.4237576680245528</v>
      </c>
      <c r="E683">
        <f>DEGREES(ATAN(D683/C683))</f>
        <v/>
      </c>
      <c r="F683">
        <f>DEGREES(ATAN(TAN(RADIANS(pe0-omega*B683))*(C683/sref)^(m_-1)))</f>
        <v/>
      </c>
      <c r="G683">
        <f>E683-F683</f>
        <v/>
      </c>
    </row>
    <row r="684">
      <c r="A684" t="inlineStr">
        <is>
          <t>Ovalle et al. (2020) | 3</t>
        </is>
      </c>
      <c r="B684" t="n">
        <v>0.55</v>
      </c>
      <c r="C684" t="n">
        <v>0.4624190969213112</v>
      </c>
      <c r="D684" t="n">
        <v>0.4757622653474846</v>
      </c>
      <c r="E684">
        <f>DEGREES(ATAN(D684/C684))</f>
        <v/>
      </c>
      <c r="F684">
        <f>DEGREES(ATAN(TAN(RADIANS(pe0-omega*B684))*(C684/sref)^(m_-1)))</f>
        <v/>
      </c>
      <c r="G684">
        <f>E684-F684</f>
        <v/>
      </c>
    </row>
    <row r="685">
      <c r="A685" t="inlineStr">
        <is>
          <t>Ovalle et al. (2020) | 3</t>
        </is>
      </c>
      <c r="B685" t="n">
        <v>0.55</v>
      </c>
      <c r="C685" t="n">
        <v>0.8945428404298015</v>
      </c>
      <c r="D685" t="n">
        <v>0.8486583840508167</v>
      </c>
      <c r="E685">
        <f>DEGREES(ATAN(D685/C685))</f>
        <v/>
      </c>
      <c r="F685">
        <f>DEGREES(ATAN(TAN(RADIANS(pe0-omega*B685))*(C685/sref)^(m_-1)))</f>
        <v/>
      </c>
      <c r="G685">
        <f>E685-F685</f>
        <v/>
      </c>
    </row>
    <row r="686">
      <c r="A686" t="inlineStr">
        <is>
          <t>Ovalle et al. (2020) | 3</t>
        </is>
      </c>
      <c r="B686" t="n">
        <v>0.55</v>
      </c>
      <c r="C686" t="n">
        <v>1.683826667731798</v>
      </c>
      <c r="D686" t="n">
        <v>1.414565431152132</v>
      </c>
      <c r="E686">
        <f>DEGREES(ATAN(D686/C686))</f>
        <v/>
      </c>
      <c r="F686">
        <f>DEGREES(ATAN(TAN(RADIANS(pe0-omega*B686))*(C686/sref)^(m_-1)))</f>
        <v/>
      </c>
      <c r="G686">
        <f>E686-F686</f>
        <v/>
      </c>
    </row>
    <row r="687">
      <c r="A687" t="inlineStr">
        <is>
          <t>Ovalle et al. (2020) | 3</t>
        </is>
      </c>
      <c r="B687" t="n">
        <v>0.55</v>
      </c>
      <c r="C687" t="n">
        <v>3.417234683087448</v>
      </c>
      <c r="D687" t="n">
        <v>2.822902410992922</v>
      </c>
      <c r="E687">
        <f>DEGREES(ATAN(D687/C687))</f>
        <v/>
      </c>
      <c r="F687">
        <f>DEGREES(ATAN(TAN(RADIANS(pe0-omega*B687))*(C687/sref)^(m_-1)))</f>
        <v/>
      </c>
      <c r="G687">
        <f>E687-F687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5" customWidth="1" min="3" max="3"/>
    <col width="7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8" customWidth="1" min="22" max="22"/>
    <col width="8" customWidth="1" min="23" max="23"/>
    <col width="9" customWidth="1" min="24" max="24"/>
    <col width="9" customWidth="1" min="25" max="25"/>
    <col width="9" customWidth="1" min="26" max="26"/>
  </cols>
  <sheetData>
    <row r="1">
      <c r="A1" s="3" t="inlineStr">
        <is>
          <t>Fuente</t>
        </is>
      </c>
      <c r="B1" s="3" t="inlineStr">
        <is>
          <t>Set</t>
        </is>
      </c>
      <c r="C1" s="3" t="inlineStr">
        <is>
          <t>Tipo</t>
        </is>
      </c>
      <c r="D1" s="3" t="inlineStr">
        <is>
          <t>e0</t>
        </is>
      </c>
      <c r="E1" s="3" t="inlineStr">
        <is>
          <t>σ′3 (MPa)</t>
        </is>
      </c>
      <c r="F1" s="3" t="inlineStr">
        <is>
          <t>σ′1 (MPa)</t>
        </is>
      </c>
      <c r="G1" s="3" t="inlineStr">
        <is>
          <t>q obs (MPa)</t>
        </is>
      </c>
      <c r="H1" s="3" t="inlineStr">
        <is>
          <t>σ′n obs, DS (MPa)</t>
        </is>
      </c>
      <c r="I1" s="3" t="inlineStr">
        <is>
          <t>τ obs, DS (MPa)</t>
        </is>
      </c>
      <c r="J1" s="3" t="inlineStr">
        <is>
          <t>a = tan(φ′e0 − ω·e0)·(10pa)^(1−m)</t>
        </is>
      </c>
      <c r="K1" s="3" t="inlineStr">
        <is>
          <t>Newton 1: σ′n (MPa)</t>
        </is>
      </c>
      <c r="L1" s="3" t="inlineStr">
        <is>
          <t>Newton 2: σ′n (MPa)</t>
        </is>
      </c>
      <c r="M1" s="3" t="inlineStr">
        <is>
          <t>Newton 3: σ′n (MPa)</t>
        </is>
      </c>
      <c r="N1" s="3" t="inlineStr">
        <is>
          <t>Newton 4: σ′n (MPa)</t>
        </is>
      </c>
      <c r="O1" s="3" t="inlineStr">
        <is>
          <t>Newton 5: σ′n (MPa)</t>
        </is>
      </c>
      <c r="P1" s="3" t="inlineStr">
        <is>
          <t>Newton 6: σ′n (MPa)</t>
        </is>
      </c>
      <c r="Q1" s="3" t="inlineStr">
        <is>
          <t>Newton 7: σ′n (MPa)</t>
        </is>
      </c>
      <c r="R1" s="3" t="inlineStr">
        <is>
          <t>Newton 8: σ′n (MPa)</t>
        </is>
      </c>
      <c r="S1" s="3" t="inlineStr">
        <is>
          <t>Newton 9: σ′n (MPa)</t>
        </is>
      </c>
      <c r="T1" s="3" t="inlineStr">
        <is>
          <t>Newton 10: σ′n (MPa)</t>
        </is>
      </c>
      <c r="U1" s="3" t="inlineStr">
        <is>
          <t>τ (MPa)</t>
        </is>
      </c>
      <c r="V1" s="3" t="inlineStr">
        <is>
          <t>tan φ′t</t>
        </is>
      </c>
      <c r="W1" s="3" t="inlineStr">
        <is>
          <t>R (MPa)</t>
        </is>
      </c>
      <c r="X1" s="3" t="inlineStr">
        <is>
          <t>q pred (MPa)</t>
        </is>
      </c>
      <c r="Y1" s="3" t="inlineStr">
        <is>
          <t>Residuo</t>
        </is>
      </c>
      <c r="Z1" s="3" t="inlineStr">
        <is>
          <t>Residuo²</t>
        </is>
      </c>
    </row>
    <row r="2">
      <c r="A2" t="inlineStr">
        <is>
          <t>G2012</t>
        </is>
      </c>
      <c r="B2" t="inlineStr">
        <is>
          <t>G2012-MN-C</t>
        </is>
      </c>
      <c r="C2" t="inlineStr">
        <is>
          <t>TX</t>
        </is>
      </c>
      <c r="D2" t="n">
        <v>0.3119684466019417</v>
      </c>
      <c r="E2" t="n">
        <v>0.4903</v>
      </c>
      <c r="F2" t="n">
        <v>2.2712</v>
      </c>
      <c r="G2">
        <f>F2-E2</f>
        <v/>
      </c>
      <c r="J2">
        <f>TAN(RADIANS(pe0-omega*D2))*sref^(1-m_)</f>
        <v/>
      </c>
      <c r="K2">
        <f>2*E2-((2*E2)+(J2*(2*E2)^m_)*(m_*J2*(2*E2)^(m_-1))-(J2*(2*E2)^m_)*SQRT(1+(m_*J2*(2*E2)^(m_-1))^2)-(E2))*((2*E2)*1E-6)/(((2*E2+((2*E2)*1E-6))+(J2*(2*E2+((2*E2)*1E-6))^m_)*(m_*J2*(2*E2+((2*E2)*1E-6))^(m_-1))-(J2*(2*E2+((2*E2)*1E-6))^m_)*SQRT(1+(m_*J2*(2*E2+((2*E2)*1E-6))^(m_-1))^2)-(E2))-((2*E2)+(J2*(2*E2)^m_)*(m_*J2*(2*E2)^(m_-1))-(J2*(2*E2)^m_)*SQRT(1+(m_*J2*(2*E2)^(m_-1))^2)-(E2)))</f>
        <v/>
      </c>
      <c r="L2">
        <f>K2-((K2)+(J2*(K2)^m_)*(m_*J2*(K2)^(m_-1))-(J2*(K2)^m_)*SQRT(1+(m_*J2*(K2)^(m_-1))^2)-(E2))*((K2)*1E-6)/(((K2+((K2)*1E-6))+(J2*(K2+((K2)*1E-6))^m_)*(m_*J2*(K2+((K2)*1E-6))^(m_-1))-(J2*(K2+((K2)*1E-6))^m_)*SQRT(1+(m_*J2*(K2+((K2)*1E-6))^(m_-1))^2)-(E2))-((K2)+(J2*(K2)^m_)*(m_*J2*(K2)^(m_-1))-(J2*(K2)^m_)*SQRT(1+(m_*J2*(K2)^(m_-1))^2)-(E2)))</f>
        <v/>
      </c>
      <c r="M2">
        <f>L2-((L2)+(J2*(L2)^m_)*(m_*J2*(L2)^(m_-1))-(J2*(L2)^m_)*SQRT(1+(m_*J2*(L2)^(m_-1))^2)-(E2))*((L2)*1E-6)/(((L2+((L2)*1E-6))+(J2*(L2+((L2)*1E-6))^m_)*(m_*J2*(L2+((L2)*1E-6))^(m_-1))-(J2*(L2+((L2)*1E-6))^m_)*SQRT(1+(m_*J2*(L2+((L2)*1E-6))^(m_-1))^2)-(E2))-((L2)+(J2*(L2)^m_)*(m_*J2*(L2)^(m_-1))-(J2*(L2)^m_)*SQRT(1+(m_*J2*(L2)^(m_-1))^2)-(E2)))</f>
        <v/>
      </c>
      <c r="N2">
        <f>M2-((M2)+(J2*(M2)^m_)*(m_*J2*(M2)^(m_-1))-(J2*(M2)^m_)*SQRT(1+(m_*J2*(M2)^(m_-1))^2)-(E2))*((M2)*1E-6)/(((M2+((M2)*1E-6))+(J2*(M2+((M2)*1E-6))^m_)*(m_*J2*(M2+((M2)*1E-6))^(m_-1))-(J2*(M2+((M2)*1E-6))^m_)*SQRT(1+(m_*J2*(M2+((M2)*1E-6))^(m_-1))^2)-(E2))-((M2)+(J2*(M2)^m_)*(m_*J2*(M2)^(m_-1))-(J2*(M2)^m_)*SQRT(1+(m_*J2*(M2)^(m_-1))^2)-(E2)))</f>
        <v/>
      </c>
      <c r="O2">
        <f>N2-((N2)+(J2*(N2)^m_)*(m_*J2*(N2)^(m_-1))-(J2*(N2)^m_)*SQRT(1+(m_*J2*(N2)^(m_-1))^2)-(E2))*((N2)*1E-6)/(((N2+((N2)*1E-6))+(J2*(N2+((N2)*1E-6))^m_)*(m_*J2*(N2+((N2)*1E-6))^(m_-1))-(J2*(N2+((N2)*1E-6))^m_)*SQRT(1+(m_*J2*(N2+((N2)*1E-6))^(m_-1))^2)-(E2))-((N2)+(J2*(N2)^m_)*(m_*J2*(N2)^(m_-1))-(J2*(N2)^m_)*SQRT(1+(m_*J2*(N2)^(m_-1))^2)-(E2)))</f>
        <v/>
      </c>
      <c r="P2">
        <f>O2-((O2)+(J2*(O2)^m_)*(m_*J2*(O2)^(m_-1))-(J2*(O2)^m_)*SQRT(1+(m_*J2*(O2)^(m_-1))^2)-(E2))*((O2)*1E-6)/(((O2+((O2)*1E-6))+(J2*(O2+((O2)*1E-6))^m_)*(m_*J2*(O2+((O2)*1E-6))^(m_-1))-(J2*(O2+((O2)*1E-6))^m_)*SQRT(1+(m_*J2*(O2+((O2)*1E-6))^(m_-1))^2)-(E2))-((O2)+(J2*(O2)^m_)*(m_*J2*(O2)^(m_-1))-(J2*(O2)^m_)*SQRT(1+(m_*J2*(O2)^(m_-1))^2)-(E2)))</f>
        <v/>
      </c>
      <c r="Q2">
        <f>P2-((P2)+(J2*(P2)^m_)*(m_*J2*(P2)^(m_-1))-(J2*(P2)^m_)*SQRT(1+(m_*J2*(P2)^(m_-1))^2)-(E2))*((P2)*1E-6)/(((P2+((P2)*1E-6))+(J2*(P2+((P2)*1E-6))^m_)*(m_*J2*(P2+((P2)*1E-6))^(m_-1))-(J2*(P2+((P2)*1E-6))^m_)*SQRT(1+(m_*J2*(P2+((P2)*1E-6))^(m_-1))^2)-(E2))-((P2)+(J2*(P2)^m_)*(m_*J2*(P2)^(m_-1))-(J2*(P2)^m_)*SQRT(1+(m_*J2*(P2)^(m_-1))^2)-(E2)))</f>
        <v/>
      </c>
      <c r="R2">
        <f>Q2-((Q2)+(J2*(Q2)^m_)*(m_*J2*(Q2)^(m_-1))-(J2*(Q2)^m_)*SQRT(1+(m_*J2*(Q2)^(m_-1))^2)-(E2))*((Q2)*1E-6)/(((Q2+((Q2)*1E-6))+(J2*(Q2+((Q2)*1E-6))^m_)*(m_*J2*(Q2+((Q2)*1E-6))^(m_-1))-(J2*(Q2+((Q2)*1E-6))^m_)*SQRT(1+(m_*J2*(Q2+((Q2)*1E-6))^(m_-1))^2)-(E2))-((Q2)+(J2*(Q2)^m_)*(m_*J2*(Q2)^(m_-1))-(J2*(Q2)^m_)*SQRT(1+(m_*J2*(Q2)^(m_-1))^2)-(E2)))</f>
        <v/>
      </c>
      <c r="S2">
        <f>R2-((R2)+(J2*(R2)^m_)*(m_*J2*(R2)^(m_-1))-(J2*(R2)^m_)*SQRT(1+(m_*J2*(R2)^(m_-1))^2)-(E2))*((R2)*1E-6)/(((R2+((R2)*1E-6))+(J2*(R2+((R2)*1E-6))^m_)*(m_*J2*(R2+((R2)*1E-6))^(m_-1))-(J2*(R2+((R2)*1E-6))^m_)*SQRT(1+(m_*J2*(R2+((R2)*1E-6))^(m_-1))^2)-(E2))-((R2)+(J2*(R2)^m_)*(m_*J2*(R2)^(m_-1))-(J2*(R2)^m_)*SQRT(1+(m_*J2*(R2)^(m_-1))^2)-(E2)))</f>
        <v/>
      </c>
      <c r="T2">
        <f>S2-((S2)+(J2*(S2)^m_)*(m_*J2*(S2)^(m_-1))-(J2*(S2)^m_)*SQRT(1+(m_*J2*(S2)^(m_-1))^2)-(E2))*((S2)*1E-6)/(((S2+((S2)*1E-6))+(J2*(S2+((S2)*1E-6))^m_)*(m_*J2*(S2+((S2)*1E-6))^(m_-1))-(J2*(S2+((S2)*1E-6))^m_)*SQRT(1+(m_*J2*(S2+((S2)*1E-6))^(m_-1))^2)-(E2))-((S2)+(J2*(S2)^m_)*(m_*J2*(S2)^(m_-1))-(J2*(S2)^m_)*SQRT(1+(m_*J2*(S2)^(m_-1))^2)-(E2)))</f>
        <v/>
      </c>
      <c r="U2">
        <f>J2*T2^m_</f>
        <v/>
      </c>
      <c r="V2">
        <f>m_*J2*T2^(m_-1)</f>
        <v/>
      </c>
      <c r="W2">
        <f>U2*SQRT(1+V2^2)</f>
        <v/>
      </c>
      <c r="X2">
        <f>2*W2</f>
        <v/>
      </c>
      <c r="Y2">
        <f>LN(X2)-LN(G2)</f>
        <v/>
      </c>
      <c r="Z2">
        <f>Y2^2</f>
        <v/>
      </c>
    </row>
    <row r="3">
      <c r="A3" t="inlineStr">
        <is>
          <t>G2012</t>
        </is>
      </c>
      <c r="B3" t="inlineStr">
        <is>
          <t>G2012-MN-C</t>
        </is>
      </c>
      <c r="C3" t="inlineStr">
        <is>
          <t>TX</t>
        </is>
      </c>
      <c r="D3" t="n">
        <v>0.3119684466019417</v>
      </c>
      <c r="E3" t="n">
        <v>0.4903</v>
      </c>
      <c r="F3" t="n">
        <v>2.1928</v>
      </c>
      <c r="G3">
        <f>F3-E3</f>
        <v/>
      </c>
      <c r="J3">
        <f>TAN(RADIANS(pe0-omega*D3))*sref^(1-m_)</f>
        <v/>
      </c>
      <c r="K3">
        <f>2*E3-((2*E3)+(J3*(2*E3)^m_)*(m_*J3*(2*E3)^(m_-1))-(J3*(2*E3)^m_)*SQRT(1+(m_*J3*(2*E3)^(m_-1))^2)-(E3))*((2*E3)*1E-6)/(((2*E3+((2*E3)*1E-6))+(J3*(2*E3+((2*E3)*1E-6))^m_)*(m_*J3*(2*E3+((2*E3)*1E-6))^(m_-1))-(J3*(2*E3+((2*E3)*1E-6))^m_)*SQRT(1+(m_*J3*(2*E3+((2*E3)*1E-6))^(m_-1))^2)-(E3))-((2*E3)+(J3*(2*E3)^m_)*(m_*J3*(2*E3)^(m_-1))-(J3*(2*E3)^m_)*SQRT(1+(m_*J3*(2*E3)^(m_-1))^2)-(E3)))</f>
        <v/>
      </c>
      <c r="L3">
        <f>K3-((K3)+(J3*(K3)^m_)*(m_*J3*(K3)^(m_-1))-(J3*(K3)^m_)*SQRT(1+(m_*J3*(K3)^(m_-1))^2)-(E3))*((K3)*1E-6)/(((K3+((K3)*1E-6))+(J3*(K3+((K3)*1E-6))^m_)*(m_*J3*(K3+((K3)*1E-6))^(m_-1))-(J3*(K3+((K3)*1E-6))^m_)*SQRT(1+(m_*J3*(K3+((K3)*1E-6))^(m_-1))^2)-(E3))-((K3)+(J3*(K3)^m_)*(m_*J3*(K3)^(m_-1))-(J3*(K3)^m_)*SQRT(1+(m_*J3*(K3)^(m_-1))^2)-(E3)))</f>
        <v/>
      </c>
      <c r="M3">
        <f>L3-((L3)+(J3*(L3)^m_)*(m_*J3*(L3)^(m_-1))-(J3*(L3)^m_)*SQRT(1+(m_*J3*(L3)^(m_-1))^2)-(E3))*((L3)*1E-6)/(((L3+((L3)*1E-6))+(J3*(L3+((L3)*1E-6))^m_)*(m_*J3*(L3+((L3)*1E-6))^(m_-1))-(J3*(L3+((L3)*1E-6))^m_)*SQRT(1+(m_*J3*(L3+((L3)*1E-6))^(m_-1))^2)-(E3))-((L3)+(J3*(L3)^m_)*(m_*J3*(L3)^(m_-1))-(J3*(L3)^m_)*SQRT(1+(m_*J3*(L3)^(m_-1))^2)-(E3)))</f>
        <v/>
      </c>
      <c r="N3">
        <f>M3-((M3)+(J3*(M3)^m_)*(m_*J3*(M3)^(m_-1))-(J3*(M3)^m_)*SQRT(1+(m_*J3*(M3)^(m_-1))^2)-(E3))*((M3)*1E-6)/(((M3+((M3)*1E-6))+(J3*(M3+((M3)*1E-6))^m_)*(m_*J3*(M3+((M3)*1E-6))^(m_-1))-(J3*(M3+((M3)*1E-6))^m_)*SQRT(1+(m_*J3*(M3+((M3)*1E-6))^(m_-1))^2)-(E3))-((M3)+(J3*(M3)^m_)*(m_*J3*(M3)^(m_-1))-(J3*(M3)^m_)*SQRT(1+(m_*J3*(M3)^(m_-1))^2)-(E3)))</f>
        <v/>
      </c>
      <c r="O3">
        <f>N3-((N3)+(J3*(N3)^m_)*(m_*J3*(N3)^(m_-1))-(J3*(N3)^m_)*SQRT(1+(m_*J3*(N3)^(m_-1))^2)-(E3))*((N3)*1E-6)/(((N3+((N3)*1E-6))+(J3*(N3+((N3)*1E-6))^m_)*(m_*J3*(N3+((N3)*1E-6))^(m_-1))-(J3*(N3+((N3)*1E-6))^m_)*SQRT(1+(m_*J3*(N3+((N3)*1E-6))^(m_-1))^2)-(E3))-((N3)+(J3*(N3)^m_)*(m_*J3*(N3)^(m_-1))-(J3*(N3)^m_)*SQRT(1+(m_*J3*(N3)^(m_-1))^2)-(E3)))</f>
        <v/>
      </c>
      <c r="P3">
        <f>O3-((O3)+(J3*(O3)^m_)*(m_*J3*(O3)^(m_-1))-(J3*(O3)^m_)*SQRT(1+(m_*J3*(O3)^(m_-1))^2)-(E3))*((O3)*1E-6)/(((O3+((O3)*1E-6))+(J3*(O3+((O3)*1E-6))^m_)*(m_*J3*(O3+((O3)*1E-6))^(m_-1))-(J3*(O3+((O3)*1E-6))^m_)*SQRT(1+(m_*J3*(O3+((O3)*1E-6))^(m_-1))^2)-(E3))-((O3)+(J3*(O3)^m_)*(m_*J3*(O3)^(m_-1))-(J3*(O3)^m_)*SQRT(1+(m_*J3*(O3)^(m_-1))^2)-(E3)))</f>
        <v/>
      </c>
      <c r="Q3">
        <f>P3-((P3)+(J3*(P3)^m_)*(m_*J3*(P3)^(m_-1))-(J3*(P3)^m_)*SQRT(1+(m_*J3*(P3)^(m_-1))^2)-(E3))*((P3)*1E-6)/(((P3+((P3)*1E-6))+(J3*(P3+((P3)*1E-6))^m_)*(m_*J3*(P3+((P3)*1E-6))^(m_-1))-(J3*(P3+((P3)*1E-6))^m_)*SQRT(1+(m_*J3*(P3+((P3)*1E-6))^(m_-1))^2)-(E3))-((P3)+(J3*(P3)^m_)*(m_*J3*(P3)^(m_-1))-(J3*(P3)^m_)*SQRT(1+(m_*J3*(P3)^(m_-1))^2)-(E3)))</f>
        <v/>
      </c>
      <c r="R3">
        <f>Q3-((Q3)+(J3*(Q3)^m_)*(m_*J3*(Q3)^(m_-1))-(J3*(Q3)^m_)*SQRT(1+(m_*J3*(Q3)^(m_-1))^2)-(E3))*((Q3)*1E-6)/(((Q3+((Q3)*1E-6))+(J3*(Q3+((Q3)*1E-6))^m_)*(m_*J3*(Q3+((Q3)*1E-6))^(m_-1))-(J3*(Q3+((Q3)*1E-6))^m_)*SQRT(1+(m_*J3*(Q3+((Q3)*1E-6))^(m_-1))^2)-(E3))-((Q3)+(J3*(Q3)^m_)*(m_*J3*(Q3)^(m_-1))-(J3*(Q3)^m_)*SQRT(1+(m_*J3*(Q3)^(m_-1))^2)-(E3)))</f>
        <v/>
      </c>
      <c r="S3">
        <f>R3-((R3)+(J3*(R3)^m_)*(m_*J3*(R3)^(m_-1))-(J3*(R3)^m_)*SQRT(1+(m_*J3*(R3)^(m_-1))^2)-(E3))*((R3)*1E-6)/(((R3+((R3)*1E-6))+(J3*(R3+((R3)*1E-6))^m_)*(m_*J3*(R3+((R3)*1E-6))^(m_-1))-(J3*(R3+((R3)*1E-6))^m_)*SQRT(1+(m_*J3*(R3+((R3)*1E-6))^(m_-1))^2)-(E3))-((R3)+(J3*(R3)^m_)*(m_*J3*(R3)^(m_-1))-(J3*(R3)^m_)*SQRT(1+(m_*J3*(R3)^(m_-1))^2)-(E3)))</f>
        <v/>
      </c>
      <c r="T3">
        <f>S3-((S3)+(J3*(S3)^m_)*(m_*J3*(S3)^(m_-1))-(J3*(S3)^m_)*SQRT(1+(m_*J3*(S3)^(m_-1))^2)-(E3))*((S3)*1E-6)/(((S3+((S3)*1E-6))+(J3*(S3+((S3)*1E-6))^m_)*(m_*J3*(S3+((S3)*1E-6))^(m_-1))-(J3*(S3+((S3)*1E-6))^m_)*SQRT(1+(m_*J3*(S3+((S3)*1E-6))^(m_-1))^2)-(E3))-((S3)+(J3*(S3)^m_)*(m_*J3*(S3)^(m_-1))-(J3*(S3)^m_)*SQRT(1+(m_*J3*(S3)^(m_-1))^2)-(E3)))</f>
        <v/>
      </c>
      <c r="U3">
        <f>J3*T3^m_</f>
        <v/>
      </c>
      <c r="V3">
        <f>m_*J3*T3^(m_-1)</f>
        <v/>
      </c>
      <c r="W3">
        <f>U3*SQRT(1+V3^2)</f>
        <v/>
      </c>
      <c r="X3">
        <f>2*W3</f>
        <v/>
      </c>
      <c r="Y3">
        <f>LN(X3)-LN(G3)</f>
        <v/>
      </c>
      <c r="Z3">
        <f>Y3^2</f>
        <v/>
      </c>
    </row>
    <row r="4">
      <c r="A4" t="inlineStr">
        <is>
          <t>G2012</t>
        </is>
      </c>
      <c r="B4" t="inlineStr">
        <is>
          <t>G2012-MN-C</t>
        </is>
      </c>
      <c r="C4" t="inlineStr">
        <is>
          <t>TX</t>
        </is>
      </c>
      <c r="D4" t="n">
        <v>0.3119684466019417</v>
      </c>
      <c r="E4" t="n">
        <v>0.9807</v>
      </c>
      <c r="F4" t="n">
        <v>3.8972</v>
      </c>
      <c r="G4">
        <f>F4-E4</f>
        <v/>
      </c>
      <c r="J4">
        <f>TAN(RADIANS(pe0-omega*D4))*sref^(1-m_)</f>
        <v/>
      </c>
      <c r="K4">
        <f>2*E4-((2*E4)+(J4*(2*E4)^m_)*(m_*J4*(2*E4)^(m_-1))-(J4*(2*E4)^m_)*SQRT(1+(m_*J4*(2*E4)^(m_-1))^2)-(E4))*((2*E4)*1E-6)/(((2*E4+((2*E4)*1E-6))+(J4*(2*E4+((2*E4)*1E-6))^m_)*(m_*J4*(2*E4+((2*E4)*1E-6))^(m_-1))-(J4*(2*E4+((2*E4)*1E-6))^m_)*SQRT(1+(m_*J4*(2*E4+((2*E4)*1E-6))^(m_-1))^2)-(E4))-((2*E4)+(J4*(2*E4)^m_)*(m_*J4*(2*E4)^(m_-1))-(J4*(2*E4)^m_)*SQRT(1+(m_*J4*(2*E4)^(m_-1))^2)-(E4)))</f>
        <v/>
      </c>
      <c r="L4">
        <f>K4-((K4)+(J4*(K4)^m_)*(m_*J4*(K4)^(m_-1))-(J4*(K4)^m_)*SQRT(1+(m_*J4*(K4)^(m_-1))^2)-(E4))*((K4)*1E-6)/(((K4+((K4)*1E-6))+(J4*(K4+((K4)*1E-6))^m_)*(m_*J4*(K4+((K4)*1E-6))^(m_-1))-(J4*(K4+((K4)*1E-6))^m_)*SQRT(1+(m_*J4*(K4+((K4)*1E-6))^(m_-1))^2)-(E4))-((K4)+(J4*(K4)^m_)*(m_*J4*(K4)^(m_-1))-(J4*(K4)^m_)*SQRT(1+(m_*J4*(K4)^(m_-1))^2)-(E4)))</f>
        <v/>
      </c>
      <c r="M4">
        <f>L4-((L4)+(J4*(L4)^m_)*(m_*J4*(L4)^(m_-1))-(J4*(L4)^m_)*SQRT(1+(m_*J4*(L4)^(m_-1))^2)-(E4))*((L4)*1E-6)/(((L4+((L4)*1E-6))+(J4*(L4+((L4)*1E-6))^m_)*(m_*J4*(L4+((L4)*1E-6))^(m_-1))-(J4*(L4+((L4)*1E-6))^m_)*SQRT(1+(m_*J4*(L4+((L4)*1E-6))^(m_-1))^2)-(E4))-((L4)+(J4*(L4)^m_)*(m_*J4*(L4)^(m_-1))-(J4*(L4)^m_)*SQRT(1+(m_*J4*(L4)^(m_-1))^2)-(E4)))</f>
        <v/>
      </c>
      <c r="N4">
        <f>M4-((M4)+(J4*(M4)^m_)*(m_*J4*(M4)^(m_-1))-(J4*(M4)^m_)*SQRT(1+(m_*J4*(M4)^(m_-1))^2)-(E4))*((M4)*1E-6)/(((M4+((M4)*1E-6))+(J4*(M4+((M4)*1E-6))^m_)*(m_*J4*(M4+((M4)*1E-6))^(m_-1))-(J4*(M4+((M4)*1E-6))^m_)*SQRT(1+(m_*J4*(M4+((M4)*1E-6))^(m_-1))^2)-(E4))-((M4)+(J4*(M4)^m_)*(m_*J4*(M4)^(m_-1))-(J4*(M4)^m_)*SQRT(1+(m_*J4*(M4)^(m_-1))^2)-(E4)))</f>
        <v/>
      </c>
      <c r="O4">
        <f>N4-((N4)+(J4*(N4)^m_)*(m_*J4*(N4)^(m_-1))-(J4*(N4)^m_)*SQRT(1+(m_*J4*(N4)^(m_-1))^2)-(E4))*((N4)*1E-6)/(((N4+((N4)*1E-6))+(J4*(N4+((N4)*1E-6))^m_)*(m_*J4*(N4+((N4)*1E-6))^(m_-1))-(J4*(N4+((N4)*1E-6))^m_)*SQRT(1+(m_*J4*(N4+((N4)*1E-6))^(m_-1))^2)-(E4))-((N4)+(J4*(N4)^m_)*(m_*J4*(N4)^(m_-1))-(J4*(N4)^m_)*SQRT(1+(m_*J4*(N4)^(m_-1))^2)-(E4)))</f>
        <v/>
      </c>
      <c r="P4">
        <f>O4-((O4)+(J4*(O4)^m_)*(m_*J4*(O4)^(m_-1))-(J4*(O4)^m_)*SQRT(1+(m_*J4*(O4)^(m_-1))^2)-(E4))*((O4)*1E-6)/(((O4+((O4)*1E-6))+(J4*(O4+((O4)*1E-6))^m_)*(m_*J4*(O4+((O4)*1E-6))^(m_-1))-(J4*(O4+((O4)*1E-6))^m_)*SQRT(1+(m_*J4*(O4+((O4)*1E-6))^(m_-1))^2)-(E4))-((O4)+(J4*(O4)^m_)*(m_*J4*(O4)^(m_-1))-(J4*(O4)^m_)*SQRT(1+(m_*J4*(O4)^(m_-1))^2)-(E4)))</f>
        <v/>
      </c>
      <c r="Q4">
        <f>P4-((P4)+(J4*(P4)^m_)*(m_*J4*(P4)^(m_-1))-(J4*(P4)^m_)*SQRT(1+(m_*J4*(P4)^(m_-1))^2)-(E4))*((P4)*1E-6)/(((P4+((P4)*1E-6))+(J4*(P4+((P4)*1E-6))^m_)*(m_*J4*(P4+((P4)*1E-6))^(m_-1))-(J4*(P4+((P4)*1E-6))^m_)*SQRT(1+(m_*J4*(P4+((P4)*1E-6))^(m_-1))^2)-(E4))-((P4)+(J4*(P4)^m_)*(m_*J4*(P4)^(m_-1))-(J4*(P4)^m_)*SQRT(1+(m_*J4*(P4)^(m_-1))^2)-(E4)))</f>
        <v/>
      </c>
      <c r="R4">
        <f>Q4-((Q4)+(J4*(Q4)^m_)*(m_*J4*(Q4)^(m_-1))-(J4*(Q4)^m_)*SQRT(1+(m_*J4*(Q4)^(m_-1))^2)-(E4))*((Q4)*1E-6)/(((Q4+((Q4)*1E-6))+(J4*(Q4+((Q4)*1E-6))^m_)*(m_*J4*(Q4+((Q4)*1E-6))^(m_-1))-(J4*(Q4+((Q4)*1E-6))^m_)*SQRT(1+(m_*J4*(Q4+((Q4)*1E-6))^(m_-1))^2)-(E4))-((Q4)+(J4*(Q4)^m_)*(m_*J4*(Q4)^(m_-1))-(J4*(Q4)^m_)*SQRT(1+(m_*J4*(Q4)^(m_-1))^2)-(E4)))</f>
        <v/>
      </c>
      <c r="S4">
        <f>R4-((R4)+(J4*(R4)^m_)*(m_*J4*(R4)^(m_-1))-(J4*(R4)^m_)*SQRT(1+(m_*J4*(R4)^(m_-1))^2)-(E4))*((R4)*1E-6)/(((R4+((R4)*1E-6))+(J4*(R4+((R4)*1E-6))^m_)*(m_*J4*(R4+((R4)*1E-6))^(m_-1))-(J4*(R4+((R4)*1E-6))^m_)*SQRT(1+(m_*J4*(R4+((R4)*1E-6))^(m_-1))^2)-(E4))-((R4)+(J4*(R4)^m_)*(m_*J4*(R4)^(m_-1))-(J4*(R4)^m_)*SQRT(1+(m_*J4*(R4)^(m_-1))^2)-(E4)))</f>
        <v/>
      </c>
      <c r="T4">
        <f>S4-((S4)+(J4*(S4)^m_)*(m_*J4*(S4)^(m_-1))-(J4*(S4)^m_)*SQRT(1+(m_*J4*(S4)^(m_-1))^2)-(E4))*((S4)*1E-6)/(((S4+((S4)*1E-6))+(J4*(S4+((S4)*1E-6))^m_)*(m_*J4*(S4+((S4)*1E-6))^(m_-1))-(J4*(S4+((S4)*1E-6))^m_)*SQRT(1+(m_*J4*(S4+((S4)*1E-6))^(m_-1))^2)-(E4))-((S4)+(J4*(S4)^m_)*(m_*J4*(S4)^(m_-1))-(J4*(S4)^m_)*SQRT(1+(m_*J4*(S4)^(m_-1))^2)-(E4)))</f>
        <v/>
      </c>
      <c r="U4">
        <f>J4*T4^m_</f>
        <v/>
      </c>
      <c r="V4">
        <f>m_*J4*T4^(m_-1)</f>
        <v/>
      </c>
      <c r="W4">
        <f>U4*SQRT(1+V4^2)</f>
        <v/>
      </c>
      <c r="X4">
        <f>2*W4</f>
        <v/>
      </c>
      <c r="Y4">
        <f>LN(X4)-LN(G4)</f>
        <v/>
      </c>
      <c r="Z4">
        <f>Y4^2</f>
        <v/>
      </c>
    </row>
    <row r="5">
      <c r="A5" t="inlineStr">
        <is>
          <t>G2012</t>
        </is>
      </c>
      <c r="B5" t="inlineStr">
        <is>
          <t>G2012-MN-C</t>
        </is>
      </c>
      <c r="C5" t="inlineStr">
        <is>
          <t>TX</t>
        </is>
      </c>
      <c r="D5" t="n">
        <v>0.3119684466019417</v>
      </c>
      <c r="E5" t="n">
        <v>1.9613</v>
      </c>
      <c r="F5" t="n">
        <v>7.7786</v>
      </c>
      <c r="G5">
        <f>F5-E5</f>
        <v/>
      </c>
      <c r="J5">
        <f>TAN(RADIANS(pe0-omega*D5))*sref^(1-m_)</f>
        <v/>
      </c>
      <c r="K5">
        <f>2*E5-((2*E5)+(J5*(2*E5)^m_)*(m_*J5*(2*E5)^(m_-1))-(J5*(2*E5)^m_)*SQRT(1+(m_*J5*(2*E5)^(m_-1))^2)-(E5))*((2*E5)*1E-6)/(((2*E5+((2*E5)*1E-6))+(J5*(2*E5+((2*E5)*1E-6))^m_)*(m_*J5*(2*E5+((2*E5)*1E-6))^(m_-1))-(J5*(2*E5+((2*E5)*1E-6))^m_)*SQRT(1+(m_*J5*(2*E5+((2*E5)*1E-6))^(m_-1))^2)-(E5))-((2*E5)+(J5*(2*E5)^m_)*(m_*J5*(2*E5)^(m_-1))-(J5*(2*E5)^m_)*SQRT(1+(m_*J5*(2*E5)^(m_-1))^2)-(E5)))</f>
        <v/>
      </c>
      <c r="L5">
        <f>K5-((K5)+(J5*(K5)^m_)*(m_*J5*(K5)^(m_-1))-(J5*(K5)^m_)*SQRT(1+(m_*J5*(K5)^(m_-1))^2)-(E5))*((K5)*1E-6)/(((K5+((K5)*1E-6))+(J5*(K5+((K5)*1E-6))^m_)*(m_*J5*(K5+((K5)*1E-6))^(m_-1))-(J5*(K5+((K5)*1E-6))^m_)*SQRT(1+(m_*J5*(K5+((K5)*1E-6))^(m_-1))^2)-(E5))-((K5)+(J5*(K5)^m_)*(m_*J5*(K5)^(m_-1))-(J5*(K5)^m_)*SQRT(1+(m_*J5*(K5)^(m_-1))^2)-(E5)))</f>
        <v/>
      </c>
      <c r="M5">
        <f>L5-((L5)+(J5*(L5)^m_)*(m_*J5*(L5)^(m_-1))-(J5*(L5)^m_)*SQRT(1+(m_*J5*(L5)^(m_-1))^2)-(E5))*((L5)*1E-6)/(((L5+((L5)*1E-6))+(J5*(L5+((L5)*1E-6))^m_)*(m_*J5*(L5+((L5)*1E-6))^(m_-1))-(J5*(L5+((L5)*1E-6))^m_)*SQRT(1+(m_*J5*(L5+((L5)*1E-6))^(m_-1))^2)-(E5))-((L5)+(J5*(L5)^m_)*(m_*J5*(L5)^(m_-1))-(J5*(L5)^m_)*SQRT(1+(m_*J5*(L5)^(m_-1))^2)-(E5)))</f>
        <v/>
      </c>
      <c r="N5">
        <f>M5-((M5)+(J5*(M5)^m_)*(m_*J5*(M5)^(m_-1))-(J5*(M5)^m_)*SQRT(1+(m_*J5*(M5)^(m_-1))^2)-(E5))*((M5)*1E-6)/(((M5+((M5)*1E-6))+(J5*(M5+((M5)*1E-6))^m_)*(m_*J5*(M5+((M5)*1E-6))^(m_-1))-(J5*(M5+((M5)*1E-6))^m_)*SQRT(1+(m_*J5*(M5+((M5)*1E-6))^(m_-1))^2)-(E5))-((M5)+(J5*(M5)^m_)*(m_*J5*(M5)^(m_-1))-(J5*(M5)^m_)*SQRT(1+(m_*J5*(M5)^(m_-1))^2)-(E5)))</f>
        <v/>
      </c>
      <c r="O5">
        <f>N5-((N5)+(J5*(N5)^m_)*(m_*J5*(N5)^(m_-1))-(J5*(N5)^m_)*SQRT(1+(m_*J5*(N5)^(m_-1))^2)-(E5))*((N5)*1E-6)/(((N5+((N5)*1E-6))+(J5*(N5+((N5)*1E-6))^m_)*(m_*J5*(N5+((N5)*1E-6))^(m_-1))-(J5*(N5+((N5)*1E-6))^m_)*SQRT(1+(m_*J5*(N5+((N5)*1E-6))^(m_-1))^2)-(E5))-((N5)+(J5*(N5)^m_)*(m_*J5*(N5)^(m_-1))-(J5*(N5)^m_)*SQRT(1+(m_*J5*(N5)^(m_-1))^2)-(E5)))</f>
        <v/>
      </c>
      <c r="P5">
        <f>O5-((O5)+(J5*(O5)^m_)*(m_*J5*(O5)^(m_-1))-(J5*(O5)^m_)*SQRT(1+(m_*J5*(O5)^(m_-1))^2)-(E5))*((O5)*1E-6)/(((O5+((O5)*1E-6))+(J5*(O5+((O5)*1E-6))^m_)*(m_*J5*(O5+((O5)*1E-6))^(m_-1))-(J5*(O5+((O5)*1E-6))^m_)*SQRT(1+(m_*J5*(O5+((O5)*1E-6))^(m_-1))^2)-(E5))-((O5)+(J5*(O5)^m_)*(m_*J5*(O5)^(m_-1))-(J5*(O5)^m_)*SQRT(1+(m_*J5*(O5)^(m_-1))^2)-(E5)))</f>
        <v/>
      </c>
      <c r="Q5">
        <f>P5-((P5)+(J5*(P5)^m_)*(m_*J5*(P5)^(m_-1))-(J5*(P5)^m_)*SQRT(1+(m_*J5*(P5)^(m_-1))^2)-(E5))*((P5)*1E-6)/(((P5+((P5)*1E-6))+(J5*(P5+((P5)*1E-6))^m_)*(m_*J5*(P5+((P5)*1E-6))^(m_-1))-(J5*(P5+((P5)*1E-6))^m_)*SQRT(1+(m_*J5*(P5+((P5)*1E-6))^(m_-1))^2)-(E5))-((P5)+(J5*(P5)^m_)*(m_*J5*(P5)^(m_-1))-(J5*(P5)^m_)*SQRT(1+(m_*J5*(P5)^(m_-1))^2)-(E5)))</f>
        <v/>
      </c>
      <c r="R5">
        <f>Q5-((Q5)+(J5*(Q5)^m_)*(m_*J5*(Q5)^(m_-1))-(J5*(Q5)^m_)*SQRT(1+(m_*J5*(Q5)^(m_-1))^2)-(E5))*((Q5)*1E-6)/(((Q5+((Q5)*1E-6))+(J5*(Q5+((Q5)*1E-6))^m_)*(m_*J5*(Q5+((Q5)*1E-6))^(m_-1))-(J5*(Q5+((Q5)*1E-6))^m_)*SQRT(1+(m_*J5*(Q5+((Q5)*1E-6))^(m_-1))^2)-(E5))-((Q5)+(J5*(Q5)^m_)*(m_*J5*(Q5)^(m_-1))-(J5*(Q5)^m_)*SQRT(1+(m_*J5*(Q5)^(m_-1))^2)-(E5)))</f>
        <v/>
      </c>
      <c r="S5">
        <f>R5-((R5)+(J5*(R5)^m_)*(m_*J5*(R5)^(m_-1))-(J5*(R5)^m_)*SQRT(1+(m_*J5*(R5)^(m_-1))^2)-(E5))*((R5)*1E-6)/(((R5+((R5)*1E-6))+(J5*(R5+((R5)*1E-6))^m_)*(m_*J5*(R5+((R5)*1E-6))^(m_-1))-(J5*(R5+((R5)*1E-6))^m_)*SQRT(1+(m_*J5*(R5+((R5)*1E-6))^(m_-1))^2)-(E5))-((R5)+(J5*(R5)^m_)*(m_*J5*(R5)^(m_-1))-(J5*(R5)^m_)*SQRT(1+(m_*J5*(R5)^(m_-1))^2)-(E5)))</f>
        <v/>
      </c>
      <c r="T5">
        <f>S5-((S5)+(J5*(S5)^m_)*(m_*J5*(S5)^(m_-1))-(J5*(S5)^m_)*SQRT(1+(m_*J5*(S5)^(m_-1))^2)-(E5))*((S5)*1E-6)/(((S5+((S5)*1E-6))+(J5*(S5+((S5)*1E-6))^m_)*(m_*J5*(S5+((S5)*1E-6))^(m_-1))-(J5*(S5+((S5)*1E-6))^m_)*SQRT(1+(m_*J5*(S5+((S5)*1E-6))^(m_-1))^2)-(E5))-((S5)+(J5*(S5)^m_)*(m_*J5*(S5)^(m_-1))-(J5*(S5)^m_)*SQRT(1+(m_*J5*(S5)^(m_-1))^2)-(E5)))</f>
        <v/>
      </c>
      <c r="U5">
        <f>J5*T5^m_</f>
        <v/>
      </c>
      <c r="V5">
        <f>m_*J5*T5^(m_-1)</f>
        <v/>
      </c>
      <c r="W5">
        <f>U5*SQRT(1+V5^2)</f>
        <v/>
      </c>
      <c r="X5">
        <f>2*W5</f>
        <v/>
      </c>
      <c r="Y5">
        <f>LN(X5)-LN(G5)</f>
        <v/>
      </c>
      <c r="Z5">
        <f>Y5^2</f>
        <v/>
      </c>
    </row>
    <row r="6">
      <c r="A6" t="inlineStr">
        <is>
          <t>G2012</t>
        </is>
      </c>
      <c r="B6" t="inlineStr">
        <is>
          <t>G2012-MN-C</t>
        </is>
      </c>
      <c r="C6" t="inlineStr">
        <is>
          <t>TX</t>
        </is>
      </c>
      <c r="D6" t="n">
        <v>0.3119684466019417</v>
      </c>
      <c r="E6" t="n">
        <v>1.9613</v>
      </c>
      <c r="F6" t="n">
        <v>8.2905</v>
      </c>
      <c r="G6">
        <f>F6-E6</f>
        <v/>
      </c>
      <c r="J6">
        <f>TAN(RADIANS(pe0-omega*D6))*sref^(1-m_)</f>
        <v/>
      </c>
      <c r="K6">
        <f>2*E6-((2*E6)+(J6*(2*E6)^m_)*(m_*J6*(2*E6)^(m_-1))-(J6*(2*E6)^m_)*SQRT(1+(m_*J6*(2*E6)^(m_-1))^2)-(E6))*((2*E6)*1E-6)/(((2*E6+((2*E6)*1E-6))+(J6*(2*E6+((2*E6)*1E-6))^m_)*(m_*J6*(2*E6+((2*E6)*1E-6))^(m_-1))-(J6*(2*E6+((2*E6)*1E-6))^m_)*SQRT(1+(m_*J6*(2*E6+((2*E6)*1E-6))^(m_-1))^2)-(E6))-((2*E6)+(J6*(2*E6)^m_)*(m_*J6*(2*E6)^(m_-1))-(J6*(2*E6)^m_)*SQRT(1+(m_*J6*(2*E6)^(m_-1))^2)-(E6)))</f>
        <v/>
      </c>
      <c r="L6">
        <f>K6-((K6)+(J6*(K6)^m_)*(m_*J6*(K6)^(m_-1))-(J6*(K6)^m_)*SQRT(1+(m_*J6*(K6)^(m_-1))^2)-(E6))*((K6)*1E-6)/(((K6+((K6)*1E-6))+(J6*(K6+((K6)*1E-6))^m_)*(m_*J6*(K6+((K6)*1E-6))^(m_-1))-(J6*(K6+((K6)*1E-6))^m_)*SQRT(1+(m_*J6*(K6+((K6)*1E-6))^(m_-1))^2)-(E6))-((K6)+(J6*(K6)^m_)*(m_*J6*(K6)^(m_-1))-(J6*(K6)^m_)*SQRT(1+(m_*J6*(K6)^(m_-1))^2)-(E6)))</f>
        <v/>
      </c>
      <c r="M6">
        <f>L6-((L6)+(J6*(L6)^m_)*(m_*J6*(L6)^(m_-1))-(J6*(L6)^m_)*SQRT(1+(m_*J6*(L6)^(m_-1))^2)-(E6))*((L6)*1E-6)/(((L6+((L6)*1E-6))+(J6*(L6+((L6)*1E-6))^m_)*(m_*J6*(L6+((L6)*1E-6))^(m_-1))-(J6*(L6+((L6)*1E-6))^m_)*SQRT(1+(m_*J6*(L6+((L6)*1E-6))^(m_-1))^2)-(E6))-((L6)+(J6*(L6)^m_)*(m_*J6*(L6)^(m_-1))-(J6*(L6)^m_)*SQRT(1+(m_*J6*(L6)^(m_-1))^2)-(E6)))</f>
        <v/>
      </c>
      <c r="N6">
        <f>M6-((M6)+(J6*(M6)^m_)*(m_*J6*(M6)^(m_-1))-(J6*(M6)^m_)*SQRT(1+(m_*J6*(M6)^(m_-1))^2)-(E6))*((M6)*1E-6)/(((M6+((M6)*1E-6))+(J6*(M6+((M6)*1E-6))^m_)*(m_*J6*(M6+((M6)*1E-6))^(m_-1))-(J6*(M6+((M6)*1E-6))^m_)*SQRT(1+(m_*J6*(M6+((M6)*1E-6))^(m_-1))^2)-(E6))-((M6)+(J6*(M6)^m_)*(m_*J6*(M6)^(m_-1))-(J6*(M6)^m_)*SQRT(1+(m_*J6*(M6)^(m_-1))^2)-(E6)))</f>
        <v/>
      </c>
      <c r="O6">
        <f>N6-((N6)+(J6*(N6)^m_)*(m_*J6*(N6)^(m_-1))-(J6*(N6)^m_)*SQRT(1+(m_*J6*(N6)^(m_-1))^2)-(E6))*((N6)*1E-6)/(((N6+((N6)*1E-6))+(J6*(N6+((N6)*1E-6))^m_)*(m_*J6*(N6+((N6)*1E-6))^(m_-1))-(J6*(N6+((N6)*1E-6))^m_)*SQRT(1+(m_*J6*(N6+((N6)*1E-6))^(m_-1))^2)-(E6))-((N6)+(J6*(N6)^m_)*(m_*J6*(N6)^(m_-1))-(J6*(N6)^m_)*SQRT(1+(m_*J6*(N6)^(m_-1))^2)-(E6)))</f>
        <v/>
      </c>
      <c r="P6">
        <f>O6-((O6)+(J6*(O6)^m_)*(m_*J6*(O6)^(m_-1))-(J6*(O6)^m_)*SQRT(1+(m_*J6*(O6)^(m_-1))^2)-(E6))*((O6)*1E-6)/(((O6+((O6)*1E-6))+(J6*(O6+((O6)*1E-6))^m_)*(m_*J6*(O6+((O6)*1E-6))^(m_-1))-(J6*(O6+((O6)*1E-6))^m_)*SQRT(1+(m_*J6*(O6+((O6)*1E-6))^(m_-1))^2)-(E6))-((O6)+(J6*(O6)^m_)*(m_*J6*(O6)^(m_-1))-(J6*(O6)^m_)*SQRT(1+(m_*J6*(O6)^(m_-1))^2)-(E6)))</f>
        <v/>
      </c>
      <c r="Q6">
        <f>P6-((P6)+(J6*(P6)^m_)*(m_*J6*(P6)^(m_-1))-(J6*(P6)^m_)*SQRT(1+(m_*J6*(P6)^(m_-1))^2)-(E6))*((P6)*1E-6)/(((P6+((P6)*1E-6))+(J6*(P6+((P6)*1E-6))^m_)*(m_*J6*(P6+((P6)*1E-6))^(m_-1))-(J6*(P6+((P6)*1E-6))^m_)*SQRT(1+(m_*J6*(P6+((P6)*1E-6))^(m_-1))^2)-(E6))-((P6)+(J6*(P6)^m_)*(m_*J6*(P6)^(m_-1))-(J6*(P6)^m_)*SQRT(1+(m_*J6*(P6)^(m_-1))^2)-(E6)))</f>
        <v/>
      </c>
      <c r="R6">
        <f>Q6-((Q6)+(J6*(Q6)^m_)*(m_*J6*(Q6)^(m_-1))-(J6*(Q6)^m_)*SQRT(1+(m_*J6*(Q6)^(m_-1))^2)-(E6))*((Q6)*1E-6)/(((Q6+((Q6)*1E-6))+(J6*(Q6+((Q6)*1E-6))^m_)*(m_*J6*(Q6+((Q6)*1E-6))^(m_-1))-(J6*(Q6+((Q6)*1E-6))^m_)*SQRT(1+(m_*J6*(Q6+((Q6)*1E-6))^(m_-1))^2)-(E6))-((Q6)+(J6*(Q6)^m_)*(m_*J6*(Q6)^(m_-1))-(J6*(Q6)^m_)*SQRT(1+(m_*J6*(Q6)^(m_-1))^2)-(E6)))</f>
        <v/>
      </c>
      <c r="S6">
        <f>R6-((R6)+(J6*(R6)^m_)*(m_*J6*(R6)^(m_-1))-(J6*(R6)^m_)*SQRT(1+(m_*J6*(R6)^(m_-1))^2)-(E6))*((R6)*1E-6)/(((R6+((R6)*1E-6))+(J6*(R6+((R6)*1E-6))^m_)*(m_*J6*(R6+((R6)*1E-6))^(m_-1))-(J6*(R6+((R6)*1E-6))^m_)*SQRT(1+(m_*J6*(R6+((R6)*1E-6))^(m_-1))^2)-(E6))-((R6)+(J6*(R6)^m_)*(m_*J6*(R6)^(m_-1))-(J6*(R6)^m_)*SQRT(1+(m_*J6*(R6)^(m_-1))^2)-(E6)))</f>
        <v/>
      </c>
      <c r="T6">
        <f>S6-((S6)+(J6*(S6)^m_)*(m_*J6*(S6)^(m_-1))-(J6*(S6)^m_)*SQRT(1+(m_*J6*(S6)^(m_-1))^2)-(E6))*((S6)*1E-6)/(((S6+((S6)*1E-6))+(J6*(S6+((S6)*1E-6))^m_)*(m_*J6*(S6+((S6)*1E-6))^(m_-1))-(J6*(S6+((S6)*1E-6))^m_)*SQRT(1+(m_*J6*(S6+((S6)*1E-6))^(m_-1))^2)-(E6))-((S6)+(J6*(S6)^m_)*(m_*J6*(S6)^(m_-1))-(J6*(S6)^m_)*SQRT(1+(m_*J6*(S6)^(m_-1))^2)-(E6)))</f>
        <v/>
      </c>
      <c r="U6">
        <f>J6*T6^m_</f>
        <v/>
      </c>
      <c r="V6">
        <f>m_*J6*T6^(m_-1)</f>
        <v/>
      </c>
      <c r="W6">
        <f>U6*SQRT(1+V6^2)</f>
        <v/>
      </c>
      <c r="X6">
        <f>2*W6</f>
        <v/>
      </c>
      <c r="Y6">
        <f>LN(X6)-LN(G6)</f>
        <v/>
      </c>
      <c r="Z6">
        <f>Y6^2</f>
        <v/>
      </c>
    </row>
    <row r="7">
      <c r="A7" t="inlineStr">
        <is>
          <t>G2021</t>
        </is>
      </c>
      <c r="B7" t="inlineStr">
        <is>
          <t>G21-DESM-COMP</t>
        </is>
      </c>
      <c r="C7" t="inlineStr">
        <is>
          <t>TX</t>
        </is>
      </c>
      <c r="D7" t="n">
        <v>0.3222733833484463</v>
      </c>
      <c r="E7" t="n">
        <v>0.098</v>
      </c>
      <c r="F7" t="n">
        <v>0.381</v>
      </c>
      <c r="G7">
        <f>F7-E7</f>
        <v/>
      </c>
      <c r="J7">
        <f>TAN(RADIANS(pe0-omega*D7))*sref^(1-m_)</f>
        <v/>
      </c>
      <c r="K7">
        <f>2*E7-((2*E7)+(J7*(2*E7)^m_)*(m_*J7*(2*E7)^(m_-1))-(J7*(2*E7)^m_)*SQRT(1+(m_*J7*(2*E7)^(m_-1))^2)-(E7))*((2*E7)*1E-6)/(((2*E7+((2*E7)*1E-6))+(J7*(2*E7+((2*E7)*1E-6))^m_)*(m_*J7*(2*E7+((2*E7)*1E-6))^(m_-1))-(J7*(2*E7+((2*E7)*1E-6))^m_)*SQRT(1+(m_*J7*(2*E7+((2*E7)*1E-6))^(m_-1))^2)-(E7))-((2*E7)+(J7*(2*E7)^m_)*(m_*J7*(2*E7)^(m_-1))-(J7*(2*E7)^m_)*SQRT(1+(m_*J7*(2*E7)^(m_-1))^2)-(E7)))</f>
        <v/>
      </c>
      <c r="L7">
        <f>K7-((K7)+(J7*(K7)^m_)*(m_*J7*(K7)^(m_-1))-(J7*(K7)^m_)*SQRT(1+(m_*J7*(K7)^(m_-1))^2)-(E7))*((K7)*1E-6)/(((K7+((K7)*1E-6))+(J7*(K7+((K7)*1E-6))^m_)*(m_*J7*(K7+((K7)*1E-6))^(m_-1))-(J7*(K7+((K7)*1E-6))^m_)*SQRT(1+(m_*J7*(K7+((K7)*1E-6))^(m_-1))^2)-(E7))-((K7)+(J7*(K7)^m_)*(m_*J7*(K7)^(m_-1))-(J7*(K7)^m_)*SQRT(1+(m_*J7*(K7)^(m_-1))^2)-(E7)))</f>
        <v/>
      </c>
      <c r="M7">
        <f>L7-((L7)+(J7*(L7)^m_)*(m_*J7*(L7)^(m_-1))-(J7*(L7)^m_)*SQRT(1+(m_*J7*(L7)^(m_-1))^2)-(E7))*((L7)*1E-6)/(((L7+((L7)*1E-6))+(J7*(L7+((L7)*1E-6))^m_)*(m_*J7*(L7+((L7)*1E-6))^(m_-1))-(J7*(L7+((L7)*1E-6))^m_)*SQRT(1+(m_*J7*(L7+((L7)*1E-6))^(m_-1))^2)-(E7))-((L7)+(J7*(L7)^m_)*(m_*J7*(L7)^(m_-1))-(J7*(L7)^m_)*SQRT(1+(m_*J7*(L7)^(m_-1))^2)-(E7)))</f>
        <v/>
      </c>
      <c r="N7">
        <f>M7-((M7)+(J7*(M7)^m_)*(m_*J7*(M7)^(m_-1))-(J7*(M7)^m_)*SQRT(1+(m_*J7*(M7)^(m_-1))^2)-(E7))*((M7)*1E-6)/(((M7+((M7)*1E-6))+(J7*(M7+((M7)*1E-6))^m_)*(m_*J7*(M7+((M7)*1E-6))^(m_-1))-(J7*(M7+((M7)*1E-6))^m_)*SQRT(1+(m_*J7*(M7+((M7)*1E-6))^(m_-1))^2)-(E7))-((M7)+(J7*(M7)^m_)*(m_*J7*(M7)^(m_-1))-(J7*(M7)^m_)*SQRT(1+(m_*J7*(M7)^(m_-1))^2)-(E7)))</f>
        <v/>
      </c>
      <c r="O7">
        <f>N7-((N7)+(J7*(N7)^m_)*(m_*J7*(N7)^(m_-1))-(J7*(N7)^m_)*SQRT(1+(m_*J7*(N7)^(m_-1))^2)-(E7))*((N7)*1E-6)/(((N7+((N7)*1E-6))+(J7*(N7+((N7)*1E-6))^m_)*(m_*J7*(N7+((N7)*1E-6))^(m_-1))-(J7*(N7+((N7)*1E-6))^m_)*SQRT(1+(m_*J7*(N7+((N7)*1E-6))^(m_-1))^2)-(E7))-((N7)+(J7*(N7)^m_)*(m_*J7*(N7)^(m_-1))-(J7*(N7)^m_)*SQRT(1+(m_*J7*(N7)^(m_-1))^2)-(E7)))</f>
        <v/>
      </c>
      <c r="P7">
        <f>O7-((O7)+(J7*(O7)^m_)*(m_*J7*(O7)^(m_-1))-(J7*(O7)^m_)*SQRT(1+(m_*J7*(O7)^(m_-1))^2)-(E7))*((O7)*1E-6)/(((O7+((O7)*1E-6))+(J7*(O7+((O7)*1E-6))^m_)*(m_*J7*(O7+((O7)*1E-6))^(m_-1))-(J7*(O7+((O7)*1E-6))^m_)*SQRT(1+(m_*J7*(O7+((O7)*1E-6))^(m_-1))^2)-(E7))-((O7)+(J7*(O7)^m_)*(m_*J7*(O7)^(m_-1))-(J7*(O7)^m_)*SQRT(1+(m_*J7*(O7)^(m_-1))^2)-(E7)))</f>
        <v/>
      </c>
      <c r="Q7">
        <f>P7-((P7)+(J7*(P7)^m_)*(m_*J7*(P7)^(m_-1))-(J7*(P7)^m_)*SQRT(1+(m_*J7*(P7)^(m_-1))^2)-(E7))*((P7)*1E-6)/(((P7+((P7)*1E-6))+(J7*(P7+((P7)*1E-6))^m_)*(m_*J7*(P7+((P7)*1E-6))^(m_-1))-(J7*(P7+((P7)*1E-6))^m_)*SQRT(1+(m_*J7*(P7+((P7)*1E-6))^(m_-1))^2)-(E7))-((P7)+(J7*(P7)^m_)*(m_*J7*(P7)^(m_-1))-(J7*(P7)^m_)*SQRT(1+(m_*J7*(P7)^(m_-1))^2)-(E7)))</f>
        <v/>
      </c>
      <c r="R7">
        <f>Q7-((Q7)+(J7*(Q7)^m_)*(m_*J7*(Q7)^(m_-1))-(J7*(Q7)^m_)*SQRT(1+(m_*J7*(Q7)^(m_-1))^2)-(E7))*((Q7)*1E-6)/(((Q7+((Q7)*1E-6))+(J7*(Q7+((Q7)*1E-6))^m_)*(m_*J7*(Q7+((Q7)*1E-6))^(m_-1))-(J7*(Q7+((Q7)*1E-6))^m_)*SQRT(1+(m_*J7*(Q7+((Q7)*1E-6))^(m_-1))^2)-(E7))-((Q7)+(J7*(Q7)^m_)*(m_*J7*(Q7)^(m_-1))-(J7*(Q7)^m_)*SQRT(1+(m_*J7*(Q7)^(m_-1))^2)-(E7)))</f>
        <v/>
      </c>
      <c r="S7">
        <f>R7-((R7)+(J7*(R7)^m_)*(m_*J7*(R7)^(m_-1))-(J7*(R7)^m_)*SQRT(1+(m_*J7*(R7)^(m_-1))^2)-(E7))*((R7)*1E-6)/(((R7+((R7)*1E-6))+(J7*(R7+((R7)*1E-6))^m_)*(m_*J7*(R7+((R7)*1E-6))^(m_-1))-(J7*(R7+((R7)*1E-6))^m_)*SQRT(1+(m_*J7*(R7+((R7)*1E-6))^(m_-1))^2)-(E7))-((R7)+(J7*(R7)^m_)*(m_*J7*(R7)^(m_-1))-(J7*(R7)^m_)*SQRT(1+(m_*J7*(R7)^(m_-1))^2)-(E7)))</f>
        <v/>
      </c>
      <c r="T7">
        <f>S7-((S7)+(J7*(S7)^m_)*(m_*J7*(S7)^(m_-1))-(J7*(S7)^m_)*SQRT(1+(m_*J7*(S7)^(m_-1))^2)-(E7))*((S7)*1E-6)/(((S7+((S7)*1E-6))+(J7*(S7+((S7)*1E-6))^m_)*(m_*J7*(S7+((S7)*1E-6))^(m_-1))-(J7*(S7+((S7)*1E-6))^m_)*SQRT(1+(m_*J7*(S7+((S7)*1E-6))^(m_-1))^2)-(E7))-((S7)+(J7*(S7)^m_)*(m_*J7*(S7)^(m_-1))-(J7*(S7)^m_)*SQRT(1+(m_*J7*(S7)^(m_-1))^2)-(E7)))</f>
        <v/>
      </c>
      <c r="U7">
        <f>J7*T7^m_</f>
        <v/>
      </c>
      <c r="V7">
        <f>m_*J7*T7^(m_-1)</f>
        <v/>
      </c>
      <c r="W7">
        <f>U7*SQRT(1+V7^2)</f>
        <v/>
      </c>
      <c r="X7">
        <f>2*W7</f>
        <v/>
      </c>
      <c r="Y7">
        <f>LN(X7)-LN(G7)</f>
        <v/>
      </c>
      <c r="Z7">
        <f>Y7^2</f>
        <v/>
      </c>
    </row>
    <row r="8">
      <c r="A8" t="inlineStr">
        <is>
          <t>G2021</t>
        </is>
      </c>
      <c r="B8" t="inlineStr">
        <is>
          <t>G21-DESM-COMP</t>
        </is>
      </c>
      <c r="C8" t="inlineStr">
        <is>
          <t>TX</t>
        </is>
      </c>
      <c r="D8" t="n">
        <v>0.3222733833484463</v>
      </c>
      <c r="E8" t="n">
        <v>0.399</v>
      </c>
      <c r="F8" t="n">
        <v>1.917</v>
      </c>
      <c r="G8">
        <f>F8-E8</f>
        <v/>
      </c>
      <c r="J8">
        <f>TAN(RADIANS(pe0-omega*D8))*sref^(1-m_)</f>
        <v/>
      </c>
      <c r="K8">
        <f>2*E8-((2*E8)+(J8*(2*E8)^m_)*(m_*J8*(2*E8)^(m_-1))-(J8*(2*E8)^m_)*SQRT(1+(m_*J8*(2*E8)^(m_-1))^2)-(E8))*((2*E8)*1E-6)/(((2*E8+((2*E8)*1E-6))+(J8*(2*E8+((2*E8)*1E-6))^m_)*(m_*J8*(2*E8+((2*E8)*1E-6))^(m_-1))-(J8*(2*E8+((2*E8)*1E-6))^m_)*SQRT(1+(m_*J8*(2*E8+((2*E8)*1E-6))^(m_-1))^2)-(E8))-((2*E8)+(J8*(2*E8)^m_)*(m_*J8*(2*E8)^(m_-1))-(J8*(2*E8)^m_)*SQRT(1+(m_*J8*(2*E8)^(m_-1))^2)-(E8)))</f>
        <v/>
      </c>
      <c r="L8">
        <f>K8-((K8)+(J8*(K8)^m_)*(m_*J8*(K8)^(m_-1))-(J8*(K8)^m_)*SQRT(1+(m_*J8*(K8)^(m_-1))^2)-(E8))*((K8)*1E-6)/(((K8+((K8)*1E-6))+(J8*(K8+((K8)*1E-6))^m_)*(m_*J8*(K8+((K8)*1E-6))^(m_-1))-(J8*(K8+((K8)*1E-6))^m_)*SQRT(1+(m_*J8*(K8+((K8)*1E-6))^(m_-1))^2)-(E8))-((K8)+(J8*(K8)^m_)*(m_*J8*(K8)^(m_-1))-(J8*(K8)^m_)*SQRT(1+(m_*J8*(K8)^(m_-1))^2)-(E8)))</f>
        <v/>
      </c>
      <c r="M8">
        <f>L8-((L8)+(J8*(L8)^m_)*(m_*J8*(L8)^(m_-1))-(J8*(L8)^m_)*SQRT(1+(m_*J8*(L8)^(m_-1))^2)-(E8))*((L8)*1E-6)/(((L8+((L8)*1E-6))+(J8*(L8+((L8)*1E-6))^m_)*(m_*J8*(L8+((L8)*1E-6))^(m_-1))-(J8*(L8+((L8)*1E-6))^m_)*SQRT(1+(m_*J8*(L8+((L8)*1E-6))^(m_-1))^2)-(E8))-((L8)+(J8*(L8)^m_)*(m_*J8*(L8)^(m_-1))-(J8*(L8)^m_)*SQRT(1+(m_*J8*(L8)^(m_-1))^2)-(E8)))</f>
        <v/>
      </c>
      <c r="N8">
        <f>M8-((M8)+(J8*(M8)^m_)*(m_*J8*(M8)^(m_-1))-(J8*(M8)^m_)*SQRT(1+(m_*J8*(M8)^(m_-1))^2)-(E8))*((M8)*1E-6)/(((M8+((M8)*1E-6))+(J8*(M8+((M8)*1E-6))^m_)*(m_*J8*(M8+((M8)*1E-6))^(m_-1))-(J8*(M8+((M8)*1E-6))^m_)*SQRT(1+(m_*J8*(M8+((M8)*1E-6))^(m_-1))^2)-(E8))-((M8)+(J8*(M8)^m_)*(m_*J8*(M8)^(m_-1))-(J8*(M8)^m_)*SQRT(1+(m_*J8*(M8)^(m_-1))^2)-(E8)))</f>
        <v/>
      </c>
      <c r="O8">
        <f>N8-((N8)+(J8*(N8)^m_)*(m_*J8*(N8)^(m_-1))-(J8*(N8)^m_)*SQRT(1+(m_*J8*(N8)^(m_-1))^2)-(E8))*((N8)*1E-6)/(((N8+((N8)*1E-6))+(J8*(N8+((N8)*1E-6))^m_)*(m_*J8*(N8+((N8)*1E-6))^(m_-1))-(J8*(N8+((N8)*1E-6))^m_)*SQRT(1+(m_*J8*(N8+((N8)*1E-6))^(m_-1))^2)-(E8))-((N8)+(J8*(N8)^m_)*(m_*J8*(N8)^(m_-1))-(J8*(N8)^m_)*SQRT(1+(m_*J8*(N8)^(m_-1))^2)-(E8)))</f>
        <v/>
      </c>
      <c r="P8">
        <f>O8-((O8)+(J8*(O8)^m_)*(m_*J8*(O8)^(m_-1))-(J8*(O8)^m_)*SQRT(1+(m_*J8*(O8)^(m_-1))^2)-(E8))*((O8)*1E-6)/(((O8+((O8)*1E-6))+(J8*(O8+((O8)*1E-6))^m_)*(m_*J8*(O8+((O8)*1E-6))^(m_-1))-(J8*(O8+((O8)*1E-6))^m_)*SQRT(1+(m_*J8*(O8+((O8)*1E-6))^(m_-1))^2)-(E8))-((O8)+(J8*(O8)^m_)*(m_*J8*(O8)^(m_-1))-(J8*(O8)^m_)*SQRT(1+(m_*J8*(O8)^(m_-1))^2)-(E8)))</f>
        <v/>
      </c>
      <c r="Q8">
        <f>P8-((P8)+(J8*(P8)^m_)*(m_*J8*(P8)^(m_-1))-(J8*(P8)^m_)*SQRT(1+(m_*J8*(P8)^(m_-1))^2)-(E8))*((P8)*1E-6)/(((P8+((P8)*1E-6))+(J8*(P8+((P8)*1E-6))^m_)*(m_*J8*(P8+((P8)*1E-6))^(m_-1))-(J8*(P8+((P8)*1E-6))^m_)*SQRT(1+(m_*J8*(P8+((P8)*1E-6))^(m_-1))^2)-(E8))-((P8)+(J8*(P8)^m_)*(m_*J8*(P8)^(m_-1))-(J8*(P8)^m_)*SQRT(1+(m_*J8*(P8)^(m_-1))^2)-(E8)))</f>
        <v/>
      </c>
      <c r="R8">
        <f>Q8-((Q8)+(J8*(Q8)^m_)*(m_*J8*(Q8)^(m_-1))-(J8*(Q8)^m_)*SQRT(1+(m_*J8*(Q8)^(m_-1))^2)-(E8))*((Q8)*1E-6)/(((Q8+((Q8)*1E-6))+(J8*(Q8+((Q8)*1E-6))^m_)*(m_*J8*(Q8+((Q8)*1E-6))^(m_-1))-(J8*(Q8+((Q8)*1E-6))^m_)*SQRT(1+(m_*J8*(Q8+((Q8)*1E-6))^(m_-1))^2)-(E8))-((Q8)+(J8*(Q8)^m_)*(m_*J8*(Q8)^(m_-1))-(J8*(Q8)^m_)*SQRT(1+(m_*J8*(Q8)^(m_-1))^2)-(E8)))</f>
        <v/>
      </c>
      <c r="S8">
        <f>R8-((R8)+(J8*(R8)^m_)*(m_*J8*(R8)^(m_-1))-(J8*(R8)^m_)*SQRT(1+(m_*J8*(R8)^(m_-1))^2)-(E8))*((R8)*1E-6)/(((R8+((R8)*1E-6))+(J8*(R8+((R8)*1E-6))^m_)*(m_*J8*(R8+((R8)*1E-6))^(m_-1))-(J8*(R8+((R8)*1E-6))^m_)*SQRT(1+(m_*J8*(R8+((R8)*1E-6))^(m_-1))^2)-(E8))-((R8)+(J8*(R8)^m_)*(m_*J8*(R8)^(m_-1))-(J8*(R8)^m_)*SQRT(1+(m_*J8*(R8)^(m_-1))^2)-(E8)))</f>
        <v/>
      </c>
      <c r="T8">
        <f>S8-((S8)+(J8*(S8)^m_)*(m_*J8*(S8)^(m_-1))-(J8*(S8)^m_)*SQRT(1+(m_*J8*(S8)^(m_-1))^2)-(E8))*((S8)*1E-6)/(((S8+((S8)*1E-6))+(J8*(S8+((S8)*1E-6))^m_)*(m_*J8*(S8+((S8)*1E-6))^(m_-1))-(J8*(S8+((S8)*1E-6))^m_)*SQRT(1+(m_*J8*(S8+((S8)*1E-6))^(m_-1))^2)-(E8))-((S8)+(J8*(S8)^m_)*(m_*J8*(S8)^(m_-1))-(J8*(S8)^m_)*SQRT(1+(m_*J8*(S8)^(m_-1))^2)-(E8)))</f>
        <v/>
      </c>
      <c r="U8">
        <f>J8*T8^m_</f>
        <v/>
      </c>
      <c r="V8">
        <f>m_*J8*T8^(m_-1)</f>
        <v/>
      </c>
      <c r="W8">
        <f>U8*SQRT(1+V8^2)</f>
        <v/>
      </c>
      <c r="X8">
        <f>2*W8</f>
        <v/>
      </c>
      <c r="Y8">
        <f>LN(X8)-LN(G8)</f>
        <v/>
      </c>
      <c r="Z8">
        <f>Y8^2</f>
        <v/>
      </c>
    </row>
    <row r="9">
      <c r="A9" t="inlineStr">
        <is>
          <t>G2021</t>
        </is>
      </c>
      <c r="B9" t="inlineStr">
        <is>
          <t>G21-DESM-COMP</t>
        </is>
      </c>
      <c r="C9" t="inlineStr">
        <is>
          <t>TX</t>
        </is>
      </c>
      <c r="D9" t="n">
        <v>0.323565296766471</v>
      </c>
      <c r="E9" t="n">
        <v>1.2</v>
      </c>
      <c r="F9" t="n">
        <v>5.847</v>
      </c>
      <c r="G9">
        <f>F9-E9</f>
        <v/>
      </c>
      <c r="J9">
        <f>TAN(RADIANS(pe0-omega*D9))*sref^(1-m_)</f>
        <v/>
      </c>
      <c r="K9">
        <f>2*E9-((2*E9)+(J9*(2*E9)^m_)*(m_*J9*(2*E9)^(m_-1))-(J9*(2*E9)^m_)*SQRT(1+(m_*J9*(2*E9)^(m_-1))^2)-(E9))*((2*E9)*1E-6)/(((2*E9+((2*E9)*1E-6))+(J9*(2*E9+((2*E9)*1E-6))^m_)*(m_*J9*(2*E9+((2*E9)*1E-6))^(m_-1))-(J9*(2*E9+((2*E9)*1E-6))^m_)*SQRT(1+(m_*J9*(2*E9+((2*E9)*1E-6))^(m_-1))^2)-(E9))-((2*E9)+(J9*(2*E9)^m_)*(m_*J9*(2*E9)^(m_-1))-(J9*(2*E9)^m_)*SQRT(1+(m_*J9*(2*E9)^(m_-1))^2)-(E9)))</f>
        <v/>
      </c>
      <c r="L9">
        <f>K9-((K9)+(J9*(K9)^m_)*(m_*J9*(K9)^(m_-1))-(J9*(K9)^m_)*SQRT(1+(m_*J9*(K9)^(m_-1))^2)-(E9))*((K9)*1E-6)/(((K9+((K9)*1E-6))+(J9*(K9+((K9)*1E-6))^m_)*(m_*J9*(K9+((K9)*1E-6))^(m_-1))-(J9*(K9+((K9)*1E-6))^m_)*SQRT(1+(m_*J9*(K9+((K9)*1E-6))^(m_-1))^2)-(E9))-((K9)+(J9*(K9)^m_)*(m_*J9*(K9)^(m_-1))-(J9*(K9)^m_)*SQRT(1+(m_*J9*(K9)^(m_-1))^2)-(E9)))</f>
        <v/>
      </c>
      <c r="M9">
        <f>L9-((L9)+(J9*(L9)^m_)*(m_*J9*(L9)^(m_-1))-(J9*(L9)^m_)*SQRT(1+(m_*J9*(L9)^(m_-1))^2)-(E9))*((L9)*1E-6)/(((L9+((L9)*1E-6))+(J9*(L9+((L9)*1E-6))^m_)*(m_*J9*(L9+((L9)*1E-6))^(m_-1))-(J9*(L9+((L9)*1E-6))^m_)*SQRT(1+(m_*J9*(L9+((L9)*1E-6))^(m_-1))^2)-(E9))-((L9)+(J9*(L9)^m_)*(m_*J9*(L9)^(m_-1))-(J9*(L9)^m_)*SQRT(1+(m_*J9*(L9)^(m_-1))^2)-(E9)))</f>
        <v/>
      </c>
      <c r="N9">
        <f>M9-((M9)+(J9*(M9)^m_)*(m_*J9*(M9)^(m_-1))-(J9*(M9)^m_)*SQRT(1+(m_*J9*(M9)^(m_-1))^2)-(E9))*((M9)*1E-6)/(((M9+((M9)*1E-6))+(J9*(M9+((M9)*1E-6))^m_)*(m_*J9*(M9+((M9)*1E-6))^(m_-1))-(J9*(M9+((M9)*1E-6))^m_)*SQRT(1+(m_*J9*(M9+((M9)*1E-6))^(m_-1))^2)-(E9))-((M9)+(J9*(M9)^m_)*(m_*J9*(M9)^(m_-1))-(J9*(M9)^m_)*SQRT(1+(m_*J9*(M9)^(m_-1))^2)-(E9)))</f>
        <v/>
      </c>
      <c r="O9">
        <f>N9-((N9)+(J9*(N9)^m_)*(m_*J9*(N9)^(m_-1))-(J9*(N9)^m_)*SQRT(1+(m_*J9*(N9)^(m_-1))^2)-(E9))*((N9)*1E-6)/(((N9+((N9)*1E-6))+(J9*(N9+((N9)*1E-6))^m_)*(m_*J9*(N9+((N9)*1E-6))^(m_-1))-(J9*(N9+((N9)*1E-6))^m_)*SQRT(1+(m_*J9*(N9+((N9)*1E-6))^(m_-1))^2)-(E9))-((N9)+(J9*(N9)^m_)*(m_*J9*(N9)^(m_-1))-(J9*(N9)^m_)*SQRT(1+(m_*J9*(N9)^(m_-1))^2)-(E9)))</f>
        <v/>
      </c>
      <c r="P9">
        <f>O9-((O9)+(J9*(O9)^m_)*(m_*J9*(O9)^(m_-1))-(J9*(O9)^m_)*SQRT(1+(m_*J9*(O9)^(m_-1))^2)-(E9))*((O9)*1E-6)/(((O9+((O9)*1E-6))+(J9*(O9+((O9)*1E-6))^m_)*(m_*J9*(O9+((O9)*1E-6))^(m_-1))-(J9*(O9+((O9)*1E-6))^m_)*SQRT(1+(m_*J9*(O9+((O9)*1E-6))^(m_-1))^2)-(E9))-((O9)+(J9*(O9)^m_)*(m_*J9*(O9)^(m_-1))-(J9*(O9)^m_)*SQRT(1+(m_*J9*(O9)^(m_-1))^2)-(E9)))</f>
        <v/>
      </c>
      <c r="Q9">
        <f>P9-((P9)+(J9*(P9)^m_)*(m_*J9*(P9)^(m_-1))-(J9*(P9)^m_)*SQRT(1+(m_*J9*(P9)^(m_-1))^2)-(E9))*((P9)*1E-6)/(((P9+((P9)*1E-6))+(J9*(P9+((P9)*1E-6))^m_)*(m_*J9*(P9+((P9)*1E-6))^(m_-1))-(J9*(P9+((P9)*1E-6))^m_)*SQRT(1+(m_*J9*(P9+((P9)*1E-6))^(m_-1))^2)-(E9))-((P9)+(J9*(P9)^m_)*(m_*J9*(P9)^(m_-1))-(J9*(P9)^m_)*SQRT(1+(m_*J9*(P9)^(m_-1))^2)-(E9)))</f>
        <v/>
      </c>
      <c r="R9">
        <f>Q9-((Q9)+(J9*(Q9)^m_)*(m_*J9*(Q9)^(m_-1))-(J9*(Q9)^m_)*SQRT(1+(m_*J9*(Q9)^(m_-1))^2)-(E9))*((Q9)*1E-6)/(((Q9+((Q9)*1E-6))+(J9*(Q9+((Q9)*1E-6))^m_)*(m_*J9*(Q9+((Q9)*1E-6))^(m_-1))-(J9*(Q9+((Q9)*1E-6))^m_)*SQRT(1+(m_*J9*(Q9+((Q9)*1E-6))^(m_-1))^2)-(E9))-((Q9)+(J9*(Q9)^m_)*(m_*J9*(Q9)^(m_-1))-(J9*(Q9)^m_)*SQRT(1+(m_*J9*(Q9)^(m_-1))^2)-(E9)))</f>
        <v/>
      </c>
      <c r="S9">
        <f>R9-((R9)+(J9*(R9)^m_)*(m_*J9*(R9)^(m_-1))-(J9*(R9)^m_)*SQRT(1+(m_*J9*(R9)^(m_-1))^2)-(E9))*((R9)*1E-6)/(((R9+((R9)*1E-6))+(J9*(R9+((R9)*1E-6))^m_)*(m_*J9*(R9+((R9)*1E-6))^(m_-1))-(J9*(R9+((R9)*1E-6))^m_)*SQRT(1+(m_*J9*(R9+((R9)*1E-6))^(m_-1))^2)-(E9))-((R9)+(J9*(R9)^m_)*(m_*J9*(R9)^(m_-1))-(J9*(R9)^m_)*SQRT(1+(m_*J9*(R9)^(m_-1))^2)-(E9)))</f>
        <v/>
      </c>
      <c r="T9">
        <f>S9-((S9)+(J9*(S9)^m_)*(m_*J9*(S9)^(m_-1))-(J9*(S9)^m_)*SQRT(1+(m_*J9*(S9)^(m_-1))^2)-(E9))*((S9)*1E-6)/(((S9+((S9)*1E-6))+(J9*(S9+((S9)*1E-6))^m_)*(m_*J9*(S9+((S9)*1E-6))^(m_-1))-(J9*(S9+((S9)*1E-6))^m_)*SQRT(1+(m_*J9*(S9+((S9)*1E-6))^(m_-1))^2)-(E9))-((S9)+(J9*(S9)^m_)*(m_*J9*(S9)^(m_-1))-(J9*(S9)^m_)*SQRT(1+(m_*J9*(S9)^(m_-1))^2)-(E9)))</f>
        <v/>
      </c>
      <c r="U9">
        <f>J9*T9^m_</f>
        <v/>
      </c>
      <c r="V9">
        <f>m_*J9*T9^(m_-1)</f>
        <v/>
      </c>
      <c r="W9">
        <f>U9*SQRT(1+V9^2)</f>
        <v/>
      </c>
      <c r="X9">
        <f>2*W9</f>
        <v/>
      </c>
      <c r="Y9">
        <f>LN(X9)-LN(G9)</f>
        <v/>
      </c>
      <c r="Z9">
        <f>Y9^2</f>
        <v/>
      </c>
    </row>
    <row r="10">
      <c r="A10" t="inlineStr">
        <is>
          <t>W2022</t>
        </is>
      </c>
      <c r="B10" t="inlineStr">
        <is>
          <t>HF-1.0m-IDIEM-mono</t>
        </is>
      </c>
      <c r="C10" t="inlineStr">
        <is>
          <t>TX</t>
        </is>
      </c>
      <c r="D10" t="n">
        <v>0.3317313106796116</v>
      </c>
      <c r="E10" t="n">
        <v>0.981</v>
      </c>
      <c r="F10" t="n">
        <v>4.878</v>
      </c>
      <c r="G10">
        <f>F10-E10</f>
        <v/>
      </c>
      <c r="J10">
        <f>TAN(RADIANS(pe0-omega*D10))*sref^(1-m_)</f>
        <v/>
      </c>
      <c r="K10">
        <f>2*E10-((2*E10)+(J10*(2*E10)^m_)*(m_*J10*(2*E10)^(m_-1))-(J10*(2*E10)^m_)*SQRT(1+(m_*J10*(2*E10)^(m_-1))^2)-(E10))*((2*E10)*1E-6)/(((2*E10+((2*E10)*1E-6))+(J10*(2*E10+((2*E10)*1E-6))^m_)*(m_*J10*(2*E10+((2*E10)*1E-6))^(m_-1))-(J10*(2*E10+((2*E10)*1E-6))^m_)*SQRT(1+(m_*J10*(2*E10+((2*E10)*1E-6))^(m_-1))^2)-(E10))-((2*E10)+(J10*(2*E10)^m_)*(m_*J10*(2*E10)^(m_-1))-(J10*(2*E10)^m_)*SQRT(1+(m_*J10*(2*E10)^(m_-1))^2)-(E10)))</f>
        <v/>
      </c>
      <c r="L10">
        <f>K10-((K10)+(J10*(K10)^m_)*(m_*J10*(K10)^(m_-1))-(J10*(K10)^m_)*SQRT(1+(m_*J10*(K10)^(m_-1))^2)-(E10))*((K10)*1E-6)/(((K10+((K10)*1E-6))+(J10*(K10+((K10)*1E-6))^m_)*(m_*J10*(K10+((K10)*1E-6))^(m_-1))-(J10*(K10+((K10)*1E-6))^m_)*SQRT(1+(m_*J10*(K10+((K10)*1E-6))^(m_-1))^2)-(E10))-((K10)+(J10*(K10)^m_)*(m_*J10*(K10)^(m_-1))-(J10*(K10)^m_)*SQRT(1+(m_*J10*(K10)^(m_-1))^2)-(E10)))</f>
        <v/>
      </c>
      <c r="M10">
        <f>L10-((L10)+(J10*(L10)^m_)*(m_*J10*(L10)^(m_-1))-(J10*(L10)^m_)*SQRT(1+(m_*J10*(L10)^(m_-1))^2)-(E10))*((L10)*1E-6)/(((L10+((L10)*1E-6))+(J10*(L10+((L10)*1E-6))^m_)*(m_*J10*(L10+((L10)*1E-6))^(m_-1))-(J10*(L10+((L10)*1E-6))^m_)*SQRT(1+(m_*J10*(L10+((L10)*1E-6))^(m_-1))^2)-(E10))-((L10)+(J10*(L10)^m_)*(m_*J10*(L10)^(m_-1))-(J10*(L10)^m_)*SQRT(1+(m_*J10*(L10)^(m_-1))^2)-(E10)))</f>
        <v/>
      </c>
      <c r="N10">
        <f>M10-((M10)+(J10*(M10)^m_)*(m_*J10*(M10)^(m_-1))-(J10*(M10)^m_)*SQRT(1+(m_*J10*(M10)^(m_-1))^2)-(E10))*((M10)*1E-6)/(((M10+((M10)*1E-6))+(J10*(M10+((M10)*1E-6))^m_)*(m_*J10*(M10+((M10)*1E-6))^(m_-1))-(J10*(M10+((M10)*1E-6))^m_)*SQRT(1+(m_*J10*(M10+((M10)*1E-6))^(m_-1))^2)-(E10))-((M10)+(J10*(M10)^m_)*(m_*J10*(M10)^(m_-1))-(J10*(M10)^m_)*SQRT(1+(m_*J10*(M10)^(m_-1))^2)-(E10)))</f>
        <v/>
      </c>
      <c r="O10">
        <f>N10-((N10)+(J10*(N10)^m_)*(m_*J10*(N10)^(m_-1))-(J10*(N10)^m_)*SQRT(1+(m_*J10*(N10)^(m_-1))^2)-(E10))*((N10)*1E-6)/(((N10+((N10)*1E-6))+(J10*(N10+((N10)*1E-6))^m_)*(m_*J10*(N10+((N10)*1E-6))^(m_-1))-(J10*(N10+((N10)*1E-6))^m_)*SQRT(1+(m_*J10*(N10+((N10)*1E-6))^(m_-1))^2)-(E10))-((N10)+(J10*(N10)^m_)*(m_*J10*(N10)^(m_-1))-(J10*(N10)^m_)*SQRT(1+(m_*J10*(N10)^(m_-1))^2)-(E10)))</f>
        <v/>
      </c>
      <c r="P10">
        <f>O10-((O10)+(J10*(O10)^m_)*(m_*J10*(O10)^(m_-1))-(J10*(O10)^m_)*SQRT(1+(m_*J10*(O10)^(m_-1))^2)-(E10))*((O10)*1E-6)/(((O10+((O10)*1E-6))+(J10*(O10+((O10)*1E-6))^m_)*(m_*J10*(O10+((O10)*1E-6))^(m_-1))-(J10*(O10+((O10)*1E-6))^m_)*SQRT(1+(m_*J10*(O10+((O10)*1E-6))^(m_-1))^2)-(E10))-((O10)+(J10*(O10)^m_)*(m_*J10*(O10)^(m_-1))-(J10*(O10)^m_)*SQRT(1+(m_*J10*(O10)^(m_-1))^2)-(E10)))</f>
        <v/>
      </c>
      <c r="Q10">
        <f>P10-((P10)+(J10*(P10)^m_)*(m_*J10*(P10)^(m_-1))-(J10*(P10)^m_)*SQRT(1+(m_*J10*(P10)^(m_-1))^2)-(E10))*((P10)*1E-6)/(((P10+((P10)*1E-6))+(J10*(P10+((P10)*1E-6))^m_)*(m_*J10*(P10+((P10)*1E-6))^(m_-1))-(J10*(P10+((P10)*1E-6))^m_)*SQRT(1+(m_*J10*(P10+((P10)*1E-6))^(m_-1))^2)-(E10))-((P10)+(J10*(P10)^m_)*(m_*J10*(P10)^(m_-1))-(J10*(P10)^m_)*SQRT(1+(m_*J10*(P10)^(m_-1))^2)-(E10)))</f>
        <v/>
      </c>
      <c r="R10">
        <f>Q10-((Q10)+(J10*(Q10)^m_)*(m_*J10*(Q10)^(m_-1))-(J10*(Q10)^m_)*SQRT(1+(m_*J10*(Q10)^(m_-1))^2)-(E10))*((Q10)*1E-6)/(((Q10+((Q10)*1E-6))+(J10*(Q10+((Q10)*1E-6))^m_)*(m_*J10*(Q10+((Q10)*1E-6))^(m_-1))-(J10*(Q10+((Q10)*1E-6))^m_)*SQRT(1+(m_*J10*(Q10+((Q10)*1E-6))^(m_-1))^2)-(E10))-((Q10)+(J10*(Q10)^m_)*(m_*J10*(Q10)^(m_-1))-(J10*(Q10)^m_)*SQRT(1+(m_*J10*(Q10)^(m_-1))^2)-(E10)))</f>
        <v/>
      </c>
      <c r="S10">
        <f>R10-((R10)+(J10*(R10)^m_)*(m_*J10*(R10)^(m_-1))-(J10*(R10)^m_)*SQRT(1+(m_*J10*(R10)^(m_-1))^2)-(E10))*((R10)*1E-6)/(((R10+((R10)*1E-6))+(J10*(R10+((R10)*1E-6))^m_)*(m_*J10*(R10+((R10)*1E-6))^(m_-1))-(J10*(R10+((R10)*1E-6))^m_)*SQRT(1+(m_*J10*(R10+((R10)*1E-6))^(m_-1))^2)-(E10))-((R10)+(J10*(R10)^m_)*(m_*J10*(R10)^(m_-1))-(J10*(R10)^m_)*SQRT(1+(m_*J10*(R10)^(m_-1))^2)-(E10)))</f>
        <v/>
      </c>
      <c r="T10">
        <f>S10-((S10)+(J10*(S10)^m_)*(m_*J10*(S10)^(m_-1))-(J10*(S10)^m_)*SQRT(1+(m_*J10*(S10)^(m_-1))^2)-(E10))*((S10)*1E-6)/(((S10+((S10)*1E-6))+(J10*(S10+((S10)*1E-6))^m_)*(m_*J10*(S10+((S10)*1E-6))^(m_-1))-(J10*(S10+((S10)*1E-6))^m_)*SQRT(1+(m_*J10*(S10+((S10)*1E-6))^(m_-1))^2)-(E10))-((S10)+(J10*(S10)^m_)*(m_*J10*(S10)^(m_-1))-(J10*(S10)^m_)*SQRT(1+(m_*J10*(S10)^(m_-1))^2)-(E10)))</f>
        <v/>
      </c>
      <c r="U10">
        <f>J10*T10^m_</f>
        <v/>
      </c>
      <c r="V10">
        <f>m_*J10*T10^(m_-1)</f>
        <v/>
      </c>
      <c r="W10">
        <f>U10*SQRT(1+V10^2)</f>
        <v/>
      </c>
      <c r="X10">
        <f>2*W10</f>
        <v/>
      </c>
      <c r="Y10">
        <f>LN(X10)-LN(G10)</f>
        <v/>
      </c>
      <c r="Z10">
        <f>Y10^2</f>
        <v/>
      </c>
    </row>
    <row r="11">
      <c r="A11" t="inlineStr">
        <is>
          <t>W2022</t>
        </is>
      </c>
      <c r="B11" t="inlineStr">
        <is>
          <t>HF-1.0m-IDIEM-mono</t>
        </is>
      </c>
      <c r="C11" t="inlineStr">
        <is>
          <t>TX</t>
        </is>
      </c>
      <c r="D11" t="n">
        <v>0.3317313106796116</v>
      </c>
      <c r="E11" t="n">
        <v>1.961</v>
      </c>
      <c r="F11" t="n">
        <v>11.021</v>
      </c>
      <c r="G11">
        <f>F11-E11</f>
        <v/>
      </c>
      <c r="J11">
        <f>TAN(RADIANS(pe0-omega*D11))*sref^(1-m_)</f>
        <v/>
      </c>
      <c r="K11">
        <f>2*E11-((2*E11)+(J11*(2*E11)^m_)*(m_*J11*(2*E11)^(m_-1))-(J11*(2*E11)^m_)*SQRT(1+(m_*J11*(2*E11)^(m_-1))^2)-(E11))*((2*E11)*1E-6)/(((2*E11+((2*E11)*1E-6))+(J11*(2*E11+((2*E11)*1E-6))^m_)*(m_*J11*(2*E11+((2*E11)*1E-6))^(m_-1))-(J11*(2*E11+((2*E11)*1E-6))^m_)*SQRT(1+(m_*J11*(2*E11+((2*E11)*1E-6))^(m_-1))^2)-(E11))-((2*E11)+(J11*(2*E11)^m_)*(m_*J11*(2*E11)^(m_-1))-(J11*(2*E11)^m_)*SQRT(1+(m_*J11*(2*E11)^(m_-1))^2)-(E11)))</f>
        <v/>
      </c>
      <c r="L11">
        <f>K11-((K11)+(J11*(K11)^m_)*(m_*J11*(K11)^(m_-1))-(J11*(K11)^m_)*SQRT(1+(m_*J11*(K11)^(m_-1))^2)-(E11))*((K11)*1E-6)/(((K11+((K11)*1E-6))+(J11*(K11+((K11)*1E-6))^m_)*(m_*J11*(K11+((K11)*1E-6))^(m_-1))-(J11*(K11+((K11)*1E-6))^m_)*SQRT(1+(m_*J11*(K11+((K11)*1E-6))^(m_-1))^2)-(E11))-((K11)+(J11*(K11)^m_)*(m_*J11*(K11)^(m_-1))-(J11*(K11)^m_)*SQRT(1+(m_*J11*(K11)^(m_-1))^2)-(E11)))</f>
        <v/>
      </c>
      <c r="M11">
        <f>L11-((L11)+(J11*(L11)^m_)*(m_*J11*(L11)^(m_-1))-(J11*(L11)^m_)*SQRT(1+(m_*J11*(L11)^(m_-1))^2)-(E11))*((L11)*1E-6)/(((L11+((L11)*1E-6))+(J11*(L11+((L11)*1E-6))^m_)*(m_*J11*(L11+((L11)*1E-6))^(m_-1))-(J11*(L11+((L11)*1E-6))^m_)*SQRT(1+(m_*J11*(L11+((L11)*1E-6))^(m_-1))^2)-(E11))-((L11)+(J11*(L11)^m_)*(m_*J11*(L11)^(m_-1))-(J11*(L11)^m_)*SQRT(1+(m_*J11*(L11)^(m_-1))^2)-(E11)))</f>
        <v/>
      </c>
      <c r="N11">
        <f>M11-((M11)+(J11*(M11)^m_)*(m_*J11*(M11)^(m_-1))-(J11*(M11)^m_)*SQRT(1+(m_*J11*(M11)^(m_-1))^2)-(E11))*((M11)*1E-6)/(((M11+((M11)*1E-6))+(J11*(M11+((M11)*1E-6))^m_)*(m_*J11*(M11+((M11)*1E-6))^(m_-1))-(J11*(M11+((M11)*1E-6))^m_)*SQRT(1+(m_*J11*(M11+((M11)*1E-6))^(m_-1))^2)-(E11))-((M11)+(J11*(M11)^m_)*(m_*J11*(M11)^(m_-1))-(J11*(M11)^m_)*SQRT(1+(m_*J11*(M11)^(m_-1))^2)-(E11)))</f>
        <v/>
      </c>
      <c r="O11">
        <f>N11-((N11)+(J11*(N11)^m_)*(m_*J11*(N11)^(m_-1))-(J11*(N11)^m_)*SQRT(1+(m_*J11*(N11)^(m_-1))^2)-(E11))*((N11)*1E-6)/(((N11+((N11)*1E-6))+(J11*(N11+((N11)*1E-6))^m_)*(m_*J11*(N11+((N11)*1E-6))^(m_-1))-(J11*(N11+((N11)*1E-6))^m_)*SQRT(1+(m_*J11*(N11+((N11)*1E-6))^(m_-1))^2)-(E11))-((N11)+(J11*(N11)^m_)*(m_*J11*(N11)^(m_-1))-(J11*(N11)^m_)*SQRT(1+(m_*J11*(N11)^(m_-1))^2)-(E11)))</f>
        <v/>
      </c>
      <c r="P11">
        <f>O11-((O11)+(J11*(O11)^m_)*(m_*J11*(O11)^(m_-1))-(J11*(O11)^m_)*SQRT(1+(m_*J11*(O11)^(m_-1))^2)-(E11))*((O11)*1E-6)/(((O11+((O11)*1E-6))+(J11*(O11+((O11)*1E-6))^m_)*(m_*J11*(O11+((O11)*1E-6))^(m_-1))-(J11*(O11+((O11)*1E-6))^m_)*SQRT(1+(m_*J11*(O11+((O11)*1E-6))^(m_-1))^2)-(E11))-((O11)+(J11*(O11)^m_)*(m_*J11*(O11)^(m_-1))-(J11*(O11)^m_)*SQRT(1+(m_*J11*(O11)^(m_-1))^2)-(E11)))</f>
        <v/>
      </c>
      <c r="Q11">
        <f>P11-((P11)+(J11*(P11)^m_)*(m_*J11*(P11)^(m_-1))-(J11*(P11)^m_)*SQRT(1+(m_*J11*(P11)^(m_-1))^2)-(E11))*((P11)*1E-6)/(((P11+((P11)*1E-6))+(J11*(P11+((P11)*1E-6))^m_)*(m_*J11*(P11+((P11)*1E-6))^(m_-1))-(J11*(P11+((P11)*1E-6))^m_)*SQRT(1+(m_*J11*(P11+((P11)*1E-6))^(m_-1))^2)-(E11))-((P11)+(J11*(P11)^m_)*(m_*J11*(P11)^(m_-1))-(J11*(P11)^m_)*SQRT(1+(m_*J11*(P11)^(m_-1))^2)-(E11)))</f>
        <v/>
      </c>
      <c r="R11">
        <f>Q11-((Q11)+(J11*(Q11)^m_)*(m_*J11*(Q11)^(m_-1))-(J11*(Q11)^m_)*SQRT(1+(m_*J11*(Q11)^(m_-1))^2)-(E11))*((Q11)*1E-6)/(((Q11+((Q11)*1E-6))+(J11*(Q11+((Q11)*1E-6))^m_)*(m_*J11*(Q11+((Q11)*1E-6))^(m_-1))-(J11*(Q11+((Q11)*1E-6))^m_)*SQRT(1+(m_*J11*(Q11+((Q11)*1E-6))^(m_-1))^2)-(E11))-((Q11)+(J11*(Q11)^m_)*(m_*J11*(Q11)^(m_-1))-(J11*(Q11)^m_)*SQRT(1+(m_*J11*(Q11)^(m_-1))^2)-(E11)))</f>
        <v/>
      </c>
      <c r="S11">
        <f>R11-((R11)+(J11*(R11)^m_)*(m_*J11*(R11)^(m_-1))-(J11*(R11)^m_)*SQRT(1+(m_*J11*(R11)^(m_-1))^2)-(E11))*((R11)*1E-6)/(((R11+((R11)*1E-6))+(J11*(R11+((R11)*1E-6))^m_)*(m_*J11*(R11+((R11)*1E-6))^(m_-1))-(J11*(R11+((R11)*1E-6))^m_)*SQRT(1+(m_*J11*(R11+((R11)*1E-6))^(m_-1))^2)-(E11))-((R11)+(J11*(R11)^m_)*(m_*J11*(R11)^(m_-1))-(J11*(R11)^m_)*SQRT(1+(m_*J11*(R11)^(m_-1))^2)-(E11)))</f>
        <v/>
      </c>
      <c r="T11">
        <f>S11-((S11)+(J11*(S11)^m_)*(m_*J11*(S11)^(m_-1))-(J11*(S11)^m_)*SQRT(1+(m_*J11*(S11)^(m_-1))^2)-(E11))*((S11)*1E-6)/(((S11+((S11)*1E-6))+(J11*(S11+((S11)*1E-6))^m_)*(m_*J11*(S11+((S11)*1E-6))^(m_-1))-(J11*(S11+((S11)*1E-6))^m_)*SQRT(1+(m_*J11*(S11+((S11)*1E-6))^(m_-1))^2)-(E11))-((S11)+(J11*(S11)^m_)*(m_*J11*(S11)^(m_-1))-(J11*(S11)^m_)*SQRT(1+(m_*J11*(S11)^(m_-1))^2)-(E11)))</f>
        <v/>
      </c>
      <c r="U11">
        <f>J11*T11^m_</f>
        <v/>
      </c>
      <c r="V11">
        <f>m_*J11*T11^(m_-1)</f>
        <v/>
      </c>
      <c r="W11">
        <f>U11*SQRT(1+V11^2)</f>
        <v/>
      </c>
      <c r="X11">
        <f>2*W11</f>
        <v/>
      </c>
      <c r="Y11">
        <f>LN(X11)-LN(G11)</f>
        <v/>
      </c>
      <c r="Z11">
        <f>Y11^2</f>
        <v/>
      </c>
    </row>
    <row r="12">
      <c r="A12" t="inlineStr">
        <is>
          <t>W2022</t>
        </is>
      </c>
      <c r="B12" t="inlineStr">
        <is>
          <t>HF-1.0m-IDIEM-mono</t>
        </is>
      </c>
      <c r="C12" t="inlineStr">
        <is>
          <t>TX</t>
        </is>
      </c>
      <c r="D12" t="n">
        <v>0.3317313106796116</v>
      </c>
      <c r="E12" t="n">
        <v>2.452</v>
      </c>
      <c r="F12" t="n">
        <v>14.382</v>
      </c>
      <c r="G12">
        <f>F12-E12</f>
        <v/>
      </c>
      <c r="J12">
        <f>TAN(RADIANS(pe0-omega*D12))*sref^(1-m_)</f>
        <v/>
      </c>
      <c r="K12">
        <f>2*E12-((2*E12)+(J12*(2*E12)^m_)*(m_*J12*(2*E12)^(m_-1))-(J12*(2*E12)^m_)*SQRT(1+(m_*J12*(2*E12)^(m_-1))^2)-(E12))*((2*E12)*1E-6)/(((2*E12+((2*E12)*1E-6))+(J12*(2*E12+((2*E12)*1E-6))^m_)*(m_*J12*(2*E12+((2*E12)*1E-6))^(m_-1))-(J12*(2*E12+((2*E12)*1E-6))^m_)*SQRT(1+(m_*J12*(2*E12+((2*E12)*1E-6))^(m_-1))^2)-(E12))-((2*E12)+(J12*(2*E12)^m_)*(m_*J12*(2*E12)^(m_-1))-(J12*(2*E12)^m_)*SQRT(1+(m_*J12*(2*E12)^(m_-1))^2)-(E12)))</f>
        <v/>
      </c>
      <c r="L12">
        <f>K12-((K12)+(J12*(K12)^m_)*(m_*J12*(K12)^(m_-1))-(J12*(K12)^m_)*SQRT(1+(m_*J12*(K12)^(m_-1))^2)-(E12))*((K12)*1E-6)/(((K12+((K12)*1E-6))+(J12*(K12+((K12)*1E-6))^m_)*(m_*J12*(K12+((K12)*1E-6))^(m_-1))-(J12*(K12+((K12)*1E-6))^m_)*SQRT(1+(m_*J12*(K12+((K12)*1E-6))^(m_-1))^2)-(E12))-((K12)+(J12*(K12)^m_)*(m_*J12*(K12)^(m_-1))-(J12*(K12)^m_)*SQRT(1+(m_*J12*(K12)^(m_-1))^2)-(E12)))</f>
        <v/>
      </c>
      <c r="M12">
        <f>L12-((L12)+(J12*(L12)^m_)*(m_*J12*(L12)^(m_-1))-(J12*(L12)^m_)*SQRT(1+(m_*J12*(L12)^(m_-1))^2)-(E12))*((L12)*1E-6)/(((L12+((L12)*1E-6))+(J12*(L12+((L12)*1E-6))^m_)*(m_*J12*(L12+((L12)*1E-6))^(m_-1))-(J12*(L12+((L12)*1E-6))^m_)*SQRT(1+(m_*J12*(L12+((L12)*1E-6))^(m_-1))^2)-(E12))-((L12)+(J12*(L12)^m_)*(m_*J12*(L12)^(m_-1))-(J12*(L12)^m_)*SQRT(1+(m_*J12*(L12)^(m_-1))^2)-(E12)))</f>
        <v/>
      </c>
      <c r="N12">
        <f>M12-((M12)+(J12*(M12)^m_)*(m_*J12*(M12)^(m_-1))-(J12*(M12)^m_)*SQRT(1+(m_*J12*(M12)^(m_-1))^2)-(E12))*((M12)*1E-6)/(((M12+((M12)*1E-6))+(J12*(M12+((M12)*1E-6))^m_)*(m_*J12*(M12+((M12)*1E-6))^(m_-1))-(J12*(M12+((M12)*1E-6))^m_)*SQRT(1+(m_*J12*(M12+((M12)*1E-6))^(m_-1))^2)-(E12))-((M12)+(J12*(M12)^m_)*(m_*J12*(M12)^(m_-1))-(J12*(M12)^m_)*SQRT(1+(m_*J12*(M12)^(m_-1))^2)-(E12)))</f>
        <v/>
      </c>
      <c r="O12">
        <f>N12-((N12)+(J12*(N12)^m_)*(m_*J12*(N12)^(m_-1))-(J12*(N12)^m_)*SQRT(1+(m_*J12*(N12)^(m_-1))^2)-(E12))*((N12)*1E-6)/(((N12+((N12)*1E-6))+(J12*(N12+((N12)*1E-6))^m_)*(m_*J12*(N12+((N12)*1E-6))^(m_-1))-(J12*(N12+((N12)*1E-6))^m_)*SQRT(1+(m_*J12*(N12+((N12)*1E-6))^(m_-1))^2)-(E12))-((N12)+(J12*(N12)^m_)*(m_*J12*(N12)^(m_-1))-(J12*(N12)^m_)*SQRT(1+(m_*J12*(N12)^(m_-1))^2)-(E12)))</f>
        <v/>
      </c>
      <c r="P12">
        <f>O12-((O12)+(J12*(O12)^m_)*(m_*J12*(O12)^(m_-1))-(J12*(O12)^m_)*SQRT(1+(m_*J12*(O12)^(m_-1))^2)-(E12))*((O12)*1E-6)/(((O12+((O12)*1E-6))+(J12*(O12+((O12)*1E-6))^m_)*(m_*J12*(O12+((O12)*1E-6))^(m_-1))-(J12*(O12+((O12)*1E-6))^m_)*SQRT(1+(m_*J12*(O12+((O12)*1E-6))^(m_-1))^2)-(E12))-((O12)+(J12*(O12)^m_)*(m_*J12*(O12)^(m_-1))-(J12*(O12)^m_)*SQRT(1+(m_*J12*(O12)^(m_-1))^2)-(E12)))</f>
        <v/>
      </c>
      <c r="Q12">
        <f>P12-((P12)+(J12*(P12)^m_)*(m_*J12*(P12)^(m_-1))-(J12*(P12)^m_)*SQRT(1+(m_*J12*(P12)^(m_-1))^2)-(E12))*((P12)*1E-6)/(((P12+((P12)*1E-6))+(J12*(P12+((P12)*1E-6))^m_)*(m_*J12*(P12+((P12)*1E-6))^(m_-1))-(J12*(P12+((P12)*1E-6))^m_)*SQRT(1+(m_*J12*(P12+((P12)*1E-6))^(m_-1))^2)-(E12))-((P12)+(J12*(P12)^m_)*(m_*J12*(P12)^(m_-1))-(J12*(P12)^m_)*SQRT(1+(m_*J12*(P12)^(m_-1))^2)-(E12)))</f>
        <v/>
      </c>
      <c r="R12">
        <f>Q12-((Q12)+(J12*(Q12)^m_)*(m_*J12*(Q12)^(m_-1))-(J12*(Q12)^m_)*SQRT(1+(m_*J12*(Q12)^(m_-1))^2)-(E12))*((Q12)*1E-6)/(((Q12+((Q12)*1E-6))+(J12*(Q12+((Q12)*1E-6))^m_)*(m_*J12*(Q12+((Q12)*1E-6))^(m_-1))-(J12*(Q12+((Q12)*1E-6))^m_)*SQRT(1+(m_*J12*(Q12+((Q12)*1E-6))^(m_-1))^2)-(E12))-((Q12)+(J12*(Q12)^m_)*(m_*J12*(Q12)^(m_-1))-(J12*(Q12)^m_)*SQRT(1+(m_*J12*(Q12)^(m_-1))^2)-(E12)))</f>
        <v/>
      </c>
      <c r="S12">
        <f>R12-((R12)+(J12*(R12)^m_)*(m_*J12*(R12)^(m_-1))-(J12*(R12)^m_)*SQRT(1+(m_*J12*(R12)^(m_-1))^2)-(E12))*((R12)*1E-6)/(((R12+((R12)*1E-6))+(J12*(R12+((R12)*1E-6))^m_)*(m_*J12*(R12+((R12)*1E-6))^(m_-1))-(J12*(R12+((R12)*1E-6))^m_)*SQRT(1+(m_*J12*(R12+((R12)*1E-6))^(m_-1))^2)-(E12))-((R12)+(J12*(R12)^m_)*(m_*J12*(R12)^(m_-1))-(J12*(R12)^m_)*SQRT(1+(m_*J12*(R12)^(m_-1))^2)-(E12)))</f>
        <v/>
      </c>
      <c r="T12">
        <f>S12-((S12)+(J12*(S12)^m_)*(m_*J12*(S12)^(m_-1))-(J12*(S12)^m_)*SQRT(1+(m_*J12*(S12)^(m_-1))^2)-(E12))*((S12)*1E-6)/(((S12+((S12)*1E-6))+(J12*(S12+((S12)*1E-6))^m_)*(m_*J12*(S12+((S12)*1E-6))^(m_-1))-(J12*(S12+((S12)*1E-6))^m_)*SQRT(1+(m_*J12*(S12+((S12)*1E-6))^(m_-1))^2)-(E12))-((S12)+(J12*(S12)^m_)*(m_*J12*(S12)^(m_-1))-(J12*(S12)^m_)*SQRT(1+(m_*J12*(S12)^(m_-1))^2)-(E12)))</f>
        <v/>
      </c>
      <c r="U12">
        <f>J12*T12^m_</f>
        <v/>
      </c>
      <c r="V12">
        <f>m_*J12*T12^(m_-1)</f>
        <v/>
      </c>
      <c r="W12">
        <f>U12*SQRT(1+V12^2)</f>
        <v/>
      </c>
      <c r="X12">
        <f>2*W12</f>
        <v/>
      </c>
      <c r="Y12">
        <f>LN(X12)-LN(G12)</f>
        <v/>
      </c>
      <c r="Z12">
        <f>Y12^2</f>
        <v/>
      </c>
    </row>
    <row r="13">
      <c r="A13" t="inlineStr">
        <is>
          <t>W2022</t>
        </is>
      </c>
      <c r="B13" t="inlineStr">
        <is>
          <t>HF-1.0m-IDIEM-cd</t>
        </is>
      </c>
      <c r="C13" t="inlineStr">
        <is>
          <t>TX</t>
        </is>
      </c>
      <c r="D13" t="n">
        <v>0.3574302325581395</v>
      </c>
      <c r="E13" t="n">
        <v>0.981</v>
      </c>
      <c r="F13" t="n">
        <v>4.801</v>
      </c>
      <c r="G13">
        <f>F13-E13</f>
        <v/>
      </c>
      <c r="J13">
        <f>TAN(RADIANS(pe0-omega*D13))*sref^(1-m_)</f>
        <v/>
      </c>
      <c r="K13">
        <f>2*E13-((2*E13)+(J13*(2*E13)^m_)*(m_*J13*(2*E13)^(m_-1))-(J13*(2*E13)^m_)*SQRT(1+(m_*J13*(2*E13)^(m_-1))^2)-(E13))*((2*E13)*1E-6)/(((2*E13+((2*E13)*1E-6))+(J13*(2*E13+((2*E13)*1E-6))^m_)*(m_*J13*(2*E13+((2*E13)*1E-6))^(m_-1))-(J13*(2*E13+((2*E13)*1E-6))^m_)*SQRT(1+(m_*J13*(2*E13+((2*E13)*1E-6))^(m_-1))^2)-(E13))-((2*E13)+(J13*(2*E13)^m_)*(m_*J13*(2*E13)^(m_-1))-(J13*(2*E13)^m_)*SQRT(1+(m_*J13*(2*E13)^(m_-1))^2)-(E13)))</f>
        <v/>
      </c>
      <c r="L13">
        <f>K13-((K13)+(J13*(K13)^m_)*(m_*J13*(K13)^(m_-1))-(J13*(K13)^m_)*SQRT(1+(m_*J13*(K13)^(m_-1))^2)-(E13))*((K13)*1E-6)/(((K13+((K13)*1E-6))+(J13*(K13+((K13)*1E-6))^m_)*(m_*J13*(K13+((K13)*1E-6))^(m_-1))-(J13*(K13+((K13)*1E-6))^m_)*SQRT(1+(m_*J13*(K13+((K13)*1E-6))^(m_-1))^2)-(E13))-((K13)+(J13*(K13)^m_)*(m_*J13*(K13)^(m_-1))-(J13*(K13)^m_)*SQRT(1+(m_*J13*(K13)^(m_-1))^2)-(E13)))</f>
        <v/>
      </c>
      <c r="M13">
        <f>L13-((L13)+(J13*(L13)^m_)*(m_*J13*(L13)^(m_-1))-(J13*(L13)^m_)*SQRT(1+(m_*J13*(L13)^(m_-1))^2)-(E13))*((L13)*1E-6)/(((L13+((L13)*1E-6))+(J13*(L13+((L13)*1E-6))^m_)*(m_*J13*(L13+((L13)*1E-6))^(m_-1))-(J13*(L13+((L13)*1E-6))^m_)*SQRT(1+(m_*J13*(L13+((L13)*1E-6))^(m_-1))^2)-(E13))-((L13)+(J13*(L13)^m_)*(m_*J13*(L13)^(m_-1))-(J13*(L13)^m_)*SQRT(1+(m_*J13*(L13)^(m_-1))^2)-(E13)))</f>
        <v/>
      </c>
      <c r="N13">
        <f>M13-((M13)+(J13*(M13)^m_)*(m_*J13*(M13)^(m_-1))-(J13*(M13)^m_)*SQRT(1+(m_*J13*(M13)^(m_-1))^2)-(E13))*((M13)*1E-6)/(((M13+((M13)*1E-6))+(J13*(M13+((M13)*1E-6))^m_)*(m_*J13*(M13+((M13)*1E-6))^(m_-1))-(J13*(M13+((M13)*1E-6))^m_)*SQRT(1+(m_*J13*(M13+((M13)*1E-6))^(m_-1))^2)-(E13))-((M13)+(J13*(M13)^m_)*(m_*J13*(M13)^(m_-1))-(J13*(M13)^m_)*SQRT(1+(m_*J13*(M13)^(m_-1))^2)-(E13)))</f>
        <v/>
      </c>
      <c r="O13">
        <f>N13-((N13)+(J13*(N13)^m_)*(m_*J13*(N13)^(m_-1))-(J13*(N13)^m_)*SQRT(1+(m_*J13*(N13)^(m_-1))^2)-(E13))*((N13)*1E-6)/(((N13+((N13)*1E-6))+(J13*(N13+((N13)*1E-6))^m_)*(m_*J13*(N13+((N13)*1E-6))^(m_-1))-(J13*(N13+((N13)*1E-6))^m_)*SQRT(1+(m_*J13*(N13+((N13)*1E-6))^(m_-1))^2)-(E13))-((N13)+(J13*(N13)^m_)*(m_*J13*(N13)^(m_-1))-(J13*(N13)^m_)*SQRT(1+(m_*J13*(N13)^(m_-1))^2)-(E13)))</f>
        <v/>
      </c>
      <c r="P13">
        <f>O13-((O13)+(J13*(O13)^m_)*(m_*J13*(O13)^(m_-1))-(J13*(O13)^m_)*SQRT(1+(m_*J13*(O13)^(m_-1))^2)-(E13))*((O13)*1E-6)/(((O13+((O13)*1E-6))+(J13*(O13+((O13)*1E-6))^m_)*(m_*J13*(O13+((O13)*1E-6))^(m_-1))-(J13*(O13+((O13)*1E-6))^m_)*SQRT(1+(m_*J13*(O13+((O13)*1E-6))^(m_-1))^2)-(E13))-((O13)+(J13*(O13)^m_)*(m_*J13*(O13)^(m_-1))-(J13*(O13)^m_)*SQRT(1+(m_*J13*(O13)^(m_-1))^2)-(E13)))</f>
        <v/>
      </c>
      <c r="Q13">
        <f>P13-((P13)+(J13*(P13)^m_)*(m_*J13*(P13)^(m_-1))-(J13*(P13)^m_)*SQRT(1+(m_*J13*(P13)^(m_-1))^2)-(E13))*((P13)*1E-6)/(((P13+((P13)*1E-6))+(J13*(P13+((P13)*1E-6))^m_)*(m_*J13*(P13+((P13)*1E-6))^(m_-1))-(J13*(P13+((P13)*1E-6))^m_)*SQRT(1+(m_*J13*(P13+((P13)*1E-6))^(m_-1))^2)-(E13))-((P13)+(J13*(P13)^m_)*(m_*J13*(P13)^(m_-1))-(J13*(P13)^m_)*SQRT(1+(m_*J13*(P13)^(m_-1))^2)-(E13)))</f>
        <v/>
      </c>
      <c r="R13">
        <f>Q13-((Q13)+(J13*(Q13)^m_)*(m_*J13*(Q13)^(m_-1))-(J13*(Q13)^m_)*SQRT(1+(m_*J13*(Q13)^(m_-1))^2)-(E13))*((Q13)*1E-6)/(((Q13+((Q13)*1E-6))+(J13*(Q13+((Q13)*1E-6))^m_)*(m_*J13*(Q13+((Q13)*1E-6))^(m_-1))-(J13*(Q13+((Q13)*1E-6))^m_)*SQRT(1+(m_*J13*(Q13+((Q13)*1E-6))^(m_-1))^2)-(E13))-((Q13)+(J13*(Q13)^m_)*(m_*J13*(Q13)^(m_-1))-(J13*(Q13)^m_)*SQRT(1+(m_*J13*(Q13)^(m_-1))^2)-(E13)))</f>
        <v/>
      </c>
      <c r="S13">
        <f>R13-((R13)+(J13*(R13)^m_)*(m_*J13*(R13)^(m_-1))-(J13*(R13)^m_)*SQRT(1+(m_*J13*(R13)^(m_-1))^2)-(E13))*((R13)*1E-6)/(((R13+((R13)*1E-6))+(J13*(R13+((R13)*1E-6))^m_)*(m_*J13*(R13+((R13)*1E-6))^(m_-1))-(J13*(R13+((R13)*1E-6))^m_)*SQRT(1+(m_*J13*(R13+((R13)*1E-6))^(m_-1))^2)-(E13))-((R13)+(J13*(R13)^m_)*(m_*J13*(R13)^(m_-1))-(J13*(R13)^m_)*SQRT(1+(m_*J13*(R13)^(m_-1))^2)-(E13)))</f>
        <v/>
      </c>
      <c r="T13">
        <f>S13-((S13)+(J13*(S13)^m_)*(m_*J13*(S13)^(m_-1))-(J13*(S13)^m_)*SQRT(1+(m_*J13*(S13)^(m_-1))^2)-(E13))*((S13)*1E-6)/(((S13+((S13)*1E-6))+(J13*(S13+((S13)*1E-6))^m_)*(m_*J13*(S13+((S13)*1E-6))^(m_-1))-(J13*(S13+((S13)*1E-6))^m_)*SQRT(1+(m_*J13*(S13+((S13)*1E-6))^(m_-1))^2)-(E13))-((S13)+(J13*(S13)^m_)*(m_*J13*(S13)^(m_-1))-(J13*(S13)^m_)*SQRT(1+(m_*J13*(S13)^(m_-1))^2)-(E13)))</f>
        <v/>
      </c>
      <c r="U13">
        <f>J13*T13^m_</f>
        <v/>
      </c>
      <c r="V13">
        <f>m_*J13*T13^(m_-1)</f>
        <v/>
      </c>
      <c r="W13">
        <f>U13*SQRT(1+V13^2)</f>
        <v/>
      </c>
      <c r="X13">
        <f>2*W13</f>
        <v/>
      </c>
      <c r="Y13">
        <f>LN(X13)-LN(G13)</f>
        <v/>
      </c>
      <c r="Z13">
        <f>Y13^2</f>
        <v/>
      </c>
    </row>
    <row r="14">
      <c r="A14" t="inlineStr">
        <is>
          <t>W2022</t>
        </is>
      </c>
      <c r="B14" t="inlineStr">
        <is>
          <t>HF-1.0m-IDIEM-cd</t>
        </is>
      </c>
      <c r="C14" t="inlineStr">
        <is>
          <t>TX</t>
        </is>
      </c>
      <c r="D14" t="n">
        <v>0.3574302325581395</v>
      </c>
      <c r="E14" t="n">
        <v>1.961</v>
      </c>
      <c r="F14" t="n">
        <v>11.664</v>
      </c>
      <c r="G14">
        <f>F14-E14</f>
        <v/>
      </c>
      <c r="J14">
        <f>TAN(RADIANS(pe0-omega*D14))*sref^(1-m_)</f>
        <v/>
      </c>
      <c r="K14">
        <f>2*E14-((2*E14)+(J14*(2*E14)^m_)*(m_*J14*(2*E14)^(m_-1))-(J14*(2*E14)^m_)*SQRT(1+(m_*J14*(2*E14)^(m_-1))^2)-(E14))*((2*E14)*1E-6)/(((2*E14+((2*E14)*1E-6))+(J14*(2*E14+((2*E14)*1E-6))^m_)*(m_*J14*(2*E14+((2*E14)*1E-6))^(m_-1))-(J14*(2*E14+((2*E14)*1E-6))^m_)*SQRT(1+(m_*J14*(2*E14+((2*E14)*1E-6))^(m_-1))^2)-(E14))-((2*E14)+(J14*(2*E14)^m_)*(m_*J14*(2*E14)^(m_-1))-(J14*(2*E14)^m_)*SQRT(1+(m_*J14*(2*E14)^(m_-1))^2)-(E14)))</f>
        <v/>
      </c>
      <c r="L14">
        <f>K14-((K14)+(J14*(K14)^m_)*(m_*J14*(K14)^(m_-1))-(J14*(K14)^m_)*SQRT(1+(m_*J14*(K14)^(m_-1))^2)-(E14))*((K14)*1E-6)/(((K14+((K14)*1E-6))+(J14*(K14+((K14)*1E-6))^m_)*(m_*J14*(K14+((K14)*1E-6))^(m_-1))-(J14*(K14+((K14)*1E-6))^m_)*SQRT(1+(m_*J14*(K14+((K14)*1E-6))^(m_-1))^2)-(E14))-((K14)+(J14*(K14)^m_)*(m_*J14*(K14)^(m_-1))-(J14*(K14)^m_)*SQRT(1+(m_*J14*(K14)^(m_-1))^2)-(E14)))</f>
        <v/>
      </c>
      <c r="M14">
        <f>L14-((L14)+(J14*(L14)^m_)*(m_*J14*(L14)^(m_-1))-(J14*(L14)^m_)*SQRT(1+(m_*J14*(L14)^(m_-1))^2)-(E14))*((L14)*1E-6)/(((L14+((L14)*1E-6))+(J14*(L14+((L14)*1E-6))^m_)*(m_*J14*(L14+((L14)*1E-6))^(m_-1))-(J14*(L14+((L14)*1E-6))^m_)*SQRT(1+(m_*J14*(L14+((L14)*1E-6))^(m_-1))^2)-(E14))-((L14)+(J14*(L14)^m_)*(m_*J14*(L14)^(m_-1))-(J14*(L14)^m_)*SQRT(1+(m_*J14*(L14)^(m_-1))^2)-(E14)))</f>
        <v/>
      </c>
      <c r="N14">
        <f>M14-((M14)+(J14*(M14)^m_)*(m_*J14*(M14)^(m_-1))-(J14*(M14)^m_)*SQRT(1+(m_*J14*(M14)^(m_-1))^2)-(E14))*((M14)*1E-6)/(((M14+((M14)*1E-6))+(J14*(M14+((M14)*1E-6))^m_)*(m_*J14*(M14+((M14)*1E-6))^(m_-1))-(J14*(M14+((M14)*1E-6))^m_)*SQRT(1+(m_*J14*(M14+((M14)*1E-6))^(m_-1))^2)-(E14))-((M14)+(J14*(M14)^m_)*(m_*J14*(M14)^(m_-1))-(J14*(M14)^m_)*SQRT(1+(m_*J14*(M14)^(m_-1))^2)-(E14)))</f>
        <v/>
      </c>
      <c r="O14">
        <f>N14-((N14)+(J14*(N14)^m_)*(m_*J14*(N14)^(m_-1))-(J14*(N14)^m_)*SQRT(1+(m_*J14*(N14)^(m_-1))^2)-(E14))*((N14)*1E-6)/(((N14+((N14)*1E-6))+(J14*(N14+((N14)*1E-6))^m_)*(m_*J14*(N14+((N14)*1E-6))^(m_-1))-(J14*(N14+((N14)*1E-6))^m_)*SQRT(1+(m_*J14*(N14+((N14)*1E-6))^(m_-1))^2)-(E14))-((N14)+(J14*(N14)^m_)*(m_*J14*(N14)^(m_-1))-(J14*(N14)^m_)*SQRT(1+(m_*J14*(N14)^(m_-1))^2)-(E14)))</f>
        <v/>
      </c>
      <c r="P14">
        <f>O14-((O14)+(J14*(O14)^m_)*(m_*J14*(O14)^(m_-1))-(J14*(O14)^m_)*SQRT(1+(m_*J14*(O14)^(m_-1))^2)-(E14))*((O14)*1E-6)/(((O14+((O14)*1E-6))+(J14*(O14+((O14)*1E-6))^m_)*(m_*J14*(O14+((O14)*1E-6))^(m_-1))-(J14*(O14+((O14)*1E-6))^m_)*SQRT(1+(m_*J14*(O14+((O14)*1E-6))^(m_-1))^2)-(E14))-((O14)+(J14*(O14)^m_)*(m_*J14*(O14)^(m_-1))-(J14*(O14)^m_)*SQRT(1+(m_*J14*(O14)^(m_-1))^2)-(E14)))</f>
        <v/>
      </c>
      <c r="Q14">
        <f>P14-((P14)+(J14*(P14)^m_)*(m_*J14*(P14)^(m_-1))-(J14*(P14)^m_)*SQRT(1+(m_*J14*(P14)^(m_-1))^2)-(E14))*((P14)*1E-6)/(((P14+((P14)*1E-6))+(J14*(P14+((P14)*1E-6))^m_)*(m_*J14*(P14+((P14)*1E-6))^(m_-1))-(J14*(P14+((P14)*1E-6))^m_)*SQRT(1+(m_*J14*(P14+((P14)*1E-6))^(m_-1))^2)-(E14))-((P14)+(J14*(P14)^m_)*(m_*J14*(P14)^(m_-1))-(J14*(P14)^m_)*SQRT(1+(m_*J14*(P14)^(m_-1))^2)-(E14)))</f>
        <v/>
      </c>
      <c r="R14">
        <f>Q14-((Q14)+(J14*(Q14)^m_)*(m_*J14*(Q14)^(m_-1))-(J14*(Q14)^m_)*SQRT(1+(m_*J14*(Q14)^(m_-1))^2)-(E14))*((Q14)*1E-6)/(((Q14+((Q14)*1E-6))+(J14*(Q14+((Q14)*1E-6))^m_)*(m_*J14*(Q14+((Q14)*1E-6))^(m_-1))-(J14*(Q14+((Q14)*1E-6))^m_)*SQRT(1+(m_*J14*(Q14+((Q14)*1E-6))^(m_-1))^2)-(E14))-((Q14)+(J14*(Q14)^m_)*(m_*J14*(Q14)^(m_-1))-(J14*(Q14)^m_)*SQRT(1+(m_*J14*(Q14)^(m_-1))^2)-(E14)))</f>
        <v/>
      </c>
      <c r="S14">
        <f>R14-((R14)+(J14*(R14)^m_)*(m_*J14*(R14)^(m_-1))-(J14*(R14)^m_)*SQRT(1+(m_*J14*(R14)^(m_-1))^2)-(E14))*((R14)*1E-6)/(((R14+((R14)*1E-6))+(J14*(R14+((R14)*1E-6))^m_)*(m_*J14*(R14+((R14)*1E-6))^(m_-1))-(J14*(R14+((R14)*1E-6))^m_)*SQRT(1+(m_*J14*(R14+((R14)*1E-6))^(m_-1))^2)-(E14))-((R14)+(J14*(R14)^m_)*(m_*J14*(R14)^(m_-1))-(J14*(R14)^m_)*SQRT(1+(m_*J14*(R14)^(m_-1))^2)-(E14)))</f>
        <v/>
      </c>
      <c r="T14">
        <f>S14-((S14)+(J14*(S14)^m_)*(m_*J14*(S14)^(m_-1))-(J14*(S14)^m_)*SQRT(1+(m_*J14*(S14)^(m_-1))^2)-(E14))*((S14)*1E-6)/(((S14+((S14)*1E-6))+(J14*(S14+((S14)*1E-6))^m_)*(m_*J14*(S14+((S14)*1E-6))^(m_-1))-(J14*(S14+((S14)*1E-6))^m_)*SQRT(1+(m_*J14*(S14+((S14)*1E-6))^(m_-1))^2)-(E14))-((S14)+(J14*(S14)^m_)*(m_*J14*(S14)^(m_-1))-(J14*(S14)^m_)*SQRT(1+(m_*J14*(S14)^(m_-1))^2)-(E14)))</f>
        <v/>
      </c>
      <c r="U14">
        <f>J14*T14^m_</f>
        <v/>
      </c>
      <c r="V14">
        <f>m_*J14*T14^(m_-1)</f>
        <v/>
      </c>
      <c r="W14">
        <f>U14*SQRT(1+V14^2)</f>
        <v/>
      </c>
      <c r="X14">
        <f>2*W14</f>
        <v/>
      </c>
      <c r="Y14">
        <f>LN(X14)-LN(G14)</f>
        <v/>
      </c>
      <c r="Z14">
        <f>Y14^2</f>
        <v/>
      </c>
    </row>
    <row r="15">
      <c r="A15" t="inlineStr">
        <is>
          <t>W2022</t>
        </is>
      </c>
      <c r="B15" t="inlineStr">
        <is>
          <t>HF-1.0m-IDIEM-cd</t>
        </is>
      </c>
      <c r="C15" t="inlineStr">
        <is>
          <t>TX</t>
        </is>
      </c>
      <c r="D15" t="n">
        <v>0.3574302325581395</v>
      </c>
      <c r="E15" t="n">
        <v>2.452</v>
      </c>
      <c r="F15" t="n">
        <v>15.381</v>
      </c>
      <c r="G15">
        <f>F15-E15</f>
        <v/>
      </c>
      <c r="J15">
        <f>TAN(RADIANS(pe0-omega*D15))*sref^(1-m_)</f>
        <v/>
      </c>
      <c r="K15">
        <f>2*E15-((2*E15)+(J15*(2*E15)^m_)*(m_*J15*(2*E15)^(m_-1))-(J15*(2*E15)^m_)*SQRT(1+(m_*J15*(2*E15)^(m_-1))^2)-(E15))*((2*E15)*1E-6)/(((2*E15+((2*E15)*1E-6))+(J15*(2*E15+((2*E15)*1E-6))^m_)*(m_*J15*(2*E15+((2*E15)*1E-6))^(m_-1))-(J15*(2*E15+((2*E15)*1E-6))^m_)*SQRT(1+(m_*J15*(2*E15+((2*E15)*1E-6))^(m_-1))^2)-(E15))-((2*E15)+(J15*(2*E15)^m_)*(m_*J15*(2*E15)^(m_-1))-(J15*(2*E15)^m_)*SQRT(1+(m_*J15*(2*E15)^(m_-1))^2)-(E15)))</f>
        <v/>
      </c>
      <c r="L15">
        <f>K15-((K15)+(J15*(K15)^m_)*(m_*J15*(K15)^(m_-1))-(J15*(K15)^m_)*SQRT(1+(m_*J15*(K15)^(m_-1))^2)-(E15))*((K15)*1E-6)/(((K15+((K15)*1E-6))+(J15*(K15+((K15)*1E-6))^m_)*(m_*J15*(K15+((K15)*1E-6))^(m_-1))-(J15*(K15+((K15)*1E-6))^m_)*SQRT(1+(m_*J15*(K15+((K15)*1E-6))^(m_-1))^2)-(E15))-((K15)+(J15*(K15)^m_)*(m_*J15*(K15)^(m_-1))-(J15*(K15)^m_)*SQRT(1+(m_*J15*(K15)^(m_-1))^2)-(E15)))</f>
        <v/>
      </c>
      <c r="M15">
        <f>L15-((L15)+(J15*(L15)^m_)*(m_*J15*(L15)^(m_-1))-(J15*(L15)^m_)*SQRT(1+(m_*J15*(L15)^(m_-1))^2)-(E15))*((L15)*1E-6)/(((L15+((L15)*1E-6))+(J15*(L15+((L15)*1E-6))^m_)*(m_*J15*(L15+((L15)*1E-6))^(m_-1))-(J15*(L15+((L15)*1E-6))^m_)*SQRT(1+(m_*J15*(L15+((L15)*1E-6))^(m_-1))^2)-(E15))-((L15)+(J15*(L15)^m_)*(m_*J15*(L15)^(m_-1))-(J15*(L15)^m_)*SQRT(1+(m_*J15*(L15)^(m_-1))^2)-(E15)))</f>
        <v/>
      </c>
      <c r="N15">
        <f>M15-((M15)+(J15*(M15)^m_)*(m_*J15*(M15)^(m_-1))-(J15*(M15)^m_)*SQRT(1+(m_*J15*(M15)^(m_-1))^2)-(E15))*((M15)*1E-6)/(((M15+((M15)*1E-6))+(J15*(M15+((M15)*1E-6))^m_)*(m_*J15*(M15+((M15)*1E-6))^(m_-1))-(J15*(M15+((M15)*1E-6))^m_)*SQRT(1+(m_*J15*(M15+((M15)*1E-6))^(m_-1))^2)-(E15))-((M15)+(J15*(M15)^m_)*(m_*J15*(M15)^(m_-1))-(J15*(M15)^m_)*SQRT(1+(m_*J15*(M15)^(m_-1))^2)-(E15)))</f>
        <v/>
      </c>
      <c r="O15">
        <f>N15-((N15)+(J15*(N15)^m_)*(m_*J15*(N15)^(m_-1))-(J15*(N15)^m_)*SQRT(1+(m_*J15*(N15)^(m_-1))^2)-(E15))*((N15)*1E-6)/(((N15+((N15)*1E-6))+(J15*(N15+((N15)*1E-6))^m_)*(m_*J15*(N15+((N15)*1E-6))^(m_-1))-(J15*(N15+((N15)*1E-6))^m_)*SQRT(1+(m_*J15*(N15+((N15)*1E-6))^(m_-1))^2)-(E15))-((N15)+(J15*(N15)^m_)*(m_*J15*(N15)^(m_-1))-(J15*(N15)^m_)*SQRT(1+(m_*J15*(N15)^(m_-1))^2)-(E15)))</f>
        <v/>
      </c>
      <c r="P15">
        <f>O15-((O15)+(J15*(O15)^m_)*(m_*J15*(O15)^(m_-1))-(J15*(O15)^m_)*SQRT(1+(m_*J15*(O15)^(m_-1))^2)-(E15))*((O15)*1E-6)/(((O15+((O15)*1E-6))+(J15*(O15+((O15)*1E-6))^m_)*(m_*J15*(O15+((O15)*1E-6))^(m_-1))-(J15*(O15+((O15)*1E-6))^m_)*SQRT(1+(m_*J15*(O15+((O15)*1E-6))^(m_-1))^2)-(E15))-((O15)+(J15*(O15)^m_)*(m_*J15*(O15)^(m_-1))-(J15*(O15)^m_)*SQRT(1+(m_*J15*(O15)^(m_-1))^2)-(E15)))</f>
        <v/>
      </c>
      <c r="Q15">
        <f>P15-((P15)+(J15*(P15)^m_)*(m_*J15*(P15)^(m_-1))-(J15*(P15)^m_)*SQRT(1+(m_*J15*(P15)^(m_-1))^2)-(E15))*((P15)*1E-6)/(((P15+((P15)*1E-6))+(J15*(P15+((P15)*1E-6))^m_)*(m_*J15*(P15+((P15)*1E-6))^(m_-1))-(J15*(P15+((P15)*1E-6))^m_)*SQRT(1+(m_*J15*(P15+((P15)*1E-6))^(m_-1))^2)-(E15))-((P15)+(J15*(P15)^m_)*(m_*J15*(P15)^(m_-1))-(J15*(P15)^m_)*SQRT(1+(m_*J15*(P15)^(m_-1))^2)-(E15)))</f>
        <v/>
      </c>
      <c r="R15">
        <f>Q15-((Q15)+(J15*(Q15)^m_)*(m_*J15*(Q15)^(m_-1))-(J15*(Q15)^m_)*SQRT(1+(m_*J15*(Q15)^(m_-1))^2)-(E15))*((Q15)*1E-6)/(((Q15+((Q15)*1E-6))+(J15*(Q15+((Q15)*1E-6))^m_)*(m_*J15*(Q15+((Q15)*1E-6))^(m_-1))-(J15*(Q15+((Q15)*1E-6))^m_)*SQRT(1+(m_*J15*(Q15+((Q15)*1E-6))^(m_-1))^2)-(E15))-((Q15)+(J15*(Q15)^m_)*(m_*J15*(Q15)^(m_-1))-(J15*(Q15)^m_)*SQRT(1+(m_*J15*(Q15)^(m_-1))^2)-(E15)))</f>
        <v/>
      </c>
      <c r="S15">
        <f>R15-((R15)+(J15*(R15)^m_)*(m_*J15*(R15)^(m_-1))-(J15*(R15)^m_)*SQRT(1+(m_*J15*(R15)^(m_-1))^2)-(E15))*((R15)*1E-6)/(((R15+((R15)*1E-6))+(J15*(R15+((R15)*1E-6))^m_)*(m_*J15*(R15+((R15)*1E-6))^(m_-1))-(J15*(R15+((R15)*1E-6))^m_)*SQRT(1+(m_*J15*(R15+((R15)*1E-6))^(m_-1))^2)-(E15))-((R15)+(J15*(R15)^m_)*(m_*J15*(R15)^(m_-1))-(J15*(R15)^m_)*SQRT(1+(m_*J15*(R15)^(m_-1))^2)-(E15)))</f>
        <v/>
      </c>
      <c r="T15">
        <f>S15-((S15)+(J15*(S15)^m_)*(m_*J15*(S15)^(m_-1))-(J15*(S15)^m_)*SQRT(1+(m_*J15*(S15)^(m_-1))^2)-(E15))*((S15)*1E-6)/(((S15+((S15)*1E-6))+(J15*(S15+((S15)*1E-6))^m_)*(m_*J15*(S15+((S15)*1E-6))^(m_-1))-(J15*(S15+((S15)*1E-6))^m_)*SQRT(1+(m_*J15*(S15+((S15)*1E-6))^(m_-1))^2)-(E15))-((S15)+(J15*(S15)^m_)*(m_*J15*(S15)^(m_-1))-(J15*(S15)^m_)*SQRT(1+(m_*J15*(S15)^(m_-1))^2)-(E15)))</f>
        <v/>
      </c>
      <c r="U15">
        <f>J15*T15^m_</f>
        <v/>
      </c>
      <c r="V15">
        <f>m_*J15*T15^(m_-1)</f>
        <v/>
      </c>
      <c r="W15">
        <f>U15*SQRT(1+V15^2)</f>
        <v/>
      </c>
      <c r="X15">
        <f>2*W15</f>
        <v/>
      </c>
      <c r="Y15">
        <f>LN(X15)-LN(G15)</f>
        <v/>
      </c>
      <c r="Z15">
        <f>Y15^2</f>
        <v/>
      </c>
    </row>
    <row r="16">
      <c r="A16" t="inlineStr">
        <is>
          <t>W2022</t>
        </is>
      </c>
      <c r="B16" t="inlineStr">
        <is>
          <t>HF-0.15m-Golder</t>
        </is>
      </c>
      <c r="C16" t="inlineStr">
        <is>
          <t>TX</t>
        </is>
      </c>
      <c r="D16" t="n">
        <v>0.3330255102040818</v>
      </c>
      <c r="E16" t="n">
        <v>0.977</v>
      </c>
      <c r="F16" t="n">
        <v>5.076</v>
      </c>
      <c r="G16">
        <f>F16-E16</f>
        <v/>
      </c>
      <c r="J16">
        <f>TAN(RADIANS(pe0-omega*D16))*sref^(1-m_)</f>
        <v/>
      </c>
      <c r="K16">
        <f>2*E16-((2*E16)+(J16*(2*E16)^m_)*(m_*J16*(2*E16)^(m_-1))-(J16*(2*E16)^m_)*SQRT(1+(m_*J16*(2*E16)^(m_-1))^2)-(E16))*((2*E16)*1E-6)/(((2*E16+((2*E16)*1E-6))+(J16*(2*E16+((2*E16)*1E-6))^m_)*(m_*J16*(2*E16+((2*E16)*1E-6))^(m_-1))-(J16*(2*E16+((2*E16)*1E-6))^m_)*SQRT(1+(m_*J16*(2*E16+((2*E16)*1E-6))^(m_-1))^2)-(E16))-((2*E16)+(J16*(2*E16)^m_)*(m_*J16*(2*E16)^(m_-1))-(J16*(2*E16)^m_)*SQRT(1+(m_*J16*(2*E16)^(m_-1))^2)-(E16)))</f>
        <v/>
      </c>
      <c r="L16">
        <f>K16-((K16)+(J16*(K16)^m_)*(m_*J16*(K16)^(m_-1))-(J16*(K16)^m_)*SQRT(1+(m_*J16*(K16)^(m_-1))^2)-(E16))*((K16)*1E-6)/(((K16+((K16)*1E-6))+(J16*(K16+((K16)*1E-6))^m_)*(m_*J16*(K16+((K16)*1E-6))^(m_-1))-(J16*(K16+((K16)*1E-6))^m_)*SQRT(1+(m_*J16*(K16+((K16)*1E-6))^(m_-1))^2)-(E16))-((K16)+(J16*(K16)^m_)*(m_*J16*(K16)^(m_-1))-(J16*(K16)^m_)*SQRT(1+(m_*J16*(K16)^(m_-1))^2)-(E16)))</f>
        <v/>
      </c>
      <c r="M16">
        <f>L16-((L16)+(J16*(L16)^m_)*(m_*J16*(L16)^(m_-1))-(J16*(L16)^m_)*SQRT(1+(m_*J16*(L16)^(m_-1))^2)-(E16))*((L16)*1E-6)/(((L16+((L16)*1E-6))+(J16*(L16+((L16)*1E-6))^m_)*(m_*J16*(L16+((L16)*1E-6))^(m_-1))-(J16*(L16+((L16)*1E-6))^m_)*SQRT(1+(m_*J16*(L16+((L16)*1E-6))^(m_-1))^2)-(E16))-((L16)+(J16*(L16)^m_)*(m_*J16*(L16)^(m_-1))-(J16*(L16)^m_)*SQRT(1+(m_*J16*(L16)^(m_-1))^2)-(E16)))</f>
        <v/>
      </c>
      <c r="N16">
        <f>M16-((M16)+(J16*(M16)^m_)*(m_*J16*(M16)^(m_-1))-(J16*(M16)^m_)*SQRT(1+(m_*J16*(M16)^(m_-1))^2)-(E16))*((M16)*1E-6)/(((M16+((M16)*1E-6))+(J16*(M16+((M16)*1E-6))^m_)*(m_*J16*(M16+((M16)*1E-6))^(m_-1))-(J16*(M16+((M16)*1E-6))^m_)*SQRT(1+(m_*J16*(M16+((M16)*1E-6))^(m_-1))^2)-(E16))-((M16)+(J16*(M16)^m_)*(m_*J16*(M16)^(m_-1))-(J16*(M16)^m_)*SQRT(1+(m_*J16*(M16)^(m_-1))^2)-(E16)))</f>
        <v/>
      </c>
      <c r="O16">
        <f>N16-((N16)+(J16*(N16)^m_)*(m_*J16*(N16)^(m_-1))-(J16*(N16)^m_)*SQRT(1+(m_*J16*(N16)^(m_-1))^2)-(E16))*((N16)*1E-6)/(((N16+((N16)*1E-6))+(J16*(N16+((N16)*1E-6))^m_)*(m_*J16*(N16+((N16)*1E-6))^(m_-1))-(J16*(N16+((N16)*1E-6))^m_)*SQRT(1+(m_*J16*(N16+((N16)*1E-6))^(m_-1))^2)-(E16))-((N16)+(J16*(N16)^m_)*(m_*J16*(N16)^(m_-1))-(J16*(N16)^m_)*SQRT(1+(m_*J16*(N16)^(m_-1))^2)-(E16)))</f>
        <v/>
      </c>
      <c r="P16">
        <f>O16-((O16)+(J16*(O16)^m_)*(m_*J16*(O16)^(m_-1))-(J16*(O16)^m_)*SQRT(1+(m_*J16*(O16)^(m_-1))^2)-(E16))*((O16)*1E-6)/(((O16+((O16)*1E-6))+(J16*(O16+((O16)*1E-6))^m_)*(m_*J16*(O16+((O16)*1E-6))^(m_-1))-(J16*(O16+((O16)*1E-6))^m_)*SQRT(1+(m_*J16*(O16+((O16)*1E-6))^(m_-1))^2)-(E16))-((O16)+(J16*(O16)^m_)*(m_*J16*(O16)^(m_-1))-(J16*(O16)^m_)*SQRT(1+(m_*J16*(O16)^(m_-1))^2)-(E16)))</f>
        <v/>
      </c>
      <c r="Q16">
        <f>P16-((P16)+(J16*(P16)^m_)*(m_*J16*(P16)^(m_-1))-(J16*(P16)^m_)*SQRT(1+(m_*J16*(P16)^(m_-1))^2)-(E16))*((P16)*1E-6)/(((P16+((P16)*1E-6))+(J16*(P16+((P16)*1E-6))^m_)*(m_*J16*(P16+((P16)*1E-6))^(m_-1))-(J16*(P16+((P16)*1E-6))^m_)*SQRT(1+(m_*J16*(P16+((P16)*1E-6))^(m_-1))^2)-(E16))-((P16)+(J16*(P16)^m_)*(m_*J16*(P16)^(m_-1))-(J16*(P16)^m_)*SQRT(1+(m_*J16*(P16)^(m_-1))^2)-(E16)))</f>
        <v/>
      </c>
      <c r="R16">
        <f>Q16-((Q16)+(J16*(Q16)^m_)*(m_*J16*(Q16)^(m_-1))-(J16*(Q16)^m_)*SQRT(1+(m_*J16*(Q16)^(m_-1))^2)-(E16))*((Q16)*1E-6)/(((Q16+((Q16)*1E-6))+(J16*(Q16+((Q16)*1E-6))^m_)*(m_*J16*(Q16+((Q16)*1E-6))^(m_-1))-(J16*(Q16+((Q16)*1E-6))^m_)*SQRT(1+(m_*J16*(Q16+((Q16)*1E-6))^(m_-1))^2)-(E16))-((Q16)+(J16*(Q16)^m_)*(m_*J16*(Q16)^(m_-1))-(J16*(Q16)^m_)*SQRT(1+(m_*J16*(Q16)^(m_-1))^2)-(E16)))</f>
        <v/>
      </c>
      <c r="S16">
        <f>R16-((R16)+(J16*(R16)^m_)*(m_*J16*(R16)^(m_-1))-(J16*(R16)^m_)*SQRT(1+(m_*J16*(R16)^(m_-1))^2)-(E16))*((R16)*1E-6)/(((R16+((R16)*1E-6))+(J16*(R16+((R16)*1E-6))^m_)*(m_*J16*(R16+((R16)*1E-6))^(m_-1))-(J16*(R16+((R16)*1E-6))^m_)*SQRT(1+(m_*J16*(R16+((R16)*1E-6))^(m_-1))^2)-(E16))-((R16)+(J16*(R16)^m_)*(m_*J16*(R16)^(m_-1))-(J16*(R16)^m_)*SQRT(1+(m_*J16*(R16)^(m_-1))^2)-(E16)))</f>
        <v/>
      </c>
      <c r="T16">
        <f>S16-((S16)+(J16*(S16)^m_)*(m_*J16*(S16)^(m_-1))-(J16*(S16)^m_)*SQRT(1+(m_*J16*(S16)^(m_-1))^2)-(E16))*((S16)*1E-6)/(((S16+((S16)*1E-6))+(J16*(S16+((S16)*1E-6))^m_)*(m_*J16*(S16+((S16)*1E-6))^(m_-1))-(J16*(S16+((S16)*1E-6))^m_)*SQRT(1+(m_*J16*(S16+((S16)*1E-6))^(m_-1))^2)-(E16))-((S16)+(J16*(S16)^m_)*(m_*J16*(S16)^(m_-1))-(J16*(S16)^m_)*SQRT(1+(m_*J16*(S16)^(m_-1))^2)-(E16)))</f>
        <v/>
      </c>
      <c r="U16">
        <f>J16*T16^m_</f>
        <v/>
      </c>
      <c r="V16">
        <f>m_*J16*T16^(m_-1)</f>
        <v/>
      </c>
      <c r="W16">
        <f>U16*SQRT(1+V16^2)</f>
        <v/>
      </c>
      <c r="X16">
        <f>2*W16</f>
        <v/>
      </c>
      <c r="Y16">
        <f>LN(X16)-LN(G16)</f>
        <v/>
      </c>
      <c r="Z16">
        <f>Y16^2</f>
        <v/>
      </c>
    </row>
    <row r="17">
      <c r="A17" t="inlineStr">
        <is>
          <t>W2022</t>
        </is>
      </c>
      <c r="B17" t="inlineStr">
        <is>
          <t>MN-0.15m-Golder</t>
        </is>
      </c>
      <c r="C17" t="inlineStr">
        <is>
          <t>TX</t>
        </is>
      </c>
      <c r="D17" t="n">
        <v>0.326782032400589</v>
      </c>
      <c r="E17" t="n">
        <v>0.982</v>
      </c>
      <c r="F17" t="n">
        <v>4.805</v>
      </c>
      <c r="G17">
        <f>F17-E17</f>
        <v/>
      </c>
      <c r="J17">
        <f>TAN(RADIANS(pe0-omega*D17))*sref^(1-m_)</f>
        <v/>
      </c>
      <c r="K17">
        <f>2*E17-((2*E17)+(J17*(2*E17)^m_)*(m_*J17*(2*E17)^(m_-1))-(J17*(2*E17)^m_)*SQRT(1+(m_*J17*(2*E17)^(m_-1))^2)-(E17))*((2*E17)*1E-6)/(((2*E17+((2*E17)*1E-6))+(J17*(2*E17+((2*E17)*1E-6))^m_)*(m_*J17*(2*E17+((2*E17)*1E-6))^(m_-1))-(J17*(2*E17+((2*E17)*1E-6))^m_)*SQRT(1+(m_*J17*(2*E17+((2*E17)*1E-6))^(m_-1))^2)-(E17))-((2*E17)+(J17*(2*E17)^m_)*(m_*J17*(2*E17)^(m_-1))-(J17*(2*E17)^m_)*SQRT(1+(m_*J17*(2*E17)^(m_-1))^2)-(E17)))</f>
        <v/>
      </c>
      <c r="L17">
        <f>K17-((K17)+(J17*(K17)^m_)*(m_*J17*(K17)^(m_-1))-(J17*(K17)^m_)*SQRT(1+(m_*J17*(K17)^(m_-1))^2)-(E17))*((K17)*1E-6)/(((K17+((K17)*1E-6))+(J17*(K17+((K17)*1E-6))^m_)*(m_*J17*(K17+((K17)*1E-6))^(m_-1))-(J17*(K17+((K17)*1E-6))^m_)*SQRT(1+(m_*J17*(K17+((K17)*1E-6))^(m_-1))^2)-(E17))-((K17)+(J17*(K17)^m_)*(m_*J17*(K17)^(m_-1))-(J17*(K17)^m_)*SQRT(1+(m_*J17*(K17)^(m_-1))^2)-(E17)))</f>
        <v/>
      </c>
      <c r="M17">
        <f>L17-((L17)+(J17*(L17)^m_)*(m_*J17*(L17)^(m_-1))-(J17*(L17)^m_)*SQRT(1+(m_*J17*(L17)^(m_-1))^2)-(E17))*((L17)*1E-6)/(((L17+((L17)*1E-6))+(J17*(L17+((L17)*1E-6))^m_)*(m_*J17*(L17+((L17)*1E-6))^(m_-1))-(J17*(L17+((L17)*1E-6))^m_)*SQRT(1+(m_*J17*(L17+((L17)*1E-6))^(m_-1))^2)-(E17))-((L17)+(J17*(L17)^m_)*(m_*J17*(L17)^(m_-1))-(J17*(L17)^m_)*SQRT(1+(m_*J17*(L17)^(m_-1))^2)-(E17)))</f>
        <v/>
      </c>
      <c r="N17">
        <f>M17-((M17)+(J17*(M17)^m_)*(m_*J17*(M17)^(m_-1))-(J17*(M17)^m_)*SQRT(1+(m_*J17*(M17)^(m_-1))^2)-(E17))*((M17)*1E-6)/(((M17+((M17)*1E-6))+(J17*(M17+((M17)*1E-6))^m_)*(m_*J17*(M17+((M17)*1E-6))^(m_-1))-(J17*(M17+((M17)*1E-6))^m_)*SQRT(1+(m_*J17*(M17+((M17)*1E-6))^(m_-1))^2)-(E17))-((M17)+(J17*(M17)^m_)*(m_*J17*(M17)^(m_-1))-(J17*(M17)^m_)*SQRT(1+(m_*J17*(M17)^(m_-1))^2)-(E17)))</f>
        <v/>
      </c>
      <c r="O17">
        <f>N17-((N17)+(J17*(N17)^m_)*(m_*J17*(N17)^(m_-1))-(J17*(N17)^m_)*SQRT(1+(m_*J17*(N17)^(m_-1))^2)-(E17))*((N17)*1E-6)/(((N17+((N17)*1E-6))+(J17*(N17+((N17)*1E-6))^m_)*(m_*J17*(N17+((N17)*1E-6))^(m_-1))-(J17*(N17+((N17)*1E-6))^m_)*SQRT(1+(m_*J17*(N17+((N17)*1E-6))^(m_-1))^2)-(E17))-((N17)+(J17*(N17)^m_)*(m_*J17*(N17)^(m_-1))-(J17*(N17)^m_)*SQRT(1+(m_*J17*(N17)^(m_-1))^2)-(E17)))</f>
        <v/>
      </c>
      <c r="P17">
        <f>O17-((O17)+(J17*(O17)^m_)*(m_*J17*(O17)^(m_-1))-(J17*(O17)^m_)*SQRT(1+(m_*J17*(O17)^(m_-1))^2)-(E17))*((O17)*1E-6)/(((O17+((O17)*1E-6))+(J17*(O17+((O17)*1E-6))^m_)*(m_*J17*(O17+((O17)*1E-6))^(m_-1))-(J17*(O17+((O17)*1E-6))^m_)*SQRT(1+(m_*J17*(O17+((O17)*1E-6))^(m_-1))^2)-(E17))-((O17)+(J17*(O17)^m_)*(m_*J17*(O17)^(m_-1))-(J17*(O17)^m_)*SQRT(1+(m_*J17*(O17)^(m_-1))^2)-(E17)))</f>
        <v/>
      </c>
      <c r="Q17">
        <f>P17-((P17)+(J17*(P17)^m_)*(m_*J17*(P17)^(m_-1))-(J17*(P17)^m_)*SQRT(1+(m_*J17*(P17)^(m_-1))^2)-(E17))*((P17)*1E-6)/(((P17+((P17)*1E-6))+(J17*(P17+((P17)*1E-6))^m_)*(m_*J17*(P17+((P17)*1E-6))^(m_-1))-(J17*(P17+((P17)*1E-6))^m_)*SQRT(1+(m_*J17*(P17+((P17)*1E-6))^(m_-1))^2)-(E17))-((P17)+(J17*(P17)^m_)*(m_*J17*(P17)^(m_-1))-(J17*(P17)^m_)*SQRT(1+(m_*J17*(P17)^(m_-1))^2)-(E17)))</f>
        <v/>
      </c>
      <c r="R17">
        <f>Q17-((Q17)+(J17*(Q17)^m_)*(m_*J17*(Q17)^(m_-1))-(J17*(Q17)^m_)*SQRT(1+(m_*J17*(Q17)^(m_-1))^2)-(E17))*((Q17)*1E-6)/(((Q17+((Q17)*1E-6))+(J17*(Q17+((Q17)*1E-6))^m_)*(m_*J17*(Q17+((Q17)*1E-6))^(m_-1))-(J17*(Q17+((Q17)*1E-6))^m_)*SQRT(1+(m_*J17*(Q17+((Q17)*1E-6))^(m_-1))^2)-(E17))-((Q17)+(J17*(Q17)^m_)*(m_*J17*(Q17)^(m_-1))-(J17*(Q17)^m_)*SQRT(1+(m_*J17*(Q17)^(m_-1))^2)-(E17)))</f>
        <v/>
      </c>
      <c r="S17">
        <f>R17-((R17)+(J17*(R17)^m_)*(m_*J17*(R17)^(m_-1))-(J17*(R17)^m_)*SQRT(1+(m_*J17*(R17)^(m_-1))^2)-(E17))*((R17)*1E-6)/(((R17+((R17)*1E-6))+(J17*(R17+((R17)*1E-6))^m_)*(m_*J17*(R17+((R17)*1E-6))^(m_-1))-(J17*(R17+((R17)*1E-6))^m_)*SQRT(1+(m_*J17*(R17+((R17)*1E-6))^(m_-1))^2)-(E17))-((R17)+(J17*(R17)^m_)*(m_*J17*(R17)^(m_-1))-(J17*(R17)^m_)*SQRT(1+(m_*J17*(R17)^(m_-1))^2)-(E17)))</f>
        <v/>
      </c>
      <c r="T17">
        <f>S17-((S17)+(J17*(S17)^m_)*(m_*J17*(S17)^(m_-1))-(J17*(S17)^m_)*SQRT(1+(m_*J17*(S17)^(m_-1))^2)-(E17))*((S17)*1E-6)/(((S17+((S17)*1E-6))+(J17*(S17+((S17)*1E-6))^m_)*(m_*J17*(S17+((S17)*1E-6))^(m_-1))-(J17*(S17+((S17)*1E-6))^m_)*SQRT(1+(m_*J17*(S17+((S17)*1E-6))^(m_-1))^2)-(E17))-((S17)+(J17*(S17)^m_)*(m_*J17*(S17)^(m_-1))-(J17*(S17)^m_)*SQRT(1+(m_*J17*(S17)^(m_-1))^2)-(E17)))</f>
        <v/>
      </c>
      <c r="U17">
        <f>J17*T17^m_</f>
        <v/>
      </c>
      <c r="V17">
        <f>m_*J17*T17^(m_-1)</f>
        <v/>
      </c>
      <c r="W17">
        <f>U17*SQRT(1+V17^2)</f>
        <v/>
      </c>
      <c r="X17">
        <f>2*W17</f>
        <v/>
      </c>
      <c r="Y17">
        <f>LN(X17)-LN(G17)</f>
        <v/>
      </c>
      <c r="Z17">
        <f>Y17^2</f>
        <v/>
      </c>
    </row>
    <row r="18">
      <c r="A18" t="inlineStr">
        <is>
          <t>W2024</t>
        </is>
      </c>
      <c r="B18" t="inlineStr">
        <is>
          <t>WSP24_C4_MON</t>
        </is>
      </c>
      <c r="C18" t="inlineStr">
        <is>
          <t>TX</t>
        </is>
      </c>
      <c r="D18" t="n">
        <v>0.3540000000000001</v>
      </c>
      <c r="E18" t="n">
        <v>0.4903</v>
      </c>
      <c r="F18" t="n">
        <v>2.128</v>
      </c>
      <c r="G18">
        <f>F18-E18</f>
        <v/>
      </c>
      <c r="J18">
        <f>TAN(RADIANS(pe0-omega*D18))*sref^(1-m_)</f>
        <v/>
      </c>
      <c r="K18">
        <f>2*E18-((2*E18)+(J18*(2*E18)^m_)*(m_*J18*(2*E18)^(m_-1))-(J18*(2*E18)^m_)*SQRT(1+(m_*J18*(2*E18)^(m_-1))^2)-(E18))*((2*E18)*1E-6)/(((2*E18+((2*E18)*1E-6))+(J18*(2*E18+((2*E18)*1E-6))^m_)*(m_*J18*(2*E18+((2*E18)*1E-6))^(m_-1))-(J18*(2*E18+((2*E18)*1E-6))^m_)*SQRT(1+(m_*J18*(2*E18+((2*E18)*1E-6))^(m_-1))^2)-(E18))-((2*E18)+(J18*(2*E18)^m_)*(m_*J18*(2*E18)^(m_-1))-(J18*(2*E18)^m_)*SQRT(1+(m_*J18*(2*E18)^(m_-1))^2)-(E18)))</f>
        <v/>
      </c>
      <c r="L18">
        <f>K18-((K18)+(J18*(K18)^m_)*(m_*J18*(K18)^(m_-1))-(J18*(K18)^m_)*SQRT(1+(m_*J18*(K18)^(m_-1))^2)-(E18))*((K18)*1E-6)/(((K18+((K18)*1E-6))+(J18*(K18+((K18)*1E-6))^m_)*(m_*J18*(K18+((K18)*1E-6))^(m_-1))-(J18*(K18+((K18)*1E-6))^m_)*SQRT(1+(m_*J18*(K18+((K18)*1E-6))^(m_-1))^2)-(E18))-((K18)+(J18*(K18)^m_)*(m_*J18*(K18)^(m_-1))-(J18*(K18)^m_)*SQRT(1+(m_*J18*(K18)^(m_-1))^2)-(E18)))</f>
        <v/>
      </c>
      <c r="M18">
        <f>L18-((L18)+(J18*(L18)^m_)*(m_*J18*(L18)^(m_-1))-(J18*(L18)^m_)*SQRT(1+(m_*J18*(L18)^(m_-1))^2)-(E18))*((L18)*1E-6)/(((L18+((L18)*1E-6))+(J18*(L18+((L18)*1E-6))^m_)*(m_*J18*(L18+((L18)*1E-6))^(m_-1))-(J18*(L18+((L18)*1E-6))^m_)*SQRT(1+(m_*J18*(L18+((L18)*1E-6))^(m_-1))^2)-(E18))-((L18)+(J18*(L18)^m_)*(m_*J18*(L18)^(m_-1))-(J18*(L18)^m_)*SQRT(1+(m_*J18*(L18)^(m_-1))^2)-(E18)))</f>
        <v/>
      </c>
      <c r="N18">
        <f>M18-((M18)+(J18*(M18)^m_)*(m_*J18*(M18)^(m_-1))-(J18*(M18)^m_)*SQRT(1+(m_*J18*(M18)^(m_-1))^2)-(E18))*((M18)*1E-6)/(((M18+((M18)*1E-6))+(J18*(M18+((M18)*1E-6))^m_)*(m_*J18*(M18+((M18)*1E-6))^(m_-1))-(J18*(M18+((M18)*1E-6))^m_)*SQRT(1+(m_*J18*(M18+((M18)*1E-6))^(m_-1))^2)-(E18))-((M18)+(J18*(M18)^m_)*(m_*J18*(M18)^(m_-1))-(J18*(M18)^m_)*SQRT(1+(m_*J18*(M18)^(m_-1))^2)-(E18)))</f>
        <v/>
      </c>
      <c r="O18">
        <f>N18-((N18)+(J18*(N18)^m_)*(m_*J18*(N18)^(m_-1))-(J18*(N18)^m_)*SQRT(1+(m_*J18*(N18)^(m_-1))^2)-(E18))*((N18)*1E-6)/(((N18+((N18)*1E-6))+(J18*(N18+((N18)*1E-6))^m_)*(m_*J18*(N18+((N18)*1E-6))^(m_-1))-(J18*(N18+((N18)*1E-6))^m_)*SQRT(1+(m_*J18*(N18+((N18)*1E-6))^(m_-1))^2)-(E18))-((N18)+(J18*(N18)^m_)*(m_*J18*(N18)^(m_-1))-(J18*(N18)^m_)*SQRT(1+(m_*J18*(N18)^(m_-1))^2)-(E18)))</f>
        <v/>
      </c>
      <c r="P18">
        <f>O18-((O18)+(J18*(O18)^m_)*(m_*J18*(O18)^(m_-1))-(J18*(O18)^m_)*SQRT(1+(m_*J18*(O18)^(m_-1))^2)-(E18))*((O18)*1E-6)/(((O18+((O18)*1E-6))+(J18*(O18+((O18)*1E-6))^m_)*(m_*J18*(O18+((O18)*1E-6))^(m_-1))-(J18*(O18+((O18)*1E-6))^m_)*SQRT(1+(m_*J18*(O18+((O18)*1E-6))^(m_-1))^2)-(E18))-((O18)+(J18*(O18)^m_)*(m_*J18*(O18)^(m_-1))-(J18*(O18)^m_)*SQRT(1+(m_*J18*(O18)^(m_-1))^2)-(E18)))</f>
        <v/>
      </c>
      <c r="Q18">
        <f>P18-((P18)+(J18*(P18)^m_)*(m_*J18*(P18)^(m_-1))-(J18*(P18)^m_)*SQRT(1+(m_*J18*(P18)^(m_-1))^2)-(E18))*((P18)*1E-6)/(((P18+((P18)*1E-6))+(J18*(P18+((P18)*1E-6))^m_)*(m_*J18*(P18+((P18)*1E-6))^(m_-1))-(J18*(P18+((P18)*1E-6))^m_)*SQRT(1+(m_*J18*(P18+((P18)*1E-6))^(m_-1))^2)-(E18))-((P18)+(J18*(P18)^m_)*(m_*J18*(P18)^(m_-1))-(J18*(P18)^m_)*SQRT(1+(m_*J18*(P18)^(m_-1))^2)-(E18)))</f>
        <v/>
      </c>
      <c r="R18">
        <f>Q18-((Q18)+(J18*(Q18)^m_)*(m_*J18*(Q18)^(m_-1))-(J18*(Q18)^m_)*SQRT(1+(m_*J18*(Q18)^(m_-1))^2)-(E18))*((Q18)*1E-6)/(((Q18+((Q18)*1E-6))+(J18*(Q18+((Q18)*1E-6))^m_)*(m_*J18*(Q18+((Q18)*1E-6))^(m_-1))-(J18*(Q18+((Q18)*1E-6))^m_)*SQRT(1+(m_*J18*(Q18+((Q18)*1E-6))^(m_-1))^2)-(E18))-((Q18)+(J18*(Q18)^m_)*(m_*J18*(Q18)^(m_-1))-(J18*(Q18)^m_)*SQRT(1+(m_*J18*(Q18)^(m_-1))^2)-(E18)))</f>
        <v/>
      </c>
      <c r="S18">
        <f>R18-((R18)+(J18*(R18)^m_)*(m_*J18*(R18)^(m_-1))-(J18*(R18)^m_)*SQRT(1+(m_*J18*(R18)^(m_-1))^2)-(E18))*((R18)*1E-6)/(((R18+((R18)*1E-6))+(J18*(R18+((R18)*1E-6))^m_)*(m_*J18*(R18+((R18)*1E-6))^(m_-1))-(J18*(R18+((R18)*1E-6))^m_)*SQRT(1+(m_*J18*(R18+((R18)*1E-6))^(m_-1))^2)-(E18))-((R18)+(J18*(R18)^m_)*(m_*J18*(R18)^(m_-1))-(J18*(R18)^m_)*SQRT(1+(m_*J18*(R18)^(m_-1))^2)-(E18)))</f>
        <v/>
      </c>
      <c r="T18">
        <f>S18-((S18)+(J18*(S18)^m_)*(m_*J18*(S18)^(m_-1))-(J18*(S18)^m_)*SQRT(1+(m_*J18*(S18)^(m_-1))^2)-(E18))*((S18)*1E-6)/(((S18+((S18)*1E-6))+(J18*(S18+((S18)*1E-6))^m_)*(m_*J18*(S18+((S18)*1E-6))^(m_-1))-(J18*(S18+((S18)*1E-6))^m_)*SQRT(1+(m_*J18*(S18+((S18)*1E-6))^(m_-1))^2)-(E18))-((S18)+(J18*(S18)^m_)*(m_*J18*(S18)^(m_-1))-(J18*(S18)^m_)*SQRT(1+(m_*J18*(S18)^(m_-1))^2)-(E18)))</f>
        <v/>
      </c>
      <c r="U18">
        <f>J18*T18^m_</f>
        <v/>
      </c>
      <c r="V18">
        <f>m_*J18*T18^(m_-1)</f>
        <v/>
      </c>
      <c r="W18">
        <f>U18*SQRT(1+V18^2)</f>
        <v/>
      </c>
      <c r="X18">
        <f>2*W18</f>
        <v/>
      </c>
      <c r="Y18">
        <f>LN(X18)-LN(G18)</f>
        <v/>
      </c>
      <c r="Z18">
        <f>Y18^2</f>
        <v/>
      </c>
    </row>
    <row r="19">
      <c r="A19" t="inlineStr">
        <is>
          <t>W2024</t>
        </is>
      </c>
      <c r="B19" t="inlineStr">
        <is>
          <t>WSP24_C4_MON</t>
        </is>
      </c>
      <c r="C19" t="inlineStr">
        <is>
          <t>TX</t>
        </is>
      </c>
      <c r="D19" t="n">
        <v>0.3540000000000001</v>
      </c>
      <c r="E19" t="n">
        <v>0.9807</v>
      </c>
      <c r="F19" t="n">
        <v>4.369800000000001</v>
      </c>
      <c r="G19">
        <f>F19-E19</f>
        <v/>
      </c>
      <c r="J19">
        <f>TAN(RADIANS(pe0-omega*D19))*sref^(1-m_)</f>
        <v/>
      </c>
      <c r="K19">
        <f>2*E19-((2*E19)+(J19*(2*E19)^m_)*(m_*J19*(2*E19)^(m_-1))-(J19*(2*E19)^m_)*SQRT(1+(m_*J19*(2*E19)^(m_-1))^2)-(E19))*((2*E19)*1E-6)/(((2*E19+((2*E19)*1E-6))+(J19*(2*E19+((2*E19)*1E-6))^m_)*(m_*J19*(2*E19+((2*E19)*1E-6))^(m_-1))-(J19*(2*E19+((2*E19)*1E-6))^m_)*SQRT(1+(m_*J19*(2*E19+((2*E19)*1E-6))^(m_-1))^2)-(E19))-((2*E19)+(J19*(2*E19)^m_)*(m_*J19*(2*E19)^(m_-1))-(J19*(2*E19)^m_)*SQRT(1+(m_*J19*(2*E19)^(m_-1))^2)-(E19)))</f>
        <v/>
      </c>
      <c r="L19">
        <f>K19-((K19)+(J19*(K19)^m_)*(m_*J19*(K19)^(m_-1))-(J19*(K19)^m_)*SQRT(1+(m_*J19*(K19)^(m_-1))^2)-(E19))*((K19)*1E-6)/(((K19+((K19)*1E-6))+(J19*(K19+((K19)*1E-6))^m_)*(m_*J19*(K19+((K19)*1E-6))^(m_-1))-(J19*(K19+((K19)*1E-6))^m_)*SQRT(1+(m_*J19*(K19+((K19)*1E-6))^(m_-1))^2)-(E19))-((K19)+(J19*(K19)^m_)*(m_*J19*(K19)^(m_-1))-(J19*(K19)^m_)*SQRT(1+(m_*J19*(K19)^(m_-1))^2)-(E19)))</f>
        <v/>
      </c>
      <c r="M19">
        <f>L19-((L19)+(J19*(L19)^m_)*(m_*J19*(L19)^(m_-1))-(J19*(L19)^m_)*SQRT(1+(m_*J19*(L19)^(m_-1))^2)-(E19))*((L19)*1E-6)/(((L19+((L19)*1E-6))+(J19*(L19+((L19)*1E-6))^m_)*(m_*J19*(L19+((L19)*1E-6))^(m_-1))-(J19*(L19+((L19)*1E-6))^m_)*SQRT(1+(m_*J19*(L19+((L19)*1E-6))^(m_-1))^2)-(E19))-((L19)+(J19*(L19)^m_)*(m_*J19*(L19)^(m_-1))-(J19*(L19)^m_)*SQRT(1+(m_*J19*(L19)^(m_-1))^2)-(E19)))</f>
        <v/>
      </c>
      <c r="N19">
        <f>M19-((M19)+(J19*(M19)^m_)*(m_*J19*(M19)^(m_-1))-(J19*(M19)^m_)*SQRT(1+(m_*J19*(M19)^(m_-1))^2)-(E19))*((M19)*1E-6)/(((M19+((M19)*1E-6))+(J19*(M19+((M19)*1E-6))^m_)*(m_*J19*(M19+((M19)*1E-6))^(m_-1))-(J19*(M19+((M19)*1E-6))^m_)*SQRT(1+(m_*J19*(M19+((M19)*1E-6))^(m_-1))^2)-(E19))-((M19)+(J19*(M19)^m_)*(m_*J19*(M19)^(m_-1))-(J19*(M19)^m_)*SQRT(1+(m_*J19*(M19)^(m_-1))^2)-(E19)))</f>
        <v/>
      </c>
      <c r="O19">
        <f>N19-((N19)+(J19*(N19)^m_)*(m_*J19*(N19)^(m_-1))-(J19*(N19)^m_)*SQRT(1+(m_*J19*(N19)^(m_-1))^2)-(E19))*((N19)*1E-6)/(((N19+((N19)*1E-6))+(J19*(N19+((N19)*1E-6))^m_)*(m_*J19*(N19+((N19)*1E-6))^(m_-1))-(J19*(N19+((N19)*1E-6))^m_)*SQRT(1+(m_*J19*(N19+((N19)*1E-6))^(m_-1))^2)-(E19))-((N19)+(J19*(N19)^m_)*(m_*J19*(N19)^(m_-1))-(J19*(N19)^m_)*SQRT(1+(m_*J19*(N19)^(m_-1))^2)-(E19)))</f>
        <v/>
      </c>
      <c r="P19">
        <f>O19-((O19)+(J19*(O19)^m_)*(m_*J19*(O19)^(m_-1))-(J19*(O19)^m_)*SQRT(1+(m_*J19*(O19)^(m_-1))^2)-(E19))*((O19)*1E-6)/(((O19+((O19)*1E-6))+(J19*(O19+((O19)*1E-6))^m_)*(m_*J19*(O19+((O19)*1E-6))^(m_-1))-(J19*(O19+((O19)*1E-6))^m_)*SQRT(1+(m_*J19*(O19+((O19)*1E-6))^(m_-1))^2)-(E19))-((O19)+(J19*(O19)^m_)*(m_*J19*(O19)^(m_-1))-(J19*(O19)^m_)*SQRT(1+(m_*J19*(O19)^(m_-1))^2)-(E19)))</f>
        <v/>
      </c>
      <c r="Q19">
        <f>P19-((P19)+(J19*(P19)^m_)*(m_*J19*(P19)^(m_-1))-(J19*(P19)^m_)*SQRT(1+(m_*J19*(P19)^(m_-1))^2)-(E19))*((P19)*1E-6)/(((P19+((P19)*1E-6))+(J19*(P19+((P19)*1E-6))^m_)*(m_*J19*(P19+((P19)*1E-6))^(m_-1))-(J19*(P19+((P19)*1E-6))^m_)*SQRT(1+(m_*J19*(P19+((P19)*1E-6))^(m_-1))^2)-(E19))-((P19)+(J19*(P19)^m_)*(m_*J19*(P19)^(m_-1))-(J19*(P19)^m_)*SQRT(1+(m_*J19*(P19)^(m_-1))^2)-(E19)))</f>
        <v/>
      </c>
      <c r="R19">
        <f>Q19-((Q19)+(J19*(Q19)^m_)*(m_*J19*(Q19)^(m_-1))-(J19*(Q19)^m_)*SQRT(1+(m_*J19*(Q19)^(m_-1))^2)-(E19))*((Q19)*1E-6)/(((Q19+((Q19)*1E-6))+(J19*(Q19+((Q19)*1E-6))^m_)*(m_*J19*(Q19+((Q19)*1E-6))^(m_-1))-(J19*(Q19+((Q19)*1E-6))^m_)*SQRT(1+(m_*J19*(Q19+((Q19)*1E-6))^(m_-1))^2)-(E19))-((Q19)+(J19*(Q19)^m_)*(m_*J19*(Q19)^(m_-1))-(J19*(Q19)^m_)*SQRT(1+(m_*J19*(Q19)^(m_-1))^2)-(E19)))</f>
        <v/>
      </c>
      <c r="S19">
        <f>R19-((R19)+(J19*(R19)^m_)*(m_*J19*(R19)^(m_-1))-(J19*(R19)^m_)*SQRT(1+(m_*J19*(R19)^(m_-1))^2)-(E19))*((R19)*1E-6)/(((R19+((R19)*1E-6))+(J19*(R19+((R19)*1E-6))^m_)*(m_*J19*(R19+((R19)*1E-6))^(m_-1))-(J19*(R19+((R19)*1E-6))^m_)*SQRT(1+(m_*J19*(R19+((R19)*1E-6))^(m_-1))^2)-(E19))-((R19)+(J19*(R19)^m_)*(m_*J19*(R19)^(m_-1))-(J19*(R19)^m_)*SQRT(1+(m_*J19*(R19)^(m_-1))^2)-(E19)))</f>
        <v/>
      </c>
      <c r="T19">
        <f>S19-((S19)+(J19*(S19)^m_)*(m_*J19*(S19)^(m_-1))-(J19*(S19)^m_)*SQRT(1+(m_*J19*(S19)^(m_-1))^2)-(E19))*((S19)*1E-6)/(((S19+((S19)*1E-6))+(J19*(S19+((S19)*1E-6))^m_)*(m_*J19*(S19+((S19)*1E-6))^(m_-1))-(J19*(S19+((S19)*1E-6))^m_)*SQRT(1+(m_*J19*(S19+((S19)*1E-6))^(m_-1))^2)-(E19))-((S19)+(J19*(S19)^m_)*(m_*J19*(S19)^(m_-1))-(J19*(S19)^m_)*SQRT(1+(m_*J19*(S19)^(m_-1))^2)-(E19)))</f>
        <v/>
      </c>
      <c r="U19">
        <f>J19*T19^m_</f>
        <v/>
      </c>
      <c r="V19">
        <f>m_*J19*T19^(m_-1)</f>
        <v/>
      </c>
      <c r="W19">
        <f>U19*SQRT(1+V19^2)</f>
        <v/>
      </c>
      <c r="X19">
        <f>2*W19</f>
        <v/>
      </c>
      <c r="Y19">
        <f>LN(X19)-LN(G19)</f>
        <v/>
      </c>
      <c r="Z19">
        <f>Y19^2</f>
        <v/>
      </c>
    </row>
    <row r="20">
      <c r="A20" t="inlineStr">
        <is>
          <t>W2024</t>
        </is>
      </c>
      <c r="B20" t="inlineStr">
        <is>
          <t>WSP24_C4_MON</t>
        </is>
      </c>
      <c r="C20" t="inlineStr">
        <is>
          <t>TX</t>
        </is>
      </c>
      <c r="D20" t="n">
        <v>0.3540000000000001</v>
      </c>
      <c r="E20" t="n">
        <v>1.9613</v>
      </c>
      <c r="F20" t="n">
        <v>8.9849</v>
      </c>
      <c r="G20">
        <f>F20-E20</f>
        <v/>
      </c>
      <c r="J20">
        <f>TAN(RADIANS(pe0-omega*D20))*sref^(1-m_)</f>
        <v/>
      </c>
      <c r="K20">
        <f>2*E20-((2*E20)+(J20*(2*E20)^m_)*(m_*J20*(2*E20)^(m_-1))-(J20*(2*E20)^m_)*SQRT(1+(m_*J20*(2*E20)^(m_-1))^2)-(E20))*((2*E20)*1E-6)/(((2*E20+((2*E20)*1E-6))+(J20*(2*E20+((2*E20)*1E-6))^m_)*(m_*J20*(2*E20+((2*E20)*1E-6))^(m_-1))-(J20*(2*E20+((2*E20)*1E-6))^m_)*SQRT(1+(m_*J20*(2*E20+((2*E20)*1E-6))^(m_-1))^2)-(E20))-((2*E20)+(J20*(2*E20)^m_)*(m_*J20*(2*E20)^(m_-1))-(J20*(2*E20)^m_)*SQRT(1+(m_*J20*(2*E20)^(m_-1))^2)-(E20)))</f>
        <v/>
      </c>
      <c r="L20">
        <f>K20-((K20)+(J20*(K20)^m_)*(m_*J20*(K20)^(m_-1))-(J20*(K20)^m_)*SQRT(1+(m_*J20*(K20)^(m_-1))^2)-(E20))*((K20)*1E-6)/(((K20+((K20)*1E-6))+(J20*(K20+((K20)*1E-6))^m_)*(m_*J20*(K20+((K20)*1E-6))^(m_-1))-(J20*(K20+((K20)*1E-6))^m_)*SQRT(1+(m_*J20*(K20+((K20)*1E-6))^(m_-1))^2)-(E20))-((K20)+(J20*(K20)^m_)*(m_*J20*(K20)^(m_-1))-(J20*(K20)^m_)*SQRT(1+(m_*J20*(K20)^(m_-1))^2)-(E20)))</f>
        <v/>
      </c>
      <c r="M20">
        <f>L20-((L20)+(J20*(L20)^m_)*(m_*J20*(L20)^(m_-1))-(J20*(L20)^m_)*SQRT(1+(m_*J20*(L20)^(m_-1))^2)-(E20))*((L20)*1E-6)/(((L20+((L20)*1E-6))+(J20*(L20+((L20)*1E-6))^m_)*(m_*J20*(L20+((L20)*1E-6))^(m_-1))-(J20*(L20+((L20)*1E-6))^m_)*SQRT(1+(m_*J20*(L20+((L20)*1E-6))^(m_-1))^2)-(E20))-((L20)+(J20*(L20)^m_)*(m_*J20*(L20)^(m_-1))-(J20*(L20)^m_)*SQRT(1+(m_*J20*(L20)^(m_-1))^2)-(E20)))</f>
        <v/>
      </c>
      <c r="N20">
        <f>M20-((M20)+(J20*(M20)^m_)*(m_*J20*(M20)^(m_-1))-(J20*(M20)^m_)*SQRT(1+(m_*J20*(M20)^(m_-1))^2)-(E20))*((M20)*1E-6)/(((M20+((M20)*1E-6))+(J20*(M20+((M20)*1E-6))^m_)*(m_*J20*(M20+((M20)*1E-6))^(m_-1))-(J20*(M20+((M20)*1E-6))^m_)*SQRT(1+(m_*J20*(M20+((M20)*1E-6))^(m_-1))^2)-(E20))-((M20)+(J20*(M20)^m_)*(m_*J20*(M20)^(m_-1))-(J20*(M20)^m_)*SQRT(1+(m_*J20*(M20)^(m_-1))^2)-(E20)))</f>
        <v/>
      </c>
      <c r="O20">
        <f>N20-((N20)+(J20*(N20)^m_)*(m_*J20*(N20)^(m_-1))-(J20*(N20)^m_)*SQRT(1+(m_*J20*(N20)^(m_-1))^2)-(E20))*((N20)*1E-6)/(((N20+((N20)*1E-6))+(J20*(N20+((N20)*1E-6))^m_)*(m_*J20*(N20+((N20)*1E-6))^(m_-1))-(J20*(N20+((N20)*1E-6))^m_)*SQRT(1+(m_*J20*(N20+((N20)*1E-6))^(m_-1))^2)-(E20))-((N20)+(J20*(N20)^m_)*(m_*J20*(N20)^(m_-1))-(J20*(N20)^m_)*SQRT(1+(m_*J20*(N20)^(m_-1))^2)-(E20)))</f>
        <v/>
      </c>
      <c r="P20">
        <f>O20-((O20)+(J20*(O20)^m_)*(m_*J20*(O20)^(m_-1))-(J20*(O20)^m_)*SQRT(1+(m_*J20*(O20)^(m_-1))^2)-(E20))*((O20)*1E-6)/(((O20+((O20)*1E-6))+(J20*(O20+((O20)*1E-6))^m_)*(m_*J20*(O20+((O20)*1E-6))^(m_-1))-(J20*(O20+((O20)*1E-6))^m_)*SQRT(1+(m_*J20*(O20+((O20)*1E-6))^(m_-1))^2)-(E20))-((O20)+(J20*(O20)^m_)*(m_*J20*(O20)^(m_-1))-(J20*(O20)^m_)*SQRT(1+(m_*J20*(O20)^(m_-1))^2)-(E20)))</f>
        <v/>
      </c>
      <c r="Q20">
        <f>P20-((P20)+(J20*(P20)^m_)*(m_*J20*(P20)^(m_-1))-(J20*(P20)^m_)*SQRT(1+(m_*J20*(P20)^(m_-1))^2)-(E20))*((P20)*1E-6)/(((P20+((P20)*1E-6))+(J20*(P20+((P20)*1E-6))^m_)*(m_*J20*(P20+((P20)*1E-6))^(m_-1))-(J20*(P20+((P20)*1E-6))^m_)*SQRT(1+(m_*J20*(P20+((P20)*1E-6))^(m_-1))^2)-(E20))-((P20)+(J20*(P20)^m_)*(m_*J20*(P20)^(m_-1))-(J20*(P20)^m_)*SQRT(1+(m_*J20*(P20)^(m_-1))^2)-(E20)))</f>
        <v/>
      </c>
      <c r="R20">
        <f>Q20-((Q20)+(J20*(Q20)^m_)*(m_*J20*(Q20)^(m_-1))-(J20*(Q20)^m_)*SQRT(1+(m_*J20*(Q20)^(m_-1))^2)-(E20))*((Q20)*1E-6)/(((Q20+((Q20)*1E-6))+(J20*(Q20+((Q20)*1E-6))^m_)*(m_*J20*(Q20+((Q20)*1E-6))^(m_-1))-(J20*(Q20+((Q20)*1E-6))^m_)*SQRT(1+(m_*J20*(Q20+((Q20)*1E-6))^(m_-1))^2)-(E20))-((Q20)+(J20*(Q20)^m_)*(m_*J20*(Q20)^(m_-1))-(J20*(Q20)^m_)*SQRT(1+(m_*J20*(Q20)^(m_-1))^2)-(E20)))</f>
        <v/>
      </c>
      <c r="S20">
        <f>R20-((R20)+(J20*(R20)^m_)*(m_*J20*(R20)^(m_-1))-(J20*(R20)^m_)*SQRT(1+(m_*J20*(R20)^(m_-1))^2)-(E20))*((R20)*1E-6)/(((R20+((R20)*1E-6))+(J20*(R20+((R20)*1E-6))^m_)*(m_*J20*(R20+((R20)*1E-6))^(m_-1))-(J20*(R20+((R20)*1E-6))^m_)*SQRT(1+(m_*J20*(R20+((R20)*1E-6))^(m_-1))^2)-(E20))-((R20)+(J20*(R20)^m_)*(m_*J20*(R20)^(m_-1))-(J20*(R20)^m_)*SQRT(1+(m_*J20*(R20)^(m_-1))^2)-(E20)))</f>
        <v/>
      </c>
      <c r="T20">
        <f>S20-((S20)+(J20*(S20)^m_)*(m_*J20*(S20)^(m_-1))-(J20*(S20)^m_)*SQRT(1+(m_*J20*(S20)^(m_-1))^2)-(E20))*((S20)*1E-6)/(((S20+((S20)*1E-6))+(J20*(S20+((S20)*1E-6))^m_)*(m_*J20*(S20+((S20)*1E-6))^(m_-1))-(J20*(S20+((S20)*1E-6))^m_)*SQRT(1+(m_*J20*(S20+((S20)*1E-6))^(m_-1))^2)-(E20))-((S20)+(J20*(S20)^m_)*(m_*J20*(S20)^(m_-1))-(J20*(S20)^m_)*SQRT(1+(m_*J20*(S20)^(m_-1))^2)-(E20)))</f>
        <v/>
      </c>
      <c r="U20">
        <f>J20*T20^m_</f>
        <v/>
      </c>
      <c r="V20">
        <f>m_*J20*T20^(m_-1)</f>
        <v/>
      </c>
      <c r="W20">
        <f>U20*SQRT(1+V20^2)</f>
        <v/>
      </c>
      <c r="X20">
        <f>2*W20</f>
        <v/>
      </c>
      <c r="Y20">
        <f>LN(X20)-LN(G20)</f>
        <v/>
      </c>
      <c r="Z20">
        <f>Y20^2</f>
        <v/>
      </c>
    </row>
    <row r="21">
      <c r="A21" t="inlineStr">
        <is>
          <t>I2025</t>
        </is>
      </c>
      <c r="B21" t="inlineStr">
        <is>
          <t>Codisposal 1 (100% Intrusivo)</t>
        </is>
      </c>
      <c r="C21" t="inlineStr">
        <is>
          <t>TX</t>
        </is>
      </c>
      <c r="D21" t="n">
        <v>0.2895864077669905</v>
      </c>
      <c r="E21" t="n">
        <v>0.4903</v>
      </c>
      <c r="F21" t="n">
        <v>2.1712</v>
      </c>
      <c r="G21">
        <f>F21-E21</f>
        <v/>
      </c>
      <c r="J21">
        <f>TAN(RADIANS(pe0-omega*D21))*sref^(1-m_)</f>
        <v/>
      </c>
      <c r="K21">
        <f>2*E21-((2*E21)+(J21*(2*E21)^m_)*(m_*J21*(2*E21)^(m_-1))-(J21*(2*E21)^m_)*SQRT(1+(m_*J21*(2*E21)^(m_-1))^2)-(E21))*((2*E21)*1E-6)/(((2*E21+((2*E21)*1E-6))+(J21*(2*E21+((2*E21)*1E-6))^m_)*(m_*J21*(2*E21+((2*E21)*1E-6))^(m_-1))-(J21*(2*E21+((2*E21)*1E-6))^m_)*SQRT(1+(m_*J21*(2*E21+((2*E21)*1E-6))^(m_-1))^2)-(E21))-((2*E21)+(J21*(2*E21)^m_)*(m_*J21*(2*E21)^(m_-1))-(J21*(2*E21)^m_)*SQRT(1+(m_*J21*(2*E21)^(m_-1))^2)-(E21)))</f>
        <v/>
      </c>
      <c r="L21">
        <f>K21-((K21)+(J21*(K21)^m_)*(m_*J21*(K21)^(m_-1))-(J21*(K21)^m_)*SQRT(1+(m_*J21*(K21)^(m_-1))^2)-(E21))*((K21)*1E-6)/(((K21+((K21)*1E-6))+(J21*(K21+((K21)*1E-6))^m_)*(m_*J21*(K21+((K21)*1E-6))^(m_-1))-(J21*(K21+((K21)*1E-6))^m_)*SQRT(1+(m_*J21*(K21+((K21)*1E-6))^(m_-1))^2)-(E21))-((K21)+(J21*(K21)^m_)*(m_*J21*(K21)^(m_-1))-(J21*(K21)^m_)*SQRT(1+(m_*J21*(K21)^(m_-1))^2)-(E21)))</f>
        <v/>
      </c>
      <c r="M21">
        <f>L21-((L21)+(J21*(L21)^m_)*(m_*J21*(L21)^(m_-1))-(J21*(L21)^m_)*SQRT(1+(m_*J21*(L21)^(m_-1))^2)-(E21))*((L21)*1E-6)/(((L21+((L21)*1E-6))+(J21*(L21+((L21)*1E-6))^m_)*(m_*J21*(L21+((L21)*1E-6))^(m_-1))-(J21*(L21+((L21)*1E-6))^m_)*SQRT(1+(m_*J21*(L21+((L21)*1E-6))^(m_-1))^2)-(E21))-((L21)+(J21*(L21)^m_)*(m_*J21*(L21)^(m_-1))-(J21*(L21)^m_)*SQRT(1+(m_*J21*(L21)^(m_-1))^2)-(E21)))</f>
        <v/>
      </c>
      <c r="N21">
        <f>M21-((M21)+(J21*(M21)^m_)*(m_*J21*(M21)^(m_-1))-(J21*(M21)^m_)*SQRT(1+(m_*J21*(M21)^(m_-1))^2)-(E21))*((M21)*1E-6)/(((M21+((M21)*1E-6))+(J21*(M21+((M21)*1E-6))^m_)*(m_*J21*(M21+((M21)*1E-6))^(m_-1))-(J21*(M21+((M21)*1E-6))^m_)*SQRT(1+(m_*J21*(M21+((M21)*1E-6))^(m_-1))^2)-(E21))-((M21)+(J21*(M21)^m_)*(m_*J21*(M21)^(m_-1))-(J21*(M21)^m_)*SQRT(1+(m_*J21*(M21)^(m_-1))^2)-(E21)))</f>
        <v/>
      </c>
      <c r="O21">
        <f>N21-((N21)+(J21*(N21)^m_)*(m_*J21*(N21)^(m_-1))-(J21*(N21)^m_)*SQRT(1+(m_*J21*(N21)^(m_-1))^2)-(E21))*((N21)*1E-6)/(((N21+((N21)*1E-6))+(J21*(N21+((N21)*1E-6))^m_)*(m_*J21*(N21+((N21)*1E-6))^(m_-1))-(J21*(N21+((N21)*1E-6))^m_)*SQRT(1+(m_*J21*(N21+((N21)*1E-6))^(m_-1))^2)-(E21))-((N21)+(J21*(N21)^m_)*(m_*J21*(N21)^(m_-1))-(J21*(N21)^m_)*SQRT(1+(m_*J21*(N21)^(m_-1))^2)-(E21)))</f>
        <v/>
      </c>
      <c r="P21">
        <f>O21-((O21)+(J21*(O21)^m_)*(m_*J21*(O21)^(m_-1))-(J21*(O21)^m_)*SQRT(1+(m_*J21*(O21)^(m_-1))^2)-(E21))*((O21)*1E-6)/(((O21+((O21)*1E-6))+(J21*(O21+((O21)*1E-6))^m_)*(m_*J21*(O21+((O21)*1E-6))^(m_-1))-(J21*(O21+((O21)*1E-6))^m_)*SQRT(1+(m_*J21*(O21+((O21)*1E-6))^(m_-1))^2)-(E21))-((O21)+(J21*(O21)^m_)*(m_*J21*(O21)^(m_-1))-(J21*(O21)^m_)*SQRT(1+(m_*J21*(O21)^(m_-1))^2)-(E21)))</f>
        <v/>
      </c>
      <c r="Q21">
        <f>P21-((P21)+(J21*(P21)^m_)*(m_*J21*(P21)^(m_-1))-(J21*(P21)^m_)*SQRT(1+(m_*J21*(P21)^(m_-1))^2)-(E21))*((P21)*1E-6)/(((P21+((P21)*1E-6))+(J21*(P21+((P21)*1E-6))^m_)*(m_*J21*(P21+((P21)*1E-6))^(m_-1))-(J21*(P21+((P21)*1E-6))^m_)*SQRT(1+(m_*J21*(P21+((P21)*1E-6))^(m_-1))^2)-(E21))-((P21)+(J21*(P21)^m_)*(m_*J21*(P21)^(m_-1))-(J21*(P21)^m_)*SQRT(1+(m_*J21*(P21)^(m_-1))^2)-(E21)))</f>
        <v/>
      </c>
      <c r="R21">
        <f>Q21-((Q21)+(J21*(Q21)^m_)*(m_*J21*(Q21)^(m_-1))-(J21*(Q21)^m_)*SQRT(1+(m_*J21*(Q21)^(m_-1))^2)-(E21))*((Q21)*1E-6)/(((Q21+((Q21)*1E-6))+(J21*(Q21+((Q21)*1E-6))^m_)*(m_*J21*(Q21+((Q21)*1E-6))^(m_-1))-(J21*(Q21+((Q21)*1E-6))^m_)*SQRT(1+(m_*J21*(Q21+((Q21)*1E-6))^(m_-1))^2)-(E21))-((Q21)+(J21*(Q21)^m_)*(m_*J21*(Q21)^(m_-1))-(J21*(Q21)^m_)*SQRT(1+(m_*J21*(Q21)^(m_-1))^2)-(E21)))</f>
        <v/>
      </c>
      <c r="S21">
        <f>R21-((R21)+(J21*(R21)^m_)*(m_*J21*(R21)^(m_-1))-(J21*(R21)^m_)*SQRT(1+(m_*J21*(R21)^(m_-1))^2)-(E21))*((R21)*1E-6)/(((R21+((R21)*1E-6))+(J21*(R21+((R21)*1E-6))^m_)*(m_*J21*(R21+((R21)*1E-6))^(m_-1))-(J21*(R21+((R21)*1E-6))^m_)*SQRT(1+(m_*J21*(R21+((R21)*1E-6))^(m_-1))^2)-(E21))-((R21)+(J21*(R21)^m_)*(m_*J21*(R21)^(m_-1))-(J21*(R21)^m_)*SQRT(1+(m_*J21*(R21)^(m_-1))^2)-(E21)))</f>
        <v/>
      </c>
      <c r="T21">
        <f>S21-((S21)+(J21*(S21)^m_)*(m_*J21*(S21)^(m_-1))-(J21*(S21)^m_)*SQRT(1+(m_*J21*(S21)^(m_-1))^2)-(E21))*((S21)*1E-6)/(((S21+((S21)*1E-6))+(J21*(S21+((S21)*1E-6))^m_)*(m_*J21*(S21+((S21)*1E-6))^(m_-1))-(J21*(S21+((S21)*1E-6))^m_)*SQRT(1+(m_*J21*(S21+((S21)*1E-6))^(m_-1))^2)-(E21))-((S21)+(J21*(S21)^m_)*(m_*J21*(S21)^(m_-1))-(J21*(S21)^m_)*SQRT(1+(m_*J21*(S21)^(m_-1))^2)-(E21)))</f>
        <v/>
      </c>
      <c r="U21">
        <f>J21*T21^m_</f>
        <v/>
      </c>
      <c r="V21">
        <f>m_*J21*T21^(m_-1)</f>
        <v/>
      </c>
      <c r="W21">
        <f>U21*SQRT(1+V21^2)</f>
        <v/>
      </c>
      <c r="X21">
        <f>2*W21</f>
        <v/>
      </c>
      <c r="Y21">
        <f>LN(X21)-LN(G21)</f>
        <v/>
      </c>
      <c r="Z21">
        <f>Y21^2</f>
        <v/>
      </c>
    </row>
    <row r="22">
      <c r="A22" t="inlineStr">
        <is>
          <t>I2025</t>
        </is>
      </c>
      <c r="B22" t="inlineStr">
        <is>
          <t>Codisposal 1 (100% Intrusivo)</t>
        </is>
      </c>
      <c r="C22" t="inlineStr">
        <is>
          <t>TX</t>
        </is>
      </c>
      <c r="D22" t="n">
        <v>0.2895864077669905</v>
      </c>
      <c r="E22" t="n">
        <v>0.9807</v>
      </c>
      <c r="F22" t="n">
        <v>4.4287</v>
      </c>
      <c r="G22">
        <f>F22-E22</f>
        <v/>
      </c>
      <c r="J22">
        <f>TAN(RADIANS(pe0-omega*D22))*sref^(1-m_)</f>
        <v/>
      </c>
      <c r="K22">
        <f>2*E22-((2*E22)+(J22*(2*E22)^m_)*(m_*J22*(2*E22)^(m_-1))-(J22*(2*E22)^m_)*SQRT(1+(m_*J22*(2*E22)^(m_-1))^2)-(E22))*((2*E22)*1E-6)/(((2*E22+((2*E22)*1E-6))+(J22*(2*E22+((2*E22)*1E-6))^m_)*(m_*J22*(2*E22+((2*E22)*1E-6))^(m_-1))-(J22*(2*E22+((2*E22)*1E-6))^m_)*SQRT(1+(m_*J22*(2*E22+((2*E22)*1E-6))^(m_-1))^2)-(E22))-((2*E22)+(J22*(2*E22)^m_)*(m_*J22*(2*E22)^(m_-1))-(J22*(2*E22)^m_)*SQRT(1+(m_*J22*(2*E22)^(m_-1))^2)-(E22)))</f>
        <v/>
      </c>
      <c r="L22">
        <f>K22-((K22)+(J22*(K22)^m_)*(m_*J22*(K22)^(m_-1))-(J22*(K22)^m_)*SQRT(1+(m_*J22*(K22)^(m_-1))^2)-(E22))*((K22)*1E-6)/(((K22+((K22)*1E-6))+(J22*(K22+((K22)*1E-6))^m_)*(m_*J22*(K22+((K22)*1E-6))^(m_-1))-(J22*(K22+((K22)*1E-6))^m_)*SQRT(1+(m_*J22*(K22+((K22)*1E-6))^(m_-1))^2)-(E22))-((K22)+(J22*(K22)^m_)*(m_*J22*(K22)^(m_-1))-(J22*(K22)^m_)*SQRT(1+(m_*J22*(K22)^(m_-1))^2)-(E22)))</f>
        <v/>
      </c>
      <c r="M22">
        <f>L22-((L22)+(J22*(L22)^m_)*(m_*J22*(L22)^(m_-1))-(J22*(L22)^m_)*SQRT(1+(m_*J22*(L22)^(m_-1))^2)-(E22))*((L22)*1E-6)/(((L22+((L22)*1E-6))+(J22*(L22+((L22)*1E-6))^m_)*(m_*J22*(L22+((L22)*1E-6))^(m_-1))-(J22*(L22+((L22)*1E-6))^m_)*SQRT(1+(m_*J22*(L22+((L22)*1E-6))^(m_-1))^2)-(E22))-((L22)+(J22*(L22)^m_)*(m_*J22*(L22)^(m_-1))-(J22*(L22)^m_)*SQRT(1+(m_*J22*(L22)^(m_-1))^2)-(E22)))</f>
        <v/>
      </c>
      <c r="N22">
        <f>M22-((M22)+(J22*(M22)^m_)*(m_*J22*(M22)^(m_-1))-(J22*(M22)^m_)*SQRT(1+(m_*J22*(M22)^(m_-1))^2)-(E22))*((M22)*1E-6)/(((M22+((M22)*1E-6))+(J22*(M22+((M22)*1E-6))^m_)*(m_*J22*(M22+((M22)*1E-6))^(m_-1))-(J22*(M22+((M22)*1E-6))^m_)*SQRT(1+(m_*J22*(M22+((M22)*1E-6))^(m_-1))^2)-(E22))-((M22)+(J22*(M22)^m_)*(m_*J22*(M22)^(m_-1))-(J22*(M22)^m_)*SQRT(1+(m_*J22*(M22)^(m_-1))^2)-(E22)))</f>
        <v/>
      </c>
      <c r="O22">
        <f>N22-((N22)+(J22*(N22)^m_)*(m_*J22*(N22)^(m_-1))-(J22*(N22)^m_)*SQRT(1+(m_*J22*(N22)^(m_-1))^2)-(E22))*((N22)*1E-6)/(((N22+((N22)*1E-6))+(J22*(N22+((N22)*1E-6))^m_)*(m_*J22*(N22+((N22)*1E-6))^(m_-1))-(J22*(N22+((N22)*1E-6))^m_)*SQRT(1+(m_*J22*(N22+((N22)*1E-6))^(m_-1))^2)-(E22))-((N22)+(J22*(N22)^m_)*(m_*J22*(N22)^(m_-1))-(J22*(N22)^m_)*SQRT(1+(m_*J22*(N22)^(m_-1))^2)-(E22)))</f>
        <v/>
      </c>
      <c r="P22">
        <f>O22-((O22)+(J22*(O22)^m_)*(m_*J22*(O22)^(m_-1))-(J22*(O22)^m_)*SQRT(1+(m_*J22*(O22)^(m_-1))^2)-(E22))*((O22)*1E-6)/(((O22+((O22)*1E-6))+(J22*(O22+((O22)*1E-6))^m_)*(m_*J22*(O22+((O22)*1E-6))^(m_-1))-(J22*(O22+((O22)*1E-6))^m_)*SQRT(1+(m_*J22*(O22+((O22)*1E-6))^(m_-1))^2)-(E22))-((O22)+(J22*(O22)^m_)*(m_*J22*(O22)^(m_-1))-(J22*(O22)^m_)*SQRT(1+(m_*J22*(O22)^(m_-1))^2)-(E22)))</f>
        <v/>
      </c>
      <c r="Q22">
        <f>P22-((P22)+(J22*(P22)^m_)*(m_*J22*(P22)^(m_-1))-(J22*(P22)^m_)*SQRT(1+(m_*J22*(P22)^(m_-1))^2)-(E22))*((P22)*1E-6)/(((P22+((P22)*1E-6))+(J22*(P22+((P22)*1E-6))^m_)*(m_*J22*(P22+((P22)*1E-6))^(m_-1))-(J22*(P22+((P22)*1E-6))^m_)*SQRT(1+(m_*J22*(P22+((P22)*1E-6))^(m_-1))^2)-(E22))-((P22)+(J22*(P22)^m_)*(m_*J22*(P22)^(m_-1))-(J22*(P22)^m_)*SQRT(1+(m_*J22*(P22)^(m_-1))^2)-(E22)))</f>
        <v/>
      </c>
      <c r="R22">
        <f>Q22-((Q22)+(J22*(Q22)^m_)*(m_*J22*(Q22)^(m_-1))-(J22*(Q22)^m_)*SQRT(1+(m_*J22*(Q22)^(m_-1))^2)-(E22))*((Q22)*1E-6)/(((Q22+((Q22)*1E-6))+(J22*(Q22+((Q22)*1E-6))^m_)*(m_*J22*(Q22+((Q22)*1E-6))^(m_-1))-(J22*(Q22+((Q22)*1E-6))^m_)*SQRT(1+(m_*J22*(Q22+((Q22)*1E-6))^(m_-1))^2)-(E22))-((Q22)+(J22*(Q22)^m_)*(m_*J22*(Q22)^(m_-1))-(J22*(Q22)^m_)*SQRT(1+(m_*J22*(Q22)^(m_-1))^2)-(E22)))</f>
        <v/>
      </c>
      <c r="S22">
        <f>R22-((R22)+(J22*(R22)^m_)*(m_*J22*(R22)^(m_-1))-(J22*(R22)^m_)*SQRT(1+(m_*J22*(R22)^(m_-1))^2)-(E22))*((R22)*1E-6)/(((R22+((R22)*1E-6))+(J22*(R22+((R22)*1E-6))^m_)*(m_*J22*(R22+((R22)*1E-6))^(m_-1))-(J22*(R22+((R22)*1E-6))^m_)*SQRT(1+(m_*J22*(R22+((R22)*1E-6))^(m_-1))^2)-(E22))-((R22)+(J22*(R22)^m_)*(m_*J22*(R22)^(m_-1))-(J22*(R22)^m_)*SQRT(1+(m_*J22*(R22)^(m_-1))^2)-(E22)))</f>
        <v/>
      </c>
      <c r="T22">
        <f>S22-((S22)+(J22*(S22)^m_)*(m_*J22*(S22)^(m_-1))-(J22*(S22)^m_)*SQRT(1+(m_*J22*(S22)^(m_-1))^2)-(E22))*((S22)*1E-6)/(((S22+((S22)*1E-6))+(J22*(S22+((S22)*1E-6))^m_)*(m_*J22*(S22+((S22)*1E-6))^(m_-1))-(J22*(S22+((S22)*1E-6))^m_)*SQRT(1+(m_*J22*(S22+((S22)*1E-6))^(m_-1))^2)-(E22))-((S22)+(J22*(S22)^m_)*(m_*J22*(S22)^(m_-1))-(J22*(S22)^m_)*SQRT(1+(m_*J22*(S22)^(m_-1))^2)-(E22)))</f>
        <v/>
      </c>
      <c r="U22">
        <f>J22*T22^m_</f>
        <v/>
      </c>
      <c r="V22">
        <f>m_*J22*T22^(m_-1)</f>
        <v/>
      </c>
      <c r="W22">
        <f>U22*SQRT(1+V22^2)</f>
        <v/>
      </c>
      <c r="X22">
        <f>2*W22</f>
        <v/>
      </c>
      <c r="Y22">
        <f>LN(X22)-LN(G22)</f>
        <v/>
      </c>
      <c r="Z22">
        <f>Y22^2</f>
        <v/>
      </c>
    </row>
    <row r="23">
      <c r="A23" t="inlineStr">
        <is>
          <t>I2025</t>
        </is>
      </c>
      <c r="B23" t="inlineStr">
        <is>
          <t>Codisposal 1 (100% Intrusivo)</t>
        </is>
      </c>
      <c r="C23" t="inlineStr">
        <is>
          <t>TX</t>
        </is>
      </c>
      <c r="D23" t="n">
        <v>0.2895864077669905</v>
      </c>
      <c r="E23" t="n">
        <v>1.9613</v>
      </c>
      <c r="F23" t="n">
        <v>8.6867</v>
      </c>
      <c r="G23">
        <f>F23-E23</f>
        <v/>
      </c>
      <c r="J23">
        <f>TAN(RADIANS(pe0-omega*D23))*sref^(1-m_)</f>
        <v/>
      </c>
      <c r="K23">
        <f>2*E23-((2*E23)+(J23*(2*E23)^m_)*(m_*J23*(2*E23)^(m_-1))-(J23*(2*E23)^m_)*SQRT(1+(m_*J23*(2*E23)^(m_-1))^2)-(E23))*((2*E23)*1E-6)/(((2*E23+((2*E23)*1E-6))+(J23*(2*E23+((2*E23)*1E-6))^m_)*(m_*J23*(2*E23+((2*E23)*1E-6))^(m_-1))-(J23*(2*E23+((2*E23)*1E-6))^m_)*SQRT(1+(m_*J23*(2*E23+((2*E23)*1E-6))^(m_-1))^2)-(E23))-((2*E23)+(J23*(2*E23)^m_)*(m_*J23*(2*E23)^(m_-1))-(J23*(2*E23)^m_)*SQRT(1+(m_*J23*(2*E23)^(m_-1))^2)-(E23)))</f>
        <v/>
      </c>
      <c r="L23">
        <f>K23-((K23)+(J23*(K23)^m_)*(m_*J23*(K23)^(m_-1))-(J23*(K23)^m_)*SQRT(1+(m_*J23*(K23)^(m_-1))^2)-(E23))*((K23)*1E-6)/(((K23+((K23)*1E-6))+(J23*(K23+((K23)*1E-6))^m_)*(m_*J23*(K23+((K23)*1E-6))^(m_-1))-(J23*(K23+((K23)*1E-6))^m_)*SQRT(1+(m_*J23*(K23+((K23)*1E-6))^(m_-1))^2)-(E23))-((K23)+(J23*(K23)^m_)*(m_*J23*(K23)^(m_-1))-(J23*(K23)^m_)*SQRT(1+(m_*J23*(K23)^(m_-1))^2)-(E23)))</f>
        <v/>
      </c>
      <c r="M23">
        <f>L23-((L23)+(J23*(L23)^m_)*(m_*J23*(L23)^(m_-1))-(J23*(L23)^m_)*SQRT(1+(m_*J23*(L23)^(m_-1))^2)-(E23))*((L23)*1E-6)/(((L23+((L23)*1E-6))+(J23*(L23+((L23)*1E-6))^m_)*(m_*J23*(L23+((L23)*1E-6))^(m_-1))-(J23*(L23+((L23)*1E-6))^m_)*SQRT(1+(m_*J23*(L23+((L23)*1E-6))^(m_-1))^2)-(E23))-((L23)+(J23*(L23)^m_)*(m_*J23*(L23)^(m_-1))-(J23*(L23)^m_)*SQRT(1+(m_*J23*(L23)^(m_-1))^2)-(E23)))</f>
        <v/>
      </c>
      <c r="N23">
        <f>M23-((M23)+(J23*(M23)^m_)*(m_*J23*(M23)^(m_-1))-(J23*(M23)^m_)*SQRT(1+(m_*J23*(M23)^(m_-1))^2)-(E23))*((M23)*1E-6)/(((M23+((M23)*1E-6))+(J23*(M23+((M23)*1E-6))^m_)*(m_*J23*(M23+((M23)*1E-6))^(m_-1))-(J23*(M23+((M23)*1E-6))^m_)*SQRT(1+(m_*J23*(M23+((M23)*1E-6))^(m_-1))^2)-(E23))-((M23)+(J23*(M23)^m_)*(m_*J23*(M23)^(m_-1))-(J23*(M23)^m_)*SQRT(1+(m_*J23*(M23)^(m_-1))^2)-(E23)))</f>
        <v/>
      </c>
      <c r="O23">
        <f>N23-((N23)+(J23*(N23)^m_)*(m_*J23*(N23)^(m_-1))-(J23*(N23)^m_)*SQRT(1+(m_*J23*(N23)^(m_-1))^2)-(E23))*((N23)*1E-6)/(((N23+((N23)*1E-6))+(J23*(N23+((N23)*1E-6))^m_)*(m_*J23*(N23+((N23)*1E-6))^(m_-1))-(J23*(N23+((N23)*1E-6))^m_)*SQRT(1+(m_*J23*(N23+((N23)*1E-6))^(m_-1))^2)-(E23))-((N23)+(J23*(N23)^m_)*(m_*J23*(N23)^(m_-1))-(J23*(N23)^m_)*SQRT(1+(m_*J23*(N23)^(m_-1))^2)-(E23)))</f>
        <v/>
      </c>
      <c r="P23">
        <f>O23-((O23)+(J23*(O23)^m_)*(m_*J23*(O23)^(m_-1))-(J23*(O23)^m_)*SQRT(1+(m_*J23*(O23)^(m_-1))^2)-(E23))*((O23)*1E-6)/(((O23+((O23)*1E-6))+(J23*(O23+((O23)*1E-6))^m_)*(m_*J23*(O23+((O23)*1E-6))^(m_-1))-(J23*(O23+((O23)*1E-6))^m_)*SQRT(1+(m_*J23*(O23+((O23)*1E-6))^(m_-1))^2)-(E23))-((O23)+(J23*(O23)^m_)*(m_*J23*(O23)^(m_-1))-(J23*(O23)^m_)*SQRT(1+(m_*J23*(O23)^(m_-1))^2)-(E23)))</f>
        <v/>
      </c>
      <c r="Q23">
        <f>P23-((P23)+(J23*(P23)^m_)*(m_*J23*(P23)^(m_-1))-(J23*(P23)^m_)*SQRT(1+(m_*J23*(P23)^(m_-1))^2)-(E23))*((P23)*1E-6)/(((P23+((P23)*1E-6))+(J23*(P23+((P23)*1E-6))^m_)*(m_*J23*(P23+((P23)*1E-6))^(m_-1))-(J23*(P23+((P23)*1E-6))^m_)*SQRT(1+(m_*J23*(P23+((P23)*1E-6))^(m_-1))^2)-(E23))-((P23)+(J23*(P23)^m_)*(m_*J23*(P23)^(m_-1))-(J23*(P23)^m_)*SQRT(1+(m_*J23*(P23)^(m_-1))^2)-(E23)))</f>
        <v/>
      </c>
      <c r="R23">
        <f>Q23-((Q23)+(J23*(Q23)^m_)*(m_*J23*(Q23)^(m_-1))-(J23*(Q23)^m_)*SQRT(1+(m_*J23*(Q23)^(m_-1))^2)-(E23))*((Q23)*1E-6)/(((Q23+((Q23)*1E-6))+(J23*(Q23+((Q23)*1E-6))^m_)*(m_*J23*(Q23+((Q23)*1E-6))^(m_-1))-(J23*(Q23+((Q23)*1E-6))^m_)*SQRT(1+(m_*J23*(Q23+((Q23)*1E-6))^(m_-1))^2)-(E23))-((Q23)+(J23*(Q23)^m_)*(m_*J23*(Q23)^(m_-1))-(J23*(Q23)^m_)*SQRT(1+(m_*J23*(Q23)^(m_-1))^2)-(E23)))</f>
        <v/>
      </c>
      <c r="S23">
        <f>R23-((R23)+(J23*(R23)^m_)*(m_*J23*(R23)^(m_-1))-(J23*(R23)^m_)*SQRT(1+(m_*J23*(R23)^(m_-1))^2)-(E23))*((R23)*1E-6)/(((R23+((R23)*1E-6))+(J23*(R23+((R23)*1E-6))^m_)*(m_*J23*(R23+((R23)*1E-6))^(m_-1))-(J23*(R23+((R23)*1E-6))^m_)*SQRT(1+(m_*J23*(R23+((R23)*1E-6))^(m_-1))^2)-(E23))-((R23)+(J23*(R23)^m_)*(m_*J23*(R23)^(m_-1))-(J23*(R23)^m_)*SQRT(1+(m_*J23*(R23)^(m_-1))^2)-(E23)))</f>
        <v/>
      </c>
      <c r="T23">
        <f>S23-((S23)+(J23*(S23)^m_)*(m_*J23*(S23)^(m_-1))-(J23*(S23)^m_)*SQRT(1+(m_*J23*(S23)^(m_-1))^2)-(E23))*((S23)*1E-6)/(((S23+((S23)*1E-6))+(J23*(S23+((S23)*1E-6))^m_)*(m_*J23*(S23+((S23)*1E-6))^(m_-1))-(J23*(S23+((S23)*1E-6))^m_)*SQRT(1+(m_*J23*(S23+((S23)*1E-6))^(m_-1))^2)-(E23))-((S23)+(J23*(S23)^m_)*(m_*J23*(S23)^(m_-1))-(J23*(S23)^m_)*SQRT(1+(m_*J23*(S23)^(m_-1))^2)-(E23)))</f>
        <v/>
      </c>
      <c r="U23">
        <f>J23*T23^m_</f>
        <v/>
      </c>
      <c r="V23">
        <f>m_*J23*T23^(m_-1)</f>
        <v/>
      </c>
      <c r="W23">
        <f>U23*SQRT(1+V23^2)</f>
        <v/>
      </c>
      <c r="X23">
        <f>2*W23</f>
        <v/>
      </c>
      <c r="Y23">
        <f>LN(X23)-LN(G23)</f>
        <v/>
      </c>
      <c r="Z23">
        <f>Y23^2</f>
        <v/>
      </c>
    </row>
    <row r="24">
      <c r="A24" t="inlineStr">
        <is>
          <t>A2024DS</t>
        </is>
      </c>
      <c r="B24" t="inlineStr">
        <is>
          <t>Ruma 02</t>
        </is>
      </c>
      <c r="C24" t="inlineStr">
        <is>
          <t>DS</t>
        </is>
      </c>
      <c r="D24" t="n">
        <v>0.3316666666666665</v>
      </c>
      <c r="H24" t="n">
        <v>0.3</v>
      </c>
      <c r="I24" t="n">
        <v>0.2557</v>
      </c>
      <c r="J24">
        <f>TAN(RADIANS(pe0-omega*D24))*sref^(1-m_)</f>
        <v/>
      </c>
      <c r="U24">
        <f>J24*H24^m_</f>
        <v/>
      </c>
      <c r="Y24">
        <f>c_ds*(LN(U24)-LN(I24))</f>
        <v/>
      </c>
      <c r="Z24">
        <f>Y24^2</f>
        <v/>
      </c>
    </row>
    <row r="25">
      <c r="A25" t="inlineStr">
        <is>
          <t>A2024DS</t>
        </is>
      </c>
      <c r="B25" t="inlineStr">
        <is>
          <t>Ruma 02</t>
        </is>
      </c>
      <c r="C25" t="inlineStr">
        <is>
          <t>DS</t>
        </is>
      </c>
      <c r="D25" t="n">
        <v>0.3316666666666665</v>
      </c>
      <c r="H25" t="n">
        <v>0.6</v>
      </c>
      <c r="I25" t="n">
        <v>0.4761</v>
      </c>
      <c r="J25">
        <f>TAN(RADIANS(pe0-omega*D25))*sref^(1-m_)</f>
        <v/>
      </c>
      <c r="U25">
        <f>J25*H25^m_</f>
        <v/>
      </c>
      <c r="Y25">
        <f>c_ds*(LN(U25)-LN(I25))</f>
        <v/>
      </c>
      <c r="Z25">
        <f>Y25^2</f>
        <v/>
      </c>
    </row>
    <row r="26">
      <c r="A26" t="inlineStr">
        <is>
          <t>A2024DS</t>
        </is>
      </c>
      <c r="B26" t="inlineStr">
        <is>
          <t>Ruma 02</t>
        </is>
      </c>
      <c r="C26" t="inlineStr">
        <is>
          <t>DS</t>
        </is>
      </c>
      <c r="D26" t="n">
        <v>0.3316666666666665</v>
      </c>
      <c r="H26" t="n">
        <v>1.2</v>
      </c>
      <c r="I26" t="n">
        <v>0.9981</v>
      </c>
      <c r="J26">
        <f>TAN(RADIANS(pe0-omega*D26))*sref^(1-m_)</f>
        <v/>
      </c>
      <c r="U26">
        <f>J26*H26^m_</f>
        <v/>
      </c>
      <c r="Y26">
        <f>c_ds*(LN(U26)-LN(I26))</f>
        <v/>
      </c>
      <c r="Z26">
        <f>Y26^2</f>
        <v/>
      </c>
    </row>
    <row r="27">
      <c r="A27" t="inlineStr">
        <is>
          <t>A2024DS</t>
        </is>
      </c>
      <c r="B27" t="inlineStr">
        <is>
          <t>Ruma 03 / Fase 10 A</t>
        </is>
      </c>
      <c r="C27" t="inlineStr">
        <is>
          <t>DS</t>
        </is>
      </c>
      <c r="D27" t="n">
        <v>0.4096824570536179</v>
      </c>
      <c r="H27" t="n">
        <v>0.3</v>
      </c>
      <c r="I27" t="n">
        <v>0.2281</v>
      </c>
      <c r="J27">
        <f>TAN(RADIANS(pe0-omega*D27))*sref^(1-m_)</f>
        <v/>
      </c>
      <c r="U27">
        <f>J27*H27^m_</f>
        <v/>
      </c>
      <c r="Y27">
        <f>c_ds*(LN(U27)-LN(I27))</f>
        <v/>
      </c>
      <c r="Z27">
        <f>Y27^2</f>
        <v/>
      </c>
    </row>
    <row r="28">
      <c r="A28" t="inlineStr">
        <is>
          <t>A2024DS</t>
        </is>
      </c>
      <c r="B28" t="inlineStr">
        <is>
          <t>Ruma 03 / Fase 10 A</t>
        </is>
      </c>
      <c r="C28" t="inlineStr">
        <is>
          <t>DS</t>
        </is>
      </c>
      <c r="D28" t="n">
        <v>0.4096824570536179</v>
      </c>
      <c r="H28" t="n">
        <v>0.6</v>
      </c>
      <c r="I28" t="n">
        <v>0.4681</v>
      </c>
      <c r="J28">
        <f>TAN(RADIANS(pe0-omega*D28))*sref^(1-m_)</f>
        <v/>
      </c>
      <c r="U28">
        <f>J28*H28^m_</f>
        <v/>
      </c>
      <c r="Y28">
        <f>c_ds*(LN(U28)-LN(I28))</f>
        <v/>
      </c>
      <c r="Z28">
        <f>Y28^2</f>
        <v/>
      </c>
    </row>
    <row r="29">
      <c r="A29" t="inlineStr">
        <is>
          <t>A2024DS</t>
        </is>
      </c>
      <c r="B29" t="inlineStr">
        <is>
          <t>Ruma 03 / Fase 10 A</t>
        </is>
      </c>
      <c r="C29" t="inlineStr">
        <is>
          <t>DS</t>
        </is>
      </c>
      <c r="D29" t="n">
        <v>0.4096824570536179</v>
      </c>
      <c r="H29" t="n">
        <v>1.2</v>
      </c>
      <c r="I29" t="n">
        <v>0.9451000000000001</v>
      </c>
      <c r="J29">
        <f>TAN(RADIANS(pe0-omega*D29))*sref^(1-m_)</f>
        <v/>
      </c>
      <c r="U29">
        <f>J29*H29^m_</f>
        <v/>
      </c>
      <c r="Y29">
        <f>c_ds*(LN(U29)-LN(I29))</f>
        <v/>
      </c>
      <c r="Z29">
        <f>Y29^2</f>
        <v/>
      </c>
    </row>
    <row r="30">
      <c r="A30" t="inlineStr">
        <is>
          <t>A2024DS</t>
        </is>
      </c>
      <c r="B30" t="inlineStr">
        <is>
          <t>Ruma 01</t>
        </is>
      </c>
      <c r="C30" t="inlineStr">
        <is>
          <t>DS</t>
        </is>
      </c>
      <c r="D30" t="n">
        <v>0.2620247366010078</v>
      </c>
      <c r="H30" t="n">
        <v>0.3</v>
      </c>
      <c r="I30" t="n">
        <v>0.2195</v>
      </c>
      <c r="J30">
        <f>TAN(RADIANS(pe0-omega*D30))*sref^(1-m_)</f>
        <v/>
      </c>
      <c r="U30">
        <f>J30*H30^m_</f>
        <v/>
      </c>
      <c r="Y30">
        <f>c_ds*(LN(U30)-LN(I30))</f>
        <v/>
      </c>
      <c r="Z30">
        <f>Y30^2</f>
        <v/>
      </c>
    </row>
    <row r="31">
      <c r="A31" t="inlineStr">
        <is>
          <t>A2024DS</t>
        </is>
      </c>
      <c r="B31" t="inlineStr">
        <is>
          <t>Ruma 01</t>
        </is>
      </c>
      <c r="C31" t="inlineStr">
        <is>
          <t>DS</t>
        </is>
      </c>
      <c r="D31" t="n">
        <v>0.2620247366010078</v>
      </c>
      <c r="H31" t="n">
        <v>0.6</v>
      </c>
      <c r="I31" t="n">
        <v>0.4695</v>
      </c>
      <c r="J31">
        <f>TAN(RADIANS(pe0-omega*D31))*sref^(1-m_)</f>
        <v/>
      </c>
      <c r="U31">
        <f>J31*H31^m_</f>
        <v/>
      </c>
      <c r="Y31">
        <f>c_ds*(LN(U31)-LN(I31))</f>
        <v/>
      </c>
      <c r="Z31">
        <f>Y31^2</f>
        <v/>
      </c>
    </row>
    <row r="32">
      <c r="A32" t="inlineStr">
        <is>
          <t>A2024DS</t>
        </is>
      </c>
      <c r="B32" t="inlineStr">
        <is>
          <t>Ruma 01</t>
        </is>
      </c>
      <c r="C32" t="inlineStr">
        <is>
          <t>DS</t>
        </is>
      </c>
      <c r="D32" t="n">
        <v>0.2620247366010078</v>
      </c>
      <c r="H32" t="n">
        <v>1.2</v>
      </c>
      <c r="I32" t="n">
        <v>0.9843</v>
      </c>
      <c r="J32">
        <f>TAN(RADIANS(pe0-omega*D32))*sref^(1-m_)</f>
        <v/>
      </c>
      <c r="U32">
        <f>J32*H32^m_</f>
        <v/>
      </c>
      <c r="Y32">
        <f>c_ds*(LN(U32)-LN(I32))</f>
        <v/>
      </c>
      <c r="Z32">
        <f>Y32^2</f>
        <v/>
      </c>
    </row>
    <row r="33">
      <c r="A33" t="inlineStr">
        <is>
          <t>A2024DS</t>
        </is>
      </c>
      <c r="B33" t="inlineStr">
        <is>
          <t>Pila 01 (Mármol + Hornfels)</t>
        </is>
      </c>
      <c r="C33" t="inlineStr">
        <is>
          <t>DS</t>
        </is>
      </c>
      <c r="D33" t="n">
        <v>0.3255730659025788</v>
      </c>
      <c r="H33" t="n">
        <v>0.3</v>
      </c>
      <c r="I33" t="n">
        <v>0.3563</v>
      </c>
      <c r="J33">
        <f>TAN(RADIANS(pe0-omega*D33))*sref^(1-m_)</f>
        <v/>
      </c>
      <c r="U33">
        <f>J33*H33^m_</f>
        <v/>
      </c>
      <c r="Y33">
        <f>c_ds*(LN(U33)-LN(I33))</f>
        <v/>
      </c>
      <c r="Z33">
        <f>Y33^2</f>
        <v/>
      </c>
    </row>
    <row r="34">
      <c r="A34" t="inlineStr">
        <is>
          <t>A2024DS</t>
        </is>
      </c>
      <c r="B34" t="inlineStr">
        <is>
          <t>Pila 01 (Mármol + Hornfels)</t>
        </is>
      </c>
      <c r="C34" t="inlineStr">
        <is>
          <t>DS</t>
        </is>
      </c>
      <c r="D34" t="n">
        <v>0.3255730659025788</v>
      </c>
      <c r="H34" t="n">
        <v>0.6</v>
      </c>
      <c r="I34" t="n">
        <v>0.6253</v>
      </c>
      <c r="J34">
        <f>TAN(RADIANS(pe0-omega*D34))*sref^(1-m_)</f>
        <v/>
      </c>
      <c r="U34">
        <f>J34*H34^m_</f>
        <v/>
      </c>
      <c r="Y34">
        <f>c_ds*(LN(U34)-LN(I34))</f>
        <v/>
      </c>
      <c r="Z34">
        <f>Y34^2</f>
        <v/>
      </c>
    </row>
    <row r="35">
      <c r="A35" t="inlineStr">
        <is>
          <t>A2024DS</t>
        </is>
      </c>
      <c r="B35" t="inlineStr">
        <is>
          <t>Pila 01 (Mármol + Hornfels)</t>
        </is>
      </c>
      <c r="C35" t="inlineStr">
        <is>
          <t>DS</t>
        </is>
      </c>
      <c r="D35" t="n">
        <v>0.3255730659025788</v>
      </c>
      <c r="H35" t="n">
        <v>1</v>
      </c>
      <c r="I35" t="n">
        <v>0.9473</v>
      </c>
      <c r="J35">
        <f>TAN(RADIANS(pe0-omega*D35))*sref^(1-m_)</f>
        <v/>
      </c>
      <c r="U35">
        <f>J35*H35^m_</f>
        <v/>
      </c>
      <c r="Y35">
        <f>c_ds*(LN(U35)-LN(I35))</f>
        <v/>
      </c>
      <c r="Z35">
        <f>Y35^2</f>
        <v/>
      </c>
    </row>
    <row r="36">
      <c r="A36" t="inlineStr">
        <is>
          <t>A2024DS</t>
        </is>
      </c>
      <c r="B36" t="inlineStr">
        <is>
          <t>Pila 02 (Intrusivo)</t>
        </is>
      </c>
      <c r="C36" t="inlineStr">
        <is>
          <t>DS</t>
        </is>
      </c>
      <c r="D36" t="n">
        <v>0.478973238667395</v>
      </c>
      <c r="H36" t="n">
        <v>0.3</v>
      </c>
      <c r="I36" t="n">
        <v>0.3539</v>
      </c>
      <c r="J36">
        <f>TAN(RADIANS(pe0-omega*D36))*sref^(1-m_)</f>
        <v/>
      </c>
      <c r="U36">
        <f>J36*H36^m_</f>
        <v/>
      </c>
      <c r="Y36">
        <f>c_ds*(LN(U36)-LN(I36))</f>
        <v/>
      </c>
      <c r="Z36">
        <f>Y36^2</f>
        <v/>
      </c>
    </row>
    <row r="37">
      <c r="A37" t="inlineStr">
        <is>
          <t>A2024DS</t>
        </is>
      </c>
      <c r="B37" t="inlineStr">
        <is>
          <t>Pila 02 (Intrusivo)</t>
        </is>
      </c>
      <c r="C37" t="inlineStr">
        <is>
          <t>DS</t>
        </is>
      </c>
      <c r="D37" t="n">
        <v>0.478973238667395</v>
      </c>
      <c r="H37" t="n">
        <v>0.6</v>
      </c>
      <c r="I37" t="n">
        <v>0.6337</v>
      </c>
      <c r="J37">
        <f>TAN(RADIANS(pe0-omega*D37))*sref^(1-m_)</f>
        <v/>
      </c>
      <c r="U37">
        <f>J37*H37^m_</f>
        <v/>
      </c>
      <c r="Y37">
        <f>c_ds*(LN(U37)-LN(I37))</f>
        <v/>
      </c>
      <c r="Z37">
        <f>Y37^2</f>
        <v/>
      </c>
    </row>
    <row r="38">
      <c r="A38" t="inlineStr">
        <is>
          <t>A2024DS</t>
        </is>
      </c>
      <c r="B38" t="inlineStr">
        <is>
          <t>Pila 02 (Intrusivo)</t>
        </is>
      </c>
      <c r="C38" t="inlineStr">
        <is>
          <t>DS</t>
        </is>
      </c>
      <c r="D38" t="n">
        <v>0.478973238667395</v>
      </c>
      <c r="H38" t="n">
        <v>1.2</v>
      </c>
      <c r="I38" t="n">
        <v>1.0192</v>
      </c>
      <c r="J38">
        <f>TAN(RADIANS(pe0-omega*D38))*sref^(1-m_)</f>
        <v/>
      </c>
      <c r="U38">
        <f>J38*H38^m_</f>
        <v/>
      </c>
      <c r="Y38">
        <f>c_ds*(LN(U38)-LN(I38))</f>
        <v/>
      </c>
      <c r="Z38">
        <f>Y38^2</f>
        <v/>
      </c>
    </row>
    <row r="40">
      <c r="Y40" t="inlineStr">
        <is>
          <t>SSE</t>
        </is>
      </c>
      <c r="Z40" s="2">
        <f>SUM(Z2:Z38)</f>
        <v/>
      </c>
    </row>
    <row r="41">
      <c r="A41" t="inlineStr">
        <is>
          <t>Control: ajuste global por mínimos cuadrados (Solver: minimizar Z40 cambiando Parametros!$B$2). La curva propuesta no usa este estimador sino la media por set (hoja phi1_vs_e, a33).</t>
        </is>
      </c>
    </row>
    <row r="42">
      <c r="A42" t="inlineStr">
        <is>
          <t>Tangencia: σ′3 = σ′n + τ·tan φ′t − τ·√(1 + tan² φ′t) (círculo de Mohr tangente a la curva), resuelta con 10 pasos de Newton; q = 2R, R = τ·√(1 + tan² φ′t).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3" t="inlineStr">
        <is>
          <t>σ′3 (MPa)</t>
        </is>
      </c>
      <c r="B1" s="3" t="inlineStr">
        <is>
          <t>σ′n tangencia (MPa)</t>
        </is>
      </c>
      <c r="C1" s="3" t="inlineStr">
        <is>
          <t>τ (MPa)</t>
        </is>
      </c>
      <c r="D1" s="3" t="inlineStr">
        <is>
          <t>φ′t (°)</t>
        </is>
      </c>
      <c r="E1" s="3" t="inlineStr">
        <is>
          <t>c′t (kPa)</t>
        </is>
      </c>
      <c r="F1" s="3" t="inlineStr">
        <is>
          <t>σ′1 − σ′3 (MPa)</t>
        </is>
      </c>
      <c r="G1" s="3" t="inlineStr">
        <is>
          <t>a</t>
        </is>
      </c>
      <c r="H1" s="3" t="inlineStr">
        <is>
          <t>Newton 1</t>
        </is>
      </c>
      <c r="I1" s="3" t="inlineStr">
        <is>
          <t>Newton 2</t>
        </is>
      </c>
      <c r="J1" s="3" t="inlineStr">
        <is>
          <t>Newton 3</t>
        </is>
      </c>
      <c r="K1" s="3" t="inlineStr">
        <is>
          <t>Newton 4</t>
        </is>
      </c>
      <c r="L1" s="3" t="inlineStr">
        <is>
          <t>Newton 5</t>
        </is>
      </c>
      <c r="M1" s="3" t="inlineStr">
        <is>
          <t>Newton 6</t>
        </is>
      </c>
      <c r="N1" s="3" t="inlineStr">
        <is>
          <t>Newton 7</t>
        </is>
      </c>
      <c r="O1" s="3" t="inlineStr">
        <is>
          <t>Newton 8</t>
        </is>
      </c>
      <c r="P1" s="3" t="inlineStr">
        <is>
          <t>Newton 9</t>
        </is>
      </c>
      <c r="Q1" s="3" t="inlineStr">
        <is>
          <t>Newton 10</t>
        </is>
      </c>
    </row>
    <row r="2">
      <c r="A2" t="n">
        <v>0.1</v>
      </c>
      <c r="B2">
        <f>Q2</f>
        <v/>
      </c>
      <c r="C2">
        <f>TAN(RADIANS(pe0-omega*e_base))*sref^(1-m_)*B2^m_</f>
        <v/>
      </c>
      <c r="D2">
        <f>DEGREES(ATAN(m_*C2/B2))</f>
        <v/>
      </c>
      <c r="E2">
        <f>(1-m_)*C2*1000</f>
        <v/>
      </c>
      <c r="F2">
        <f>2*C2/COS(RADIANS(D2))</f>
        <v/>
      </c>
      <c r="G2">
        <f>TAN(RADIANS(pe0-omega*e_base))*sref^(1-m_)</f>
        <v/>
      </c>
      <c r="H2">
        <f>2*A2-((2*A2)+(G2*(2*A2)^m_)*(m_*G2*(2*A2)^(m_-1))-(G2*(2*A2)^m_)*SQRT(1+(m_*G2*(2*A2)^(m_-1))^2)-(A2))*((2*A2)*1E-6)/(((2*A2+((2*A2)*1E-6))+(G2*(2*A2+((2*A2)*1E-6))^m_)*(m_*G2*(2*A2+((2*A2)*1E-6))^(m_-1))-(G2*(2*A2+((2*A2)*1E-6))^m_)*SQRT(1+(m_*G2*(2*A2+((2*A2)*1E-6))^(m_-1))^2)-(A2))-((2*A2)+(G2*(2*A2)^m_)*(m_*G2*(2*A2)^(m_-1))-(G2*(2*A2)^m_)*SQRT(1+(m_*G2*(2*A2)^(m_-1))^2)-(A2)))</f>
        <v/>
      </c>
      <c r="I2">
        <f>H2-((H2)+(G2*(H2)^m_)*(m_*G2*(H2)^(m_-1))-(G2*(H2)^m_)*SQRT(1+(m_*G2*(H2)^(m_-1))^2)-(A2))*((H2)*1E-6)/(((H2+((H2)*1E-6))+(G2*(H2+((H2)*1E-6))^m_)*(m_*G2*(H2+((H2)*1E-6))^(m_-1))-(G2*(H2+((H2)*1E-6))^m_)*SQRT(1+(m_*G2*(H2+((H2)*1E-6))^(m_-1))^2)-(A2))-((H2)+(G2*(H2)^m_)*(m_*G2*(H2)^(m_-1))-(G2*(H2)^m_)*SQRT(1+(m_*G2*(H2)^(m_-1))^2)-(A2)))</f>
        <v/>
      </c>
      <c r="J2">
        <f>I2-((I2)+(G2*(I2)^m_)*(m_*G2*(I2)^(m_-1))-(G2*(I2)^m_)*SQRT(1+(m_*G2*(I2)^(m_-1))^2)-(A2))*((I2)*1E-6)/(((I2+((I2)*1E-6))+(G2*(I2+((I2)*1E-6))^m_)*(m_*G2*(I2+((I2)*1E-6))^(m_-1))-(G2*(I2+((I2)*1E-6))^m_)*SQRT(1+(m_*G2*(I2+((I2)*1E-6))^(m_-1))^2)-(A2))-((I2)+(G2*(I2)^m_)*(m_*G2*(I2)^(m_-1))-(G2*(I2)^m_)*SQRT(1+(m_*G2*(I2)^(m_-1))^2)-(A2)))</f>
        <v/>
      </c>
      <c r="K2">
        <f>J2-((J2)+(G2*(J2)^m_)*(m_*G2*(J2)^(m_-1))-(G2*(J2)^m_)*SQRT(1+(m_*G2*(J2)^(m_-1))^2)-(A2))*((J2)*1E-6)/(((J2+((J2)*1E-6))+(G2*(J2+((J2)*1E-6))^m_)*(m_*G2*(J2+((J2)*1E-6))^(m_-1))-(G2*(J2+((J2)*1E-6))^m_)*SQRT(1+(m_*G2*(J2+((J2)*1E-6))^(m_-1))^2)-(A2))-((J2)+(G2*(J2)^m_)*(m_*G2*(J2)^(m_-1))-(G2*(J2)^m_)*SQRT(1+(m_*G2*(J2)^(m_-1))^2)-(A2)))</f>
        <v/>
      </c>
      <c r="L2">
        <f>K2-((K2)+(G2*(K2)^m_)*(m_*G2*(K2)^(m_-1))-(G2*(K2)^m_)*SQRT(1+(m_*G2*(K2)^(m_-1))^2)-(A2))*((K2)*1E-6)/(((K2+((K2)*1E-6))+(G2*(K2+((K2)*1E-6))^m_)*(m_*G2*(K2+((K2)*1E-6))^(m_-1))-(G2*(K2+((K2)*1E-6))^m_)*SQRT(1+(m_*G2*(K2+((K2)*1E-6))^(m_-1))^2)-(A2))-((K2)+(G2*(K2)^m_)*(m_*G2*(K2)^(m_-1))-(G2*(K2)^m_)*SQRT(1+(m_*G2*(K2)^(m_-1))^2)-(A2)))</f>
        <v/>
      </c>
      <c r="M2">
        <f>L2-((L2)+(G2*(L2)^m_)*(m_*G2*(L2)^(m_-1))-(G2*(L2)^m_)*SQRT(1+(m_*G2*(L2)^(m_-1))^2)-(A2))*((L2)*1E-6)/(((L2+((L2)*1E-6))+(G2*(L2+((L2)*1E-6))^m_)*(m_*G2*(L2+((L2)*1E-6))^(m_-1))-(G2*(L2+((L2)*1E-6))^m_)*SQRT(1+(m_*G2*(L2+((L2)*1E-6))^(m_-1))^2)-(A2))-((L2)+(G2*(L2)^m_)*(m_*G2*(L2)^(m_-1))-(G2*(L2)^m_)*SQRT(1+(m_*G2*(L2)^(m_-1))^2)-(A2)))</f>
        <v/>
      </c>
      <c r="N2">
        <f>M2-((M2)+(G2*(M2)^m_)*(m_*G2*(M2)^(m_-1))-(G2*(M2)^m_)*SQRT(1+(m_*G2*(M2)^(m_-1))^2)-(A2))*((M2)*1E-6)/(((M2+((M2)*1E-6))+(G2*(M2+((M2)*1E-6))^m_)*(m_*G2*(M2+((M2)*1E-6))^(m_-1))-(G2*(M2+((M2)*1E-6))^m_)*SQRT(1+(m_*G2*(M2+((M2)*1E-6))^(m_-1))^2)-(A2))-((M2)+(G2*(M2)^m_)*(m_*G2*(M2)^(m_-1))-(G2*(M2)^m_)*SQRT(1+(m_*G2*(M2)^(m_-1))^2)-(A2)))</f>
        <v/>
      </c>
      <c r="O2">
        <f>N2-((N2)+(G2*(N2)^m_)*(m_*G2*(N2)^(m_-1))-(G2*(N2)^m_)*SQRT(1+(m_*G2*(N2)^(m_-1))^2)-(A2))*((N2)*1E-6)/(((N2+((N2)*1E-6))+(G2*(N2+((N2)*1E-6))^m_)*(m_*G2*(N2+((N2)*1E-6))^(m_-1))-(G2*(N2+((N2)*1E-6))^m_)*SQRT(1+(m_*G2*(N2+((N2)*1E-6))^(m_-1))^2)-(A2))-((N2)+(G2*(N2)^m_)*(m_*G2*(N2)^(m_-1))-(G2*(N2)^m_)*SQRT(1+(m_*G2*(N2)^(m_-1))^2)-(A2)))</f>
        <v/>
      </c>
      <c r="P2">
        <f>O2-((O2)+(G2*(O2)^m_)*(m_*G2*(O2)^(m_-1))-(G2*(O2)^m_)*SQRT(1+(m_*G2*(O2)^(m_-1))^2)-(A2))*((O2)*1E-6)/(((O2+((O2)*1E-6))+(G2*(O2+((O2)*1E-6))^m_)*(m_*G2*(O2+((O2)*1E-6))^(m_-1))-(G2*(O2+((O2)*1E-6))^m_)*SQRT(1+(m_*G2*(O2+((O2)*1E-6))^(m_-1))^2)-(A2))-((O2)+(G2*(O2)^m_)*(m_*G2*(O2)^(m_-1))-(G2*(O2)^m_)*SQRT(1+(m_*G2*(O2)^(m_-1))^2)-(A2)))</f>
        <v/>
      </c>
      <c r="Q2">
        <f>P2-((P2)+(G2*(P2)^m_)*(m_*G2*(P2)^(m_-1))-(G2*(P2)^m_)*SQRT(1+(m_*G2*(P2)^(m_-1))^2)-(A2))*((P2)*1E-6)/(((P2+((P2)*1E-6))+(G2*(P2+((P2)*1E-6))^m_)*(m_*G2*(P2+((P2)*1E-6))^(m_-1))-(G2*(P2+((P2)*1E-6))^m_)*SQRT(1+(m_*G2*(P2+((P2)*1E-6))^(m_-1))^2)-(A2))-((P2)+(G2*(P2)^m_)*(m_*G2*(P2)^(m_-1))-(G2*(P2)^m_)*SQRT(1+(m_*G2*(P2)^(m_-1))^2)-(A2)))</f>
        <v/>
      </c>
    </row>
    <row r="3">
      <c r="A3" t="n">
        <v>0.5</v>
      </c>
      <c r="B3">
        <f>Q3</f>
        <v/>
      </c>
      <c r="C3">
        <f>TAN(RADIANS(pe0-omega*e_base))*sref^(1-m_)*B3^m_</f>
        <v/>
      </c>
      <c r="D3">
        <f>DEGREES(ATAN(m_*C3/B3))</f>
        <v/>
      </c>
      <c r="E3">
        <f>(1-m_)*C3*1000</f>
        <v/>
      </c>
      <c r="F3">
        <f>2*C3/COS(RADIANS(D3))</f>
        <v/>
      </c>
      <c r="G3">
        <f>TAN(RADIANS(pe0-omega*e_base))*sref^(1-m_)</f>
        <v/>
      </c>
      <c r="H3">
        <f>2*A3-((2*A3)+(G3*(2*A3)^m_)*(m_*G3*(2*A3)^(m_-1))-(G3*(2*A3)^m_)*SQRT(1+(m_*G3*(2*A3)^(m_-1))^2)-(A3))*((2*A3)*1E-6)/(((2*A3+((2*A3)*1E-6))+(G3*(2*A3+((2*A3)*1E-6))^m_)*(m_*G3*(2*A3+((2*A3)*1E-6))^(m_-1))-(G3*(2*A3+((2*A3)*1E-6))^m_)*SQRT(1+(m_*G3*(2*A3+((2*A3)*1E-6))^(m_-1))^2)-(A3))-((2*A3)+(G3*(2*A3)^m_)*(m_*G3*(2*A3)^(m_-1))-(G3*(2*A3)^m_)*SQRT(1+(m_*G3*(2*A3)^(m_-1))^2)-(A3)))</f>
        <v/>
      </c>
      <c r="I3">
        <f>H3-((H3)+(G3*(H3)^m_)*(m_*G3*(H3)^(m_-1))-(G3*(H3)^m_)*SQRT(1+(m_*G3*(H3)^(m_-1))^2)-(A3))*((H3)*1E-6)/(((H3+((H3)*1E-6))+(G3*(H3+((H3)*1E-6))^m_)*(m_*G3*(H3+((H3)*1E-6))^(m_-1))-(G3*(H3+((H3)*1E-6))^m_)*SQRT(1+(m_*G3*(H3+((H3)*1E-6))^(m_-1))^2)-(A3))-((H3)+(G3*(H3)^m_)*(m_*G3*(H3)^(m_-1))-(G3*(H3)^m_)*SQRT(1+(m_*G3*(H3)^(m_-1))^2)-(A3)))</f>
        <v/>
      </c>
      <c r="J3">
        <f>I3-((I3)+(G3*(I3)^m_)*(m_*G3*(I3)^(m_-1))-(G3*(I3)^m_)*SQRT(1+(m_*G3*(I3)^(m_-1))^2)-(A3))*((I3)*1E-6)/(((I3+((I3)*1E-6))+(G3*(I3+((I3)*1E-6))^m_)*(m_*G3*(I3+((I3)*1E-6))^(m_-1))-(G3*(I3+((I3)*1E-6))^m_)*SQRT(1+(m_*G3*(I3+((I3)*1E-6))^(m_-1))^2)-(A3))-((I3)+(G3*(I3)^m_)*(m_*G3*(I3)^(m_-1))-(G3*(I3)^m_)*SQRT(1+(m_*G3*(I3)^(m_-1))^2)-(A3)))</f>
        <v/>
      </c>
      <c r="K3">
        <f>J3-((J3)+(G3*(J3)^m_)*(m_*G3*(J3)^(m_-1))-(G3*(J3)^m_)*SQRT(1+(m_*G3*(J3)^(m_-1))^2)-(A3))*((J3)*1E-6)/(((J3+((J3)*1E-6))+(G3*(J3+((J3)*1E-6))^m_)*(m_*G3*(J3+((J3)*1E-6))^(m_-1))-(G3*(J3+((J3)*1E-6))^m_)*SQRT(1+(m_*G3*(J3+((J3)*1E-6))^(m_-1))^2)-(A3))-((J3)+(G3*(J3)^m_)*(m_*G3*(J3)^(m_-1))-(G3*(J3)^m_)*SQRT(1+(m_*G3*(J3)^(m_-1))^2)-(A3)))</f>
        <v/>
      </c>
      <c r="L3">
        <f>K3-((K3)+(G3*(K3)^m_)*(m_*G3*(K3)^(m_-1))-(G3*(K3)^m_)*SQRT(1+(m_*G3*(K3)^(m_-1))^2)-(A3))*((K3)*1E-6)/(((K3+((K3)*1E-6))+(G3*(K3+((K3)*1E-6))^m_)*(m_*G3*(K3+((K3)*1E-6))^(m_-1))-(G3*(K3+((K3)*1E-6))^m_)*SQRT(1+(m_*G3*(K3+((K3)*1E-6))^(m_-1))^2)-(A3))-((K3)+(G3*(K3)^m_)*(m_*G3*(K3)^(m_-1))-(G3*(K3)^m_)*SQRT(1+(m_*G3*(K3)^(m_-1))^2)-(A3)))</f>
        <v/>
      </c>
      <c r="M3">
        <f>L3-((L3)+(G3*(L3)^m_)*(m_*G3*(L3)^(m_-1))-(G3*(L3)^m_)*SQRT(1+(m_*G3*(L3)^(m_-1))^2)-(A3))*((L3)*1E-6)/(((L3+((L3)*1E-6))+(G3*(L3+((L3)*1E-6))^m_)*(m_*G3*(L3+((L3)*1E-6))^(m_-1))-(G3*(L3+((L3)*1E-6))^m_)*SQRT(1+(m_*G3*(L3+((L3)*1E-6))^(m_-1))^2)-(A3))-((L3)+(G3*(L3)^m_)*(m_*G3*(L3)^(m_-1))-(G3*(L3)^m_)*SQRT(1+(m_*G3*(L3)^(m_-1))^2)-(A3)))</f>
        <v/>
      </c>
      <c r="N3">
        <f>M3-((M3)+(G3*(M3)^m_)*(m_*G3*(M3)^(m_-1))-(G3*(M3)^m_)*SQRT(1+(m_*G3*(M3)^(m_-1))^2)-(A3))*((M3)*1E-6)/(((M3+((M3)*1E-6))+(G3*(M3+((M3)*1E-6))^m_)*(m_*G3*(M3+((M3)*1E-6))^(m_-1))-(G3*(M3+((M3)*1E-6))^m_)*SQRT(1+(m_*G3*(M3+((M3)*1E-6))^(m_-1))^2)-(A3))-((M3)+(G3*(M3)^m_)*(m_*G3*(M3)^(m_-1))-(G3*(M3)^m_)*SQRT(1+(m_*G3*(M3)^(m_-1))^2)-(A3)))</f>
        <v/>
      </c>
      <c r="O3">
        <f>N3-((N3)+(G3*(N3)^m_)*(m_*G3*(N3)^(m_-1))-(G3*(N3)^m_)*SQRT(1+(m_*G3*(N3)^(m_-1))^2)-(A3))*((N3)*1E-6)/(((N3+((N3)*1E-6))+(G3*(N3+((N3)*1E-6))^m_)*(m_*G3*(N3+((N3)*1E-6))^(m_-1))-(G3*(N3+((N3)*1E-6))^m_)*SQRT(1+(m_*G3*(N3+((N3)*1E-6))^(m_-1))^2)-(A3))-((N3)+(G3*(N3)^m_)*(m_*G3*(N3)^(m_-1))-(G3*(N3)^m_)*SQRT(1+(m_*G3*(N3)^(m_-1))^2)-(A3)))</f>
        <v/>
      </c>
      <c r="P3">
        <f>O3-((O3)+(G3*(O3)^m_)*(m_*G3*(O3)^(m_-1))-(G3*(O3)^m_)*SQRT(1+(m_*G3*(O3)^(m_-1))^2)-(A3))*((O3)*1E-6)/(((O3+((O3)*1E-6))+(G3*(O3+((O3)*1E-6))^m_)*(m_*G3*(O3+((O3)*1E-6))^(m_-1))-(G3*(O3+((O3)*1E-6))^m_)*SQRT(1+(m_*G3*(O3+((O3)*1E-6))^(m_-1))^2)-(A3))-((O3)+(G3*(O3)^m_)*(m_*G3*(O3)^(m_-1))-(G3*(O3)^m_)*SQRT(1+(m_*G3*(O3)^(m_-1))^2)-(A3)))</f>
        <v/>
      </c>
      <c r="Q3">
        <f>P3-((P3)+(G3*(P3)^m_)*(m_*G3*(P3)^(m_-1))-(G3*(P3)^m_)*SQRT(1+(m_*G3*(P3)^(m_-1))^2)-(A3))*((P3)*1E-6)/(((P3+((P3)*1E-6))+(G3*(P3+((P3)*1E-6))^m_)*(m_*G3*(P3+((P3)*1E-6))^(m_-1))-(G3*(P3+((P3)*1E-6))^m_)*SQRT(1+(m_*G3*(P3+((P3)*1E-6))^(m_-1))^2)-(A3))-((P3)+(G3*(P3)^m_)*(m_*G3*(P3)^(m_-1))-(G3*(P3)^m_)*SQRT(1+(m_*G3*(P3)^(m_-1))^2)-(A3)))</f>
        <v/>
      </c>
    </row>
    <row r="4">
      <c r="A4" t="n">
        <v>1</v>
      </c>
      <c r="B4">
        <f>Q4</f>
        <v/>
      </c>
      <c r="C4">
        <f>TAN(RADIANS(pe0-omega*e_base))*sref^(1-m_)*B4^m_</f>
        <v/>
      </c>
      <c r="D4">
        <f>DEGREES(ATAN(m_*C4/B4))</f>
        <v/>
      </c>
      <c r="E4">
        <f>(1-m_)*C4*1000</f>
        <v/>
      </c>
      <c r="F4">
        <f>2*C4/COS(RADIANS(D4))</f>
        <v/>
      </c>
      <c r="G4">
        <f>TAN(RADIANS(pe0-omega*e_base))*sref^(1-m_)</f>
        <v/>
      </c>
      <c r="H4">
        <f>2*A4-((2*A4)+(G4*(2*A4)^m_)*(m_*G4*(2*A4)^(m_-1))-(G4*(2*A4)^m_)*SQRT(1+(m_*G4*(2*A4)^(m_-1))^2)-(A4))*((2*A4)*1E-6)/(((2*A4+((2*A4)*1E-6))+(G4*(2*A4+((2*A4)*1E-6))^m_)*(m_*G4*(2*A4+((2*A4)*1E-6))^(m_-1))-(G4*(2*A4+((2*A4)*1E-6))^m_)*SQRT(1+(m_*G4*(2*A4+((2*A4)*1E-6))^(m_-1))^2)-(A4))-((2*A4)+(G4*(2*A4)^m_)*(m_*G4*(2*A4)^(m_-1))-(G4*(2*A4)^m_)*SQRT(1+(m_*G4*(2*A4)^(m_-1))^2)-(A4)))</f>
        <v/>
      </c>
      <c r="I4">
        <f>H4-((H4)+(G4*(H4)^m_)*(m_*G4*(H4)^(m_-1))-(G4*(H4)^m_)*SQRT(1+(m_*G4*(H4)^(m_-1))^2)-(A4))*((H4)*1E-6)/(((H4+((H4)*1E-6))+(G4*(H4+((H4)*1E-6))^m_)*(m_*G4*(H4+((H4)*1E-6))^(m_-1))-(G4*(H4+((H4)*1E-6))^m_)*SQRT(1+(m_*G4*(H4+((H4)*1E-6))^(m_-1))^2)-(A4))-((H4)+(G4*(H4)^m_)*(m_*G4*(H4)^(m_-1))-(G4*(H4)^m_)*SQRT(1+(m_*G4*(H4)^(m_-1))^2)-(A4)))</f>
        <v/>
      </c>
      <c r="J4">
        <f>I4-((I4)+(G4*(I4)^m_)*(m_*G4*(I4)^(m_-1))-(G4*(I4)^m_)*SQRT(1+(m_*G4*(I4)^(m_-1))^2)-(A4))*((I4)*1E-6)/(((I4+((I4)*1E-6))+(G4*(I4+((I4)*1E-6))^m_)*(m_*G4*(I4+((I4)*1E-6))^(m_-1))-(G4*(I4+((I4)*1E-6))^m_)*SQRT(1+(m_*G4*(I4+((I4)*1E-6))^(m_-1))^2)-(A4))-((I4)+(G4*(I4)^m_)*(m_*G4*(I4)^(m_-1))-(G4*(I4)^m_)*SQRT(1+(m_*G4*(I4)^(m_-1))^2)-(A4)))</f>
        <v/>
      </c>
      <c r="K4">
        <f>J4-((J4)+(G4*(J4)^m_)*(m_*G4*(J4)^(m_-1))-(G4*(J4)^m_)*SQRT(1+(m_*G4*(J4)^(m_-1))^2)-(A4))*((J4)*1E-6)/(((J4+((J4)*1E-6))+(G4*(J4+((J4)*1E-6))^m_)*(m_*G4*(J4+((J4)*1E-6))^(m_-1))-(G4*(J4+((J4)*1E-6))^m_)*SQRT(1+(m_*G4*(J4+((J4)*1E-6))^(m_-1))^2)-(A4))-((J4)+(G4*(J4)^m_)*(m_*G4*(J4)^(m_-1))-(G4*(J4)^m_)*SQRT(1+(m_*G4*(J4)^(m_-1))^2)-(A4)))</f>
        <v/>
      </c>
      <c r="L4">
        <f>K4-((K4)+(G4*(K4)^m_)*(m_*G4*(K4)^(m_-1))-(G4*(K4)^m_)*SQRT(1+(m_*G4*(K4)^(m_-1))^2)-(A4))*((K4)*1E-6)/(((K4+((K4)*1E-6))+(G4*(K4+((K4)*1E-6))^m_)*(m_*G4*(K4+((K4)*1E-6))^(m_-1))-(G4*(K4+((K4)*1E-6))^m_)*SQRT(1+(m_*G4*(K4+((K4)*1E-6))^(m_-1))^2)-(A4))-((K4)+(G4*(K4)^m_)*(m_*G4*(K4)^(m_-1))-(G4*(K4)^m_)*SQRT(1+(m_*G4*(K4)^(m_-1))^2)-(A4)))</f>
        <v/>
      </c>
      <c r="M4">
        <f>L4-((L4)+(G4*(L4)^m_)*(m_*G4*(L4)^(m_-1))-(G4*(L4)^m_)*SQRT(1+(m_*G4*(L4)^(m_-1))^2)-(A4))*((L4)*1E-6)/(((L4+((L4)*1E-6))+(G4*(L4+((L4)*1E-6))^m_)*(m_*G4*(L4+((L4)*1E-6))^(m_-1))-(G4*(L4+((L4)*1E-6))^m_)*SQRT(1+(m_*G4*(L4+((L4)*1E-6))^(m_-1))^2)-(A4))-((L4)+(G4*(L4)^m_)*(m_*G4*(L4)^(m_-1))-(G4*(L4)^m_)*SQRT(1+(m_*G4*(L4)^(m_-1))^2)-(A4)))</f>
        <v/>
      </c>
      <c r="N4">
        <f>M4-((M4)+(G4*(M4)^m_)*(m_*G4*(M4)^(m_-1))-(G4*(M4)^m_)*SQRT(1+(m_*G4*(M4)^(m_-1))^2)-(A4))*((M4)*1E-6)/(((M4+((M4)*1E-6))+(G4*(M4+((M4)*1E-6))^m_)*(m_*G4*(M4+((M4)*1E-6))^(m_-1))-(G4*(M4+((M4)*1E-6))^m_)*SQRT(1+(m_*G4*(M4+((M4)*1E-6))^(m_-1))^2)-(A4))-((M4)+(G4*(M4)^m_)*(m_*G4*(M4)^(m_-1))-(G4*(M4)^m_)*SQRT(1+(m_*G4*(M4)^(m_-1))^2)-(A4)))</f>
        <v/>
      </c>
      <c r="O4">
        <f>N4-((N4)+(G4*(N4)^m_)*(m_*G4*(N4)^(m_-1))-(G4*(N4)^m_)*SQRT(1+(m_*G4*(N4)^(m_-1))^2)-(A4))*((N4)*1E-6)/(((N4+((N4)*1E-6))+(G4*(N4+((N4)*1E-6))^m_)*(m_*G4*(N4+((N4)*1E-6))^(m_-1))-(G4*(N4+((N4)*1E-6))^m_)*SQRT(1+(m_*G4*(N4+((N4)*1E-6))^(m_-1))^2)-(A4))-((N4)+(G4*(N4)^m_)*(m_*G4*(N4)^(m_-1))-(G4*(N4)^m_)*SQRT(1+(m_*G4*(N4)^(m_-1))^2)-(A4)))</f>
        <v/>
      </c>
      <c r="P4">
        <f>O4-((O4)+(G4*(O4)^m_)*(m_*G4*(O4)^(m_-1))-(G4*(O4)^m_)*SQRT(1+(m_*G4*(O4)^(m_-1))^2)-(A4))*((O4)*1E-6)/(((O4+((O4)*1E-6))+(G4*(O4+((O4)*1E-6))^m_)*(m_*G4*(O4+((O4)*1E-6))^(m_-1))-(G4*(O4+((O4)*1E-6))^m_)*SQRT(1+(m_*G4*(O4+((O4)*1E-6))^(m_-1))^2)-(A4))-((O4)+(G4*(O4)^m_)*(m_*G4*(O4)^(m_-1))-(G4*(O4)^m_)*SQRT(1+(m_*G4*(O4)^(m_-1))^2)-(A4)))</f>
        <v/>
      </c>
      <c r="Q4">
        <f>P4-((P4)+(G4*(P4)^m_)*(m_*G4*(P4)^(m_-1))-(G4*(P4)^m_)*SQRT(1+(m_*G4*(P4)^(m_-1))^2)-(A4))*((P4)*1E-6)/(((P4+((P4)*1E-6))+(G4*(P4+((P4)*1E-6))^m_)*(m_*G4*(P4+((P4)*1E-6))^(m_-1))-(G4*(P4+((P4)*1E-6))^m_)*SQRT(1+(m_*G4*(P4+((P4)*1E-6))^(m_-1))^2)-(A4))-((P4)+(G4*(P4)^m_)*(m_*G4*(P4)^(m_-1))-(G4*(P4)^m_)*SQRT(1+(m_*G4*(P4)^(m_-1))^2)-(A4)))</f>
        <v/>
      </c>
    </row>
    <row r="5">
      <c r="A5" t="n">
        <v>2</v>
      </c>
      <c r="B5">
        <f>Q5</f>
        <v/>
      </c>
      <c r="C5">
        <f>TAN(RADIANS(pe0-omega*e_base))*sref^(1-m_)*B5^m_</f>
        <v/>
      </c>
      <c r="D5">
        <f>DEGREES(ATAN(m_*C5/B5))</f>
        <v/>
      </c>
      <c r="E5">
        <f>(1-m_)*C5*1000</f>
        <v/>
      </c>
      <c r="F5">
        <f>2*C5/COS(RADIANS(D5))</f>
        <v/>
      </c>
      <c r="G5">
        <f>TAN(RADIANS(pe0-omega*e_base))*sref^(1-m_)</f>
        <v/>
      </c>
      <c r="H5">
        <f>2*A5-((2*A5)+(G5*(2*A5)^m_)*(m_*G5*(2*A5)^(m_-1))-(G5*(2*A5)^m_)*SQRT(1+(m_*G5*(2*A5)^(m_-1))^2)-(A5))*((2*A5)*1E-6)/(((2*A5+((2*A5)*1E-6))+(G5*(2*A5+((2*A5)*1E-6))^m_)*(m_*G5*(2*A5+((2*A5)*1E-6))^(m_-1))-(G5*(2*A5+((2*A5)*1E-6))^m_)*SQRT(1+(m_*G5*(2*A5+((2*A5)*1E-6))^(m_-1))^2)-(A5))-((2*A5)+(G5*(2*A5)^m_)*(m_*G5*(2*A5)^(m_-1))-(G5*(2*A5)^m_)*SQRT(1+(m_*G5*(2*A5)^(m_-1))^2)-(A5)))</f>
        <v/>
      </c>
      <c r="I5">
        <f>H5-((H5)+(G5*(H5)^m_)*(m_*G5*(H5)^(m_-1))-(G5*(H5)^m_)*SQRT(1+(m_*G5*(H5)^(m_-1))^2)-(A5))*((H5)*1E-6)/(((H5+((H5)*1E-6))+(G5*(H5+((H5)*1E-6))^m_)*(m_*G5*(H5+((H5)*1E-6))^(m_-1))-(G5*(H5+((H5)*1E-6))^m_)*SQRT(1+(m_*G5*(H5+((H5)*1E-6))^(m_-1))^2)-(A5))-((H5)+(G5*(H5)^m_)*(m_*G5*(H5)^(m_-1))-(G5*(H5)^m_)*SQRT(1+(m_*G5*(H5)^(m_-1))^2)-(A5)))</f>
        <v/>
      </c>
      <c r="J5">
        <f>I5-((I5)+(G5*(I5)^m_)*(m_*G5*(I5)^(m_-1))-(G5*(I5)^m_)*SQRT(1+(m_*G5*(I5)^(m_-1))^2)-(A5))*((I5)*1E-6)/(((I5+((I5)*1E-6))+(G5*(I5+((I5)*1E-6))^m_)*(m_*G5*(I5+((I5)*1E-6))^(m_-1))-(G5*(I5+((I5)*1E-6))^m_)*SQRT(1+(m_*G5*(I5+((I5)*1E-6))^(m_-1))^2)-(A5))-((I5)+(G5*(I5)^m_)*(m_*G5*(I5)^(m_-1))-(G5*(I5)^m_)*SQRT(1+(m_*G5*(I5)^(m_-1))^2)-(A5)))</f>
        <v/>
      </c>
      <c r="K5">
        <f>J5-((J5)+(G5*(J5)^m_)*(m_*G5*(J5)^(m_-1))-(G5*(J5)^m_)*SQRT(1+(m_*G5*(J5)^(m_-1))^2)-(A5))*((J5)*1E-6)/(((J5+((J5)*1E-6))+(G5*(J5+((J5)*1E-6))^m_)*(m_*G5*(J5+((J5)*1E-6))^(m_-1))-(G5*(J5+((J5)*1E-6))^m_)*SQRT(1+(m_*G5*(J5+((J5)*1E-6))^(m_-1))^2)-(A5))-((J5)+(G5*(J5)^m_)*(m_*G5*(J5)^(m_-1))-(G5*(J5)^m_)*SQRT(1+(m_*G5*(J5)^(m_-1))^2)-(A5)))</f>
        <v/>
      </c>
      <c r="L5">
        <f>K5-((K5)+(G5*(K5)^m_)*(m_*G5*(K5)^(m_-1))-(G5*(K5)^m_)*SQRT(1+(m_*G5*(K5)^(m_-1))^2)-(A5))*((K5)*1E-6)/(((K5+((K5)*1E-6))+(G5*(K5+((K5)*1E-6))^m_)*(m_*G5*(K5+((K5)*1E-6))^(m_-1))-(G5*(K5+((K5)*1E-6))^m_)*SQRT(1+(m_*G5*(K5+((K5)*1E-6))^(m_-1))^2)-(A5))-((K5)+(G5*(K5)^m_)*(m_*G5*(K5)^(m_-1))-(G5*(K5)^m_)*SQRT(1+(m_*G5*(K5)^(m_-1))^2)-(A5)))</f>
        <v/>
      </c>
      <c r="M5">
        <f>L5-((L5)+(G5*(L5)^m_)*(m_*G5*(L5)^(m_-1))-(G5*(L5)^m_)*SQRT(1+(m_*G5*(L5)^(m_-1))^2)-(A5))*((L5)*1E-6)/(((L5+((L5)*1E-6))+(G5*(L5+((L5)*1E-6))^m_)*(m_*G5*(L5+((L5)*1E-6))^(m_-1))-(G5*(L5+((L5)*1E-6))^m_)*SQRT(1+(m_*G5*(L5+((L5)*1E-6))^(m_-1))^2)-(A5))-((L5)+(G5*(L5)^m_)*(m_*G5*(L5)^(m_-1))-(G5*(L5)^m_)*SQRT(1+(m_*G5*(L5)^(m_-1))^2)-(A5)))</f>
        <v/>
      </c>
      <c r="N5">
        <f>M5-((M5)+(G5*(M5)^m_)*(m_*G5*(M5)^(m_-1))-(G5*(M5)^m_)*SQRT(1+(m_*G5*(M5)^(m_-1))^2)-(A5))*((M5)*1E-6)/(((M5+((M5)*1E-6))+(G5*(M5+((M5)*1E-6))^m_)*(m_*G5*(M5+((M5)*1E-6))^(m_-1))-(G5*(M5+((M5)*1E-6))^m_)*SQRT(1+(m_*G5*(M5+((M5)*1E-6))^(m_-1))^2)-(A5))-((M5)+(G5*(M5)^m_)*(m_*G5*(M5)^(m_-1))-(G5*(M5)^m_)*SQRT(1+(m_*G5*(M5)^(m_-1))^2)-(A5)))</f>
        <v/>
      </c>
      <c r="O5">
        <f>N5-((N5)+(G5*(N5)^m_)*(m_*G5*(N5)^(m_-1))-(G5*(N5)^m_)*SQRT(1+(m_*G5*(N5)^(m_-1))^2)-(A5))*((N5)*1E-6)/(((N5+((N5)*1E-6))+(G5*(N5+((N5)*1E-6))^m_)*(m_*G5*(N5+((N5)*1E-6))^(m_-1))-(G5*(N5+((N5)*1E-6))^m_)*SQRT(1+(m_*G5*(N5+((N5)*1E-6))^(m_-1))^2)-(A5))-((N5)+(G5*(N5)^m_)*(m_*G5*(N5)^(m_-1))-(G5*(N5)^m_)*SQRT(1+(m_*G5*(N5)^(m_-1))^2)-(A5)))</f>
        <v/>
      </c>
      <c r="P5">
        <f>O5-((O5)+(G5*(O5)^m_)*(m_*G5*(O5)^(m_-1))-(G5*(O5)^m_)*SQRT(1+(m_*G5*(O5)^(m_-1))^2)-(A5))*((O5)*1E-6)/(((O5+((O5)*1E-6))+(G5*(O5+((O5)*1E-6))^m_)*(m_*G5*(O5+((O5)*1E-6))^(m_-1))-(G5*(O5+((O5)*1E-6))^m_)*SQRT(1+(m_*G5*(O5+((O5)*1E-6))^(m_-1))^2)-(A5))-((O5)+(G5*(O5)^m_)*(m_*G5*(O5)^(m_-1))-(G5*(O5)^m_)*SQRT(1+(m_*G5*(O5)^(m_-1))^2)-(A5)))</f>
        <v/>
      </c>
      <c r="Q5">
        <f>P5-((P5)+(G5*(P5)^m_)*(m_*G5*(P5)^(m_-1))-(G5*(P5)^m_)*SQRT(1+(m_*G5*(P5)^(m_-1))^2)-(A5))*((P5)*1E-6)/(((P5+((P5)*1E-6))+(G5*(P5+((P5)*1E-6))^m_)*(m_*G5*(P5+((P5)*1E-6))^(m_-1))-(G5*(P5+((P5)*1E-6))^m_)*SQRT(1+(m_*G5*(P5+((P5)*1E-6))^(m_-1))^2)-(A5))-((P5)+(G5*(P5)^m_)*(m_*G5*(P5)^(m_-1))-(G5*(P5)^m_)*SQRT(1+(m_*G5*(P5)^(m_-1))^2)-(A5)))</f>
        <v/>
      </c>
    </row>
    <row r="6">
      <c r="A6" t="n">
        <v>5</v>
      </c>
      <c r="B6">
        <f>Q6</f>
        <v/>
      </c>
      <c r="C6">
        <f>TAN(RADIANS(pe0-omega*e_base))*sref^(1-m_)*B6^m_</f>
        <v/>
      </c>
      <c r="D6">
        <f>DEGREES(ATAN(m_*C6/B6))</f>
        <v/>
      </c>
      <c r="E6">
        <f>(1-m_)*C6*1000</f>
        <v/>
      </c>
      <c r="F6">
        <f>2*C6/COS(RADIANS(D6))</f>
        <v/>
      </c>
      <c r="G6">
        <f>TAN(RADIANS(pe0-omega*e_base))*sref^(1-m_)</f>
        <v/>
      </c>
      <c r="H6">
        <f>2*A6-((2*A6)+(G6*(2*A6)^m_)*(m_*G6*(2*A6)^(m_-1))-(G6*(2*A6)^m_)*SQRT(1+(m_*G6*(2*A6)^(m_-1))^2)-(A6))*((2*A6)*1E-6)/(((2*A6+((2*A6)*1E-6))+(G6*(2*A6+((2*A6)*1E-6))^m_)*(m_*G6*(2*A6+((2*A6)*1E-6))^(m_-1))-(G6*(2*A6+((2*A6)*1E-6))^m_)*SQRT(1+(m_*G6*(2*A6+((2*A6)*1E-6))^(m_-1))^2)-(A6))-((2*A6)+(G6*(2*A6)^m_)*(m_*G6*(2*A6)^(m_-1))-(G6*(2*A6)^m_)*SQRT(1+(m_*G6*(2*A6)^(m_-1))^2)-(A6)))</f>
        <v/>
      </c>
      <c r="I6">
        <f>H6-((H6)+(G6*(H6)^m_)*(m_*G6*(H6)^(m_-1))-(G6*(H6)^m_)*SQRT(1+(m_*G6*(H6)^(m_-1))^2)-(A6))*((H6)*1E-6)/(((H6+((H6)*1E-6))+(G6*(H6+((H6)*1E-6))^m_)*(m_*G6*(H6+((H6)*1E-6))^(m_-1))-(G6*(H6+((H6)*1E-6))^m_)*SQRT(1+(m_*G6*(H6+((H6)*1E-6))^(m_-1))^2)-(A6))-((H6)+(G6*(H6)^m_)*(m_*G6*(H6)^(m_-1))-(G6*(H6)^m_)*SQRT(1+(m_*G6*(H6)^(m_-1))^2)-(A6)))</f>
        <v/>
      </c>
      <c r="J6">
        <f>I6-((I6)+(G6*(I6)^m_)*(m_*G6*(I6)^(m_-1))-(G6*(I6)^m_)*SQRT(1+(m_*G6*(I6)^(m_-1))^2)-(A6))*((I6)*1E-6)/(((I6+((I6)*1E-6))+(G6*(I6+((I6)*1E-6))^m_)*(m_*G6*(I6+((I6)*1E-6))^(m_-1))-(G6*(I6+((I6)*1E-6))^m_)*SQRT(1+(m_*G6*(I6+((I6)*1E-6))^(m_-1))^2)-(A6))-((I6)+(G6*(I6)^m_)*(m_*G6*(I6)^(m_-1))-(G6*(I6)^m_)*SQRT(1+(m_*G6*(I6)^(m_-1))^2)-(A6)))</f>
        <v/>
      </c>
      <c r="K6">
        <f>J6-((J6)+(G6*(J6)^m_)*(m_*G6*(J6)^(m_-1))-(G6*(J6)^m_)*SQRT(1+(m_*G6*(J6)^(m_-1))^2)-(A6))*((J6)*1E-6)/(((J6+((J6)*1E-6))+(G6*(J6+((J6)*1E-6))^m_)*(m_*G6*(J6+((J6)*1E-6))^(m_-1))-(G6*(J6+((J6)*1E-6))^m_)*SQRT(1+(m_*G6*(J6+((J6)*1E-6))^(m_-1))^2)-(A6))-((J6)+(G6*(J6)^m_)*(m_*G6*(J6)^(m_-1))-(G6*(J6)^m_)*SQRT(1+(m_*G6*(J6)^(m_-1))^2)-(A6)))</f>
        <v/>
      </c>
      <c r="L6">
        <f>K6-((K6)+(G6*(K6)^m_)*(m_*G6*(K6)^(m_-1))-(G6*(K6)^m_)*SQRT(1+(m_*G6*(K6)^(m_-1))^2)-(A6))*((K6)*1E-6)/(((K6+((K6)*1E-6))+(G6*(K6+((K6)*1E-6))^m_)*(m_*G6*(K6+((K6)*1E-6))^(m_-1))-(G6*(K6+((K6)*1E-6))^m_)*SQRT(1+(m_*G6*(K6+((K6)*1E-6))^(m_-1))^2)-(A6))-((K6)+(G6*(K6)^m_)*(m_*G6*(K6)^(m_-1))-(G6*(K6)^m_)*SQRT(1+(m_*G6*(K6)^(m_-1))^2)-(A6)))</f>
        <v/>
      </c>
      <c r="M6">
        <f>L6-((L6)+(G6*(L6)^m_)*(m_*G6*(L6)^(m_-1))-(G6*(L6)^m_)*SQRT(1+(m_*G6*(L6)^(m_-1))^2)-(A6))*((L6)*1E-6)/(((L6+((L6)*1E-6))+(G6*(L6+((L6)*1E-6))^m_)*(m_*G6*(L6+((L6)*1E-6))^(m_-1))-(G6*(L6+((L6)*1E-6))^m_)*SQRT(1+(m_*G6*(L6+((L6)*1E-6))^(m_-1))^2)-(A6))-((L6)+(G6*(L6)^m_)*(m_*G6*(L6)^(m_-1))-(G6*(L6)^m_)*SQRT(1+(m_*G6*(L6)^(m_-1))^2)-(A6)))</f>
        <v/>
      </c>
      <c r="N6">
        <f>M6-((M6)+(G6*(M6)^m_)*(m_*G6*(M6)^(m_-1))-(G6*(M6)^m_)*SQRT(1+(m_*G6*(M6)^(m_-1))^2)-(A6))*((M6)*1E-6)/(((M6+((M6)*1E-6))+(G6*(M6+((M6)*1E-6))^m_)*(m_*G6*(M6+((M6)*1E-6))^(m_-1))-(G6*(M6+((M6)*1E-6))^m_)*SQRT(1+(m_*G6*(M6+((M6)*1E-6))^(m_-1))^2)-(A6))-((M6)+(G6*(M6)^m_)*(m_*G6*(M6)^(m_-1))-(G6*(M6)^m_)*SQRT(1+(m_*G6*(M6)^(m_-1))^2)-(A6)))</f>
        <v/>
      </c>
      <c r="O6">
        <f>N6-((N6)+(G6*(N6)^m_)*(m_*G6*(N6)^(m_-1))-(G6*(N6)^m_)*SQRT(1+(m_*G6*(N6)^(m_-1))^2)-(A6))*((N6)*1E-6)/(((N6+((N6)*1E-6))+(G6*(N6+((N6)*1E-6))^m_)*(m_*G6*(N6+((N6)*1E-6))^(m_-1))-(G6*(N6+((N6)*1E-6))^m_)*SQRT(1+(m_*G6*(N6+((N6)*1E-6))^(m_-1))^2)-(A6))-((N6)+(G6*(N6)^m_)*(m_*G6*(N6)^(m_-1))-(G6*(N6)^m_)*SQRT(1+(m_*G6*(N6)^(m_-1))^2)-(A6)))</f>
        <v/>
      </c>
      <c r="P6">
        <f>O6-((O6)+(G6*(O6)^m_)*(m_*G6*(O6)^(m_-1))-(G6*(O6)^m_)*SQRT(1+(m_*G6*(O6)^(m_-1))^2)-(A6))*((O6)*1E-6)/(((O6+((O6)*1E-6))+(G6*(O6+((O6)*1E-6))^m_)*(m_*G6*(O6+((O6)*1E-6))^(m_-1))-(G6*(O6+((O6)*1E-6))^m_)*SQRT(1+(m_*G6*(O6+((O6)*1E-6))^(m_-1))^2)-(A6))-((O6)+(G6*(O6)^m_)*(m_*G6*(O6)^(m_-1))-(G6*(O6)^m_)*SQRT(1+(m_*G6*(O6)^(m_-1))^2)-(A6)))</f>
        <v/>
      </c>
      <c r="Q6">
        <f>P6-((P6)+(G6*(P6)^m_)*(m_*G6*(P6)^(m_-1))-(G6*(P6)^m_)*SQRT(1+(m_*G6*(P6)^(m_-1))^2)-(A6))*((P6)*1E-6)/(((P6+((P6)*1E-6))+(G6*(P6+((P6)*1E-6))^m_)*(m_*G6*(P6+((P6)*1E-6))^(m_-1))-(G6*(P6+((P6)*1E-6))^m_)*SQRT(1+(m_*G6*(P6+((P6)*1E-6))^(m_-1))^2)-(A6))-((P6)+(G6*(P6)^m_)*(m_*G6*(P6)^(m_-1))-(G6*(P6)^m_)*SQRT(1+(m_*G6*(P6)^(m_-1))^2)-(A6)))</f>
        <v/>
      </c>
    </row>
    <row r="8">
      <c r="A8" t="inlineStr">
        <is>
          <t>σ′n de tangencia: σ′3 = σ′n + τ·tan φ′t − τ·√(1 + tan² φ′t), resuelta con 10 pasos de Newton (columnas H a Q); tan φ′t = m·τ/σ′n, c′t = (1 − m)·τ.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8" customWidth="1" min="4" max="4"/>
    <col width="7" customWidth="1" min="5" max="5"/>
    <col width="7" customWidth="1" min="6" max="6"/>
    <col width="8" customWidth="1" min="7" max="7"/>
  </cols>
  <sheetData>
    <row r="1">
      <c r="A1" s="3" t="inlineStr">
        <is>
          <t>Material</t>
        </is>
      </c>
      <c r="B1" s="3" t="inlineStr">
        <is>
          <t>Fuente</t>
        </is>
      </c>
      <c r="C1" s="3" t="inlineStr">
        <is>
          <t>γ (kN/m³)</t>
        </is>
      </c>
      <c r="D1" s="3" t="inlineStr">
        <is>
          <t>w</t>
        </is>
      </c>
      <c r="E1" s="3" t="inlineStr">
        <is>
          <t>Gs</t>
        </is>
      </c>
      <c r="F1" s="3" t="inlineStr">
        <is>
          <t>γw</t>
        </is>
      </c>
      <c r="G1" s="3" t="inlineStr">
        <is>
          <t>e</t>
        </is>
      </c>
    </row>
    <row r="2">
      <c r="A2" t="inlineStr">
        <is>
          <t>ROM</t>
        </is>
      </c>
      <c r="B2" t="inlineStr">
        <is>
          <t>SDA, INF-115-R-0005 (Stantec 2025), valor adoptado</t>
        </is>
      </c>
      <c r="C2" t="n">
        <v>20</v>
      </c>
      <c r="D2" t="n">
        <v>0.029</v>
      </c>
      <c r="E2" t="n">
        <v>2.75</v>
      </c>
      <c r="F2" t="n">
        <v>9.81</v>
      </c>
      <c r="G2">
        <f>E2*F2*(1+D2)/C2-1</f>
        <v/>
      </c>
    </row>
    <row r="3">
      <c r="A3" t="inlineStr">
        <is>
          <t>ROM</t>
        </is>
      </c>
      <c r="B3" t="inlineStr">
        <is>
          <t>DDE, INF-115-R-0004, Tabla 9-3</t>
        </is>
      </c>
      <c r="C3" t="n">
        <v>19.6</v>
      </c>
      <c r="D3" t="n">
        <v>0.029</v>
      </c>
      <c r="E3" t="n">
        <v>2.75</v>
      </c>
      <c r="F3" t="n">
        <v>9.81</v>
      </c>
      <c r="G3">
        <f>E3*F3*(1+D3)/C3-1</f>
        <v/>
      </c>
    </row>
    <row r="4">
      <c r="A4" t="inlineStr">
        <is>
          <t>ROM</t>
        </is>
      </c>
      <c r="B4" t="inlineStr">
        <is>
          <t>Golder 2010, citado en el DDE (p. 59)</t>
        </is>
      </c>
      <c r="C4" t="n">
        <v>20.75</v>
      </c>
      <c r="D4" t="n">
        <v>0.029</v>
      </c>
      <c r="E4" t="n">
        <v>2.75</v>
      </c>
      <c r="F4" t="n">
        <v>9.81</v>
      </c>
      <c r="G4">
        <f>E4*F4*(1+D4)/C4-1</f>
        <v/>
      </c>
    </row>
    <row r="5">
      <c r="A5" t="inlineStr">
        <is>
          <t>Chancado</t>
        </is>
      </c>
      <c r="B5" t="inlineStr">
        <is>
          <t>Golder 2010, citado en el DDE</t>
        </is>
      </c>
      <c r="C5" t="n">
        <v>21.66</v>
      </c>
      <c r="D5" t="n">
        <v>0.028</v>
      </c>
      <c r="E5" t="n">
        <v>2.75</v>
      </c>
      <c r="F5" t="n">
        <v>9.81</v>
      </c>
      <c r="G5">
        <f>E5*F5*(1+D5)/C5-1</f>
        <v/>
      </c>
    </row>
    <row r="6">
      <c r="A6" t="inlineStr">
        <is>
          <t>Chancado</t>
        </is>
      </c>
      <c r="B6" t="inlineStr">
        <is>
          <t>SDA, valor adoptado</t>
        </is>
      </c>
      <c r="C6" t="n">
        <v>22</v>
      </c>
      <c r="D6" t="n">
        <v>0.028</v>
      </c>
      <c r="E6" t="n">
        <v>2.75</v>
      </c>
      <c r="F6" t="n">
        <v>9.81</v>
      </c>
      <c r="G6">
        <f>E6*F6*(1+D6)/C6-1</f>
        <v/>
      </c>
    </row>
    <row r="7">
      <c r="A7" t="inlineStr">
        <is>
          <t>Enrocado 3B</t>
        </is>
      </c>
      <c r="B7" t="inlineStr">
        <is>
          <t>DDE y SDA</t>
        </is>
      </c>
      <c r="C7" t="n">
        <v>22</v>
      </c>
      <c r="D7" t="n">
        <v>0.029</v>
      </c>
      <c r="E7" t="n">
        <v>2.75</v>
      </c>
      <c r="F7" t="n">
        <v>9.81</v>
      </c>
      <c r="G7">
        <f>E7*F7*(1+D7)/C7-1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6" customWidth="1" min="4" max="4"/>
    <col width="10" customWidth="1" min="5" max="5"/>
  </cols>
  <sheetData>
    <row r="1">
      <c r="A1" s="3" t="inlineStr">
        <is>
          <t>Profundidad (m)</t>
        </is>
      </c>
      <c r="B1" s="3" t="inlineStr">
        <is>
          <t>σ′v perfil A (MPa)</t>
        </is>
      </c>
      <c r="C1" s="3" t="inlineStr">
        <is>
          <t>e perfil A</t>
        </is>
      </c>
      <c r="D1" s="3" t="inlineStr">
        <is>
          <t>σ′v perfil V (MPa)</t>
        </is>
      </c>
      <c r="E1" s="3" t="inlineStr">
        <is>
          <t>e perfil V</t>
        </is>
      </c>
      <c r="G1" t="inlineStr">
        <is>
          <t>Valenzuela et al. (2008), curva de diseño (lectura de la figura): altura (m)</t>
        </is>
      </c>
      <c r="H1" t="inlineStr">
        <is>
          <t>γd (t/m³)</t>
        </is>
      </c>
    </row>
    <row r="2">
      <c r="A2" t="n">
        <v>0</v>
      </c>
      <c r="B2" t="n">
        <v>0</v>
      </c>
      <c r="C2" t="n">
        <v>0.45</v>
      </c>
      <c r="D2" t="n">
        <v>0</v>
      </c>
      <c r="E2" t="n">
        <v>0.45</v>
      </c>
      <c r="G2" t="n">
        <v>0</v>
      </c>
      <c r="H2" t="n">
        <v>1.84</v>
      </c>
    </row>
    <row r="3">
      <c r="A3" t="n">
        <v>10</v>
      </c>
      <c r="B3" t="n">
        <v>0.1979878077495044</v>
      </c>
      <c r="C3" t="n">
        <v>0.4053282392091527</v>
      </c>
      <c r="D3" t="n">
        <v>0.1961134223632267</v>
      </c>
      <c r="E3" t="n">
        <v>0.4382008009153319</v>
      </c>
      <c r="G3" t="n">
        <v>40</v>
      </c>
      <c r="H3" t="n">
        <v>1.9</v>
      </c>
    </row>
    <row r="4">
      <c r="A4" t="n">
        <v>20</v>
      </c>
      <c r="B4" t="n">
        <v>0.4013215504788309</v>
      </c>
      <c r="C4" t="n">
        <v>0.3823929308437676</v>
      </c>
      <c r="D4" t="n">
        <v>0.3938420991392839</v>
      </c>
      <c r="E4" t="n">
        <v>0.4264016018306637</v>
      </c>
      <c r="G4" t="n">
        <v>80</v>
      </c>
      <c r="H4" t="n">
        <v>1.95</v>
      </c>
    </row>
    <row r="5">
      <c r="A5" t="n">
        <v>30</v>
      </c>
      <c r="B5" t="n">
        <v>0.6072499035564938</v>
      </c>
      <c r="C5" t="n">
        <v>0.3689484669960268</v>
      </c>
      <c r="D5" t="n">
        <v>0.5932128589795993</v>
      </c>
      <c r="E5" t="n">
        <v>0.4146024027459956</v>
      </c>
      <c r="G5" t="n">
        <v>120</v>
      </c>
      <c r="H5" t="n">
        <v>2</v>
      </c>
    </row>
    <row r="6">
      <c r="A6" t="n">
        <v>40</v>
      </c>
      <c r="B6" t="n">
        <v>0.8148938099150808</v>
      </c>
      <c r="C6" t="n">
        <v>0.3594012283856653</v>
      </c>
      <c r="D6" t="n">
        <v>0.7942532045548797</v>
      </c>
      <c r="E6" t="n">
        <v>0.4028032036613274</v>
      </c>
      <c r="G6" t="n">
        <v>160</v>
      </c>
      <c r="H6" t="n">
        <v>2.05</v>
      </c>
    </row>
    <row r="7">
      <c r="A7" t="n">
        <v>50</v>
      </c>
      <c r="B7" t="n">
        <v>1.023832382745292</v>
      </c>
      <c r="C7" t="n">
        <v>0.3515847866578273</v>
      </c>
      <c r="D7" t="n">
        <v>0.9968172533971081</v>
      </c>
      <c r="E7" t="n">
        <v>0.3935252009622721</v>
      </c>
      <c r="G7" t="n">
        <v>200</v>
      </c>
      <c r="H7" t="n">
        <v>2.1</v>
      </c>
    </row>
    <row r="8">
      <c r="A8" t="n">
        <v>60</v>
      </c>
      <c r="B8" t="n">
        <v>1.234120675332481</v>
      </c>
      <c r="C8" t="n">
        <v>0.3422905735770674</v>
      </c>
      <c r="D8" t="n">
        <v>1.200734249563864</v>
      </c>
      <c r="E8" t="n">
        <v>0.3842471982632168</v>
      </c>
      <c r="G8" t="n">
        <v>240</v>
      </c>
      <c r="H8" t="n">
        <v>2.14</v>
      </c>
    </row>
    <row r="9">
      <c r="A9" t="n">
        <v>70</v>
      </c>
      <c r="B9" t="n">
        <v>1.44575688453215</v>
      </c>
      <c r="C9" t="n">
        <v>0.3344159033560062</v>
      </c>
      <c r="D9" t="n">
        <v>1.406022387611298</v>
      </c>
      <c r="E9" t="n">
        <v>0.3749691955641615</v>
      </c>
      <c r="G9" t="n">
        <v>280</v>
      </c>
      <c r="H9" t="n">
        <v>2.18</v>
      </c>
    </row>
    <row r="10">
      <c r="A10" t="n">
        <v>80</v>
      </c>
      <c r="B10" t="n">
        <v>1.658562308470221</v>
      </c>
      <c r="C10" t="n">
        <v>0.3275838686451243</v>
      </c>
      <c r="D10" t="n">
        <v>1.61270023160457</v>
      </c>
      <c r="E10" t="n">
        <v>0.3656911928651062</v>
      </c>
      <c r="G10" t="n">
        <v>320</v>
      </c>
      <c r="H10" t="n">
        <v>2.21</v>
      </c>
    </row>
    <row r="11">
      <c r="A11" t="n">
        <v>90</v>
      </c>
      <c r="B11" t="n">
        <v>1.872401613339894</v>
      </c>
      <c r="C11" t="n">
        <v>0.3215502465361392</v>
      </c>
      <c r="D11" t="n">
        <v>1.820752968889046</v>
      </c>
      <c r="E11" t="n">
        <v>0.3568770903010036</v>
      </c>
      <c r="G11" t="n">
        <v>360</v>
      </c>
      <c r="H11" t="n">
        <v>2.24</v>
      </c>
    </row>
    <row r="12">
      <c r="A12" t="n">
        <v>100</v>
      </c>
      <c r="B12" t="n">
        <v>2.087168595626501</v>
      </c>
      <c r="C12" t="n">
        <v>0.3161477068656509</v>
      </c>
      <c r="D12" t="n">
        <v>2.030161383037141</v>
      </c>
      <c r="E12" t="n">
        <v>0.348062987736901</v>
      </c>
      <c r="G12" t="n">
        <v>400</v>
      </c>
      <c r="H12" t="n">
        <v>2.27</v>
      </c>
    </row>
    <row r="13">
      <c r="A13" t="n">
        <v>110</v>
      </c>
      <c r="B13" t="n">
        <v>2.302777594004227</v>
      </c>
      <c r="C13" t="n">
        <v>0.3112565756548817</v>
      </c>
      <c r="D13" t="n">
        <v>2.240943257236737</v>
      </c>
      <c r="E13" t="n">
        <v>0.3392488851727984</v>
      </c>
      <c r="G13" t="n">
        <v>440</v>
      </c>
      <c r="H13" t="n">
        <v>2.3</v>
      </c>
    </row>
    <row r="14">
      <c r="A14" t="n">
        <v>120</v>
      </c>
      <c r="B14" t="n">
        <v>2.519157992461281</v>
      </c>
      <c r="C14" t="n">
        <v>0.3067882960919994</v>
      </c>
      <c r="D14" t="n">
        <v>2.453116726895475</v>
      </c>
      <c r="E14" t="n">
        <v>0.3304347826086958</v>
      </c>
      <c r="G14" t="n">
        <v>480</v>
      </c>
      <c r="H14" t="n">
        <v>2.32</v>
      </c>
    </row>
    <row r="15">
      <c r="A15" t="n">
        <v>130</v>
      </c>
      <c r="B15" t="n">
        <v>2.736250534203471</v>
      </c>
      <c r="C15" t="n">
        <v>0.3026754951653088</v>
      </c>
      <c r="D15" t="n">
        <v>2.666667329447628</v>
      </c>
      <c r="E15" t="n">
        <v>0.3220506362672324</v>
      </c>
      <c r="G15" t="n">
        <v>520</v>
      </c>
      <c r="H15" t="n">
        <v>2.34</v>
      </c>
    </row>
    <row r="16">
      <c r="A16" t="n">
        <v>140</v>
      </c>
      <c r="B16" t="n">
        <v>2.954004755070506</v>
      </c>
      <c r="C16" t="n">
        <v>0.2988657228348998</v>
      </c>
      <c r="D16" t="n">
        <v>2.881576322676452</v>
      </c>
      <c r="E16" t="n">
        <v>0.313666489925769</v>
      </c>
      <c r="G16" t="n">
        <v>560</v>
      </c>
      <c r="H16" t="n">
        <v>2.355</v>
      </c>
    </row>
    <row r="17">
      <c r="A17" t="n">
        <v>150</v>
      </c>
      <c r="B17" t="n">
        <v>3.172377140097938</v>
      </c>
      <c r="C17" t="n">
        <v>0.2953173459488598</v>
      </c>
      <c r="D17" t="n">
        <v>3.097861098657748</v>
      </c>
      <c r="E17" t="n">
        <v>0.3052823435843056</v>
      </c>
      <c r="G17" t="n">
        <v>600</v>
      </c>
      <c r="H17" t="n">
        <v>2.37</v>
      </c>
    </row>
    <row r="18">
      <c r="A18" t="n">
        <v>160</v>
      </c>
      <c r="B18" t="n">
        <v>3.391329764488307</v>
      </c>
      <c r="C18" t="n">
        <v>0.2919967640131948</v>
      </c>
      <c r="D18" t="n">
        <v>3.31553938563818</v>
      </c>
      <c r="E18" t="n">
        <v>0.2968981972428422</v>
      </c>
    </row>
    <row r="19">
      <c r="A19" t="n">
        <v>170</v>
      </c>
      <c r="B19" t="n">
        <v>3.610829269179326</v>
      </c>
      <c r="C19" t="n">
        <v>0.2888764669034085</v>
      </c>
      <c r="D19" t="n">
        <v>3.534597054561168</v>
      </c>
      <c r="E19" t="n">
        <v>0.288913295965258</v>
      </c>
    </row>
    <row r="20">
      <c r="A20" t="n">
        <v>180</v>
      </c>
      <c r="B20" t="n">
        <v>3.830846073676276</v>
      </c>
      <c r="C20" t="n">
        <v>0.2859336463373871</v>
      </c>
      <c r="D20" t="n">
        <v>3.755015813822409</v>
      </c>
      <c r="E20" t="n">
        <v>0.2809283946876738</v>
      </c>
    </row>
    <row r="21">
      <c r="A21" t="n">
        <v>190</v>
      </c>
      <c r="B21" t="n">
        <v>4.051353760997159</v>
      </c>
      <c r="C21" t="n">
        <v>0.2831491818246682</v>
      </c>
      <c r="D21" t="n">
        <v>3.976812683192638</v>
      </c>
      <c r="E21" t="n">
        <v>0.2729434934100896</v>
      </c>
    </row>
    <row r="22">
      <c r="A22" t="n">
        <v>200</v>
      </c>
      <c r="B22" t="n">
        <v>4.272328589975944</v>
      </c>
      <c r="C22" t="n">
        <v>0.2805068860741972</v>
      </c>
      <c r="D22" t="n">
        <v>4.200005003688043</v>
      </c>
      <c r="E22" t="n">
        <v>0.2649585921325053</v>
      </c>
    </row>
    <row r="23">
      <c r="A23" t="n">
        <v>210</v>
      </c>
      <c r="B23" t="n">
        <v>4.493749103474142</v>
      </c>
      <c r="C23" t="n">
        <v>0.2779929340587143</v>
      </c>
      <c r="D23" t="n">
        <v>4.424452425266412</v>
      </c>
      <c r="E23" t="n">
        <v>0.2588393219945436</v>
      </c>
    </row>
    <row r="24">
      <c r="A24" t="n">
        <v>220</v>
      </c>
      <c r="B24" t="n">
        <v>4.715595809951894</v>
      </c>
      <c r="C24" t="n">
        <v>0.2755954245758738</v>
      </c>
      <c r="D24" t="n">
        <v>4.649993424427469</v>
      </c>
      <c r="E24" t="n">
        <v>0.2527200518565818</v>
      </c>
    </row>
    <row r="25">
      <c r="A25" t="n">
        <v>230</v>
      </c>
      <c r="B25" t="n">
        <v>4.937850921939562</v>
      </c>
      <c r="C25" t="n">
        <v>0.2733040390378416</v>
      </c>
      <c r="D25" t="n">
        <v>4.876638709868147</v>
      </c>
      <c r="E25" t="n">
        <v>0.24660078171862</v>
      </c>
    </row>
    <row r="26">
      <c r="A26" t="n">
        <v>240</v>
      </c>
      <c r="B26" t="n">
        <v>5.160498139201482</v>
      </c>
      <c r="C26" t="n">
        <v>0.2711097727100327</v>
      </c>
      <c r="D26" t="n">
        <v>5.104399148354635</v>
      </c>
      <c r="E26" t="n">
        <v>0.2404815115806583</v>
      </c>
    </row>
    <row r="27">
      <c r="A27" t="n">
        <v>250</v>
      </c>
      <c r="B27" t="n">
        <v>5.383522467404347</v>
      </c>
      <c r="C27" t="n">
        <v>0.2690047206882689</v>
      </c>
      <c r="D27" t="n">
        <v>5.333266008299323</v>
      </c>
      <c r="E27" t="n">
        <v>0.2345868018147318</v>
      </c>
    </row>
    <row r="28">
      <c r="A28" t="n">
        <v>260</v>
      </c>
      <c r="B28" t="n">
        <v>5.606910065284615</v>
      </c>
      <c r="C28" t="n">
        <v>0.2669819057577048</v>
      </c>
      <c r="D28" t="n">
        <v>5.563228113640824</v>
      </c>
      <c r="E28" t="n">
        <v>0.2286920920488054</v>
      </c>
    </row>
    <row r="29">
      <c r="A29" t="n">
        <v>270</v>
      </c>
      <c r="B29" t="n">
        <v>5.830648114908795</v>
      </c>
      <c r="C29" t="n">
        <v>0.2650351386676079</v>
      </c>
      <c r="D29" t="n">
        <v>5.794295997428107</v>
      </c>
      <c r="E29" t="n">
        <v>0.222797382282879</v>
      </c>
    </row>
    <row r="30">
      <c r="A30" t="n">
        <v>280</v>
      </c>
      <c r="B30" t="n">
        <v>6.054724710808864</v>
      </c>
      <c r="C30" t="n">
        <v>0.2631589037617896</v>
      </c>
      <c r="D30" t="n">
        <v>6.026480345390168</v>
      </c>
      <c r="E30" t="n">
        <v>0.2169026725169526</v>
      </c>
    </row>
    <row r="31">
      <c r="A31" t="n">
        <v>290</v>
      </c>
      <c r="B31" t="n">
        <v>6.27912876466896</v>
      </c>
      <c r="C31" t="n">
        <v>0.2613482646358645</v>
      </c>
      <c r="D31" t="n">
        <v>6.259644576504417</v>
      </c>
      <c r="E31" t="n">
        <v>0.2126216728905671</v>
      </c>
    </row>
    <row r="32">
      <c r="A32" t="n">
        <v>300</v>
      </c>
      <c r="B32" t="n">
        <v>6.503849922919534</v>
      </c>
      <c r="C32" t="n">
        <v>0.2595987857550176</v>
      </c>
      <c r="D32" t="n">
        <v>6.493633347341969</v>
      </c>
      <c r="E32" t="n">
        <v>0.2083406732641817</v>
      </c>
    </row>
    <row r="33">
      <c r="A33" t="n">
        <v>310</v>
      </c>
      <c r="B33" t="n">
        <v>6.728878495118026</v>
      </c>
      <c r="C33" t="n">
        <v>0.2579064668977823</v>
      </c>
      <c r="D33" t="n">
        <v>6.72845251025171</v>
      </c>
      <c r="E33" t="n">
        <v>0.2040596736377962</v>
      </c>
    </row>
    <row r="34">
      <c r="A34" t="n">
        <v>320</v>
      </c>
      <c r="B34" t="n">
        <v>6.95420539140093</v>
      </c>
      <c r="C34" t="n">
        <v>0.2562676879868264</v>
      </c>
      <c r="D34" t="n">
        <v>6.964107980111962</v>
      </c>
      <c r="E34" t="n">
        <v>0.1997786740114108</v>
      </c>
    </row>
    <row r="35">
      <c r="A35" t="n">
        <v>330</v>
      </c>
      <c r="B35" t="n">
        <v>7.17982206761009</v>
      </c>
      <c r="C35" t="n">
        <v>0.2546791623922743</v>
      </c>
      <c r="D35" t="n">
        <v>7.20059496756221</v>
      </c>
      <c r="E35" t="n">
        <v>0.1956123440178749</v>
      </c>
    </row>
    <row r="36">
      <c r="A36" t="n">
        <v>340</v>
      </c>
      <c r="B36" t="n">
        <v>7.405720476947098</v>
      </c>
      <c r="C36" t="n">
        <v>0.2531378971925432</v>
      </c>
      <c r="D36" t="n">
        <v>7.437907405165642</v>
      </c>
      <c r="E36" t="n">
        <v>0.191446014024339</v>
      </c>
    </row>
    <row r="37">
      <c r="A37" t="n">
        <v>350</v>
      </c>
      <c r="B37" t="n">
        <v>7.631893027209666</v>
      </c>
      <c r="C37" t="n">
        <v>0.2516411591846066</v>
      </c>
      <c r="D37" t="n">
        <v>7.676051075526054</v>
      </c>
      <c r="E37" t="n">
        <v>0.1872796840308031</v>
      </c>
    </row>
    <row r="38">
      <c r="A38" t="n">
        <v>360</v>
      </c>
      <c r="B38" t="n">
        <v>7.858332542824064</v>
      </c>
      <c r="C38" t="n">
        <v>0.2501864456734747</v>
      </c>
      <c r="D38" t="n">
        <v>7.915031822225024</v>
      </c>
      <c r="E38" t="n">
        <v>0.1831133540372672</v>
      </c>
    </row>
    <row r="39">
      <c r="A39" t="n">
        <v>370</v>
      </c>
      <c r="B39" t="n">
        <v>8.085032231017196</v>
      </c>
      <c r="C39" t="n">
        <v>0.2487714592564761</v>
      </c>
      <c r="D39" t="n">
        <v>8.154844917190365</v>
      </c>
      <c r="E39" t="n">
        <v>0.1790571473034724</v>
      </c>
    </row>
    <row r="40">
      <c r="A40" t="n">
        <v>380</v>
      </c>
      <c r="B40" t="n">
        <v>8.311985651577114</v>
      </c>
      <c r="C40" t="n">
        <v>0.2473940859641442</v>
      </c>
      <c r="D40" t="n">
        <v>8.395484372061945</v>
      </c>
      <c r="E40" t="n">
        <v>0.1750009405696776</v>
      </c>
    </row>
    <row r="41">
      <c r="A41" t="n">
        <v>390</v>
      </c>
      <c r="B41" t="n">
        <v>8.539186689736669</v>
      </c>
      <c r="C41" t="n">
        <v>0.2460523762353857</v>
      </c>
      <c r="D41" t="n">
        <v>8.636955901561739</v>
      </c>
      <c r="E41" t="n">
        <v>0.1709447338358828</v>
      </c>
    </row>
    <row r="42">
      <c r="A42" t="n">
        <v>400</v>
      </c>
      <c r="B42" t="n">
        <v>8.766629531785858</v>
      </c>
      <c r="C42" t="n">
        <v>0.2447445282970425</v>
      </c>
      <c r="D42" t="n">
        <v>8.87926527989802</v>
      </c>
      <c r="E42" t="n">
        <v>0.166888527102088</v>
      </c>
    </row>
    <row r="43">
      <c r="A43" t="n">
        <v>410</v>
      </c>
      <c r="B43" t="n">
        <v>8.994308643076748</v>
      </c>
      <c r="C43" t="n">
        <v>0.2434688735921588</v>
      </c>
      <c r="D43" t="n">
        <v>9.1224078386927</v>
      </c>
      <c r="E43" t="n">
        <v>0.1629381344570008</v>
      </c>
    </row>
    <row r="44">
      <c r="A44" t="n">
        <v>420</v>
      </c>
      <c r="B44" t="n">
        <v>9.222218748133598</v>
      </c>
      <c r="C44" t="n">
        <v>0.2422238639611823</v>
      </c>
      <c r="D44" t="n">
        <v>9.366377666549043</v>
      </c>
      <c r="E44" t="n">
        <v>0.1589877418119137</v>
      </c>
    </row>
    <row r="45">
      <c r="A45" t="n">
        <v>430</v>
      </c>
      <c r="B45" t="n">
        <v>9.450354812621207</v>
      </c>
      <c r="C45" t="n">
        <v>0.2410080603289744</v>
      </c>
      <c r="D45" t="n">
        <v>9.611180412097507</v>
      </c>
      <c r="E45" t="n">
        <v>0.1550373491668266</v>
      </c>
    </row>
    <row r="46">
      <c r="A46" t="n">
        <v>440</v>
      </c>
      <c r="B46" t="n">
        <v>9.678712026958689</v>
      </c>
      <c r="C46" t="n">
        <v>0.2398201226902246</v>
      </c>
      <c r="D46" t="n">
        <v>9.856821782020459</v>
      </c>
      <c r="E46" t="n">
        <v>0.1510869565217395</v>
      </c>
    </row>
    <row r="47">
      <c r="A47" t="n">
        <v>450</v>
      </c>
      <c r="B47" t="n">
        <v>9.907285791394452</v>
      </c>
      <c r="C47" t="n">
        <v>0.2386588012184418</v>
      </c>
      <c r="D47" t="n">
        <v>10.10316754522467</v>
      </c>
      <c r="E47" t="n">
        <v>0.1485101199400303</v>
      </c>
    </row>
    <row r="48">
      <c r="A48" t="n">
        <v>460</v>
      </c>
      <c r="B48" t="n">
        <v>10.1360717023825</v>
      </c>
      <c r="C48" t="n">
        <v>0.2375229283505633</v>
      </c>
      <c r="D48" t="n">
        <v>10.35006660833696</v>
      </c>
      <c r="E48" t="n">
        <v>0.1459332833583212</v>
      </c>
    </row>
    <row r="49">
      <c r="A49" t="n">
        <v>470</v>
      </c>
      <c r="B49" t="n">
        <v>10.36506554012066</v>
      </c>
      <c r="C49" t="n">
        <v>0.236411411721461</v>
      </c>
      <c r="D49" t="n">
        <v>10.59752146240945</v>
      </c>
      <c r="E49" t="n">
        <v>0.143356446776612</v>
      </c>
    </row>
    <row r="50">
      <c r="A50" t="n">
        <v>480</v>
      </c>
      <c r="B50" t="n">
        <v>10.59426325712911</v>
      </c>
      <c r="C50" t="n">
        <v>0.2353232278411343</v>
      </c>
      <c r="D50" t="n">
        <v>10.84553461535493</v>
      </c>
      <c r="E50" t="n">
        <v>0.1407796101949029</v>
      </c>
    </row>
    <row r="51">
      <c r="A51" t="n">
        <v>490</v>
      </c>
      <c r="B51" t="n">
        <v>10.82366096776229</v>
      </c>
      <c r="C51" t="n">
        <v>0.2342574164228296</v>
      </c>
      <c r="D51" t="n">
        <v>11.09410402460746</v>
      </c>
      <c r="E51" t="n">
        <v>0.1382468221017699</v>
      </c>
    </row>
    <row r="52">
      <c r="A52" t="n">
        <v>500</v>
      </c>
      <c r="B52" t="n">
        <v>11.05325493856056</v>
      </c>
      <c r="C52" t="n">
        <v>0.2332130752832891</v>
      </c>
      <c r="D52" t="n">
        <v>11.34322712773509</v>
      </c>
      <c r="E52" t="n">
        <v>0.135714034008637</v>
      </c>
    </row>
    <row r="53">
      <c r="A53" t="n">
        <v>510</v>
      </c>
      <c r="B53" t="n">
        <v>11.28304157935885</v>
      </c>
      <c r="C53" t="n">
        <v>0.232189355747239</v>
      </c>
      <c r="D53" t="n">
        <v>11.59290639697657</v>
      </c>
      <c r="E53" t="n">
        <v>0.133181245915504</v>
      </c>
    </row>
    <row r="54">
      <c r="A54" t="n">
        <v>520</v>
      </c>
      <c r="B54" t="n">
        <v>11.51301743507917</v>
      </c>
      <c r="C54" t="n">
        <v>0.2311854584974457</v>
      </c>
      <c r="D54" t="n">
        <v>11.84314432116554</v>
      </c>
      <c r="E54" t="n">
        <v>0.1306484578223711</v>
      </c>
    </row>
    <row r="55">
      <c r="A55" t="n">
        <v>530</v>
      </c>
      <c r="B55" t="n">
        <v>11.74317917814228</v>
      </c>
      <c r="C55" t="n">
        <v>0.2302006298194801</v>
      </c>
      <c r="D55" t="n">
        <v>12.09387361268945</v>
      </c>
      <c r="E55" t="n">
        <v>0.1287770984669352</v>
      </c>
    </row>
    <row r="56">
      <c r="A56" t="n">
        <v>540</v>
      </c>
      <c r="B56" t="n">
        <v>11.97352360144093</v>
      </c>
      <c r="C56" t="n">
        <v>0.2292341581969805</v>
      </c>
      <c r="D56" t="n">
        <v>12.34501890716365</v>
      </c>
      <c r="E56" t="n">
        <v>0.1269057391114994</v>
      </c>
    </row>
    <row r="57">
      <c r="A57" t="n">
        <v>550</v>
      </c>
      <c r="B57" t="n">
        <v>12.20404761182355</v>
      </c>
      <c r="C57" t="n">
        <v>0.2282853712188707</v>
      </c>
      <c r="D57" t="n">
        <v>12.59658158732329</v>
      </c>
      <c r="E57" t="n">
        <v>0.1250343797560636</v>
      </c>
    </row>
    <row r="58">
      <c r="A58" t="n">
        <v>560</v>
      </c>
      <c r="B58" t="n">
        <v>12.43474822404265</v>
      </c>
      <c r="C58" t="n">
        <v>0.2273536327648522</v>
      </c>
      <c r="D58" t="n">
        <v>12.84856304280905</v>
      </c>
      <c r="E58" t="n">
        <v>0.1231630204006278</v>
      </c>
    </row>
    <row r="59">
      <c r="A59" t="n">
        <v>570</v>
      </c>
      <c r="B59" t="n">
        <v>12.66562255512702</v>
      </c>
      <c r="C59" t="n">
        <v>0.2264383404396521</v>
      </c>
      <c r="D59" t="n">
        <v>13.10096213820832</v>
      </c>
      <c r="E59" t="n">
        <v>0.1213153491382988</v>
      </c>
    </row>
    <row r="60">
      <c r="A60" t="n">
        <v>580</v>
      </c>
      <c r="B60" t="n">
        <v>12.89666781914125</v>
      </c>
      <c r="C60" t="n">
        <v>0.2255389232301014</v>
      </c>
      <c r="D60" t="n">
        <v>13.35377745555697</v>
      </c>
      <c r="E60" t="n">
        <v>0.1194676778759698</v>
      </c>
    </row>
    <row r="61">
      <c r="A61" t="n">
        <v>590</v>
      </c>
      <c r="B61" t="n">
        <v>13.12788132229957</v>
      </c>
      <c r="C61" t="n">
        <v>0.2246548393622155</v>
      </c>
      <c r="D61" t="n">
        <v>13.60701036987507</v>
      </c>
      <c r="E61" t="n">
        <v>0.1176200066136409</v>
      </c>
    </row>
    <row r="62">
      <c r="A62" t="n">
        <v>600</v>
      </c>
      <c r="B62" t="n">
        <v>13.35926045840449</v>
      </c>
      <c r="C62" t="n">
        <v>0.2237855743381313</v>
      </c>
      <c r="D62" t="n">
        <v>13.86066226300763</v>
      </c>
      <c r="E62" t="n">
        <v>0.1157723353513119</v>
      </c>
    </row>
    <row r="63">
      <c r="A63" t="n">
        <v>610</v>
      </c>
      <c r="B63" t="n">
        <v>13.59080270458364</v>
      </c>
      <c r="C63" t="n">
        <v>0.2229306391350849</v>
      </c>
      <c r="D63" t="n">
        <v>14.11453461763167</v>
      </c>
    </row>
    <row r="64">
      <c r="A64" t="n">
        <v>620</v>
      </c>
      <c r="B64" t="n">
        <v>13.82250561730061</v>
      </c>
      <c r="C64" t="n">
        <v>0.222089568550639</v>
      </c>
      <c r="D64" t="n">
        <v>14.3684069722557</v>
      </c>
    </row>
    <row r="65">
      <c r="A65" t="n">
        <v>630</v>
      </c>
      <c r="B65" t="n">
        <v>14.05436682861824</v>
      </c>
      <c r="C65" t="n">
        <v>0.221261919680134</v>
      </c>
      <c r="D65" t="n">
        <v>14.62227932687974</v>
      </c>
    </row>
    <row r="66">
      <c r="A66" t="n">
        <v>640</v>
      </c>
      <c r="B66" t="n">
        <v>14.2863840426944</v>
      </c>
      <c r="C66" t="n">
        <v>0.220447270513886</v>
      </c>
      <c r="D66" t="n">
        <v>14.87615168150378</v>
      </c>
    </row>
    <row r="67">
      <c r="A67" t="n">
        <v>650</v>
      </c>
      <c r="B67" t="n">
        <v>14.5185550324925</v>
      </c>
      <c r="C67" t="n">
        <v>0.2196452186430015</v>
      </c>
      <c r="D67" t="n">
        <v>15.13002403612781</v>
      </c>
    </row>
    <row r="68">
      <c r="A68" t="n">
        <v>660</v>
      </c>
      <c r="B68" t="n">
        <v>14.7508776366906</v>
      </c>
      <c r="C68" t="n">
        <v>0.2188553800638714</v>
      </c>
      <c r="D68" t="n">
        <v>15.38389639075185</v>
      </c>
    </row>
    <row r="69">
      <c r="A69" t="n">
        <v>670</v>
      </c>
      <c r="B69" t="n">
        <v>14.98334975677392</v>
      </c>
      <c r="C69" t="n">
        <v>0.2180773880724514</v>
      </c>
      <c r="D69" t="n">
        <v>15.63776874537588</v>
      </c>
    </row>
    <row r="70">
      <c r="A70" t="n">
        <v>680</v>
      </c>
      <c r="B70" t="n">
        <v>15.21596935429775</v>
      </c>
      <c r="C70" t="n">
        <v>0.2173108922403541</v>
      </c>
      <c r="D70" t="n">
        <v>15.89164109999992</v>
      </c>
    </row>
    <row r="71">
      <c r="A71" t="n">
        <v>690</v>
      </c>
      <c r="B71" t="n">
        <v>15.44873444830808</v>
      </c>
      <c r="C71" t="n">
        <v>0.2165555574655956</v>
      </c>
      <c r="D71" t="n">
        <v>16.14551345462396</v>
      </c>
    </row>
    <row r="72">
      <c r="A72" t="n">
        <v>700</v>
      </c>
      <c r="B72" t="n">
        <v>15.6816431129088</v>
      </c>
      <c r="C72" t="n">
        <v>0.2158110630915586</v>
      </c>
      <c r="D72" t="n">
        <v>16.399385809248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4" customWidth="1" min="4" max="4"/>
    <col width="14" customWidth="1" min="5" max="5"/>
    <col width="10" customWidth="1" min="6" max="6"/>
    <col width="10" customWidth="1" min="7" max="7"/>
  </cols>
  <sheetData>
    <row r="1">
      <c r="A1" s="3" t="inlineStr">
        <is>
          <t>Ensayo</t>
        </is>
      </c>
      <c r="B1" s="3" t="inlineStr">
        <is>
          <t>Diámetro (mm)</t>
        </is>
      </c>
      <c r="C1" s="3" t="inlineStr">
        <is>
          <t>e0</t>
        </is>
      </c>
      <c r="D1" s="3" t="inlineStr">
        <is>
          <t>Cc1 (0.2–0.8 MPa)</t>
        </is>
      </c>
      <c r="E1" s="3" t="inlineStr">
        <is>
          <t>Cc2 (1.2–4.8 MPa)</t>
        </is>
      </c>
      <c r="F1" s="3" t="inlineStr">
        <is>
          <t>e a 300 m</t>
        </is>
      </c>
      <c r="G1" s="3" t="inlineStr">
        <is>
          <t>e a 700 m</t>
        </is>
      </c>
    </row>
    <row r="2">
      <c r="A2" t="inlineStr">
        <is>
          <t>INT-edo-0.6m-C4 (IDIEM/WSP)</t>
        </is>
      </c>
      <c r="B2" t="n">
        <v>600</v>
      </c>
      <c r="C2" t="n">
        <v>0.425</v>
      </c>
      <c r="D2" t="n">
        <v>0.07309585955514436</v>
      </c>
      <c r="E2" t="n">
        <v>0.07308577804448901</v>
      </c>
      <c r="F2" t="n">
        <v>0.2959748795609864</v>
      </c>
      <c r="G2" t="n">
        <v>0.268417195794952</v>
      </c>
    </row>
    <row r="3">
      <c r="A3" t="inlineStr">
        <is>
          <t>HF-edo-1.0m (IDIEM)</t>
        </is>
      </c>
      <c r="B3" t="n">
        <v>1000</v>
      </c>
      <c r="C3" t="n">
        <v>0.238</v>
      </c>
      <c r="D3" t="n">
        <v>0.01701348389860784</v>
      </c>
      <c r="E3" t="n">
        <v>0.05492262591998575</v>
      </c>
      <c r="F3" t="n">
        <v>0.3849536905861862</v>
      </c>
      <c r="G3" t="n">
        <v>0.3644197876393088</v>
      </c>
    </row>
    <row r="4">
      <c r="A4" t="inlineStr">
        <is>
          <t>MN-edo-1.0m-2021 (IDIEM)</t>
        </is>
      </c>
      <c r="B4" t="n">
        <v>1000</v>
      </c>
      <c r="C4" t="n">
        <v>0.238</v>
      </c>
      <c r="D4" t="n">
        <v>0.02011799228196822</v>
      </c>
      <c r="E4" t="n">
        <v>0.04793222694081214</v>
      </c>
      <c r="F4" t="n">
        <v>0.3863627444848005</v>
      </c>
      <c r="G4" t="n">
        <v>0.368475647680085</v>
      </c>
    </row>
    <row r="5">
      <c r="A5" t="inlineStr">
        <is>
          <t>MN-edo-1.0m-2011 (IDIEM 708.397-A)</t>
        </is>
      </c>
      <c r="B5" t="n">
        <v>949.7</v>
      </c>
      <c r="C5" t="n">
        <v>0.286</v>
      </c>
      <c r="D5" t="n">
        <v>0.03290876131086148</v>
      </c>
      <c r="E5" t="n">
        <v>0.1224388060872296</v>
      </c>
      <c r="F5" t="n">
        <v>0.3096175274168385</v>
      </c>
      <c r="G5" t="n">
        <v>0.2628450713159432</v>
      </c>
    </row>
    <row r="6">
      <c r="A6" t="inlineStr">
        <is>
          <t>MN-edo-0.24m-1.86 (Golder Test 1)</t>
        </is>
      </c>
      <c r="B6" t="n">
        <v>241</v>
      </c>
      <c r="C6" t="n">
        <v>0.455</v>
      </c>
      <c r="D6" t="n">
        <v>0.07474338213496558</v>
      </c>
      <c r="E6" t="n">
        <v>0.1145612523015702</v>
      </c>
      <c r="F6" t="n">
        <v>0.2595987857550175</v>
      </c>
      <c r="G6" t="n">
        <v>0.2158110630915585</v>
      </c>
    </row>
    <row r="7">
      <c r="A7" t="inlineStr">
        <is>
          <t>HF-edo-0.24m-2.1 (Golder)</t>
        </is>
      </c>
      <c r="B7" t="n">
        <v>240</v>
      </c>
      <c r="C7" t="n">
        <v>0.317</v>
      </c>
      <c r="D7" t="n">
        <v>0.01336012795759243</v>
      </c>
      <c r="E7" t="n">
        <v>0.09447527239276306</v>
      </c>
      <c r="F7" t="n">
        <v>0.3584421493881887</v>
      </c>
      <c r="G7" t="n">
        <v>0.3227131519140529</v>
      </c>
    </row>
    <row r="8">
      <c r="A8" t="inlineStr">
        <is>
          <t>HF-edo-0.24m-1.8 (Golder)</t>
        </is>
      </c>
      <c r="B8" t="n">
        <v>240</v>
      </c>
      <c r="C8" t="n">
        <v>0.532</v>
      </c>
      <c r="D8" t="n">
        <v>0.118182046002576</v>
      </c>
      <c r="E8" t="n">
        <v>0.1068903850771351</v>
      </c>
      <c r="F8" t="n">
        <v>0.207428461158097</v>
      </c>
      <c r="G8" t="n">
        <v>0.1665456458919203</v>
      </c>
    </row>
    <row r="9">
      <c r="A9" t="inlineStr">
        <is>
          <t>MN-edo-0.24m-2.3 (Golder)</t>
        </is>
      </c>
      <c r="B9" t="n">
        <v>240</v>
      </c>
      <c r="C9" t="n">
        <v>0.178</v>
      </c>
      <c r="D9" t="n">
        <v>0.01670015994699063</v>
      </c>
      <c r="E9" t="n">
        <v>0.0402938587630927</v>
      </c>
      <c r="F9" t="n">
        <v>0.3968725145233312</v>
      </c>
      <c r="G9" t="n">
        <v>0.3818709401863418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2" customWidth="1" min="4" max="4"/>
    <col width="22" customWidth="1" min="5" max="5"/>
    <col width="10" customWidth="1" min="6" max="6"/>
    <col width="12" customWidth="1" min="7" max="7"/>
  </cols>
  <sheetData>
    <row r="1">
      <c r="A1" s="3" t="inlineStr">
        <is>
          <t>D lab (mm)</t>
        </is>
      </c>
      <c r="B1" s="3" t="inlineStr">
        <is>
          <t>m_w</t>
        </is>
      </c>
      <c r="C1" s="3" t="inlineStr">
        <is>
          <t>D campo (mm)</t>
        </is>
      </c>
      <c r="D1" s="3" t="inlineStr">
        <is>
          <t>λ = (Dlab/Dcampo)^(3/mw)</t>
        </is>
      </c>
      <c r="E1" s="3" t="inlineStr">
        <is>
          <t>Factor sobre τ = λ^(1−m)</t>
        </is>
      </c>
      <c r="F1" s="3" t="inlineStr">
        <is>
          <t>φ′1 (°)</t>
        </is>
      </c>
      <c r="G1" s="3" t="inlineStr">
        <is>
          <t>Diferencia (°)</t>
        </is>
      </c>
    </row>
    <row r="2">
      <c r="A2" t="n">
        <v>178</v>
      </c>
      <c r="B2" t="n">
        <v>4</v>
      </c>
      <c r="C2" t="n">
        <v>1000</v>
      </c>
      <c r="D2">
        <f>(A2/C2)^(3/B2)</f>
        <v/>
      </c>
      <c r="E2">
        <f>D2^(1-m_)</f>
        <v/>
      </c>
      <c r="F2">
        <f>DEGREES(ATAN(E2*TAN(RADIANS(pe0-omega*e_base))))</f>
        <v/>
      </c>
      <c r="G2">
        <f>F2-(pe0-omega*e_base)</f>
        <v/>
      </c>
    </row>
    <row r="3">
      <c r="A3" t="n">
        <v>178</v>
      </c>
      <c r="B3" t="n">
        <v>6.6667</v>
      </c>
      <c r="C3" t="n">
        <v>1000</v>
      </c>
      <c r="D3">
        <f>(A3/C3)^(3/B3)</f>
        <v/>
      </c>
      <c r="E3">
        <f>D3^(1-m_)</f>
        <v/>
      </c>
      <c r="F3">
        <f>DEGREES(ATAN(E3*TAN(RADIANS(pe0-omega*e_base))))</f>
        <v/>
      </c>
      <c r="G3">
        <f>F3-(pe0-omega*e_base)</f>
        <v/>
      </c>
    </row>
    <row r="4">
      <c r="A4" t="n">
        <v>178</v>
      </c>
      <c r="B4" t="n">
        <v>10</v>
      </c>
      <c r="C4" t="n">
        <v>1000</v>
      </c>
      <c r="D4">
        <f>(A4/C4)^(3/B4)</f>
        <v/>
      </c>
      <c r="E4">
        <f>D4^(1-m_)</f>
        <v/>
      </c>
      <c r="F4">
        <f>DEGREES(ATAN(E4*TAN(RADIANS(pe0-omega*e_base))))</f>
        <v/>
      </c>
      <c r="G4">
        <f>F4-(pe0-omega*e_base)</f>
        <v/>
      </c>
    </row>
    <row r="5">
      <c r="A5" t="n">
        <v>102</v>
      </c>
      <c r="B5" t="n">
        <v>4</v>
      </c>
      <c r="C5" t="n">
        <v>1000</v>
      </c>
      <c r="D5">
        <f>(A5/C5)^(3/B5)</f>
        <v/>
      </c>
      <c r="E5">
        <f>D5^(1-m_)</f>
        <v/>
      </c>
      <c r="F5">
        <f>DEGREES(ATAN(E5*TAN(RADIANS(pe0-omega*e_base))))</f>
        <v/>
      </c>
      <c r="G5">
        <f>F5-(pe0-omega*e_base)</f>
        <v/>
      </c>
    </row>
    <row r="6">
      <c r="A6" t="n">
        <v>102</v>
      </c>
      <c r="B6" t="n">
        <v>6.6667</v>
      </c>
      <c r="C6" t="n">
        <v>1000</v>
      </c>
      <c r="D6">
        <f>(A6/C6)^(3/B6)</f>
        <v/>
      </c>
      <c r="E6">
        <f>D6^(1-m_)</f>
        <v/>
      </c>
      <c r="F6">
        <f>DEGREES(ATAN(E6*TAN(RADIANS(pe0-omega*e_base))))</f>
        <v/>
      </c>
      <c r="G6">
        <f>F6-(pe0-omega*e_base)</f>
        <v/>
      </c>
    </row>
    <row r="7">
      <c r="A7" t="n">
        <v>102</v>
      </c>
      <c r="B7" t="n">
        <v>10</v>
      </c>
      <c r="C7" t="n">
        <v>1000</v>
      </c>
      <c r="D7">
        <f>(A7/C7)^(3/B7)</f>
        <v/>
      </c>
      <c r="E7">
        <f>D7^(1-m_)</f>
        <v/>
      </c>
      <c r="F7">
        <f>DEGREES(ATAN(E7*TAN(RADIANS(pe0-omega*e_base))))</f>
        <v/>
      </c>
      <c r="G7">
        <f>F7-(pe0-omega*e_base)</f>
        <v/>
      </c>
    </row>
    <row r="8">
      <c r="A8" t="n">
        <v>25</v>
      </c>
      <c r="B8" t="n">
        <v>4</v>
      </c>
      <c r="C8" t="n">
        <v>1000</v>
      </c>
      <c r="D8">
        <f>(A8/C8)^(3/B8)</f>
        <v/>
      </c>
      <c r="E8">
        <f>D8^(1-m_)</f>
        <v/>
      </c>
      <c r="F8">
        <f>DEGREES(ATAN(E8*TAN(RADIANS(pe0-omega*e_base))))</f>
        <v/>
      </c>
      <c r="G8">
        <f>F8-(pe0-omega*e_base)</f>
        <v/>
      </c>
    </row>
    <row r="9">
      <c r="A9" t="n">
        <v>25</v>
      </c>
      <c r="B9" t="n">
        <v>6.6667</v>
      </c>
      <c r="C9" t="n">
        <v>1000</v>
      </c>
      <c r="D9">
        <f>(A9/C9)^(3/B9)</f>
        <v/>
      </c>
      <c r="E9">
        <f>D9^(1-m_)</f>
        <v/>
      </c>
      <c r="F9">
        <f>DEGREES(ATAN(E9*TAN(RADIANS(pe0-omega*e_base))))</f>
        <v/>
      </c>
      <c r="G9">
        <f>F9-(pe0-omega*e_base)</f>
        <v/>
      </c>
    </row>
    <row r="10">
      <c r="A10" t="n">
        <v>25</v>
      </c>
      <c r="B10" t="n">
        <v>10</v>
      </c>
      <c r="C10" t="n">
        <v>1000</v>
      </c>
      <c r="D10">
        <f>(A10/C10)^(3/B10)</f>
        <v/>
      </c>
      <c r="E10">
        <f>D10^(1-m_)</f>
        <v/>
      </c>
      <c r="F10">
        <f>DEGREES(ATAN(E10*TAN(RADIANS(pe0-omega*e_base))))</f>
        <v/>
      </c>
      <c r="G10">
        <f>F10-(pe0-omega*e_base)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A68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7" max="17"/>
    <col width="11" customWidth="1" min="18" max="18"/>
    <col width="11" customWidth="1" min="20" max="20"/>
    <col width="11" customWidth="1" min="21" max="21"/>
    <col width="11" customWidth="1" min="23" max="23"/>
    <col width="11" customWidth="1" min="24" max="24"/>
    <col width="11" customWidth="1" min="25" max="25"/>
    <col width="11" customWidth="1" min="26" max="26"/>
    <col width="11" customWidth="1" min="28" max="28"/>
    <col width="11" customWidth="1" min="29" max="29"/>
    <col width="11" customWidth="1" min="30" max="30"/>
    <col width="11" customWidth="1" min="31" max="31"/>
    <col width="11" customWidth="1" min="33" max="33"/>
    <col width="11" customWidth="1" min="34" max="34"/>
    <col width="11" customWidth="1" min="35" max="35"/>
    <col width="11" customWidth="1" min="36" max="36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7" max="57"/>
    <col width="11" customWidth="1" min="58" max="58"/>
    <col width="11" customWidth="1" min="59" max="59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8" max="78"/>
    <col width="11" customWidth="1" min="79" max="79"/>
    <col width="11" customWidth="1" min="80" max="80"/>
    <col width="11" customWidth="1" min="82" max="82"/>
    <col width="11" customWidth="1" min="83" max="83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2" max="92"/>
    <col width="11" customWidth="1" min="93" max="93"/>
    <col width="11" customWidth="1" min="94" max="94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4" max="104"/>
    <col width="11" customWidth="1" min="105" max="105"/>
  </cols>
  <sheetData>
    <row r="1">
      <c r="A1" s="2" t="inlineStr">
        <is>
          <t>Curvas (fórmulas; a11, Figs. 2, 3 y 5)</t>
        </is>
      </c>
      <c r="Q1" s="2" t="inlineStr">
        <is>
          <t>Banda, segmentos (Figs. 2 y 3)</t>
        </is>
      </c>
      <c r="T1" s="2" t="inlineStr">
        <is>
          <t>Banda τ, segmentos (Fig. 5)</t>
        </is>
      </c>
      <c r="W1" s="2" t="inlineStr">
        <is>
          <t>Zonas Fig. 2 (valores)</t>
        </is>
      </c>
      <c r="AB1" s="2" t="inlineStr">
        <is>
          <t>Zonas Fig. 5 (valores)</t>
        </is>
      </c>
      <c r="AG1" s="2" t="inlineStr">
        <is>
          <t>Zonas Fig. 6b (valores)</t>
        </is>
      </c>
      <c r="AL1" s="2" t="inlineStr">
        <is>
          <t>Ensayos del ajuste a e base (fórmulas; Ensayos!M y P)</t>
        </is>
      </c>
      <c r="BE1" s="2" t="inlineStr">
        <is>
          <t>Base mundial a e base (fórmulas; Base_mundial)</t>
        </is>
      </c>
      <c r="BI1" s="2" t="inlineStr">
        <is>
          <t>Fig. 1: φ′1 por set (a34_phi1_sets.csv, m = 0.85)</t>
        </is>
      </c>
      <c r="BS1" s="2" t="inlineStr">
        <is>
          <t>Fig. 1: rectas (fórmulas)</t>
        </is>
      </c>
      <c r="BZ1" s="2" t="inlineStr">
        <is>
          <t>Fig. 6a: e con la profundidad (a13)</t>
        </is>
      </c>
      <c r="CD1" s="2" t="inlineStr">
        <is>
          <t>Fig. 6a: e base (fórmula)</t>
        </is>
      </c>
      <c r="CG1" s="2" t="inlineStr">
        <is>
          <t>Fig. 6b: φ′s sin tope, como la Fig. 6 del memo (fórmulas; e perfil V como valor, a13)</t>
        </is>
      </c>
      <c r="CN1" s="2" t="inlineStr">
        <is>
          <t>Fig. 3: triaxiales CU de contraste a e base (a16_contraste.csv)</t>
        </is>
      </c>
      <c r="CR1" s="2" t="inlineStr">
        <is>
          <t>Fig. 4: Bg de Marsal (a16_bg.csv)</t>
        </is>
      </c>
      <c r="CZ1" s="2" t="inlineStr">
        <is>
          <t>Fig. 4: tendencia lineal (fórmula)</t>
        </is>
      </c>
    </row>
    <row r="2">
      <c r="A2" s="2" t="inlineStr">
        <is>
          <t>σ′n (MPa)</t>
        </is>
      </c>
      <c r="B2" s="2" t="inlineStr">
        <is>
          <t>φ′s sin tope (°)</t>
        </is>
      </c>
      <c r="C2" s="2" t="inlineStr">
        <is>
          <t>φ′s curva con tope (°)</t>
        </is>
      </c>
      <c r="D2" s="2" t="inlineStr">
        <is>
          <t>φ′s sin tope, tramo sobre el tope (°)</t>
        </is>
      </c>
      <c r="E2" s="2" t="inlineStr">
        <is>
          <t>Banda inf. (°)</t>
        </is>
      </c>
      <c r="F2" s="2" t="inlineStr">
        <is>
          <t>Banda sup. (°)</t>
        </is>
      </c>
      <c r="G2" s="2" t="inlineStr">
        <is>
          <t>Leps (1970), envolvente superior</t>
        </is>
      </c>
      <c r="H2" s="2" t="inlineStr">
        <is>
          <t>Leps (1970), envolvente media</t>
        </is>
      </c>
      <c r="I2" s="2" t="inlineStr">
        <is>
          <t>Leps (1970), envolvente inferior</t>
        </is>
      </c>
      <c r="J2" s="2" t="inlineStr">
        <is>
          <t>Cota inferior de Indraratna et al. (1993)</t>
        </is>
      </c>
      <c r="K2" s="2" t="inlineStr">
        <is>
          <t>τ curva con tope (MPa)</t>
        </is>
      </c>
      <c r="L2" s="2" t="inlineStr">
        <is>
          <t>τ Leps (1970), envolvente superior</t>
        </is>
      </c>
      <c r="M2" s="2" t="inlineStr">
        <is>
          <t>τ Leps (1970), envolvente media</t>
        </is>
      </c>
      <c r="N2" s="2" t="inlineStr">
        <is>
          <t>τ Leps (1970), envolvente inferior</t>
        </is>
      </c>
      <c r="O2" s="2" t="inlineStr">
        <is>
          <t>τ Cota inferior de Indraratna et al. (1993)</t>
        </is>
      </c>
      <c r="Q2" s="2" t="inlineStr">
        <is>
          <t>σ′n (MPa)</t>
        </is>
      </c>
      <c r="R2" s="2" t="inlineStr">
        <is>
          <t>φ′s (°)</t>
        </is>
      </c>
      <c r="T2" s="2" t="inlineStr">
        <is>
          <t>σ′n (MPa)</t>
        </is>
      </c>
      <c r="U2" s="2" t="inlineStr">
        <is>
          <t>τ (MPa)</t>
        </is>
      </c>
      <c r="W2" s="2" t="inlineStr">
        <is>
          <t>Zona gris x</t>
        </is>
      </c>
      <c r="X2" s="2" t="inlineStr">
        <is>
          <t>Zona gris y</t>
        </is>
      </c>
      <c r="Y2" s="2" t="inlineStr">
        <is>
          <t>Rayado x</t>
        </is>
      </c>
      <c r="Z2" s="2" t="inlineStr">
        <is>
          <t>Rayado y</t>
        </is>
      </c>
      <c r="AB2" s="2" t="inlineStr">
        <is>
          <t>Zona gris x</t>
        </is>
      </c>
      <c r="AC2" s="2" t="inlineStr">
        <is>
          <t>Zona gris y</t>
        </is>
      </c>
      <c r="AD2" s="2" t="inlineStr">
        <is>
          <t>Rayado x</t>
        </is>
      </c>
      <c r="AE2" s="2" t="inlineStr">
        <is>
          <t>Rayado y</t>
        </is>
      </c>
      <c r="AG2" s="2" t="inlineStr">
        <is>
          <t>Zona gris x</t>
        </is>
      </c>
      <c r="AH2" s="2" t="inlineStr">
        <is>
          <t>Zona gris y</t>
        </is>
      </c>
      <c r="AI2" s="2" t="inlineStr">
        <is>
          <t>Rayado x</t>
        </is>
      </c>
      <c r="AJ2" s="2" t="inlineStr">
        <is>
          <t>Rayado y</t>
        </is>
      </c>
      <c r="AL2" s="2" t="inlineStr">
        <is>
          <t>σ′n (MPa)</t>
        </is>
      </c>
      <c r="AM2" s="2" t="inlineStr">
        <is>
          <t>Todos φ′s (°)</t>
        </is>
      </c>
      <c r="AN2" s="2" t="inlineStr">
        <is>
          <t>Mármol TX φ′s</t>
        </is>
      </c>
      <c r="AO2" s="2" t="inlineStr">
        <is>
          <t>Mármol DS φ′s</t>
        </is>
      </c>
      <c r="AP2" s="2" t="inlineStr">
        <is>
          <t>Hornfels TX φ′s</t>
        </is>
      </c>
      <c r="AQ2" s="2" t="inlineStr">
        <is>
          <t>Hornfels DS φ′s</t>
        </is>
      </c>
      <c r="AR2" s="2" t="inlineStr">
        <is>
          <t>Intrusivo TX φ′s</t>
        </is>
      </c>
      <c r="AS2" s="2" t="inlineStr">
        <is>
          <t>Intrusivo DS φ′s</t>
        </is>
      </c>
      <c r="AT2" s="2" t="inlineStr">
        <is>
          <t>Mezcla TX φ′s</t>
        </is>
      </c>
      <c r="AU2" s="2" t="inlineStr">
        <is>
          <t>Mezcla DS φ′s</t>
        </is>
      </c>
      <c r="AV2" s="2" t="inlineStr">
        <is>
          <t>Mármol TX τ</t>
        </is>
      </c>
      <c r="AW2" s="2" t="inlineStr">
        <is>
          <t>Mármol DS τ</t>
        </is>
      </c>
      <c r="AX2" s="2" t="inlineStr">
        <is>
          <t>Hornfels TX τ</t>
        </is>
      </c>
      <c r="AY2" s="2" t="inlineStr">
        <is>
          <t>Hornfels DS τ</t>
        </is>
      </c>
      <c r="AZ2" s="2" t="inlineStr">
        <is>
          <t>Intrusivo TX τ</t>
        </is>
      </c>
      <c r="BA2" s="2" t="inlineStr">
        <is>
          <t>Intrusivo DS τ</t>
        </is>
      </c>
      <c r="BB2" s="2" t="inlineStr">
        <is>
          <t>Mezcla TX τ</t>
        </is>
      </c>
      <c r="BC2" s="2" t="inlineStr">
        <is>
          <t>Mezcla DS τ</t>
        </is>
      </c>
      <c r="BE2" s="2" t="inlineStr">
        <is>
          <t>σ′n (MPa)</t>
        </is>
      </c>
      <c r="BF2" s="2" t="inlineStr">
        <is>
          <t>φ′s a e base (°)</t>
        </is>
      </c>
      <c r="BG2" s="2" t="inlineStr">
        <is>
          <t>τ a e base (MPa)</t>
        </is>
      </c>
      <c r="BI2" s="2" t="inlineStr">
        <is>
          <t>e0 media</t>
        </is>
      </c>
      <c r="BJ2" s="2" t="inlineStr">
        <is>
          <t>Mármol TX</t>
        </is>
      </c>
      <c r="BK2" s="2" t="inlineStr">
        <is>
          <t>Mármol DS</t>
        </is>
      </c>
      <c r="BL2" s="2" t="inlineStr">
        <is>
          <t>Hornfels TX</t>
        </is>
      </c>
      <c r="BM2" s="2" t="inlineStr">
        <is>
          <t>Hornfels DS</t>
        </is>
      </c>
      <c r="BN2" s="2" t="inlineStr">
        <is>
          <t>Intrusivo TX</t>
        </is>
      </c>
      <c r="BO2" s="2" t="inlineStr">
        <is>
          <t>Intrusivo DS</t>
        </is>
      </c>
      <c r="BP2" s="2" t="inlineStr">
        <is>
          <t>Mezcla TX</t>
        </is>
      </c>
      <c r="BQ2" s="2" t="inlineStr">
        <is>
          <t>Mezcla DS</t>
        </is>
      </c>
      <c r="BS2" s="2" t="inlineStr">
        <is>
          <t>e</t>
        </is>
      </c>
      <c r="BT2" s="2" t="inlineStr">
        <is>
          <t>Curva propuesta</t>
        </is>
      </c>
      <c r="BU2" s="2" t="inlineStr">
        <is>
          <t>Leps (1970), envolvente superior</t>
        </is>
      </c>
      <c r="BV2" s="2" t="inlineStr">
        <is>
          <t>Leps (1970), envolvente media</t>
        </is>
      </c>
      <c r="BW2" s="2" t="inlineStr">
        <is>
          <t>Leps (1970), envolvente inferior</t>
        </is>
      </c>
      <c r="BX2" s="2" t="inlineStr">
        <is>
          <t>Cota inferior de Indraratna et al. (1993)</t>
        </is>
      </c>
      <c r="BZ2" s="2" t="inlineStr">
        <is>
          <t>Profundidad (m)</t>
        </is>
      </c>
      <c r="CA2" s="2" t="inlineStr">
        <is>
          <t>e perfil A</t>
        </is>
      </c>
      <c r="CB2" s="2" t="inlineStr">
        <is>
          <t>e perfil V</t>
        </is>
      </c>
      <c r="CD2" s="2" t="inlineStr">
        <is>
          <t>Profundidad (m)</t>
        </is>
      </c>
      <c r="CE2" s="2" t="inlineStr">
        <is>
          <t>e base</t>
        </is>
      </c>
      <c r="CG2" s="2" t="inlineStr">
        <is>
          <t>σ′n (MPa)</t>
        </is>
      </c>
      <c r="CH2" s="2" t="inlineStr">
        <is>
          <t>e perfil A</t>
        </is>
      </c>
      <c r="CI2" s="2" t="inlineStr">
        <is>
          <t>e perfil V</t>
        </is>
      </c>
      <c r="CJ2" s="2" t="inlineStr">
        <is>
          <t>φ′s e base (°)</t>
        </is>
      </c>
      <c r="CK2" s="2" t="inlineStr">
        <is>
          <t>φ′s perfil A (°)</t>
        </is>
      </c>
      <c r="CL2" s="2" t="inlineStr">
        <is>
          <t>φ′s perfil V (°)</t>
        </is>
      </c>
      <c r="CN2" s="2" t="inlineStr">
        <is>
          <t>σ′n (MPa)</t>
        </is>
      </c>
      <c r="CO2" s="2" t="inlineStr">
        <is>
          <t>Triaxiales CU, Anddes (2024), 6 in</t>
        </is>
      </c>
      <c r="CP2" s="2" t="inlineStr">
        <is>
          <t>Triaxiales CU, Golder (2010), fase A</t>
        </is>
      </c>
      <c r="CR2" s="2" t="inlineStr">
        <is>
          <t>σ′3 (MPa)</t>
        </is>
      </c>
      <c r="CS2" s="2" t="inlineStr">
        <is>
          <t>Bg (%)</t>
        </is>
      </c>
      <c r="CT2" s="2" t="inlineStr">
        <is>
          <t>Hornfels 1.0 m</t>
        </is>
      </c>
      <c r="CU2" s="2" t="inlineStr">
        <is>
          <t>Hornfels 6 in</t>
        </is>
      </c>
      <c r="CV2" s="2" t="inlineStr">
        <is>
          <t>Intrusivo 0.6 m</t>
        </is>
      </c>
      <c r="CW2" s="2" t="inlineStr">
        <is>
          <t>Mármol 1.0 m</t>
        </is>
      </c>
      <c r="CX2" s="2" t="inlineStr">
        <is>
          <t>Mármol 6 in</t>
        </is>
      </c>
      <c r="CZ2" s="2" t="inlineStr">
        <is>
          <t>σ′3 (MPa)</t>
        </is>
      </c>
      <c r="DA2" s="2" t="inlineStr">
        <is>
          <t>Bg (%)</t>
        </is>
      </c>
    </row>
    <row r="3">
      <c r="A3" t="n">
        <v>0.01</v>
      </c>
      <c r="B3">
        <f>DEGREES(ATAN(TAN(RADIANS(pe0-omega*e_base))*(A3/sref)^(m_-1)))</f>
        <v/>
      </c>
      <c r="C3">
        <f>MIN(tope,B3)</f>
        <v/>
      </c>
      <c r="D3">
        <f>IF(B3&gt;tope,B3,NA())</f>
        <v/>
      </c>
      <c r="E3">
        <f>MIN(DEGREES(ATAN(TAN(RADIANS(Parametros!$E$12-omega*e_base))*(A3/sref)^(Parametros!$B$12-1))),DEGREES(ATAN(TAN(RADIANS(Parametros!$E$13-omega*e_base))*(A3/sref)^(Parametros!$B$13-1))),DEGREES(ATAN(TAN(RADIANS(Parametros!$E$14-omega*e_base))*(A3/sref)^(Parametros!$B$14-1))),DEGREES(ATAN(TAN(RADIANS(Parametros!$E$15-omega*e_base))*(A3/sref)^(Parametros!$B$15-1))),DEGREES(ATAN(TAN(RADIANS(Parametros!$E$16-omega*e_base))*(A3/sref)^(Parametros!$B$16-1))))</f>
        <v/>
      </c>
      <c r="F3">
        <f>MAX(DEGREES(ATAN(TAN(RADIANS(Parametros!$F$12-omega*e_base))*(A3/sref)^(Parametros!$B$12-1))),DEGREES(ATAN(TAN(RADIANS(Parametros!$F$13-omega*e_base))*(A3/sref)^(Parametros!$B$13-1))),DEGREES(ATAN(TAN(RADIANS(Parametros!$F$14-omega*e_base))*(A3/sref)^(Parametros!$B$14-1))),DEGREES(ATAN(TAN(RADIANS(Parametros!$F$15-omega*e_base))*(A3/sref)^(Parametros!$B$15-1))),DEGREES(ATAN(TAN(RADIANS(Parametros!$F$16-omega*e_base))*(A3/sref)^(Parametros!$B$16-1))))</f>
        <v/>
      </c>
      <c r="G3">
        <f>DEGREES(ATAN(TAN(RADIANS(46.0))*(A3/sref)^(0.9-1)))</f>
        <v/>
      </c>
      <c r="H3">
        <f>DEGREES(ATAN(TAN(RADIANS(41.0))*(A3/sref)^(0.9-1)))</f>
        <v/>
      </c>
      <c r="I3">
        <f>DEGREES(ATAN(TAN(RADIANS(36.0))*(A3/sref)^(0.9-1)))</f>
        <v/>
      </c>
      <c r="J3">
        <f>DEGREES(ATAN(TAN(RADIANS(33.0))*(A3/sref)^(0.9-1)))</f>
        <v/>
      </c>
      <c r="K3">
        <f>A3*TAN(RADIANS(C3))</f>
        <v/>
      </c>
      <c r="L3">
        <f>A3*TAN(RADIANS(G3))</f>
        <v/>
      </c>
      <c r="M3">
        <f>A3*TAN(RADIANS(H3))</f>
        <v/>
      </c>
      <c r="N3">
        <f>A3*TAN(RADIANS(I3))</f>
        <v/>
      </c>
      <c r="O3">
        <f>A3*TAN(RADIANS(J3))</f>
        <v/>
      </c>
      <c r="Q3" t="n">
        <v>0.1</v>
      </c>
      <c r="R3">
        <f>MIN(DEGREES(ATAN(TAN(RADIANS(Parametros!$E$12-omega*e_base))*(Q3/sref)^(Parametros!$B$12-1))),DEGREES(ATAN(TAN(RADIANS(Parametros!$E$13-omega*e_base))*(Q3/sref)^(Parametros!$B$13-1))),DEGREES(ATAN(TAN(RADIANS(Parametros!$E$14-omega*e_base))*(Q3/sref)^(Parametros!$B$14-1))),DEGREES(ATAN(TAN(RADIANS(Parametros!$E$15-omega*e_base))*(Q3/sref)^(Parametros!$B$15-1))),DEGREES(ATAN(TAN(RADIANS(Parametros!$E$16-omega*e_base))*(Q3/sref)^(Parametros!$B$16-1))))</f>
        <v/>
      </c>
      <c r="T3" t="n">
        <v>0.02</v>
      </c>
      <c r="U3">
        <f>T3*TAN(RADIANS(MIN(DEGREES(ATAN(TAN(RADIANS(Parametros!$E$12-omega*e_base))*(T3/sref)^(Parametros!$B$12-1))),DEGREES(ATAN(TAN(RADIANS(Parametros!$E$13-omega*e_base))*(T3/sref)^(Parametros!$B$13-1))),DEGREES(ATAN(TAN(RADIANS(Parametros!$E$14-omega*e_base))*(T3/sref)^(Parametros!$B$14-1))),DEGREES(ATAN(TAN(RADIANS(Parametros!$E$15-omega*e_base))*(T3/sref)^(Parametros!$B$15-1))),DEGREES(ATAN(TAN(RADIANS(Parametros!$E$16-omega*e_base))*(T3/sref)^(Parametros!$B$16-1))))))</f>
        <v/>
      </c>
      <c r="W3" t="n">
        <v>4.622551045070219</v>
      </c>
      <c r="X3" t="n">
        <v>22</v>
      </c>
      <c r="Y3" t="n">
        <v>7.860685101959433</v>
      </c>
      <c r="Z3" t="n">
        <v>43.37142857142857</v>
      </c>
      <c r="AB3" t="n">
        <v>4.622551045070219</v>
      </c>
      <c r="AC3" t="n">
        <v>0</v>
      </c>
      <c r="AD3" t="n">
        <v>7.860685101959433</v>
      </c>
      <c r="AE3" t="n">
        <v>6.600000000000002</v>
      </c>
      <c r="AG3" t="n">
        <v>4.622551045070219</v>
      </c>
      <c r="AH3" t="n">
        <v>22</v>
      </c>
      <c r="AI3" t="n">
        <v>7.860685101959433</v>
      </c>
      <c r="AJ3" t="n">
        <v>44.62857142857142</v>
      </c>
      <c r="AL3">
        <f>Ensayos!M2</f>
        <v/>
      </c>
      <c r="AM3">
        <f>Ensayos!P2</f>
        <v/>
      </c>
      <c r="AN3">
        <f>IF(AND(Ensayos!$D2="Mármol",LEFT(Ensayos!$E2,7)="Triaxia"),Ensayos!P2,NA())</f>
        <v/>
      </c>
      <c r="AO3">
        <f>IF(AND(Ensayos!$D2="Mármol",NOT(LEFT(Ensayos!$E2,7)="Triaxia")),Ensayos!P2,NA())</f>
        <v/>
      </c>
      <c r="AP3">
        <f>IF(AND(Ensayos!$D2="Hornfels",LEFT(Ensayos!$E2,7)="Triaxia"),Ensayos!P2,NA())</f>
        <v/>
      </c>
      <c r="AQ3">
        <f>IF(AND(Ensayos!$D2="Hornfels",NOT(LEFT(Ensayos!$E2,7)="Triaxia")),Ensayos!P2,NA())</f>
        <v/>
      </c>
      <c r="AR3">
        <f>IF(AND(Ensayos!$D2="Intrusivo",LEFT(Ensayos!$E2,7)="Triaxia"),Ensayos!P2,NA())</f>
        <v/>
      </c>
      <c r="AS3">
        <f>IF(AND(Ensayos!$D2="Intrusivo",NOT(LEFT(Ensayos!$E2,7)="Triaxia")),Ensayos!P2,NA())</f>
        <v/>
      </c>
      <c r="AT3">
        <f>IF(AND(Ensayos!$D2="Mezcla",LEFT(Ensayos!$E2,7)="Triaxia"),Ensayos!P2,NA())</f>
        <v/>
      </c>
      <c r="AU3">
        <f>IF(AND(Ensayos!$D2="Mezcla",NOT(LEFT(Ensayos!$E2,7)="Triaxia")),Ensayos!P2,NA())</f>
        <v/>
      </c>
      <c r="AV3">
        <f>IF(AND(Ensayos!$D2="Mármol",LEFT(Ensayos!$E2,7)="Triaxia"),Ensayos!M2*TAN(RADIANS(Ensayos!P2)),NA())</f>
        <v/>
      </c>
      <c r="AW3">
        <f>IF(AND(Ensayos!$D2="Mármol",NOT(LEFT(Ensayos!$E2,7)="Triaxia")),Ensayos!M2*TAN(RADIANS(Ensayos!P2)),NA())</f>
        <v/>
      </c>
      <c r="AX3">
        <f>IF(AND(Ensayos!$D2="Hornfels",LEFT(Ensayos!$E2,7)="Triaxia"),Ensayos!M2*TAN(RADIANS(Ensayos!P2)),NA())</f>
        <v/>
      </c>
      <c r="AY3">
        <f>IF(AND(Ensayos!$D2="Hornfels",NOT(LEFT(Ensayos!$E2,7)="Triaxia")),Ensayos!M2*TAN(RADIANS(Ensayos!P2)),NA())</f>
        <v/>
      </c>
      <c r="AZ3">
        <f>IF(AND(Ensayos!$D2="Intrusivo",LEFT(Ensayos!$E2,7)="Triaxia"),Ensayos!M2*TAN(RADIANS(Ensayos!P2)),NA())</f>
        <v/>
      </c>
      <c r="BA3">
        <f>IF(AND(Ensayos!$D2="Intrusivo",NOT(LEFT(Ensayos!$E2,7)="Triaxia")),Ensayos!M2*TAN(RADIANS(Ensayos!P2)),NA())</f>
        <v/>
      </c>
      <c r="BB3">
        <f>IF(AND(Ensayos!$D2="Mezcla",LEFT(Ensayos!$E2,7)="Triaxia"),Ensayos!M2*TAN(RADIANS(Ensayos!P2)),NA())</f>
        <v/>
      </c>
      <c r="BC3">
        <f>IF(AND(Ensayos!$D2="Mezcla",NOT(LEFT(Ensayos!$E2,7)="Triaxia")),Ensayos!M2*TAN(RADIANS(Ensayos!P2)),NA())</f>
        <v/>
      </c>
      <c r="BE3">
        <f>Base_mundial!C2</f>
        <v/>
      </c>
      <c r="BF3">
        <f>Base_mundial!E2-omega*(e_base-Base_mundial!B2)</f>
        <v/>
      </c>
      <c r="BG3">
        <f>BE3*TAN(RADIANS(BF3))</f>
        <v/>
      </c>
      <c r="BI3" t="n">
        <v>0.3119684466019417</v>
      </c>
      <c r="BJ3" t="n">
        <v>40.1689189114097</v>
      </c>
      <c r="BS3" t="n">
        <v>0</v>
      </c>
      <c r="BT3">
        <f>pe0-omega*BS3</f>
        <v/>
      </c>
      <c r="BU3" t="n">
        <v>46</v>
      </c>
      <c r="BV3" t="n">
        <v>41</v>
      </c>
      <c r="BW3" t="n">
        <v>36</v>
      </c>
      <c r="BX3" t="n">
        <v>33</v>
      </c>
      <c r="BZ3" t="n">
        <v>0</v>
      </c>
      <c r="CA3" t="n">
        <v>0.45</v>
      </c>
      <c r="CB3" t="n">
        <v>0.45</v>
      </c>
      <c r="CD3" t="n">
        <v>0</v>
      </c>
      <c r="CE3">
        <f>e_base</f>
        <v/>
      </c>
      <c r="CG3" t="n">
        <v>0.1</v>
      </c>
      <c r="CH3">
        <f>IF(MAX(CG3,sv_piso)&lt;=1,e_base-cc_bajo*LOG10(MAX(CG3,sv_piso)/sv_piso),e_base-cc_bajo*LOG10(1/sv_piso)-cc_alto*LOG10(CG3))</f>
        <v/>
      </c>
      <c r="CI3" t="n">
        <v>0.44397</v>
      </c>
      <c r="CJ3">
        <f>DEGREES(ATAN(TAN(RADIANS(pe0-omega*(e_base)))*(CG3/sref)^(m_-1)))</f>
        <v/>
      </c>
      <c r="CK3">
        <f>DEGREES(ATAN(TAN(RADIANS(pe0-omega*(CH3)))*(CG3/sref)^(m_-1)))</f>
        <v/>
      </c>
      <c r="CL3">
        <f>IF(ISNUMBER(CI3),DEGREES(ATAN(TAN(RADIANS(pe0-omega*(CI3)))*(CG3/sref)^(m_-1))),NA())</f>
        <v/>
      </c>
      <c r="CN3" t="n">
        <v>0.5828540733372871</v>
      </c>
      <c r="CO3" t="n">
        <v>43.33897512880361</v>
      </c>
      <c r="CR3" t="n">
        <v>0.4903</v>
      </c>
      <c r="CS3" t="n">
        <v>13.4</v>
      </c>
      <c r="CW3" t="n">
        <v>13.4</v>
      </c>
      <c r="CZ3" t="n">
        <v>0</v>
      </c>
      <c r="DA3">
        <f>INTERCEPT(CS3:CS18,CR3:CR18)+SLOPE(CS3:CS18,CR3:CR18)*CZ3</f>
        <v/>
      </c>
    </row>
    <row r="4">
      <c r="A4" t="n">
        <v>0.01069</v>
      </c>
      <c r="B4">
        <f>DEGREES(ATAN(TAN(RADIANS(pe0-omega*e_base))*(A4/sref)^(m_-1)))</f>
        <v/>
      </c>
      <c r="C4">
        <f>MIN(tope,B4)</f>
        <v/>
      </c>
      <c r="D4">
        <f>IF(B4&gt;tope,B4,NA())</f>
        <v/>
      </c>
      <c r="E4">
        <f>MIN(DEGREES(ATAN(TAN(RADIANS(Parametros!$E$12-omega*e_base))*(A4/sref)^(Parametros!$B$12-1))),DEGREES(ATAN(TAN(RADIANS(Parametros!$E$13-omega*e_base))*(A4/sref)^(Parametros!$B$13-1))),DEGREES(ATAN(TAN(RADIANS(Parametros!$E$14-omega*e_base))*(A4/sref)^(Parametros!$B$14-1))),DEGREES(ATAN(TAN(RADIANS(Parametros!$E$15-omega*e_base))*(A4/sref)^(Parametros!$B$15-1))),DEGREES(ATAN(TAN(RADIANS(Parametros!$E$16-omega*e_base))*(A4/sref)^(Parametros!$B$16-1))))</f>
        <v/>
      </c>
      <c r="F4">
        <f>MAX(DEGREES(ATAN(TAN(RADIANS(Parametros!$F$12-omega*e_base))*(A4/sref)^(Parametros!$B$12-1))),DEGREES(ATAN(TAN(RADIANS(Parametros!$F$13-omega*e_base))*(A4/sref)^(Parametros!$B$13-1))),DEGREES(ATAN(TAN(RADIANS(Parametros!$F$14-omega*e_base))*(A4/sref)^(Parametros!$B$14-1))),DEGREES(ATAN(TAN(RADIANS(Parametros!$F$15-omega*e_base))*(A4/sref)^(Parametros!$B$15-1))),DEGREES(ATAN(TAN(RADIANS(Parametros!$F$16-omega*e_base))*(A4/sref)^(Parametros!$B$16-1))))</f>
        <v/>
      </c>
      <c r="G4">
        <f>DEGREES(ATAN(TAN(RADIANS(46.0))*(A4/sref)^(0.9-1)))</f>
        <v/>
      </c>
      <c r="H4">
        <f>DEGREES(ATAN(TAN(RADIANS(41.0))*(A4/sref)^(0.9-1)))</f>
        <v/>
      </c>
      <c r="I4">
        <f>DEGREES(ATAN(TAN(RADIANS(36.0))*(A4/sref)^(0.9-1)))</f>
        <v/>
      </c>
      <c r="J4">
        <f>DEGREES(ATAN(TAN(RADIANS(33.0))*(A4/sref)^(0.9-1)))</f>
        <v/>
      </c>
      <c r="K4">
        <f>A4*TAN(RADIANS(C4))</f>
        <v/>
      </c>
      <c r="L4">
        <f>A4*TAN(RADIANS(G4))</f>
        <v/>
      </c>
      <c r="M4">
        <f>A4*TAN(RADIANS(H4))</f>
        <v/>
      </c>
      <c r="N4">
        <f>A4*TAN(RADIANS(I4))</f>
        <v/>
      </c>
      <c r="O4">
        <f>A4*TAN(RADIANS(J4))</f>
        <v/>
      </c>
      <c r="Q4" t="n">
        <v>0.1</v>
      </c>
      <c r="R4">
        <f>MAX(DEGREES(ATAN(TAN(RADIANS(Parametros!$F$12-omega*e_base))*(Q4/sref)^(Parametros!$B$12-1))),DEGREES(ATAN(TAN(RADIANS(Parametros!$F$13-omega*e_base))*(Q4/sref)^(Parametros!$B$13-1))),DEGREES(ATAN(TAN(RADIANS(Parametros!$F$14-omega*e_base))*(Q4/sref)^(Parametros!$B$14-1))),DEGREES(ATAN(TAN(RADIANS(Parametros!$F$15-omega*e_base))*(Q4/sref)^(Parametros!$B$15-1))),DEGREES(ATAN(TAN(RADIANS(Parametros!$F$16-omega*e_base))*(Q4/sref)^(Parametros!$B$16-1))))</f>
        <v/>
      </c>
      <c r="T4" t="n">
        <v>0.02</v>
      </c>
      <c r="U4">
        <f>T4*TAN(RADIANS(MAX(DEGREES(ATAN(TAN(RADIANS(Parametros!$F$12-omega*e_base))*(T4/sref)^(Parametros!$B$12-1))),DEGREES(ATAN(TAN(RADIANS(Parametros!$F$13-omega*e_base))*(T4/sref)^(Parametros!$B$13-1))),DEGREES(ATAN(TAN(RADIANS(Parametros!$F$14-omega*e_base))*(T4/sref)^(Parametros!$B$14-1))),DEGREES(ATAN(TAN(RADIANS(Parametros!$F$15-omega*e_base))*(T4/sref)^(Parametros!$B$15-1))),DEGREES(ATAN(TAN(RADIANS(Parametros!$F$16-omega*e_base))*(T4/sref)^(Parametros!$B$16-1))))))</f>
        <v/>
      </c>
      <c r="W4" t="n">
        <v>4.622551045070219</v>
      </c>
      <c r="X4" t="n">
        <v>56</v>
      </c>
      <c r="Y4" t="n">
        <v>8.620858598234943</v>
      </c>
      <c r="Z4" t="n">
        <v>56</v>
      </c>
      <c r="AB4" t="n">
        <v>4.622551045070219</v>
      </c>
      <c r="AC4" t="n">
        <v>10.5</v>
      </c>
      <c r="AD4" t="n">
        <v>8.880587230250942</v>
      </c>
      <c r="AE4" t="n">
        <v>10.5</v>
      </c>
      <c r="AG4" t="n">
        <v>4.622551045070219</v>
      </c>
      <c r="AH4" t="n">
        <v>58</v>
      </c>
      <c r="AI4" t="n">
        <v>8.620858598234943</v>
      </c>
      <c r="AJ4" t="n">
        <v>58</v>
      </c>
      <c r="AL4">
        <f>Ensayos!M3</f>
        <v/>
      </c>
      <c r="AM4">
        <f>Ensayos!P3</f>
        <v/>
      </c>
      <c r="AN4">
        <f>IF(AND(Ensayos!$D3="Mármol",LEFT(Ensayos!$E3,7)="Triaxia"),Ensayos!P3,NA())</f>
        <v/>
      </c>
      <c r="AO4">
        <f>IF(AND(Ensayos!$D3="Mármol",NOT(LEFT(Ensayos!$E3,7)="Triaxia")),Ensayos!P3,NA())</f>
        <v/>
      </c>
      <c r="AP4">
        <f>IF(AND(Ensayos!$D3="Hornfels",LEFT(Ensayos!$E3,7)="Triaxia"),Ensayos!P3,NA())</f>
        <v/>
      </c>
      <c r="AQ4">
        <f>IF(AND(Ensayos!$D3="Hornfels",NOT(LEFT(Ensayos!$E3,7)="Triaxia")),Ensayos!P3,NA())</f>
        <v/>
      </c>
      <c r="AR4">
        <f>IF(AND(Ensayos!$D3="Intrusivo",LEFT(Ensayos!$E3,7)="Triaxia"),Ensayos!P3,NA())</f>
        <v/>
      </c>
      <c r="AS4">
        <f>IF(AND(Ensayos!$D3="Intrusivo",NOT(LEFT(Ensayos!$E3,7)="Triaxia")),Ensayos!P3,NA())</f>
        <v/>
      </c>
      <c r="AT4">
        <f>IF(AND(Ensayos!$D3="Mezcla",LEFT(Ensayos!$E3,7)="Triaxia"),Ensayos!P3,NA())</f>
        <v/>
      </c>
      <c r="AU4">
        <f>IF(AND(Ensayos!$D3="Mezcla",NOT(LEFT(Ensayos!$E3,7)="Triaxia")),Ensayos!P3,NA())</f>
        <v/>
      </c>
      <c r="AV4">
        <f>IF(AND(Ensayos!$D3="Mármol",LEFT(Ensayos!$E3,7)="Triaxia"),Ensayos!M3*TAN(RADIANS(Ensayos!P3)),NA())</f>
        <v/>
      </c>
      <c r="AW4">
        <f>IF(AND(Ensayos!$D3="Mármol",NOT(LEFT(Ensayos!$E3,7)="Triaxia")),Ensayos!M3*TAN(RADIANS(Ensayos!P3)),NA())</f>
        <v/>
      </c>
      <c r="AX4">
        <f>IF(AND(Ensayos!$D3="Hornfels",LEFT(Ensayos!$E3,7)="Triaxia"),Ensayos!M3*TAN(RADIANS(Ensayos!P3)),NA())</f>
        <v/>
      </c>
      <c r="AY4">
        <f>IF(AND(Ensayos!$D3="Hornfels",NOT(LEFT(Ensayos!$E3,7)="Triaxia")),Ensayos!M3*TAN(RADIANS(Ensayos!P3)),NA())</f>
        <v/>
      </c>
      <c r="AZ4">
        <f>IF(AND(Ensayos!$D3="Intrusivo",LEFT(Ensayos!$E3,7)="Triaxia"),Ensayos!M3*TAN(RADIANS(Ensayos!P3)),NA())</f>
        <v/>
      </c>
      <c r="BA4">
        <f>IF(AND(Ensayos!$D3="Intrusivo",NOT(LEFT(Ensayos!$E3,7)="Triaxia")),Ensayos!M3*TAN(RADIANS(Ensayos!P3)),NA())</f>
        <v/>
      </c>
      <c r="BB4">
        <f>IF(AND(Ensayos!$D3="Mezcla",LEFT(Ensayos!$E3,7)="Triaxia"),Ensayos!M3*TAN(RADIANS(Ensayos!P3)),NA())</f>
        <v/>
      </c>
      <c r="BC4">
        <f>IF(AND(Ensayos!$D3="Mezcla",NOT(LEFT(Ensayos!$E3,7)="Triaxia")),Ensayos!M3*TAN(RADIANS(Ensayos!P3)),NA())</f>
        <v/>
      </c>
      <c r="BE4">
        <f>Base_mundial!C3</f>
        <v/>
      </c>
      <c r="BF4">
        <f>Base_mundial!E3-omega*(e_base-Base_mundial!B3)</f>
        <v/>
      </c>
      <c r="BG4">
        <f>BE4*TAN(RADIANS(BF4))</f>
        <v/>
      </c>
      <c r="BI4" t="n">
        <v>0.3227040211544545</v>
      </c>
      <c r="BP4" t="n">
        <v>37.04444019095491</v>
      </c>
      <c r="BS4" t="n">
        <v>0.8</v>
      </c>
      <c r="BT4">
        <f>pe0-omega*BS4</f>
        <v/>
      </c>
      <c r="BU4" t="n">
        <v>46</v>
      </c>
      <c r="BV4" t="n">
        <v>41</v>
      </c>
      <c r="BW4" t="n">
        <v>36</v>
      </c>
      <c r="BX4" t="n">
        <v>33</v>
      </c>
      <c r="BZ4" t="n">
        <v>10</v>
      </c>
      <c r="CA4" t="n">
        <v>0.4053282392091527</v>
      </c>
      <c r="CB4" t="n">
        <v>0.4382008009153319</v>
      </c>
      <c r="CD4" t="n">
        <v>700</v>
      </c>
      <c r="CE4">
        <f>e_base</f>
        <v/>
      </c>
      <c r="CG4" t="n">
        <v>0.1057914241499939</v>
      </c>
      <c r="CH4">
        <f>IF(MAX(CG4,sv_piso)&lt;=1,e_base-cc_bajo*LOG10(MAX(CG4,sv_piso)/sv_piso),e_base-cc_bajo*LOG10(1/sv_piso)-cc_alto*LOG10(CG4))</f>
        <v/>
      </c>
      <c r="CI4" t="n">
        <v>0.44362</v>
      </c>
      <c r="CJ4">
        <f>DEGREES(ATAN(TAN(RADIANS(pe0-omega*(e_base)))*(CG4/sref)^(m_-1)))</f>
        <v/>
      </c>
      <c r="CK4">
        <f>DEGREES(ATAN(TAN(RADIANS(pe0-omega*(CH4)))*(CG4/sref)^(m_-1)))</f>
        <v/>
      </c>
      <c r="CL4">
        <f>IF(ISNUMBER(CI4),DEGREES(ATAN(TAN(RADIANS(pe0-omega*(CI4)))*(CG4/sref)^(m_-1))),NA())</f>
        <v/>
      </c>
      <c r="CN4" t="n">
        <v>0.1977179260330954</v>
      </c>
      <c r="CO4" t="n">
        <v>54.29248038658784</v>
      </c>
      <c r="CR4" t="n">
        <v>0.4903</v>
      </c>
      <c r="CS4" t="n">
        <v>14.3</v>
      </c>
      <c r="CW4" t="n">
        <v>14.3</v>
      </c>
      <c r="CZ4" t="n">
        <v>2.6</v>
      </c>
      <c r="DA4">
        <f>INTERCEPT(CS3:CS18,CR3:CR18)+SLOPE(CS3:CS18,CR3:CR18)*CZ4</f>
        <v/>
      </c>
    </row>
    <row r="5">
      <c r="A5" t="n">
        <v>0.01144</v>
      </c>
      <c r="B5">
        <f>DEGREES(ATAN(TAN(RADIANS(pe0-omega*e_base))*(A5/sref)^(m_-1)))</f>
        <v/>
      </c>
      <c r="C5">
        <f>MIN(tope,B5)</f>
        <v/>
      </c>
      <c r="D5">
        <f>IF(B5&gt;tope,B5,NA())</f>
        <v/>
      </c>
      <c r="E5">
        <f>MIN(DEGREES(ATAN(TAN(RADIANS(Parametros!$E$12-omega*e_base))*(A5/sref)^(Parametros!$B$12-1))),DEGREES(ATAN(TAN(RADIANS(Parametros!$E$13-omega*e_base))*(A5/sref)^(Parametros!$B$13-1))),DEGREES(ATAN(TAN(RADIANS(Parametros!$E$14-omega*e_base))*(A5/sref)^(Parametros!$B$14-1))),DEGREES(ATAN(TAN(RADIANS(Parametros!$E$15-omega*e_base))*(A5/sref)^(Parametros!$B$15-1))),DEGREES(ATAN(TAN(RADIANS(Parametros!$E$16-omega*e_base))*(A5/sref)^(Parametros!$B$16-1))))</f>
        <v/>
      </c>
      <c r="F5">
        <f>MAX(DEGREES(ATAN(TAN(RADIANS(Parametros!$F$12-omega*e_base))*(A5/sref)^(Parametros!$B$12-1))),DEGREES(ATAN(TAN(RADIANS(Parametros!$F$13-omega*e_base))*(A5/sref)^(Parametros!$B$13-1))),DEGREES(ATAN(TAN(RADIANS(Parametros!$F$14-omega*e_base))*(A5/sref)^(Parametros!$B$14-1))),DEGREES(ATAN(TAN(RADIANS(Parametros!$F$15-omega*e_base))*(A5/sref)^(Parametros!$B$15-1))),DEGREES(ATAN(TAN(RADIANS(Parametros!$F$16-omega*e_base))*(A5/sref)^(Parametros!$B$16-1))))</f>
        <v/>
      </c>
      <c r="G5">
        <f>DEGREES(ATAN(TAN(RADIANS(46.0))*(A5/sref)^(0.9-1)))</f>
        <v/>
      </c>
      <c r="H5">
        <f>DEGREES(ATAN(TAN(RADIANS(41.0))*(A5/sref)^(0.9-1)))</f>
        <v/>
      </c>
      <c r="I5">
        <f>DEGREES(ATAN(TAN(RADIANS(36.0))*(A5/sref)^(0.9-1)))</f>
        <v/>
      </c>
      <c r="J5">
        <f>DEGREES(ATAN(TAN(RADIANS(33.0))*(A5/sref)^(0.9-1)))</f>
        <v/>
      </c>
      <c r="K5">
        <f>A5*TAN(RADIANS(C5))</f>
        <v/>
      </c>
      <c r="L5">
        <f>A5*TAN(RADIANS(G5))</f>
        <v/>
      </c>
      <c r="M5">
        <f>A5*TAN(RADIANS(H5))</f>
        <v/>
      </c>
      <c r="N5">
        <f>A5*TAN(RADIANS(I5))</f>
        <v/>
      </c>
      <c r="O5">
        <f>A5*TAN(RADIANS(J5))</f>
        <v/>
      </c>
      <c r="AL5">
        <f>Ensayos!M4</f>
        <v/>
      </c>
      <c r="AM5">
        <f>Ensayos!P4</f>
        <v/>
      </c>
      <c r="AN5">
        <f>IF(AND(Ensayos!$D4="Mármol",LEFT(Ensayos!$E4,7)="Triaxia"),Ensayos!P4,NA())</f>
        <v/>
      </c>
      <c r="AO5">
        <f>IF(AND(Ensayos!$D4="Mármol",NOT(LEFT(Ensayos!$E4,7)="Triaxia")),Ensayos!P4,NA())</f>
        <v/>
      </c>
      <c r="AP5">
        <f>IF(AND(Ensayos!$D4="Hornfels",LEFT(Ensayos!$E4,7)="Triaxia"),Ensayos!P4,NA())</f>
        <v/>
      </c>
      <c r="AQ5">
        <f>IF(AND(Ensayos!$D4="Hornfels",NOT(LEFT(Ensayos!$E4,7)="Triaxia")),Ensayos!P4,NA())</f>
        <v/>
      </c>
      <c r="AR5">
        <f>IF(AND(Ensayos!$D4="Intrusivo",LEFT(Ensayos!$E4,7)="Triaxia"),Ensayos!P4,NA())</f>
        <v/>
      </c>
      <c r="AS5">
        <f>IF(AND(Ensayos!$D4="Intrusivo",NOT(LEFT(Ensayos!$E4,7)="Triaxia")),Ensayos!P4,NA())</f>
        <v/>
      </c>
      <c r="AT5">
        <f>IF(AND(Ensayos!$D4="Mezcla",LEFT(Ensayos!$E4,7)="Triaxia"),Ensayos!P4,NA())</f>
        <v/>
      </c>
      <c r="AU5">
        <f>IF(AND(Ensayos!$D4="Mezcla",NOT(LEFT(Ensayos!$E4,7)="Triaxia")),Ensayos!P4,NA())</f>
        <v/>
      </c>
      <c r="AV5">
        <f>IF(AND(Ensayos!$D4="Mármol",LEFT(Ensayos!$E4,7)="Triaxia"),Ensayos!M4*TAN(RADIANS(Ensayos!P4)),NA())</f>
        <v/>
      </c>
      <c r="AW5">
        <f>IF(AND(Ensayos!$D4="Mármol",NOT(LEFT(Ensayos!$E4,7)="Triaxia")),Ensayos!M4*TAN(RADIANS(Ensayos!P4)),NA())</f>
        <v/>
      </c>
      <c r="AX5">
        <f>IF(AND(Ensayos!$D4="Hornfels",LEFT(Ensayos!$E4,7)="Triaxia"),Ensayos!M4*TAN(RADIANS(Ensayos!P4)),NA())</f>
        <v/>
      </c>
      <c r="AY5">
        <f>IF(AND(Ensayos!$D4="Hornfels",NOT(LEFT(Ensayos!$E4,7)="Triaxia")),Ensayos!M4*TAN(RADIANS(Ensayos!P4)),NA())</f>
        <v/>
      </c>
      <c r="AZ5">
        <f>IF(AND(Ensayos!$D4="Intrusivo",LEFT(Ensayos!$E4,7)="Triaxia"),Ensayos!M4*TAN(RADIANS(Ensayos!P4)),NA())</f>
        <v/>
      </c>
      <c r="BA5">
        <f>IF(AND(Ensayos!$D4="Intrusivo",NOT(LEFT(Ensayos!$E4,7)="Triaxia")),Ensayos!M4*TAN(RADIANS(Ensayos!P4)),NA())</f>
        <v/>
      </c>
      <c r="BB5">
        <f>IF(AND(Ensayos!$D4="Mezcla",LEFT(Ensayos!$E4,7)="Triaxia"),Ensayos!M4*TAN(RADIANS(Ensayos!P4)),NA())</f>
        <v/>
      </c>
      <c r="BC5">
        <f>IF(AND(Ensayos!$D4="Mezcla",NOT(LEFT(Ensayos!$E4,7)="Triaxia")),Ensayos!M4*TAN(RADIANS(Ensayos!P4)),NA())</f>
        <v/>
      </c>
      <c r="BE5">
        <f>Base_mundial!C4</f>
        <v/>
      </c>
      <c r="BF5">
        <f>Base_mundial!E4-omega*(e_base-Base_mundial!B4)</f>
        <v/>
      </c>
      <c r="BG5">
        <f>BE5*TAN(RADIANS(BF5))</f>
        <v/>
      </c>
      <c r="BI5" t="n">
        <v>0.3317313106796116</v>
      </c>
      <c r="BL5" t="n">
        <v>48.22760066937806</v>
      </c>
      <c r="BZ5" t="n">
        <v>20</v>
      </c>
      <c r="CA5" t="n">
        <v>0.3823929308437676</v>
      </c>
      <c r="CB5" t="n">
        <v>0.4264016018306637</v>
      </c>
      <c r="CG5" t="n">
        <v>0.111918254236839</v>
      </c>
      <c r="CH5">
        <f>IF(MAX(CG5,sv_piso)&lt;=1,e_base-cc_bajo*LOG10(MAX(CG5,sv_piso)/sv_piso),e_base-cc_bajo*LOG10(1/sv_piso)-cc_alto*LOG10(CG5))</f>
        <v/>
      </c>
      <c r="CI5" t="n">
        <v>0.44325</v>
      </c>
      <c r="CJ5">
        <f>DEGREES(ATAN(TAN(RADIANS(pe0-omega*(e_base)))*(CG5/sref)^(m_-1)))</f>
        <v/>
      </c>
      <c r="CK5">
        <f>DEGREES(ATAN(TAN(RADIANS(pe0-omega*(CH5)))*(CG5/sref)^(m_-1)))</f>
        <v/>
      </c>
      <c r="CL5">
        <f>IF(ISNUMBER(CI5),DEGREES(ATAN(TAN(RADIANS(pe0-omega*(CI5)))*(CG5/sref)^(m_-1))),NA())</f>
        <v/>
      </c>
      <c r="CN5" t="n">
        <v>0.143956096175563</v>
      </c>
      <c r="CO5" t="n">
        <v>49.98757232100876</v>
      </c>
      <c r="CR5" t="n">
        <v>0.9807</v>
      </c>
      <c r="CS5" t="n">
        <v>20.4</v>
      </c>
      <c r="CW5" t="n">
        <v>20.4</v>
      </c>
    </row>
    <row r="6">
      <c r="A6" t="n">
        <v>0.01223</v>
      </c>
      <c r="B6">
        <f>DEGREES(ATAN(TAN(RADIANS(pe0-omega*e_base))*(A6/sref)^(m_-1)))</f>
        <v/>
      </c>
      <c r="C6">
        <f>MIN(tope,B6)</f>
        <v/>
      </c>
      <c r="D6">
        <f>IF(B6&gt;tope,B6,NA())</f>
        <v/>
      </c>
      <c r="E6">
        <f>MIN(DEGREES(ATAN(TAN(RADIANS(Parametros!$E$12-omega*e_base))*(A6/sref)^(Parametros!$B$12-1))),DEGREES(ATAN(TAN(RADIANS(Parametros!$E$13-omega*e_base))*(A6/sref)^(Parametros!$B$13-1))),DEGREES(ATAN(TAN(RADIANS(Parametros!$E$14-omega*e_base))*(A6/sref)^(Parametros!$B$14-1))),DEGREES(ATAN(TAN(RADIANS(Parametros!$E$15-omega*e_base))*(A6/sref)^(Parametros!$B$15-1))),DEGREES(ATAN(TAN(RADIANS(Parametros!$E$16-omega*e_base))*(A6/sref)^(Parametros!$B$16-1))))</f>
        <v/>
      </c>
      <c r="F6">
        <f>MAX(DEGREES(ATAN(TAN(RADIANS(Parametros!$F$12-omega*e_base))*(A6/sref)^(Parametros!$B$12-1))),DEGREES(ATAN(TAN(RADIANS(Parametros!$F$13-omega*e_base))*(A6/sref)^(Parametros!$B$13-1))),DEGREES(ATAN(TAN(RADIANS(Parametros!$F$14-omega*e_base))*(A6/sref)^(Parametros!$B$14-1))),DEGREES(ATAN(TAN(RADIANS(Parametros!$F$15-omega*e_base))*(A6/sref)^(Parametros!$B$15-1))),DEGREES(ATAN(TAN(RADIANS(Parametros!$F$16-omega*e_base))*(A6/sref)^(Parametros!$B$16-1))))</f>
        <v/>
      </c>
      <c r="G6">
        <f>DEGREES(ATAN(TAN(RADIANS(46.0))*(A6/sref)^(0.9-1)))</f>
        <v/>
      </c>
      <c r="H6">
        <f>DEGREES(ATAN(TAN(RADIANS(41.0))*(A6/sref)^(0.9-1)))</f>
        <v/>
      </c>
      <c r="I6">
        <f>DEGREES(ATAN(TAN(RADIANS(36.0))*(A6/sref)^(0.9-1)))</f>
        <v/>
      </c>
      <c r="J6">
        <f>DEGREES(ATAN(TAN(RADIANS(33.0))*(A6/sref)^(0.9-1)))</f>
        <v/>
      </c>
      <c r="K6">
        <f>A6*TAN(RADIANS(C6))</f>
        <v/>
      </c>
      <c r="L6">
        <f>A6*TAN(RADIANS(G6))</f>
        <v/>
      </c>
      <c r="M6">
        <f>A6*TAN(RADIANS(H6))</f>
        <v/>
      </c>
      <c r="N6">
        <f>A6*TAN(RADIANS(I6))</f>
        <v/>
      </c>
      <c r="O6">
        <f>A6*TAN(RADIANS(J6))</f>
        <v/>
      </c>
      <c r="Q6" t="n">
        <v>0.1039606352263962</v>
      </c>
      <c r="R6">
        <f>MIN(DEGREES(ATAN(TAN(RADIANS(Parametros!$E$12-omega*e_base))*(Q6/sref)^(Parametros!$B$12-1))),DEGREES(ATAN(TAN(RADIANS(Parametros!$E$13-omega*e_base))*(Q6/sref)^(Parametros!$B$13-1))),DEGREES(ATAN(TAN(RADIANS(Parametros!$E$14-omega*e_base))*(Q6/sref)^(Parametros!$B$14-1))),DEGREES(ATAN(TAN(RADIANS(Parametros!$E$15-omega*e_base))*(Q6/sref)^(Parametros!$B$15-1))),DEGREES(ATAN(TAN(RADIANS(Parametros!$E$16-omega*e_base))*(Q6/sref)^(Parametros!$B$16-1))))</f>
        <v/>
      </c>
      <c r="T6" t="n">
        <v>0.1086390532544379</v>
      </c>
      <c r="U6">
        <f>T6*TAN(RADIANS(MIN(DEGREES(ATAN(TAN(RADIANS(Parametros!$E$12-omega*e_base))*(T6/sref)^(Parametros!$B$12-1))),DEGREES(ATAN(TAN(RADIANS(Parametros!$E$13-omega*e_base))*(T6/sref)^(Parametros!$B$13-1))),DEGREES(ATAN(TAN(RADIANS(Parametros!$E$14-omega*e_base))*(T6/sref)^(Parametros!$B$14-1))),DEGREES(ATAN(TAN(RADIANS(Parametros!$E$15-omega*e_base))*(T6/sref)^(Parametros!$B$15-1))),DEGREES(ATAN(TAN(RADIANS(Parametros!$E$16-omega*e_base))*(T6/sref)^(Parametros!$B$16-1))))))</f>
        <v/>
      </c>
      <c r="W6" t="n">
        <v>4.721770374001637</v>
      </c>
      <c r="X6" t="n">
        <v>22</v>
      </c>
      <c r="Y6" t="n">
        <v>7.860685101959433</v>
      </c>
      <c r="Z6" t="n">
        <v>30.74285714285713</v>
      </c>
      <c r="AB6" t="n">
        <v>4.752076407345788</v>
      </c>
      <c r="AC6" t="n">
        <v>0</v>
      </c>
      <c r="AD6" t="n">
        <v>7.860685101959433</v>
      </c>
      <c r="AE6" t="n">
        <v>2.700000000000003</v>
      </c>
      <c r="AG6" t="n">
        <v>4.721770374001637</v>
      </c>
      <c r="AH6" t="n">
        <v>22</v>
      </c>
      <c r="AI6" t="n">
        <v>7.860685101959433</v>
      </c>
      <c r="AJ6" t="n">
        <v>31.25714285714284</v>
      </c>
      <c r="AL6">
        <f>Ensayos!M5</f>
        <v/>
      </c>
      <c r="AM6">
        <f>Ensayos!P5</f>
        <v/>
      </c>
      <c r="AN6">
        <f>IF(AND(Ensayos!$D5="Mármol",LEFT(Ensayos!$E5,7)="Triaxia"),Ensayos!P5,NA())</f>
        <v/>
      </c>
      <c r="AO6">
        <f>IF(AND(Ensayos!$D5="Mármol",NOT(LEFT(Ensayos!$E5,7)="Triaxia")),Ensayos!P5,NA())</f>
        <v/>
      </c>
      <c r="AP6">
        <f>IF(AND(Ensayos!$D5="Hornfels",LEFT(Ensayos!$E5,7)="Triaxia"),Ensayos!P5,NA())</f>
        <v/>
      </c>
      <c r="AQ6">
        <f>IF(AND(Ensayos!$D5="Hornfels",NOT(LEFT(Ensayos!$E5,7)="Triaxia")),Ensayos!P5,NA())</f>
        <v/>
      </c>
      <c r="AR6">
        <f>IF(AND(Ensayos!$D5="Intrusivo",LEFT(Ensayos!$E5,7)="Triaxia"),Ensayos!P5,NA())</f>
        <v/>
      </c>
      <c r="AS6">
        <f>IF(AND(Ensayos!$D5="Intrusivo",NOT(LEFT(Ensayos!$E5,7)="Triaxia")),Ensayos!P5,NA())</f>
        <v/>
      </c>
      <c r="AT6">
        <f>IF(AND(Ensayos!$D5="Mezcla",LEFT(Ensayos!$E5,7)="Triaxia"),Ensayos!P5,NA())</f>
        <v/>
      </c>
      <c r="AU6">
        <f>IF(AND(Ensayos!$D5="Mezcla",NOT(LEFT(Ensayos!$E5,7)="Triaxia")),Ensayos!P5,NA())</f>
        <v/>
      </c>
      <c r="AV6">
        <f>IF(AND(Ensayos!$D5="Mármol",LEFT(Ensayos!$E5,7)="Triaxia"),Ensayos!M5*TAN(RADIANS(Ensayos!P5)),NA())</f>
        <v/>
      </c>
      <c r="AW6">
        <f>IF(AND(Ensayos!$D5="Mármol",NOT(LEFT(Ensayos!$E5,7)="Triaxia")),Ensayos!M5*TAN(RADIANS(Ensayos!P5)),NA())</f>
        <v/>
      </c>
      <c r="AX6">
        <f>IF(AND(Ensayos!$D5="Hornfels",LEFT(Ensayos!$E5,7)="Triaxia"),Ensayos!M5*TAN(RADIANS(Ensayos!P5)),NA())</f>
        <v/>
      </c>
      <c r="AY6">
        <f>IF(AND(Ensayos!$D5="Hornfels",NOT(LEFT(Ensayos!$E5,7)="Triaxia")),Ensayos!M5*TAN(RADIANS(Ensayos!P5)),NA())</f>
        <v/>
      </c>
      <c r="AZ6">
        <f>IF(AND(Ensayos!$D5="Intrusivo",LEFT(Ensayos!$E5,7)="Triaxia"),Ensayos!M5*TAN(RADIANS(Ensayos!P5)),NA())</f>
        <v/>
      </c>
      <c r="BA6">
        <f>IF(AND(Ensayos!$D5="Intrusivo",NOT(LEFT(Ensayos!$E5,7)="Triaxia")),Ensayos!M5*TAN(RADIANS(Ensayos!P5)),NA())</f>
        <v/>
      </c>
      <c r="BB6">
        <f>IF(AND(Ensayos!$D5="Mezcla",LEFT(Ensayos!$E5,7)="Triaxia"),Ensayos!M5*TAN(RADIANS(Ensayos!P5)),NA())</f>
        <v/>
      </c>
      <c r="BC6">
        <f>IF(AND(Ensayos!$D5="Mezcla",NOT(LEFT(Ensayos!$E5,7)="Triaxia")),Ensayos!M5*TAN(RADIANS(Ensayos!P5)),NA())</f>
        <v/>
      </c>
      <c r="BE6">
        <f>Base_mundial!C5</f>
        <v/>
      </c>
      <c r="BF6">
        <f>Base_mundial!E5-omega*(e_base-Base_mundial!B5)</f>
        <v/>
      </c>
      <c r="BG6">
        <f>BE6*TAN(RADIANS(BF6))</f>
        <v/>
      </c>
      <c r="BI6" t="n">
        <v>0.3574302325581395</v>
      </c>
      <c r="BL6" t="n">
        <v>48.96692394037002</v>
      </c>
      <c r="BZ6" t="n">
        <v>30</v>
      </c>
      <c r="CA6" t="n">
        <v>0.3689484669960268</v>
      </c>
      <c r="CB6" t="n">
        <v>0.4146024027459956</v>
      </c>
      <c r="CG6" t="n">
        <v>0.1183999150409628</v>
      </c>
      <c r="CH6">
        <f>IF(MAX(CG6,sv_piso)&lt;=1,e_base-cc_bajo*LOG10(MAX(CG6,sv_piso)/sv_piso),e_base-cc_bajo*LOG10(1/sv_piso)-cc_alto*LOG10(CG6))</f>
        <v/>
      </c>
      <c r="CI6" t="n">
        <v>0.44286</v>
      </c>
      <c r="CJ6">
        <f>DEGREES(ATAN(TAN(RADIANS(pe0-omega*(e_base)))*(CG6/sref)^(m_-1)))</f>
        <v/>
      </c>
      <c r="CK6">
        <f>DEGREES(ATAN(TAN(RADIANS(pe0-omega*(CH6)))*(CG6/sref)^(m_-1)))</f>
        <v/>
      </c>
      <c r="CL6">
        <f>IF(ISNUMBER(CI6),DEGREES(ATAN(TAN(RADIANS(pe0-omega*(CI6)))*(CG6/sref)^(m_-1))),NA())</f>
        <v/>
      </c>
      <c r="CN6" t="n">
        <v>0.5486816499412089</v>
      </c>
      <c r="CO6" t="n">
        <v>47.23958022438112</v>
      </c>
      <c r="CR6" t="n">
        <v>1.9613</v>
      </c>
      <c r="CS6" t="n">
        <v>25.1</v>
      </c>
      <c r="CW6" t="n">
        <v>25.1</v>
      </c>
    </row>
    <row r="7">
      <c r="A7" t="n">
        <v>0.01308</v>
      </c>
      <c r="B7">
        <f>DEGREES(ATAN(TAN(RADIANS(pe0-omega*e_base))*(A7/sref)^(m_-1)))</f>
        <v/>
      </c>
      <c r="C7">
        <f>MIN(tope,B7)</f>
        <v/>
      </c>
      <c r="D7">
        <f>IF(B7&gt;tope,B7,NA())</f>
        <v/>
      </c>
      <c r="E7">
        <f>MIN(DEGREES(ATAN(TAN(RADIANS(Parametros!$E$12-omega*e_base))*(A7/sref)^(Parametros!$B$12-1))),DEGREES(ATAN(TAN(RADIANS(Parametros!$E$13-omega*e_base))*(A7/sref)^(Parametros!$B$13-1))),DEGREES(ATAN(TAN(RADIANS(Parametros!$E$14-omega*e_base))*(A7/sref)^(Parametros!$B$14-1))),DEGREES(ATAN(TAN(RADIANS(Parametros!$E$15-omega*e_base))*(A7/sref)^(Parametros!$B$15-1))),DEGREES(ATAN(TAN(RADIANS(Parametros!$E$16-omega*e_base))*(A7/sref)^(Parametros!$B$16-1))))</f>
        <v/>
      </c>
      <c r="F7">
        <f>MAX(DEGREES(ATAN(TAN(RADIANS(Parametros!$F$12-omega*e_base))*(A7/sref)^(Parametros!$B$12-1))),DEGREES(ATAN(TAN(RADIANS(Parametros!$F$13-omega*e_base))*(A7/sref)^(Parametros!$B$13-1))),DEGREES(ATAN(TAN(RADIANS(Parametros!$F$14-omega*e_base))*(A7/sref)^(Parametros!$B$14-1))),DEGREES(ATAN(TAN(RADIANS(Parametros!$F$15-omega*e_base))*(A7/sref)^(Parametros!$B$15-1))),DEGREES(ATAN(TAN(RADIANS(Parametros!$F$16-omega*e_base))*(A7/sref)^(Parametros!$B$16-1))))</f>
        <v/>
      </c>
      <c r="G7">
        <f>DEGREES(ATAN(TAN(RADIANS(46.0))*(A7/sref)^(0.9-1)))</f>
        <v/>
      </c>
      <c r="H7">
        <f>DEGREES(ATAN(TAN(RADIANS(41.0))*(A7/sref)^(0.9-1)))</f>
        <v/>
      </c>
      <c r="I7">
        <f>DEGREES(ATAN(TAN(RADIANS(36.0))*(A7/sref)^(0.9-1)))</f>
        <v/>
      </c>
      <c r="J7">
        <f>DEGREES(ATAN(TAN(RADIANS(33.0))*(A7/sref)^(0.9-1)))</f>
        <v/>
      </c>
      <c r="K7">
        <f>A7*TAN(RADIANS(C7))</f>
        <v/>
      </c>
      <c r="L7">
        <f>A7*TAN(RADIANS(G7))</f>
        <v/>
      </c>
      <c r="M7">
        <f>A7*TAN(RADIANS(H7))</f>
        <v/>
      </c>
      <c r="N7">
        <f>A7*TAN(RADIANS(I7))</f>
        <v/>
      </c>
      <c r="O7">
        <f>A7*TAN(RADIANS(J7))</f>
        <v/>
      </c>
      <c r="Q7" t="n">
        <v>0.1039606352263962</v>
      </c>
      <c r="R7">
        <f>MAX(DEGREES(ATAN(TAN(RADIANS(Parametros!$F$12-omega*e_base))*(Q7/sref)^(Parametros!$B$12-1))),DEGREES(ATAN(TAN(RADIANS(Parametros!$F$13-omega*e_base))*(Q7/sref)^(Parametros!$B$13-1))),DEGREES(ATAN(TAN(RADIANS(Parametros!$F$14-omega*e_base))*(Q7/sref)^(Parametros!$B$14-1))),DEGREES(ATAN(TAN(RADIANS(Parametros!$F$15-omega*e_base))*(Q7/sref)^(Parametros!$B$15-1))),DEGREES(ATAN(TAN(RADIANS(Parametros!$F$16-omega*e_base))*(Q7/sref)^(Parametros!$B$16-1))))</f>
        <v/>
      </c>
      <c r="T7" t="n">
        <v>0.1086390532544379</v>
      </c>
      <c r="U7">
        <f>T7*TAN(RADIANS(MAX(DEGREES(ATAN(TAN(RADIANS(Parametros!$F$12-omega*e_base))*(T7/sref)^(Parametros!$B$12-1))),DEGREES(ATAN(TAN(RADIANS(Parametros!$F$13-omega*e_base))*(T7/sref)^(Parametros!$B$13-1))),DEGREES(ATAN(TAN(RADIANS(Parametros!$F$14-omega*e_base))*(T7/sref)^(Parametros!$B$14-1))),DEGREES(ATAN(TAN(RADIANS(Parametros!$F$15-omega*e_base))*(T7/sref)^(Parametros!$B$15-1))),DEGREES(ATAN(TAN(RADIANS(Parametros!$F$16-omega*e_base))*(T7/sref)^(Parametros!$B$16-1))))))</f>
        <v/>
      </c>
      <c r="W7" t="n">
        <v>4.721770374001637</v>
      </c>
      <c r="X7" t="n">
        <v>56</v>
      </c>
      <c r="Y7" t="n">
        <v>9.454545247237522</v>
      </c>
      <c r="Z7" t="n">
        <v>56</v>
      </c>
      <c r="AB7" t="n">
        <v>4.752076407345788</v>
      </c>
      <c r="AC7" t="n">
        <v>10.5</v>
      </c>
      <c r="AD7" t="n">
        <v>9.900489358542451</v>
      </c>
      <c r="AE7" t="n">
        <v>10.5</v>
      </c>
      <c r="AG7" t="n">
        <v>4.721770374001637</v>
      </c>
      <c r="AH7" t="n">
        <v>58</v>
      </c>
      <c r="AI7" t="n">
        <v>9.454545247237522</v>
      </c>
      <c r="AJ7" t="n">
        <v>58</v>
      </c>
      <c r="AL7">
        <f>Ensayos!M6</f>
        <v/>
      </c>
      <c r="AM7">
        <f>Ensayos!P6</f>
        <v/>
      </c>
      <c r="AN7">
        <f>IF(AND(Ensayos!$D6="Mármol",LEFT(Ensayos!$E6,7)="Triaxia"),Ensayos!P6,NA())</f>
        <v/>
      </c>
      <c r="AO7">
        <f>IF(AND(Ensayos!$D6="Mármol",NOT(LEFT(Ensayos!$E6,7)="Triaxia")),Ensayos!P6,NA())</f>
        <v/>
      </c>
      <c r="AP7">
        <f>IF(AND(Ensayos!$D6="Hornfels",LEFT(Ensayos!$E6,7)="Triaxia"),Ensayos!P6,NA())</f>
        <v/>
      </c>
      <c r="AQ7">
        <f>IF(AND(Ensayos!$D6="Hornfels",NOT(LEFT(Ensayos!$E6,7)="Triaxia")),Ensayos!P6,NA())</f>
        <v/>
      </c>
      <c r="AR7">
        <f>IF(AND(Ensayos!$D6="Intrusivo",LEFT(Ensayos!$E6,7)="Triaxia"),Ensayos!P6,NA())</f>
        <v/>
      </c>
      <c r="AS7">
        <f>IF(AND(Ensayos!$D6="Intrusivo",NOT(LEFT(Ensayos!$E6,7)="Triaxia")),Ensayos!P6,NA())</f>
        <v/>
      </c>
      <c r="AT7">
        <f>IF(AND(Ensayos!$D6="Mezcla",LEFT(Ensayos!$E6,7)="Triaxia"),Ensayos!P6,NA())</f>
        <v/>
      </c>
      <c r="AU7">
        <f>IF(AND(Ensayos!$D6="Mezcla",NOT(LEFT(Ensayos!$E6,7)="Triaxia")),Ensayos!P6,NA())</f>
        <v/>
      </c>
      <c r="AV7">
        <f>IF(AND(Ensayos!$D6="Mármol",LEFT(Ensayos!$E6,7)="Triaxia"),Ensayos!M6*TAN(RADIANS(Ensayos!P6)),NA())</f>
        <v/>
      </c>
      <c r="AW7">
        <f>IF(AND(Ensayos!$D6="Mármol",NOT(LEFT(Ensayos!$E6,7)="Triaxia")),Ensayos!M6*TAN(RADIANS(Ensayos!P6)),NA())</f>
        <v/>
      </c>
      <c r="AX7">
        <f>IF(AND(Ensayos!$D6="Hornfels",LEFT(Ensayos!$E6,7)="Triaxia"),Ensayos!M6*TAN(RADIANS(Ensayos!P6)),NA())</f>
        <v/>
      </c>
      <c r="AY7">
        <f>IF(AND(Ensayos!$D6="Hornfels",NOT(LEFT(Ensayos!$E6,7)="Triaxia")),Ensayos!M6*TAN(RADIANS(Ensayos!P6)),NA())</f>
        <v/>
      </c>
      <c r="AZ7">
        <f>IF(AND(Ensayos!$D6="Intrusivo",LEFT(Ensayos!$E6,7)="Triaxia"),Ensayos!M6*TAN(RADIANS(Ensayos!P6)),NA())</f>
        <v/>
      </c>
      <c r="BA7">
        <f>IF(AND(Ensayos!$D6="Intrusivo",NOT(LEFT(Ensayos!$E6,7)="Triaxia")),Ensayos!M6*TAN(RADIANS(Ensayos!P6)),NA())</f>
        <v/>
      </c>
      <c r="BB7">
        <f>IF(AND(Ensayos!$D6="Mezcla",LEFT(Ensayos!$E6,7)="Triaxia"),Ensayos!M6*TAN(RADIANS(Ensayos!P6)),NA())</f>
        <v/>
      </c>
      <c r="BC7">
        <f>IF(AND(Ensayos!$D6="Mezcla",NOT(LEFT(Ensayos!$E6,7)="Triaxia")),Ensayos!M6*TAN(RADIANS(Ensayos!P6)),NA())</f>
        <v/>
      </c>
      <c r="BE7">
        <f>Base_mundial!C6</f>
        <v/>
      </c>
      <c r="BF7">
        <f>Base_mundial!E6-omega*(e_base-Base_mundial!B6)</f>
        <v/>
      </c>
      <c r="BG7">
        <f>BE7*TAN(RADIANS(BF7))</f>
        <v/>
      </c>
      <c r="BI7" t="n">
        <v>0.3330255102040818</v>
      </c>
      <c r="BL7" t="n">
        <v>44.8462822407387</v>
      </c>
      <c r="BZ7" t="n">
        <v>40</v>
      </c>
      <c r="CA7" t="n">
        <v>0.3594012283856653</v>
      </c>
      <c r="CB7" t="n">
        <v>0.4028032036613274</v>
      </c>
      <c r="CG7" t="n">
        <v>0.1252569563142174</v>
      </c>
      <c r="CH7">
        <f>IF(MAX(CG7,sv_piso)&lt;=1,e_base-cc_bajo*LOG10(MAX(CG7,sv_piso)/sv_piso),e_base-cc_bajo*LOG10(1/sv_piso)-cc_alto*LOG10(CG7))</f>
        <v/>
      </c>
      <c r="CI7" t="n">
        <v>0.44245</v>
      </c>
      <c r="CJ7">
        <f>DEGREES(ATAN(TAN(RADIANS(pe0-omega*(e_base)))*(CG7/sref)^(m_-1)))</f>
        <v/>
      </c>
      <c r="CK7">
        <f>DEGREES(ATAN(TAN(RADIANS(pe0-omega*(CH7)))*(CG7/sref)^(m_-1)))</f>
        <v/>
      </c>
      <c r="CL7">
        <f>IF(ISNUMBER(CI7),DEGREES(ATAN(TAN(RADIANS(pe0-omega*(CI7)))*(CG7/sref)^(m_-1))),NA())</f>
        <v/>
      </c>
      <c r="CN7" t="n">
        <v>0.2629174194229723</v>
      </c>
      <c r="CO7" t="n">
        <v>50.99723240083869</v>
      </c>
      <c r="CR7" t="n">
        <v>1.9613</v>
      </c>
      <c r="CS7" t="n">
        <v>27.7</v>
      </c>
      <c r="CW7" t="n">
        <v>27.7</v>
      </c>
    </row>
    <row r="8">
      <c r="A8" t="n">
        <v>0.01399</v>
      </c>
      <c r="B8">
        <f>DEGREES(ATAN(TAN(RADIANS(pe0-omega*e_base))*(A8/sref)^(m_-1)))</f>
        <v/>
      </c>
      <c r="C8">
        <f>MIN(tope,B8)</f>
        <v/>
      </c>
      <c r="D8">
        <f>IF(B8&gt;tope,B8,NA())</f>
        <v/>
      </c>
      <c r="E8">
        <f>MIN(DEGREES(ATAN(TAN(RADIANS(Parametros!$E$12-omega*e_base))*(A8/sref)^(Parametros!$B$12-1))),DEGREES(ATAN(TAN(RADIANS(Parametros!$E$13-omega*e_base))*(A8/sref)^(Parametros!$B$13-1))),DEGREES(ATAN(TAN(RADIANS(Parametros!$E$14-omega*e_base))*(A8/sref)^(Parametros!$B$14-1))),DEGREES(ATAN(TAN(RADIANS(Parametros!$E$15-omega*e_base))*(A8/sref)^(Parametros!$B$15-1))),DEGREES(ATAN(TAN(RADIANS(Parametros!$E$16-omega*e_base))*(A8/sref)^(Parametros!$B$16-1))))</f>
        <v/>
      </c>
      <c r="F8">
        <f>MAX(DEGREES(ATAN(TAN(RADIANS(Parametros!$F$12-omega*e_base))*(A8/sref)^(Parametros!$B$12-1))),DEGREES(ATAN(TAN(RADIANS(Parametros!$F$13-omega*e_base))*(A8/sref)^(Parametros!$B$13-1))),DEGREES(ATAN(TAN(RADIANS(Parametros!$F$14-omega*e_base))*(A8/sref)^(Parametros!$B$14-1))),DEGREES(ATAN(TAN(RADIANS(Parametros!$F$15-omega*e_base))*(A8/sref)^(Parametros!$B$15-1))),DEGREES(ATAN(TAN(RADIANS(Parametros!$F$16-omega*e_base))*(A8/sref)^(Parametros!$B$16-1))))</f>
        <v/>
      </c>
      <c r="G8">
        <f>DEGREES(ATAN(TAN(RADIANS(46.0))*(A8/sref)^(0.9-1)))</f>
        <v/>
      </c>
      <c r="H8">
        <f>DEGREES(ATAN(TAN(RADIANS(41.0))*(A8/sref)^(0.9-1)))</f>
        <v/>
      </c>
      <c r="I8">
        <f>DEGREES(ATAN(TAN(RADIANS(36.0))*(A8/sref)^(0.9-1)))</f>
        <v/>
      </c>
      <c r="J8">
        <f>DEGREES(ATAN(TAN(RADIANS(33.0))*(A8/sref)^(0.9-1)))</f>
        <v/>
      </c>
      <c r="K8">
        <f>A8*TAN(RADIANS(C8))</f>
        <v/>
      </c>
      <c r="L8">
        <f>A8*TAN(RADIANS(G8))</f>
        <v/>
      </c>
      <c r="M8">
        <f>A8*TAN(RADIANS(H8))</f>
        <v/>
      </c>
      <c r="N8">
        <f>A8*TAN(RADIANS(I8))</f>
        <v/>
      </c>
      <c r="O8">
        <f>A8*TAN(RADIANS(J8))</f>
        <v/>
      </c>
      <c r="AL8">
        <f>Ensayos!M7</f>
        <v/>
      </c>
      <c r="AM8">
        <f>Ensayos!P7</f>
        <v/>
      </c>
      <c r="AN8">
        <f>IF(AND(Ensayos!$D7="Mármol",LEFT(Ensayos!$E7,7)="Triaxia"),Ensayos!P7,NA())</f>
        <v/>
      </c>
      <c r="AO8">
        <f>IF(AND(Ensayos!$D7="Mármol",NOT(LEFT(Ensayos!$E7,7)="Triaxia")),Ensayos!P7,NA())</f>
        <v/>
      </c>
      <c r="AP8">
        <f>IF(AND(Ensayos!$D7="Hornfels",LEFT(Ensayos!$E7,7)="Triaxia"),Ensayos!P7,NA())</f>
        <v/>
      </c>
      <c r="AQ8">
        <f>IF(AND(Ensayos!$D7="Hornfels",NOT(LEFT(Ensayos!$E7,7)="Triaxia")),Ensayos!P7,NA())</f>
        <v/>
      </c>
      <c r="AR8">
        <f>IF(AND(Ensayos!$D7="Intrusivo",LEFT(Ensayos!$E7,7)="Triaxia"),Ensayos!P7,NA())</f>
        <v/>
      </c>
      <c r="AS8">
        <f>IF(AND(Ensayos!$D7="Intrusivo",NOT(LEFT(Ensayos!$E7,7)="Triaxia")),Ensayos!P7,NA())</f>
        <v/>
      </c>
      <c r="AT8">
        <f>IF(AND(Ensayos!$D7="Mezcla",LEFT(Ensayos!$E7,7)="Triaxia"),Ensayos!P7,NA())</f>
        <v/>
      </c>
      <c r="AU8">
        <f>IF(AND(Ensayos!$D7="Mezcla",NOT(LEFT(Ensayos!$E7,7)="Triaxia")),Ensayos!P7,NA())</f>
        <v/>
      </c>
      <c r="AV8">
        <f>IF(AND(Ensayos!$D7="Mármol",LEFT(Ensayos!$E7,7)="Triaxia"),Ensayos!M7*TAN(RADIANS(Ensayos!P7)),NA())</f>
        <v/>
      </c>
      <c r="AW8">
        <f>IF(AND(Ensayos!$D7="Mármol",NOT(LEFT(Ensayos!$E7,7)="Triaxia")),Ensayos!M7*TAN(RADIANS(Ensayos!P7)),NA())</f>
        <v/>
      </c>
      <c r="AX8">
        <f>IF(AND(Ensayos!$D7="Hornfels",LEFT(Ensayos!$E7,7)="Triaxia"),Ensayos!M7*TAN(RADIANS(Ensayos!P7)),NA())</f>
        <v/>
      </c>
      <c r="AY8">
        <f>IF(AND(Ensayos!$D7="Hornfels",NOT(LEFT(Ensayos!$E7,7)="Triaxia")),Ensayos!M7*TAN(RADIANS(Ensayos!P7)),NA())</f>
        <v/>
      </c>
      <c r="AZ8">
        <f>IF(AND(Ensayos!$D7="Intrusivo",LEFT(Ensayos!$E7,7)="Triaxia"),Ensayos!M7*TAN(RADIANS(Ensayos!P7)),NA())</f>
        <v/>
      </c>
      <c r="BA8">
        <f>IF(AND(Ensayos!$D7="Intrusivo",NOT(LEFT(Ensayos!$E7,7)="Triaxia")),Ensayos!M7*TAN(RADIANS(Ensayos!P7)),NA())</f>
        <v/>
      </c>
      <c r="BB8">
        <f>IF(AND(Ensayos!$D7="Mezcla",LEFT(Ensayos!$E7,7)="Triaxia"),Ensayos!M7*TAN(RADIANS(Ensayos!P7)),NA())</f>
        <v/>
      </c>
      <c r="BC8">
        <f>IF(AND(Ensayos!$D7="Mezcla",NOT(LEFT(Ensayos!$E7,7)="Triaxia")),Ensayos!M7*TAN(RADIANS(Ensayos!P7)),NA())</f>
        <v/>
      </c>
      <c r="BE8">
        <f>Base_mundial!C7</f>
        <v/>
      </c>
      <c r="BF8">
        <f>Base_mundial!E7-omega*(e_base-Base_mundial!B7)</f>
        <v/>
      </c>
      <c r="BG8">
        <f>BE8*TAN(RADIANS(BF8))</f>
        <v/>
      </c>
      <c r="BI8" t="n">
        <v>0.326782032400589</v>
      </c>
      <c r="BJ8" t="n">
        <v>43.53382234826072</v>
      </c>
      <c r="BZ8" t="n">
        <v>50</v>
      </c>
      <c r="CA8" t="n">
        <v>0.3515847866578273</v>
      </c>
      <c r="CB8" t="n">
        <v>0.3935252009622721</v>
      </c>
      <c r="CG8" t="n">
        <v>0.1325111179317462</v>
      </c>
      <c r="CH8">
        <f>IF(MAX(CG8,sv_piso)&lt;=1,e_base-cc_bajo*LOG10(MAX(CG8,sv_piso)/sv_piso),e_base-cc_bajo*LOG10(1/sv_piso)-cc_alto*LOG10(CG8))</f>
        <v/>
      </c>
      <c r="CI8" t="n">
        <v>0.44202</v>
      </c>
      <c r="CJ8">
        <f>DEGREES(ATAN(TAN(RADIANS(pe0-omega*(e_base)))*(CG8/sref)^(m_-1)))</f>
        <v/>
      </c>
      <c r="CK8">
        <f>DEGREES(ATAN(TAN(RADIANS(pe0-omega*(CH8)))*(CG8/sref)^(m_-1)))</f>
        <v/>
      </c>
      <c r="CL8">
        <f>IF(ISNUMBER(CI8),DEGREES(ATAN(TAN(RADIANS(pe0-omega*(CI8)))*(CG8/sref)^(m_-1))),NA())</f>
        <v/>
      </c>
      <c r="CN8" t="n">
        <v>0.2354289896197904</v>
      </c>
      <c r="CO8" t="n">
        <v>47.18427178412019</v>
      </c>
      <c r="CR8" t="n">
        <v>0.9807</v>
      </c>
      <c r="CS8" t="n">
        <v>20</v>
      </c>
      <c r="CT8" t="n">
        <v>20</v>
      </c>
    </row>
    <row r="9">
      <c r="A9" t="n">
        <v>0.01496</v>
      </c>
      <c r="B9">
        <f>DEGREES(ATAN(TAN(RADIANS(pe0-omega*e_base))*(A9/sref)^(m_-1)))</f>
        <v/>
      </c>
      <c r="C9">
        <f>MIN(tope,B9)</f>
        <v/>
      </c>
      <c r="D9">
        <f>IF(B9&gt;tope,B9,NA())</f>
        <v/>
      </c>
      <c r="E9">
        <f>MIN(DEGREES(ATAN(TAN(RADIANS(Parametros!$E$12-omega*e_base))*(A9/sref)^(Parametros!$B$12-1))),DEGREES(ATAN(TAN(RADIANS(Parametros!$E$13-omega*e_base))*(A9/sref)^(Parametros!$B$13-1))),DEGREES(ATAN(TAN(RADIANS(Parametros!$E$14-omega*e_base))*(A9/sref)^(Parametros!$B$14-1))),DEGREES(ATAN(TAN(RADIANS(Parametros!$E$15-omega*e_base))*(A9/sref)^(Parametros!$B$15-1))),DEGREES(ATAN(TAN(RADIANS(Parametros!$E$16-omega*e_base))*(A9/sref)^(Parametros!$B$16-1))))</f>
        <v/>
      </c>
      <c r="F9">
        <f>MAX(DEGREES(ATAN(TAN(RADIANS(Parametros!$F$12-omega*e_base))*(A9/sref)^(Parametros!$B$12-1))),DEGREES(ATAN(TAN(RADIANS(Parametros!$F$13-omega*e_base))*(A9/sref)^(Parametros!$B$13-1))),DEGREES(ATAN(TAN(RADIANS(Parametros!$F$14-omega*e_base))*(A9/sref)^(Parametros!$B$14-1))),DEGREES(ATAN(TAN(RADIANS(Parametros!$F$15-omega*e_base))*(A9/sref)^(Parametros!$B$15-1))),DEGREES(ATAN(TAN(RADIANS(Parametros!$F$16-omega*e_base))*(A9/sref)^(Parametros!$B$16-1))))</f>
        <v/>
      </c>
      <c r="G9">
        <f>DEGREES(ATAN(TAN(RADIANS(46.0))*(A9/sref)^(0.9-1)))</f>
        <v/>
      </c>
      <c r="H9">
        <f>DEGREES(ATAN(TAN(RADIANS(41.0))*(A9/sref)^(0.9-1)))</f>
        <v/>
      </c>
      <c r="I9">
        <f>DEGREES(ATAN(TAN(RADIANS(36.0))*(A9/sref)^(0.9-1)))</f>
        <v/>
      </c>
      <c r="J9">
        <f>DEGREES(ATAN(TAN(RADIANS(33.0))*(A9/sref)^(0.9-1)))</f>
        <v/>
      </c>
      <c r="K9">
        <f>A9*TAN(RADIANS(C9))</f>
        <v/>
      </c>
      <c r="L9">
        <f>A9*TAN(RADIANS(G9))</f>
        <v/>
      </c>
      <c r="M9">
        <f>A9*TAN(RADIANS(H9))</f>
        <v/>
      </c>
      <c r="N9">
        <f>A9*TAN(RADIANS(I9))</f>
        <v/>
      </c>
      <c r="O9">
        <f>A9*TAN(RADIANS(J9))</f>
        <v/>
      </c>
      <c r="Q9" t="n">
        <v>0.1080781367667581</v>
      </c>
      <c r="R9">
        <f>MIN(DEGREES(ATAN(TAN(RADIANS(Parametros!$E$12-omega*e_base))*(Q9/sref)^(Parametros!$B$12-1))),DEGREES(ATAN(TAN(RADIANS(Parametros!$E$13-omega*e_base))*(Q9/sref)^(Parametros!$B$13-1))),DEGREES(ATAN(TAN(RADIANS(Parametros!$E$14-omega*e_base))*(Q9/sref)^(Parametros!$B$14-1))),DEGREES(ATAN(TAN(RADIANS(Parametros!$E$15-omega*e_base))*(Q9/sref)^(Parametros!$B$15-1))),DEGREES(ATAN(TAN(RADIANS(Parametros!$E$16-omega*e_base))*(Q9/sref)^(Parametros!$B$16-1))))</f>
        <v/>
      </c>
      <c r="T9" t="n">
        <v>0.1972781065088757</v>
      </c>
      <c r="U9">
        <f>T9*TAN(RADIANS(MIN(DEGREES(ATAN(TAN(RADIANS(Parametros!$E$12-omega*e_base))*(T9/sref)^(Parametros!$B$12-1))),DEGREES(ATAN(TAN(RADIANS(Parametros!$E$13-omega*e_base))*(T9/sref)^(Parametros!$B$13-1))),DEGREES(ATAN(TAN(RADIANS(Parametros!$E$14-omega*e_base))*(T9/sref)^(Parametros!$B$14-1))),DEGREES(ATAN(TAN(RADIANS(Parametros!$E$15-omega*e_base))*(T9/sref)^(Parametros!$B$15-1))),DEGREES(ATAN(TAN(RADIANS(Parametros!$E$16-omega*e_base))*(T9/sref)^(Parametros!$B$16-1))))))</f>
        <v/>
      </c>
      <c r="W9" t="n">
        <v>4.823119365783205</v>
      </c>
      <c r="X9" t="n">
        <v>22</v>
      </c>
      <c r="Y9" t="n">
        <v>8.087156011252135</v>
      </c>
      <c r="Z9" t="n">
        <v>22</v>
      </c>
      <c r="AB9" t="n">
        <v>4.881601769621357</v>
      </c>
      <c r="AC9" t="n">
        <v>0</v>
      </c>
      <c r="AD9" t="n">
        <v>8.174501141433742</v>
      </c>
      <c r="AE9" t="n">
        <v>0</v>
      </c>
      <c r="AG9" t="n">
        <v>4.823119365783205</v>
      </c>
      <c r="AH9" t="n">
        <v>22</v>
      </c>
      <c r="AI9" t="n">
        <v>8.087156011252135</v>
      </c>
      <c r="AJ9" t="n">
        <v>22</v>
      </c>
      <c r="AL9">
        <f>Ensayos!M8</f>
        <v/>
      </c>
      <c r="AM9">
        <f>Ensayos!P8</f>
        <v/>
      </c>
      <c r="AN9">
        <f>IF(AND(Ensayos!$D8="Mármol",LEFT(Ensayos!$E8,7)="Triaxia"),Ensayos!P8,NA())</f>
        <v/>
      </c>
      <c r="AO9">
        <f>IF(AND(Ensayos!$D8="Mármol",NOT(LEFT(Ensayos!$E8,7)="Triaxia")),Ensayos!P8,NA())</f>
        <v/>
      </c>
      <c r="AP9">
        <f>IF(AND(Ensayos!$D8="Hornfels",LEFT(Ensayos!$E8,7)="Triaxia"),Ensayos!P8,NA())</f>
        <v/>
      </c>
      <c r="AQ9">
        <f>IF(AND(Ensayos!$D8="Hornfels",NOT(LEFT(Ensayos!$E8,7)="Triaxia")),Ensayos!P8,NA())</f>
        <v/>
      </c>
      <c r="AR9">
        <f>IF(AND(Ensayos!$D8="Intrusivo",LEFT(Ensayos!$E8,7)="Triaxia"),Ensayos!P8,NA())</f>
        <v/>
      </c>
      <c r="AS9">
        <f>IF(AND(Ensayos!$D8="Intrusivo",NOT(LEFT(Ensayos!$E8,7)="Triaxia")),Ensayos!P8,NA())</f>
        <v/>
      </c>
      <c r="AT9">
        <f>IF(AND(Ensayos!$D8="Mezcla",LEFT(Ensayos!$E8,7)="Triaxia"),Ensayos!P8,NA())</f>
        <v/>
      </c>
      <c r="AU9">
        <f>IF(AND(Ensayos!$D8="Mezcla",NOT(LEFT(Ensayos!$E8,7)="Triaxia")),Ensayos!P8,NA())</f>
        <v/>
      </c>
      <c r="AV9">
        <f>IF(AND(Ensayos!$D8="Mármol",LEFT(Ensayos!$E8,7)="Triaxia"),Ensayos!M8*TAN(RADIANS(Ensayos!P8)),NA())</f>
        <v/>
      </c>
      <c r="AW9">
        <f>IF(AND(Ensayos!$D8="Mármol",NOT(LEFT(Ensayos!$E8,7)="Triaxia")),Ensayos!M8*TAN(RADIANS(Ensayos!P8)),NA())</f>
        <v/>
      </c>
      <c r="AX9">
        <f>IF(AND(Ensayos!$D8="Hornfels",LEFT(Ensayos!$E8,7)="Triaxia"),Ensayos!M8*TAN(RADIANS(Ensayos!P8)),NA())</f>
        <v/>
      </c>
      <c r="AY9">
        <f>IF(AND(Ensayos!$D8="Hornfels",NOT(LEFT(Ensayos!$E8,7)="Triaxia")),Ensayos!M8*TAN(RADIANS(Ensayos!P8)),NA())</f>
        <v/>
      </c>
      <c r="AZ9">
        <f>IF(AND(Ensayos!$D8="Intrusivo",LEFT(Ensayos!$E8,7)="Triaxia"),Ensayos!M8*TAN(RADIANS(Ensayos!P8)),NA())</f>
        <v/>
      </c>
      <c r="BA9">
        <f>IF(AND(Ensayos!$D8="Intrusivo",NOT(LEFT(Ensayos!$E8,7)="Triaxia")),Ensayos!M8*TAN(RADIANS(Ensayos!P8)),NA())</f>
        <v/>
      </c>
      <c r="BB9">
        <f>IF(AND(Ensayos!$D8="Mezcla",LEFT(Ensayos!$E8,7)="Triaxia"),Ensayos!M8*TAN(RADIANS(Ensayos!P8)),NA())</f>
        <v/>
      </c>
      <c r="BC9">
        <f>IF(AND(Ensayos!$D8="Mezcla",NOT(LEFT(Ensayos!$E8,7)="Triaxia")),Ensayos!M8*TAN(RADIANS(Ensayos!P8)),NA())</f>
        <v/>
      </c>
      <c r="BE9">
        <f>Base_mundial!C8</f>
        <v/>
      </c>
      <c r="BF9">
        <f>Base_mundial!E8-omega*(e_base-Base_mundial!B8)</f>
        <v/>
      </c>
      <c r="BG9">
        <f>BE9*TAN(RADIANS(BF9))</f>
        <v/>
      </c>
      <c r="BI9" t="n">
        <v>0.3540000000000001</v>
      </c>
      <c r="BN9" t="n">
        <v>41.30835671049033</v>
      </c>
      <c r="BZ9" t="n">
        <v>60</v>
      </c>
      <c r="CA9" t="n">
        <v>0.3422905735770674</v>
      </c>
      <c r="CB9" t="n">
        <v>0.3842471982632168</v>
      </c>
      <c r="CG9" t="n">
        <v>0.1401853988170722</v>
      </c>
      <c r="CH9">
        <f>IF(MAX(CG9,sv_piso)&lt;=1,e_base-cc_bajo*LOG10(MAX(CG9,sv_piso)/sv_piso),e_base-cc_bajo*LOG10(1/sv_piso)-cc_alto*LOG10(CG9))</f>
        <v/>
      </c>
      <c r="CI9" t="n">
        <v>0.44156</v>
      </c>
      <c r="CJ9">
        <f>DEGREES(ATAN(TAN(RADIANS(pe0-omega*(e_base)))*(CG9/sref)^(m_-1)))</f>
        <v/>
      </c>
      <c r="CK9">
        <f>DEGREES(ATAN(TAN(RADIANS(pe0-omega*(CH9)))*(CG9/sref)^(m_-1)))</f>
        <v/>
      </c>
      <c r="CL9">
        <f>IF(ISNUMBER(CI9),DEGREES(ATAN(TAN(RADIANS(pe0-omega*(CI9)))*(CG9/sref)^(m_-1))),NA())</f>
        <v/>
      </c>
      <c r="CN9" t="n">
        <v>0.7772805988396555</v>
      </c>
      <c r="CO9" t="n">
        <v>41.03428367112812</v>
      </c>
      <c r="CR9" t="n">
        <v>1.9613</v>
      </c>
      <c r="CS9" t="n">
        <v>29</v>
      </c>
      <c r="CT9" t="n">
        <v>29</v>
      </c>
    </row>
    <row r="10">
      <c r="A10" t="n">
        <v>0.01599</v>
      </c>
      <c r="B10">
        <f>DEGREES(ATAN(TAN(RADIANS(pe0-omega*e_base))*(A10/sref)^(m_-1)))</f>
        <v/>
      </c>
      <c r="C10">
        <f>MIN(tope,B10)</f>
        <v/>
      </c>
      <c r="D10">
        <f>IF(B10&gt;tope,B10,NA())</f>
        <v/>
      </c>
      <c r="E10">
        <f>MIN(DEGREES(ATAN(TAN(RADIANS(Parametros!$E$12-omega*e_base))*(A10/sref)^(Parametros!$B$12-1))),DEGREES(ATAN(TAN(RADIANS(Parametros!$E$13-omega*e_base))*(A10/sref)^(Parametros!$B$13-1))),DEGREES(ATAN(TAN(RADIANS(Parametros!$E$14-omega*e_base))*(A10/sref)^(Parametros!$B$14-1))),DEGREES(ATAN(TAN(RADIANS(Parametros!$E$15-omega*e_base))*(A10/sref)^(Parametros!$B$15-1))),DEGREES(ATAN(TAN(RADIANS(Parametros!$E$16-omega*e_base))*(A10/sref)^(Parametros!$B$16-1))))</f>
        <v/>
      </c>
      <c r="F10">
        <f>MAX(DEGREES(ATAN(TAN(RADIANS(Parametros!$F$12-omega*e_base))*(A10/sref)^(Parametros!$B$12-1))),DEGREES(ATAN(TAN(RADIANS(Parametros!$F$13-omega*e_base))*(A10/sref)^(Parametros!$B$13-1))),DEGREES(ATAN(TAN(RADIANS(Parametros!$F$14-omega*e_base))*(A10/sref)^(Parametros!$B$14-1))),DEGREES(ATAN(TAN(RADIANS(Parametros!$F$15-omega*e_base))*(A10/sref)^(Parametros!$B$15-1))),DEGREES(ATAN(TAN(RADIANS(Parametros!$F$16-omega*e_base))*(A10/sref)^(Parametros!$B$16-1))))</f>
        <v/>
      </c>
      <c r="G10">
        <f>DEGREES(ATAN(TAN(RADIANS(46.0))*(A10/sref)^(0.9-1)))</f>
        <v/>
      </c>
      <c r="H10">
        <f>DEGREES(ATAN(TAN(RADIANS(41.0))*(A10/sref)^(0.9-1)))</f>
        <v/>
      </c>
      <c r="I10">
        <f>DEGREES(ATAN(TAN(RADIANS(36.0))*(A10/sref)^(0.9-1)))</f>
        <v/>
      </c>
      <c r="J10">
        <f>DEGREES(ATAN(TAN(RADIANS(33.0))*(A10/sref)^(0.9-1)))</f>
        <v/>
      </c>
      <c r="K10">
        <f>A10*TAN(RADIANS(C10))</f>
        <v/>
      </c>
      <c r="L10">
        <f>A10*TAN(RADIANS(G10))</f>
        <v/>
      </c>
      <c r="M10">
        <f>A10*TAN(RADIANS(H10))</f>
        <v/>
      </c>
      <c r="N10">
        <f>A10*TAN(RADIANS(I10))</f>
        <v/>
      </c>
      <c r="O10">
        <f>A10*TAN(RADIANS(J10))</f>
        <v/>
      </c>
      <c r="Q10" t="n">
        <v>0.1080781367667581</v>
      </c>
      <c r="R10">
        <f>MAX(DEGREES(ATAN(TAN(RADIANS(Parametros!$F$12-omega*e_base))*(Q10/sref)^(Parametros!$B$12-1))),DEGREES(ATAN(TAN(RADIANS(Parametros!$F$13-omega*e_base))*(Q10/sref)^(Parametros!$B$13-1))),DEGREES(ATAN(TAN(RADIANS(Parametros!$F$14-omega*e_base))*(Q10/sref)^(Parametros!$B$14-1))),DEGREES(ATAN(TAN(RADIANS(Parametros!$F$15-omega*e_base))*(Q10/sref)^(Parametros!$B$15-1))),DEGREES(ATAN(TAN(RADIANS(Parametros!$F$16-omega*e_base))*(Q10/sref)^(Parametros!$B$16-1))))</f>
        <v/>
      </c>
      <c r="T10" t="n">
        <v>0.1972781065088757</v>
      </c>
      <c r="U10">
        <f>T10*TAN(RADIANS(MAX(DEGREES(ATAN(TAN(RADIANS(Parametros!$F$12-omega*e_base))*(T10/sref)^(Parametros!$B$12-1))),DEGREES(ATAN(TAN(RADIANS(Parametros!$F$13-omega*e_base))*(T10/sref)^(Parametros!$B$13-1))),DEGREES(ATAN(TAN(RADIANS(Parametros!$F$14-omega*e_base))*(T10/sref)^(Parametros!$B$14-1))),DEGREES(ATAN(TAN(RADIANS(Parametros!$F$15-omega*e_base))*(T10/sref)^(Parametros!$B$15-1))),DEGREES(ATAN(TAN(RADIANS(Parametros!$F$16-omega*e_base))*(T10/sref)^(Parametros!$B$16-1))))))</f>
        <v/>
      </c>
      <c r="W10" t="n">
        <v>4.823119365783205</v>
      </c>
      <c r="X10" t="n">
        <v>56</v>
      </c>
      <c r="Y10" t="n">
        <v>10.36885419398518</v>
      </c>
      <c r="Z10" t="n">
        <v>56</v>
      </c>
      <c r="AB10" t="n">
        <v>4.881601769621357</v>
      </c>
      <c r="AC10" t="n">
        <v>10.5</v>
      </c>
      <c r="AD10" t="n">
        <v>10.92039148683396</v>
      </c>
      <c r="AE10" t="n">
        <v>10.5</v>
      </c>
      <c r="AG10" t="n">
        <v>4.823119365783205</v>
      </c>
      <c r="AH10" t="n">
        <v>58</v>
      </c>
      <c r="AI10" t="n">
        <v>10.36885419398518</v>
      </c>
      <c r="AJ10" t="n">
        <v>58</v>
      </c>
      <c r="AL10">
        <f>Ensayos!M9</f>
        <v/>
      </c>
      <c r="AM10">
        <f>Ensayos!P9</f>
        <v/>
      </c>
      <c r="AN10">
        <f>IF(AND(Ensayos!$D9="Mármol",LEFT(Ensayos!$E9,7)="Triaxia"),Ensayos!P9,NA())</f>
        <v/>
      </c>
      <c r="AO10">
        <f>IF(AND(Ensayos!$D9="Mármol",NOT(LEFT(Ensayos!$E9,7)="Triaxia")),Ensayos!P9,NA())</f>
        <v/>
      </c>
      <c r="AP10">
        <f>IF(AND(Ensayos!$D9="Hornfels",LEFT(Ensayos!$E9,7)="Triaxia"),Ensayos!P9,NA())</f>
        <v/>
      </c>
      <c r="AQ10">
        <f>IF(AND(Ensayos!$D9="Hornfels",NOT(LEFT(Ensayos!$E9,7)="Triaxia")),Ensayos!P9,NA())</f>
        <v/>
      </c>
      <c r="AR10">
        <f>IF(AND(Ensayos!$D9="Intrusivo",LEFT(Ensayos!$E9,7)="Triaxia"),Ensayos!P9,NA())</f>
        <v/>
      </c>
      <c r="AS10">
        <f>IF(AND(Ensayos!$D9="Intrusivo",NOT(LEFT(Ensayos!$E9,7)="Triaxia")),Ensayos!P9,NA())</f>
        <v/>
      </c>
      <c r="AT10">
        <f>IF(AND(Ensayos!$D9="Mezcla",LEFT(Ensayos!$E9,7)="Triaxia"),Ensayos!P9,NA())</f>
        <v/>
      </c>
      <c r="AU10">
        <f>IF(AND(Ensayos!$D9="Mezcla",NOT(LEFT(Ensayos!$E9,7)="Triaxia")),Ensayos!P9,NA())</f>
        <v/>
      </c>
      <c r="AV10">
        <f>IF(AND(Ensayos!$D9="Mármol",LEFT(Ensayos!$E9,7)="Triaxia"),Ensayos!M9*TAN(RADIANS(Ensayos!P9)),NA())</f>
        <v/>
      </c>
      <c r="AW10">
        <f>IF(AND(Ensayos!$D9="Mármol",NOT(LEFT(Ensayos!$E9,7)="Triaxia")),Ensayos!M9*TAN(RADIANS(Ensayos!P9)),NA())</f>
        <v/>
      </c>
      <c r="AX10">
        <f>IF(AND(Ensayos!$D9="Hornfels",LEFT(Ensayos!$E9,7)="Triaxia"),Ensayos!M9*TAN(RADIANS(Ensayos!P9)),NA())</f>
        <v/>
      </c>
      <c r="AY10">
        <f>IF(AND(Ensayos!$D9="Hornfels",NOT(LEFT(Ensayos!$E9,7)="Triaxia")),Ensayos!M9*TAN(RADIANS(Ensayos!P9)),NA())</f>
        <v/>
      </c>
      <c r="AZ10">
        <f>IF(AND(Ensayos!$D9="Intrusivo",LEFT(Ensayos!$E9,7)="Triaxia"),Ensayos!M9*TAN(RADIANS(Ensayos!P9)),NA())</f>
        <v/>
      </c>
      <c r="BA10">
        <f>IF(AND(Ensayos!$D9="Intrusivo",NOT(LEFT(Ensayos!$E9,7)="Triaxia")),Ensayos!M9*TAN(RADIANS(Ensayos!P9)),NA())</f>
        <v/>
      </c>
      <c r="BB10">
        <f>IF(AND(Ensayos!$D9="Mezcla",LEFT(Ensayos!$E9,7)="Triaxia"),Ensayos!M9*TAN(RADIANS(Ensayos!P9)),NA())</f>
        <v/>
      </c>
      <c r="BC10">
        <f>IF(AND(Ensayos!$D9="Mezcla",NOT(LEFT(Ensayos!$E9,7)="Triaxia")),Ensayos!M9*TAN(RADIANS(Ensayos!P9)),NA())</f>
        <v/>
      </c>
      <c r="BE10">
        <f>Base_mundial!C9</f>
        <v/>
      </c>
      <c r="BF10">
        <f>Base_mundial!E9-omega*(e_base-Base_mundial!B9)</f>
        <v/>
      </c>
      <c r="BG10">
        <f>BE10*TAN(RADIANS(BF10))</f>
        <v/>
      </c>
      <c r="BI10" t="n">
        <v>0.2895864077669905</v>
      </c>
      <c r="BN10" t="n">
        <v>41.31783411032989</v>
      </c>
      <c r="BZ10" t="n">
        <v>70</v>
      </c>
      <c r="CA10" t="n">
        <v>0.3344159033560062</v>
      </c>
      <c r="CB10" t="n">
        <v>0.3749691955641615</v>
      </c>
      <c r="CG10" t="n">
        <v>0.1483041298589293</v>
      </c>
      <c r="CH10">
        <f>IF(MAX(CG10,sv_piso)&lt;=1,e_base-cc_bajo*LOG10(MAX(CG10,sv_piso)/sv_piso),e_base-cc_bajo*LOG10(1/sv_piso)-cc_alto*LOG10(CG10))</f>
        <v/>
      </c>
      <c r="CI10" t="n">
        <v>0.44107</v>
      </c>
      <c r="CJ10">
        <f>DEGREES(ATAN(TAN(RADIANS(pe0-omega*(e_base)))*(CG10/sref)^(m_-1)))</f>
        <v/>
      </c>
      <c r="CK10">
        <f>DEGREES(ATAN(TAN(RADIANS(pe0-omega*(CH10)))*(CG10/sref)^(m_-1)))</f>
        <v/>
      </c>
      <c r="CL10">
        <f>IF(ISNUMBER(CI10),DEGREES(ATAN(TAN(RADIANS(pe0-omega*(CI10)))*(CG10/sref)^(m_-1))),NA())</f>
        <v/>
      </c>
      <c r="CN10" t="n">
        <v>0.2166001767408876</v>
      </c>
      <c r="CO10" t="n">
        <v>49.7907662613471</v>
      </c>
      <c r="CR10" t="n">
        <v>2.4517</v>
      </c>
      <c r="CS10" t="n">
        <v>37</v>
      </c>
      <c r="CT10" t="n">
        <v>37</v>
      </c>
    </row>
    <row r="11">
      <c r="A11" t="n">
        <v>0.0171</v>
      </c>
      <c r="B11">
        <f>DEGREES(ATAN(TAN(RADIANS(pe0-omega*e_base))*(A11/sref)^(m_-1)))</f>
        <v/>
      </c>
      <c r="C11">
        <f>MIN(tope,B11)</f>
        <v/>
      </c>
      <c r="D11">
        <f>IF(B11&gt;tope,B11,NA())</f>
        <v/>
      </c>
      <c r="E11">
        <f>MIN(DEGREES(ATAN(TAN(RADIANS(Parametros!$E$12-omega*e_base))*(A11/sref)^(Parametros!$B$12-1))),DEGREES(ATAN(TAN(RADIANS(Parametros!$E$13-omega*e_base))*(A11/sref)^(Parametros!$B$13-1))),DEGREES(ATAN(TAN(RADIANS(Parametros!$E$14-omega*e_base))*(A11/sref)^(Parametros!$B$14-1))),DEGREES(ATAN(TAN(RADIANS(Parametros!$E$15-omega*e_base))*(A11/sref)^(Parametros!$B$15-1))),DEGREES(ATAN(TAN(RADIANS(Parametros!$E$16-omega*e_base))*(A11/sref)^(Parametros!$B$16-1))))</f>
        <v/>
      </c>
      <c r="F11">
        <f>MAX(DEGREES(ATAN(TAN(RADIANS(Parametros!$F$12-omega*e_base))*(A11/sref)^(Parametros!$B$12-1))),DEGREES(ATAN(TAN(RADIANS(Parametros!$F$13-omega*e_base))*(A11/sref)^(Parametros!$B$13-1))),DEGREES(ATAN(TAN(RADIANS(Parametros!$F$14-omega*e_base))*(A11/sref)^(Parametros!$B$14-1))),DEGREES(ATAN(TAN(RADIANS(Parametros!$F$15-omega*e_base))*(A11/sref)^(Parametros!$B$15-1))),DEGREES(ATAN(TAN(RADIANS(Parametros!$F$16-omega*e_base))*(A11/sref)^(Parametros!$B$16-1))))</f>
        <v/>
      </c>
      <c r="G11">
        <f>DEGREES(ATAN(TAN(RADIANS(46.0))*(A11/sref)^(0.9-1)))</f>
        <v/>
      </c>
      <c r="H11">
        <f>DEGREES(ATAN(TAN(RADIANS(41.0))*(A11/sref)^(0.9-1)))</f>
        <v/>
      </c>
      <c r="I11">
        <f>DEGREES(ATAN(TAN(RADIANS(36.0))*(A11/sref)^(0.9-1)))</f>
        <v/>
      </c>
      <c r="J11">
        <f>DEGREES(ATAN(TAN(RADIANS(33.0))*(A11/sref)^(0.9-1)))</f>
        <v/>
      </c>
      <c r="K11">
        <f>A11*TAN(RADIANS(C11))</f>
        <v/>
      </c>
      <c r="L11">
        <f>A11*TAN(RADIANS(G11))</f>
        <v/>
      </c>
      <c r="M11">
        <f>A11*TAN(RADIANS(H11))</f>
        <v/>
      </c>
      <c r="N11">
        <f>A11*TAN(RADIANS(I11))</f>
        <v/>
      </c>
      <c r="O11">
        <f>A11*TAN(RADIANS(J11))</f>
        <v/>
      </c>
      <c r="AL11">
        <f>Ensayos!M10</f>
        <v/>
      </c>
      <c r="AM11">
        <f>Ensayos!P10</f>
        <v/>
      </c>
      <c r="AN11">
        <f>IF(AND(Ensayos!$D10="Mármol",LEFT(Ensayos!$E10,7)="Triaxia"),Ensayos!P10,NA())</f>
        <v/>
      </c>
      <c r="AO11">
        <f>IF(AND(Ensayos!$D10="Mármol",NOT(LEFT(Ensayos!$E10,7)="Triaxia")),Ensayos!P10,NA())</f>
        <v/>
      </c>
      <c r="AP11">
        <f>IF(AND(Ensayos!$D10="Hornfels",LEFT(Ensayos!$E10,7)="Triaxia"),Ensayos!P10,NA())</f>
        <v/>
      </c>
      <c r="AQ11">
        <f>IF(AND(Ensayos!$D10="Hornfels",NOT(LEFT(Ensayos!$E10,7)="Triaxia")),Ensayos!P10,NA())</f>
        <v/>
      </c>
      <c r="AR11">
        <f>IF(AND(Ensayos!$D10="Intrusivo",LEFT(Ensayos!$E10,7)="Triaxia"),Ensayos!P10,NA())</f>
        <v/>
      </c>
      <c r="AS11">
        <f>IF(AND(Ensayos!$D10="Intrusivo",NOT(LEFT(Ensayos!$E10,7)="Triaxia")),Ensayos!P10,NA())</f>
        <v/>
      </c>
      <c r="AT11">
        <f>IF(AND(Ensayos!$D10="Mezcla",LEFT(Ensayos!$E10,7)="Triaxia"),Ensayos!P10,NA())</f>
        <v/>
      </c>
      <c r="AU11">
        <f>IF(AND(Ensayos!$D10="Mezcla",NOT(LEFT(Ensayos!$E10,7)="Triaxia")),Ensayos!P10,NA())</f>
        <v/>
      </c>
      <c r="AV11">
        <f>IF(AND(Ensayos!$D10="Mármol",LEFT(Ensayos!$E10,7)="Triaxia"),Ensayos!M10*TAN(RADIANS(Ensayos!P10)),NA())</f>
        <v/>
      </c>
      <c r="AW11">
        <f>IF(AND(Ensayos!$D10="Mármol",NOT(LEFT(Ensayos!$E10,7)="Triaxia")),Ensayos!M10*TAN(RADIANS(Ensayos!P10)),NA())</f>
        <v/>
      </c>
      <c r="AX11">
        <f>IF(AND(Ensayos!$D10="Hornfels",LEFT(Ensayos!$E10,7)="Triaxia"),Ensayos!M10*TAN(RADIANS(Ensayos!P10)),NA())</f>
        <v/>
      </c>
      <c r="AY11">
        <f>IF(AND(Ensayos!$D10="Hornfels",NOT(LEFT(Ensayos!$E10,7)="Triaxia")),Ensayos!M10*TAN(RADIANS(Ensayos!P10)),NA())</f>
        <v/>
      </c>
      <c r="AZ11">
        <f>IF(AND(Ensayos!$D10="Intrusivo",LEFT(Ensayos!$E10,7)="Triaxia"),Ensayos!M10*TAN(RADIANS(Ensayos!P10)),NA())</f>
        <v/>
      </c>
      <c r="BA11">
        <f>IF(AND(Ensayos!$D10="Intrusivo",NOT(LEFT(Ensayos!$E10,7)="Triaxia")),Ensayos!M10*TAN(RADIANS(Ensayos!P10)),NA())</f>
        <v/>
      </c>
      <c r="BB11">
        <f>IF(AND(Ensayos!$D10="Mezcla",LEFT(Ensayos!$E10,7)="Triaxia"),Ensayos!M10*TAN(RADIANS(Ensayos!P10)),NA())</f>
        <v/>
      </c>
      <c r="BC11">
        <f>IF(AND(Ensayos!$D10="Mezcla",NOT(LEFT(Ensayos!$E10,7)="Triaxia")),Ensayos!M10*TAN(RADIANS(Ensayos!P10)),NA())</f>
        <v/>
      </c>
      <c r="BE11">
        <f>Base_mundial!C10</f>
        <v/>
      </c>
      <c r="BF11">
        <f>Base_mundial!E10-omega*(e_base-Base_mundial!B10)</f>
        <v/>
      </c>
      <c r="BG11">
        <f>BE11*TAN(RADIANS(BF11))</f>
        <v/>
      </c>
      <c r="BI11" t="n">
        <v>0.3316666666666665</v>
      </c>
      <c r="BM11" t="n">
        <v>37.34828484852748</v>
      </c>
      <c r="BZ11" t="n">
        <v>80</v>
      </c>
      <c r="CA11" t="n">
        <v>0.3275838686451243</v>
      </c>
      <c r="CB11" t="n">
        <v>0.3656911928651062</v>
      </c>
      <c r="CG11" t="n">
        <v>0.1568930510510176</v>
      </c>
      <c r="CH11">
        <f>IF(MAX(CG11,sv_piso)&lt;=1,e_base-cc_bajo*LOG10(MAX(CG11,sv_piso)/sv_piso),e_base-cc_bajo*LOG10(1/sv_piso)-cc_alto*LOG10(CG11))</f>
        <v/>
      </c>
      <c r="CI11" t="n">
        <v>0.44055</v>
      </c>
      <c r="CJ11">
        <f>DEGREES(ATAN(TAN(RADIANS(pe0-omega*(e_base)))*(CG11/sref)^(m_-1)))</f>
        <v/>
      </c>
      <c r="CK11">
        <f>DEGREES(ATAN(TAN(RADIANS(pe0-omega*(CH11)))*(CG11/sref)^(m_-1)))</f>
        <v/>
      </c>
      <c r="CL11">
        <f>IF(ISNUMBER(CI11),DEGREES(ATAN(TAN(RADIANS(pe0-omega*(CI11)))*(CG11/sref)^(m_-1))),NA())</f>
        <v/>
      </c>
      <c r="CN11" t="n">
        <v>0.1465872871866537</v>
      </c>
      <c r="CO11" t="n">
        <v>40.77442543543423</v>
      </c>
      <c r="CR11" t="n">
        <v>0.9807</v>
      </c>
      <c r="CS11" t="n">
        <v>24</v>
      </c>
      <c r="CT11" t="n">
        <v>24</v>
      </c>
    </row>
    <row r="12">
      <c r="A12" t="n">
        <v>0.01829</v>
      </c>
      <c r="B12">
        <f>DEGREES(ATAN(TAN(RADIANS(pe0-omega*e_base))*(A12/sref)^(m_-1)))</f>
        <v/>
      </c>
      <c r="C12">
        <f>MIN(tope,B12)</f>
        <v/>
      </c>
      <c r="D12">
        <f>IF(B12&gt;tope,B12,NA())</f>
        <v/>
      </c>
      <c r="E12">
        <f>MIN(DEGREES(ATAN(TAN(RADIANS(Parametros!$E$12-omega*e_base))*(A12/sref)^(Parametros!$B$12-1))),DEGREES(ATAN(TAN(RADIANS(Parametros!$E$13-omega*e_base))*(A12/sref)^(Parametros!$B$13-1))),DEGREES(ATAN(TAN(RADIANS(Parametros!$E$14-omega*e_base))*(A12/sref)^(Parametros!$B$14-1))),DEGREES(ATAN(TAN(RADIANS(Parametros!$E$15-omega*e_base))*(A12/sref)^(Parametros!$B$15-1))),DEGREES(ATAN(TAN(RADIANS(Parametros!$E$16-omega*e_base))*(A12/sref)^(Parametros!$B$16-1))))</f>
        <v/>
      </c>
      <c r="F12">
        <f>MAX(DEGREES(ATAN(TAN(RADIANS(Parametros!$F$12-omega*e_base))*(A12/sref)^(Parametros!$B$12-1))),DEGREES(ATAN(TAN(RADIANS(Parametros!$F$13-omega*e_base))*(A12/sref)^(Parametros!$B$13-1))),DEGREES(ATAN(TAN(RADIANS(Parametros!$F$14-omega*e_base))*(A12/sref)^(Parametros!$B$14-1))),DEGREES(ATAN(TAN(RADIANS(Parametros!$F$15-omega*e_base))*(A12/sref)^(Parametros!$B$15-1))),DEGREES(ATAN(TAN(RADIANS(Parametros!$F$16-omega*e_base))*(A12/sref)^(Parametros!$B$16-1))))</f>
        <v/>
      </c>
      <c r="G12">
        <f>DEGREES(ATAN(TAN(RADIANS(46.0))*(A12/sref)^(0.9-1)))</f>
        <v/>
      </c>
      <c r="H12">
        <f>DEGREES(ATAN(TAN(RADIANS(41.0))*(A12/sref)^(0.9-1)))</f>
        <v/>
      </c>
      <c r="I12">
        <f>DEGREES(ATAN(TAN(RADIANS(36.0))*(A12/sref)^(0.9-1)))</f>
        <v/>
      </c>
      <c r="J12">
        <f>DEGREES(ATAN(TAN(RADIANS(33.0))*(A12/sref)^(0.9-1)))</f>
        <v/>
      </c>
      <c r="K12">
        <f>A12*TAN(RADIANS(C12))</f>
        <v/>
      </c>
      <c r="L12">
        <f>A12*TAN(RADIANS(G12))</f>
        <v/>
      </c>
      <c r="M12">
        <f>A12*TAN(RADIANS(H12))</f>
        <v/>
      </c>
      <c r="N12">
        <f>A12*TAN(RADIANS(I12))</f>
        <v/>
      </c>
      <c r="O12">
        <f>A12*TAN(RADIANS(J12))</f>
        <v/>
      </c>
      <c r="Q12" t="n">
        <v>0.112358717523575</v>
      </c>
      <c r="R12">
        <f>MIN(DEGREES(ATAN(TAN(RADIANS(Parametros!$E$12-omega*e_base))*(Q12/sref)^(Parametros!$B$12-1))),DEGREES(ATAN(TAN(RADIANS(Parametros!$E$13-omega*e_base))*(Q12/sref)^(Parametros!$B$13-1))),DEGREES(ATAN(TAN(RADIANS(Parametros!$E$14-omega*e_base))*(Q12/sref)^(Parametros!$B$14-1))),DEGREES(ATAN(TAN(RADIANS(Parametros!$E$15-omega*e_base))*(Q12/sref)^(Parametros!$B$15-1))),DEGREES(ATAN(TAN(RADIANS(Parametros!$E$16-omega*e_base))*(Q12/sref)^(Parametros!$B$16-1))))</f>
        <v/>
      </c>
      <c r="T12" t="n">
        <v>0.2859171597633136</v>
      </c>
      <c r="U12">
        <f>T12*TAN(RADIANS(MIN(DEGREES(ATAN(TAN(RADIANS(Parametros!$E$12-omega*e_base))*(T12/sref)^(Parametros!$B$12-1))),DEGREES(ATAN(TAN(RADIANS(Parametros!$E$13-omega*e_base))*(T12/sref)^(Parametros!$B$13-1))),DEGREES(ATAN(TAN(RADIANS(Parametros!$E$14-omega*e_base))*(T12/sref)^(Parametros!$B$14-1))),DEGREES(ATAN(TAN(RADIANS(Parametros!$E$15-omega*e_base))*(T12/sref)^(Parametros!$B$15-1))),DEGREES(ATAN(TAN(RADIANS(Parametros!$E$16-omega*e_base))*(T12/sref)^(Parametros!$B$16-1))))))</f>
        <v/>
      </c>
      <c r="W12" t="n">
        <v>4.926643731909889</v>
      </c>
      <c r="X12" t="n">
        <v>22</v>
      </c>
      <c r="Y12" t="n">
        <v>8.869230548046215</v>
      </c>
      <c r="Z12" t="n">
        <v>22</v>
      </c>
      <c r="AB12" t="n">
        <v>5.011127131896925</v>
      </c>
      <c r="AC12" t="n">
        <v>0</v>
      </c>
      <c r="AD12" t="n">
        <v>9.194403269725251</v>
      </c>
      <c r="AE12" t="n">
        <v>0</v>
      </c>
      <c r="AG12" t="n">
        <v>4.926643731909889</v>
      </c>
      <c r="AH12" t="n">
        <v>22</v>
      </c>
      <c r="AI12" t="n">
        <v>8.869230548046215</v>
      </c>
      <c r="AJ12" t="n">
        <v>22</v>
      </c>
      <c r="AL12">
        <f>Ensayos!M11</f>
        <v/>
      </c>
      <c r="AM12">
        <f>Ensayos!P11</f>
        <v/>
      </c>
      <c r="AN12">
        <f>IF(AND(Ensayos!$D11="Mármol",LEFT(Ensayos!$E11,7)="Triaxia"),Ensayos!P11,NA())</f>
        <v/>
      </c>
      <c r="AO12">
        <f>IF(AND(Ensayos!$D11="Mármol",NOT(LEFT(Ensayos!$E11,7)="Triaxia")),Ensayos!P11,NA())</f>
        <v/>
      </c>
      <c r="AP12">
        <f>IF(AND(Ensayos!$D11="Hornfels",LEFT(Ensayos!$E11,7)="Triaxia"),Ensayos!P11,NA())</f>
        <v/>
      </c>
      <c r="AQ12">
        <f>IF(AND(Ensayos!$D11="Hornfels",NOT(LEFT(Ensayos!$E11,7)="Triaxia")),Ensayos!P11,NA())</f>
        <v/>
      </c>
      <c r="AR12">
        <f>IF(AND(Ensayos!$D11="Intrusivo",LEFT(Ensayos!$E11,7)="Triaxia"),Ensayos!P11,NA())</f>
        <v/>
      </c>
      <c r="AS12">
        <f>IF(AND(Ensayos!$D11="Intrusivo",NOT(LEFT(Ensayos!$E11,7)="Triaxia")),Ensayos!P11,NA())</f>
        <v/>
      </c>
      <c r="AT12">
        <f>IF(AND(Ensayos!$D11="Mezcla",LEFT(Ensayos!$E11,7)="Triaxia"),Ensayos!P11,NA())</f>
        <v/>
      </c>
      <c r="AU12">
        <f>IF(AND(Ensayos!$D11="Mezcla",NOT(LEFT(Ensayos!$E11,7)="Triaxia")),Ensayos!P11,NA())</f>
        <v/>
      </c>
      <c r="AV12">
        <f>IF(AND(Ensayos!$D11="Mármol",LEFT(Ensayos!$E11,7)="Triaxia"),Ensayos!M11*TAN(RADIANS(Ensayos!P11)),NA())</f>
        <v/>
      </c>
      <c r="AW12">
        <f>IF(AND(Ensayos!$D11="Mármol",NOT(LEFT(Ensayos!$E11,7)="Triaxia")),Ensayos!M11*TAN(RADIANS(Ensayos!P11)),NA())</f>
        <v/>
      </c>
      <c r="AX12">
        <f>IF(AND(Ensayos!$D11="Hornfels",LEFT(Ensayos!$E11,7)="Triaxia"),Ensayos!M11*TAN(RADIANS(Ensayos!P11)),NA())</f>
        <v/>
      </c>
      <c r="AY12">
        <f>IF(AND(Ensayos!$D11="Hornfels",NOT(LEFT(Ensayos!$E11,7)="Triaxia")),Ensayos!M11*TAN(RADIANS(Ensayos!P11)),NA())</f>
        <v/>
      </c>
      <c r="AZ12">
        <f>IF(AND(Ensayos!$D11="Intrusivo",LEFT(Ensayos!$E11,7)="Triaxia"),Ensayos!M11*TAN(RADIANS(Ensayos!P11)),NA())</f>
        <v/>
      </c>
      <c r="BA12">
        <f>IF(AND(Ensayos!$D11="Intrusivo",NOT(LEFT(Ensayos!$E11,7)="Triaxia")),Ensayos!M11*TAN(RADIANS(Ensayos!P11)),NA())</f>
        <v/>
      </c>
      <c r="BB12">
        <f>IF(AND(Ensayos!$D11="Mezcla",LEFT(Ensayos!$E11,7)="Triaxia"),Ensayos!M11*TAN(RADIANS(Ensayos!P11)),NA())</f>
        <v/>
      </c>
      <c r="BC12">
        <f>IF(AND(Ensayos!$D11="Mezcla",NOT(LEFT(Ensayos!$E11,7)="Triaxia")),Ensayos!M11*TAN(RADIANS(Ensayos!P11)),NA())</f>
        <v/>
      </c>
      <c r="BE12">
        <f>Base_mundial!C11</f>
        <v/>
      </c>
      <c r="BF12">
        <f>Base_mundial!E11-omega*(e_base-Base_mundial!B11)</f>
        <v/>
      </c>
      <c r="BG12">
        <f>BE12*TAN(RADIANS(BF12))</f>
        <v/>
      </c>
      <c r="BI12" t="n">
        <v>0.4096824570536179</v>
      </c>
      <c r="BO12" t="n">
        <v>35.652483497614</v>
      </c>
      <c r="BZ12" t="n">
        <v>90</v>
      </c>
      <c r="CA12" t="n">
        <v>0.3215502465361392</v>
      </c>
      <c r="CB12" t="n">
        <v>0.3568770903010036</v>
      </c>
      <c r="CG12" t="n">
        <v>0.1659793930992484</v>
      </c>
      <c r="CH12">
        <f>IF(MAX(CG12,sv_piso)&lt;=1,e_base-cc_bajo*LOG10(MAX(CG12,sv_piso)/sv_piso),e_base-cc_bajo*LOG10(1/sv_piso)-cc_alto*LOG10(CG12))</f>
        <v/>
      </c>
      <c r="CI12" t="n">
        <v>0.44001</v>
      </c>
      <c r="CJ12">
        <f>DEGREES(ATAN(TAN(RADIANS(pe0-omega*(e_base)))*(CG12/sref)^(m_-1)))</f>
        <v/>
      </c>
      <c r="CK12">
        <f>DEGREES(ATAN(TAN(RADIANS(pe0-omega*(CH12)))*(CG12/sref)^(m_-1)))</f>
        <v/>
      </c>
      <c r="CL12">
        <f>IF(ISNUMBER(CI12),DEGREES(ATAN(TAN(RADIANS(pe0-omega*(CI12)))*(CG12/sref)^(m_-1))),NA())</f>
        <v/>
      </c>
      <c r="CN12" t="n">
        <v>1.255795900198647</v>
      </c>
      <c r="CO12" t="n">
        <v>41.04936605949402</v>
      </c>
      <c r="CR12" t="n">
        <v>1.9613</v>
      </c>
      <c r="CS12" t="n">
        <v>36</v>
      </c>
      <c r="CT12" t="n">
        <v>36</v>
      </c>
    </row>
    <row r="13">
      <c r="A13" t="n">
        <v>0.01956</v>
      </c>
      <c r="B13">
        <f>DEGREES(ATAN(TAN(RADIANS(pe0-omega*e_base))*(A13/sref)^(m_-1)))</f>
        <v/>
      </c>
      <c r="C13">
        <f>MIN(tope,B13)</f>
        <v/>
      </c>
      <c r="D13">
        <f>IF(B13&gt;tope,B13,NA())</f>
        <v/>
      </c>
      <c r="E13">
        <f>MIN(DEGREES(ATAN(TAN(RADIANS(Parametros!$E$12-omega*e_base))*(A13/sref)^(Parametros!$B$12-1))),DEGREES(ATAN(TAN(RADIANS(Parametros!$E$13-omega*e_base))*(A13/sref)^(Parametros!$B$13-1))),DEGREES(ATAN(TAN(RADIANS(Parametros!$E$14-omega*e_base))*(A13/sref)^(Parametros!$B$14-1))),DEGREES(ATAN(TAN(RADIANS(Parametros!$E$15-omega*e_base))*(A13/sref)^(Parametros!$B$15-1))),DEGREES(ATAN(TAN(RADIANS(Parametros!$E$16-omega*e_base))*(A13/sref)^(Parametros!$B$16-1))))</f>
        <v/>
      </c>
      <c r="F13">
        <f>MAX(DEGREES(ATAN(TAN(RADIANS(Parametros!$F$12-omega*e_base))*(A13/sref)^(Parametros!$B$12-1))),DEGREES(ATAN(TAN(RADIANS(Parametros!$F$13-omega*e_base))*(A13/sref)^(Parametros!$B$13-1))),DEGREES(ATAN(TAN(RADIANS(Parametros!$F$14-omega*e_base))*(A13/sref)^(Parametros!$B$14-1))),DEGREES(ATAN(TAN(RADIANS(Parametros!$F$15-omega*e_base))*(A13/sref)^(Parametros!$B$15-1))),DEGREES(ATAN(TAN(RADIANS(Parametros!$F$16-omega*e_base))*(A13/sref)^(Parametros!$B$16-1))))</f>
        <v/>
      </c>
      <c r="G13">
        <f>DEGREES(ATAN(TAN(RADIANS(46.0))*(A13/sref)^(0.9-1)))</f>
        <v/>
      </c>
      <c r="H13">
        <f>DEGREES(ATAN(TAN(RADIANS(41.0))*(A13/sref)^(0.9-1)))</f>
        <v/>
      </c>
      <c r="I13">
        <f>DEGREES(ATAN(TAN(RADIANS(36.0))*(A13/sref)^(0.9-1)))</f>
        <v/>
      </c>
      <c r="J13">
        <f>DEGREES(ATAN(TAN(RADIANS(33.0))*(A13/sref)^(0.9-1)))</f>
        <v/>
      </c>
      <c r="K13">
        <f>A13*TAN(RADIANS(C13))</f>
        <v/>
      </c>
      <c r="L13">
        <f>A13*TAN(RADIANS(G13))</f>
        <v/>
      </c>
      <c r="M13">
        <f>A13*TAN(RADIANS(H13))</f>
        <v/>
      </c>
      <c r="N13">
        <f>A13*TAN(RADIANS(I13))</f>
        <v/>
      </c>
      <c r="O13">
        <f>A13*TAN(RADIANS(J13))</f>
        <v/>
      </c>
      <c r="Q13" t="n">
        <v>0.112358717523575</v>
      </c>
      <c r="R13">
        <f>MAX(DEGREES(ATAN(TAN(RADIANS(Parametros!$F$12-omega*e_base))*(Q13/sref)^(Parametros!$B$12-1))),DEGREES(ATAN(TAN(RADIANS(Parametros!$F$13-omega*e_base))*(Q13/sref)^(Parametros!$B$13-1))),DEGREES(ATAN(TAN(RADIANS(Parametros!$F$14-omega*e_base))*(Q13/sref)^(Parametros!$B$14-1))),DEGREES(ATAN(TAN(RADIANS(Parametros!$F$15-omega*e_base))*(Q13/sref)^(Parametros!$B$15-1))),DEGREES(ATAN(TAN(RADIANS(Parametros!$F$16-omega*e_base))*(Q13/sref)^(Parametros!$B$16-1))))</f>
        <v/>
      </c>
      <c r="T13" t="n">
        <v>0.2859171597633136</v>
      </c>
      <c r="U13">
        <f>T13*TAN(RADIANS(MAX(DEGREES(ATAN(TAN(RADIANS(Parametros!$F$12-omega*e_base))*(T13/sref)^(Parametros!$B$12-1))),DEGREES(ATAN(TAN(RADIANS(Parametros!$F$13-omega*e_base))*(T13/sref)^(Parametros!$B$13-1))),DEGREES(ATAN(TAN(RADIANS(Parametros!$F$14-omega*e_base))*(T13/sref)^(Parametros!$B$14-1))),DEGREES(ATAN(TAN(RADIANS(Parametros!$F$15-omega*e_base))*(T13/sref)^(Parametros!$B$15-1))),DEGREES(ATAN(TAN(RADIANS(Parametros!$F$16-omega*e_base))*(T13/sref)^(Parametros!$B$16-1))))))</f>
        <v/>
      </c>
      <c r="W13" t="n">
        <v>4.926643731909889</v>
      </c>
      <c r="X13" t="n">
        <v>56</v>
      </c>
      <c r="Y13" t="n">
        <v>11.37158207874015</v>
      </c>
      <c r="Z13" t="n">
        <v>56</v>
      </c>
      <c r="AB13" t="n">
        <v>5.011127131896925</v>
      </c>
      <c r="AC13" t="n">
        <v>10.5</v>
      </c>
      <c r="AD13" t="n">
        <v>11.94029361512547</v>
      </c>
      <c r="AE13" t="n">
        <v>10.5</v>
      </c>
      <c r="AG13" t="n">
        <v>4.926643731909889</v>
      </c>
      <c r="AH13" t="n">
        <v>58</v>
      </c>
      <c r="AI13" t="n">
        <v>11.37158207874015</v>
      </c>
      <c r="AJ13" t="n">
        <v>58</v>
      </c>
      <c r="AL13">
        <f>Ensayos!M12</f>
        <v/>
      </c>
      <c r="AM13">
        <f>Ensayos!P12</f>
        <v/>
      </c>
      <c r="AN13">
        <f>IF(AND(Ensayos!$D12="Mármol",LEFT(Ensayos!$E12,7)="Triaxia"),Ensayos!P12,NA())</f>
        <v/>
      </c>
      <c r="AO13">
        <f>IF(AND(Ensayos!$D12="Mármol",NOT(LEFT(Ensayos!$E12,7)="Triaxia")),Ensayos!P12,NA())</f>
        <v/>
      </c>
      <c r="AP13">
        <f>IF(AND(Ensayos!$D12="Hornfels",LEFT(Ensayos!$E12,7)="Triaxia"),Ensayos!P12,NA())</f>
        <v/>
      </c>
      <c r="AQ13">
        <f>IF(AND(Ensayos!$D12="Hornfels",NOT(LEFT(Ensayos!$E12,7)="Triaxia")),Ensayos!P12,NA())</f>
        <v/>
      </c>
      <c r="AR13">
        <f>IF(AND(Ensayos!$D12="Intrusivo",LEFT(Ensayos!$E12,7)="Triaxia"),Ensayos!P12,NA())</f>
        <v/>
      </c>
      <c r="AS13">
        <f>IF(AND(Ensayos!$D12="Intrusivo",NOT(LEFT(Ensayos!$E12,7)="Triaxia")),Ensayos!P12,NA())</f>
        <v/>
      </c>
      <c r="AT13">
        <f>IF(AND(Ensayos!$D12="Mezcla",LEFT(Ensayos!$E12,7)="Triaxia"),Ensayos!P12,NA())</f>
        <v/>
      </c>
      <c r="AU13">
        <f>IF(AND(Ensayos!$D12="Mezcla",NOT(LEFT(Ensayos!$E12,7)="Triaxia")),Ensayos!P12,NA())</f>
        <v/>
      </c>
      <c r="AV13">
        <f>IF(AND(Ensayos!$D12="Mármol",LEFT(Ensayos!$E12,7)="Triaxia"),Ensayos!M12*TAN(RADIANS(Ensayos!P12)),NA())</f>
        <v/>
      </c>
      <c r="AW13">
        <f>IF(AND(Ensayos!$D12="Mármol",NOT(LEFT(Ensayos!$E12,7)="Triaxia")),Ensayos!M12*TAN(RADIANS(Ensayos!P12)),NA())</f>
        <v/>
      </c>
      <c r="AX13">
        <f>IF(AND(Ensayos!$D12="Hornfels",LEFT(Ensayos!$E12,7)="Triaxia"),Ensayos!M12*TAN(RADIANS(Ensayos!P12)),NA())</f>
        <v/>
      </c>
      <c r="AY13">
        <f>IF(AND(Ensayos!$D12="Hornfels",NOT(LEFT(Ensayos!$E12,7)="Triaxia")),Ensayos!M12*TAN(RADIANS(Ensayos!P12)),NA())</f>
        <v/>
      </c>
      <c r="AZ13">
        <f>IF(AND(Ensayos!$D12="Intrusivo",LEFT(Ensayos!$E12,7)="Triaxia"),Ensayos!M12*TAN(RADIANS(Ensayos!P12)),NA())</f>
        <v/>
      </c>
      <c r="BA13">
        <f>IF(AND(Ensayos!$D12="Intrusivo",NOT(LEFT(Ensayos!$E12,7)="Triaxia")),Ensayos!M12*TAN(RADIANS(Ensayos!P12)),NA())</f>
        <v/>
      </c>
      <c r="BB13">
        <f>IF(AND(Ensayos!$D12="Mezcla",LEFT(Ensayos!$E12,7)="Triaxia"),Ensayos!M12*TAN(RADIANS(Ensayos!P12)),NA())</f>
        <v/>
      </c>
      <c r="BC13">
        <f>IF(AND(Ensayos!$D12="Mezcla",NOT(LEFT(Ensayos!$E12,7)="Triaxia")),Ensayos!M12*TAN(RADIANS(Ensayos!P12)),NA())</f>
        <v/>
      </c>
      <c r="BE13">
        <f>Base_mundial!C12</f>
        <v/>
      </c>
      <c r="BF13">
        <f>Base_mundial!E12-omega*(e_base-Base_mundial!B12)</f>
        <v/>
      </c>
      <c r="BG13">
        <f>BE13*TAN(RADIANS(BF13))</f>
        <v/>
      </c>
      <c r="BI13" t="n">
        <v>0.2620247366010078</v>
      </c>
      <c r="BK13" t="n">
        <v>35.69948260426961</v>
      </c>
      <c r="BZ13" t="n">
        <v>100</v>
      </c>
      <c r="CA13" t="n">
        <v>0.3161477068656509</v>
      </c>
      <c r="CB13" t="n">
        <v>0.348062987736901</v>
      </c>
      <c r="CG13" t="n">
        <v>0.1755919637552115</v>
      </c>
      <c r="CH13">
        <f>IF(MAX(CG13,sv_piso)&lt;=1,e_base-cc_bajo*LOG10(MAX(CG13,sv_piso)/sv_piso),e_base-cc_bajo*LOG10(1/sv_piso)-cc_alto*LOG10(CG13))</f>
        <v/>
      </c>
      <c r="CI13" t="n">
        <v>0.43943</v>
      </c>
      <c r="CJ13">
        <f>DEGREES(ATAN(TAN(RADIANS(pe0-omega*(e_base)))*(CG13/sref)^(m_-1)))</f>
        <v/>
      </c>
      <c r="CK13">
        <f>DEGREES(ATAN(TAN(RADIANS(pe0-omega*(CH13)))*(CG13/sref)^(m_-1)))</f>
        <v/>
      </c>
      <c r="CL13">
        <f>IF(ISNUMBER(CI13),DEGREES(ATAN(TAN(RADIANS(pe0-omega*(CI13)))*(CG13/sref)^(m_-1))),NA())</f>
        <v/>
      </c>
      <c r="CN13" t="n">
        <v>0.3833772391312483</v>
      </c>
      <c r="CO13" t="n">
        <v>46.20476857510297</v>
      </c>
      <c r="CR13" t="n">
        <v>2.4517</v>
      </c>
      <c r="CS13" t="n">
        <v>39</v>
      </c>
      <c r="CT13" t="n">
        <v>39</v>
      </c>
    </row>
    <row r="14">
      <c r="A14" t="n">
        <v>0.02092</v>
      </c>
      <c r="B14">
        <f>DEGREES(ATAN(TAN(RADIANS(pe0-omega*e_base))*(A14/sref)^(m_-1)))</f>
        <v/>
      </c>
      <c r="C14">
        <f>MIN(tope,B14)</f>
        <v/>
      </c>
      <c r="D14">
        <f>IF(B14&gt;tope,B14,NA())</f>
        <v/>
      </c>
      <c r="E14">
        <f>MIN(DEGREES(ATAN(TAN(RADIANS(Parametros!$E$12-omega*e_base))*(A14/sref)^(Parametros!$B$12-1))),DEGREES(ATAN(TAN(RADIANS(Parametros!$E$13-omega*e_base))*(A14/sref)^(Parametros!$B$13-1))),DEGREES(ATAN(TAN(RADIANS(Parametros!$E$14-omega*e_base))*(A14/sref)^(Parametros!$B$14-1))),DEGREES(ATAN(TAN(RADIANS(Parametros!$E$15-omega*e_base))*(A14/sref)^(Parametros!$B$15-1))),DEGREES(ATAN(TAN(RADIANS(Parametros!$E$16-omega*e_base))*(A14/sref)^(Parametros!$B$16-1))))</f>
        <v/>
      </c>
      <c r="F14">
        <f>MAX(DEGREES(ATAN(TAN(RADIANS(Parametros!$F$12-omega*e_base))*(A14/sref)^(Parametros!$B$12-1))),DEGREES(ATAN(TAN(RADIANS(Parametros!$F$13-omega*e_base))*(A14/sref)^(Parametros!$B$13-1))),DEGREES(ATAN(TAN(RADIANS(Parametros!$F$14-omega*e_base))*(A14/sref)^(Parametros!$B$14-1))),DEGREES(ATAN(TAN(RADIANS(Parametros!$F$15-omega*e_base))*(A14/sref)^(Parametros!$B$15-1))),DEGREES(ATAN(TAN(RADIANS(Parametros!$F$16-omega*e_base))*(A14/sref)^(Parametros!$B$16-1))))</f>
        <v/>
      </c>
      <c r="G14">
        <f>DEGREES(ATAN(TAN(RADIANS(46.0))*(A14/sref)^(0.9-1)))</f>
        <v/>
      </c>
      <c r="H14">
        <f>DEGREES(ATAN(TAN(RADIANS(41.0))*(A14/sref)^(0.9-1)))</f>
        <v/>
      </c>
      <c r="I14">
        <f>DEGREES(ATAN(TAN(RADIANS(36.0))*(A14/sref)^(0.9-1)))</f>
        <v/>
      </c>
      <c r="J14">
        <f>DEGREES(ATAN(TAN(RADIANS(33.0))*(A14/sref)^(0.9-1)))</f>
        <v/>
      </c>
      <c r="K14">
        <f>A14*TAN(RADIANS(C14))</f>
        <v/>
      </c>
      <c r="L14">
        <f>A14*TAN(RADIANS(G14))</f>
        <v/>
      </c>
      <c r="M14">
        <f>A14*TAN(RADIANS(H14))</f>
        <v/>
      </c>
      <c r="N14">
        <f>A14*TAN(RADIANS(I14))</f>
        <v/>
      </c>
      <c r="O14">
        <f>A14*TAN(RADIANS(J14))</f>
        <v/>
      </c>
      <c r="AL14">
        <f>Ensayos!M13</f>
        <v/>
      </c>
      <c r="AM14">
        <f>Ensayos!P13</f>
        <v/>
      </c>
      <c r="AN14">
        <f>IF(AND(Ensayos!$D13="Mármol",LEFT(Ensayos!$E13,7)="Triaxia"),Ensayos!P13,NA())</f>
        <v/>
      </c>
      <c r="AO14">
        <f>IF(AND(Ensayos!$D13="Mármol",NOT(LEFT(Ensayos!$E13,7)="Triaxia")),Ensayos!P13,NA())</f>
        <v/>
      </c>
      <c r="AP14">
        <f>IF(AND(Ensayos!$D13="Hornfels",LEFT(Ensayos!$E13,7)="Triaxia"),Ensayos!P13,NA())</f>
        <v/>
      </c>
      <c r="AQ14">
        <f>IF(AND(Ensayos!$D13="Hornfels",NOT(LEFT(Ensayos!$E13,7)="Triaxia")),Ensayos!P13,NA())</f>
        <v/>
      </c>
      <c r="AR14">
        <f>IF(AND(Ensayos!$D13="Intrusivo",LEFT(Ensayos!$E13,7)="Triaxia"),Ensayos!P13,NA())</f>
        <v/>
      </c>
      <c r="AS14">
        <f>IF(AND(Ensayos!$D13="Intrusivo",NOT(LEFT(Ensayos!$E13,7)="Triaxia")),Ensayos!P13,NA())</f>
        <v/>
      </c>
      <c r="AT14">
        <f>IF(AND(Ensayos!$D13="Mezcla",LEFT(Ensayos!$E13,7)="Triaxia"),Ensayos!P13,NA())</f>
        <v/>
      </c>
      <c r="AU14">
        <f>IF(AND(Ensayos!$D13="Mezcla",NOT(LEFT(Ensayos!$E13,7)="Triaxia")),Ensayos!P13,NA())</f>
        <v/>
      </c>
      <c r="AV14">
        <f>IF(AND(Ensayos!$D13="Mármol",LEFT(Ensayos!$E13,7)="Triaxia"),Ensayos!M13*TAN(RADIANS(Ensayos!P13)),NA())</f>
        <v/>
      </c>
      <c r="AW14">
        <f>IF(AND(Ensayos!$D13="Mármol",NOT(LEFT(Ensayos!$E13,7)="Triaxia")),Ensayos!M13*TAN(RADIANS(Ensayos!P13)),NA())</f>
        <v/>
      </c>
      <c r="AX14">
        <f>IF(AND(Ensayos!$D13="Hornfels",LEFT(Ensayos!$E13,7)="Triaxia"),Ensayos!M13*TAN(RADIANS(Ensayos!P13)),NA())</f>
        <v/>
      </c>
      <c r="AY14">
        <f>IF(AND(Ensayos!$D13="Hornfels",NOT(LEFT(Ensayos!$E13,7)="Triaxia")),Ensayos!M13*TAN(RADIANS(Ensayos!P13)),NA())</f>
        <v/>
      </c>
      <c r="AZ14">
        <f>IF(AND(Ensayos!$D13="Intrusivo",LEFT(Ensayos!$E13,7)="Triaxia"),Ensayos!M13*TAN(RADIANS(Ensayos!P13)),NA())</f>
        <v/>
      </c>
      <c r="BA14">
        <f>IF(AND(Ensayos!$D13="Intrusivo",NOT(LEFT(Ensayos!$E13,7)="Triaxia")),Ensayos!M13*TAN(RADIANS(Ensayos!P13)),NA())</f>
        <v/>
      </c>
      <c r="BB14">
        <f>IF(AND(Ensayos!$D13="Mezcla",LEFT(Ensayos!$E13,7)="Triaxia"),Ensayos!M13*TAN(RADIANS(Ensayos!P13)),NA())</f>
        <v/>
      </c>
      <c r="BC14">
        <f>IF(AND(Ensayos!$D13="Mezcla",NOT(LEFT(Ensayos!$E13,7)="Triaxia")),Ensayos!M13*TAN(RADIANS(Ensayos!P13)),NA())</f>
        <v/>
      </c>
      <c r="BE14">
        <f>Base_mundial!C13</f>
        <v/>
      </c>
      <c r="BF14">
        <f>Base_mundial!E13-omega*(e_base-Base_mundial!B13)</f>
        <v/>
      </c>
      <c r="BG14">
        <f>BE14*TAN(RADIANS(BF14))</f>
        <v/>
      </c>
      <c r="BI14" t="n">
        <v>0.3255730659025788</v>
      </c>
      <c r="BQ14" t="n">
        <v>44.00822645863575</v>
      </c>
      <c r="BZ14" t="n">
        <v>110</v>
      </c>
      <c r="CA14" t="n">
        <v>0.3112565756548817</v>
      </c>
      <c r="CB14" t="n">
        <v>0.3392488851727984</v>
      </c>
      <c r="CG14" t="n">
        <v>0.1857612391495793</v>
      </c>
      <c r="CH14">
        <f>IF(MAX(CG14,sv_piso)&lt;=1,e_base-cc_bajo*LOG10(MAX(CG14,sv_piso)/sv_piso),e_base-cc_bajo*LOG10(1/sv_piso)-cc_alto*LOG10(CG14))</f>
        <v/>
      </c>
      <c r="CI14" t="n">
        <v>0.43882</v>
      </c>
      <c r="CJ14">
        <f>DEGREES(ATAN(TAN(RADIANS(pe0-omega*(e_base)))*(CG14/sref)^(m_-1)))</f>
        <v/>
      </c>
      <c r="CK14">
        <f>DEGREES(ATAN(TAN(RADIANS(pe0-omega*(CH14)))*(CG14/sref)^(m_-1)))</f>
        <v/>
      </c>
      <c r="CL14">
        <f>IF(ISNUMBER(CI14),DEGREES(ATAN(TAN(RADIANS(pe0-omega*(CI14)))*(CG14/sref)^(m_-1))),NA())</f>
        <v/>
      </c>
      <c r="CN14" t="n">
        <v>0.188883646523406</v>
      </c>
      <c r="CO14" t="n">
        <v>45.74558142040397</v>
      </c>
      <c r="CR14" t="n">
        <v>0.977</v>
      </c>
      <c r="CS14" t="n">
        <v>15</v>
      </c>
      <c r="CU14" t="n">
        <v>15</v>
      </c>
    </row>
    <row r="15">
      <c r="A15" t="n">
        <v>0.02237</v>
      </c>
      <c r="B15">
        <f>DEGREES(ATAN(TAN(RADIANS(pe0-omega*e_base))*(A15/sref)^(m_-1)))</f>
        <v/>
      </c>
      <c r="C15">
        <f>MIN(tope,B15)</f>
        <v/>
      </c>
      <c r="D15">
        <f>IF(B15&gt;tope,B15,NA())</f>
        <v/>
      </c>
      <c r="E15">
        <f>MIN(DEGREES(ATAN(TAN(RADIANS(Parametros!$E$12-omega*e_base))*(A15/sref)^(Parametros!$B$12-1))),DEGREES(ATAN(TAN(RADIANS(Parametros!$E$13-omega*e_base))*(A15/sref)^(Parametros!$B$13-1))),DEGREES(ATAN(TAN(RADIANS(Parametros!$E$14-omega*e_base))*(A15/sref)^(Parametros!$B$14-1))),DEGREES(ATAN(TAN(RADIANS(Parametros!$E$15-omega*e_base))*(A15/sref)^(Parametros!$B$15-1))),DEGREES(ATAN(TAN(RADIANS(Parametros!$E$16-omega*e_base))*(A15/sref)^(Parametros!$B$16-1))))</f>
        <v/>
      </c>
      <c r="F15">
        <f>MAX(DEGREES(ATAN(TAN(RADIANS(Parametros!$F$12-omega*e_base))*(A15/sref)^(Parametros!$B$12-1))),DEGREES(ATAN(TAN(RADIANS(Parametros!$F$13-omega*e_base))*(A15/sref)^(Parametros!$B$13-1))),DEGREES(ATAN(TAN(RADIANS(Parametros!$F$14-omega*e_base))*(A15/sref)^(Parametros!$B$14-1))),DEGREES(ATAN(TAN(RADIANS(Parametros!$F$15-omega*e_base))*(A15/sref)^(Parametros!$B$15-1))),DEGREES(ATAN(TAN(RADIANS(Parametros!$F$16-omega*e_base))*(A15/sref)^(Parametros!$B$16-1))))</f>
        <v/>
      </c>
      <c r="G15">
        <f>DEGREES(ATAN(TAN(RADIANS(46.0))*(A15/sref)^(0.9-1)))</f>
        <v/>
      </c>
      <c r="H15">
        <f>DEGREES(ATAN(TAN(RADIANS(41.0))*(A15/sref)^(0.9-1)))</f>
        <v/>
      </c>
      <c r="I15">
        <f>DEGREES(ATAN(TAN(RADIANS(36.0))*(A15/sref)^(0.9-1)))</f>
        <v/>
      </c>
      <c r="J15">
        <f>DEGREES(ATAN(TAN(RADIANS(33.0))*(A15/sref)^(0.9-1)))</f>
        <v/>
      </c>
      <c r="K15">
        <f>A15*TAN(RADIANS(C15))</f>
        <v/>
      </c>
      <c r="L15">
        <f>A15*TAN(RADIANS(G15))</f>
        <v/>
      </c>
      <c r="M15">
        <f>A15*TAN(RADIANS(H15))</f>
        <v/>
      </c>
      <c r="N15">
        <f>A15*TAN(RADIANS(I15))</f>
        <v/>
      </c>
      <c r="O15">
        <f>A15*TAN(RADIANS(J15))</f>
        <v/>
      </c>
      <c r="Q15" t="n">
        <v>0.1168088364697407</v>
      </c>
      <c r="R15">
        <f>MIN(DEGREES(ATAN(TAN(RADIANS(Parametros!$E$12-omega*e_base))*(Q15/sref)^(Parametros!$B$12-1))),DEGREES(ATAN(TAN(RADIANS(Parametros!$E$13-omega*e_base))*(Q15/sref)^(Parametros!$B$13-1))),DEGREES(ATAN(TAN(RADIANS(Parametros!$E$14-omega*e_base))*(Q15/sref)^(Parametros!$B$14-1))),DEGREES(ATAN(TAN(RADIANS(Parametros!$E$15-omega*e_base))*(Q15/sref)^(Parametros!$B$15-1))),DEGREES(ATAN(TAN(RADIANS(Parametros!$E$16-omega*e_base))*(Q15/sref)^(Parametros!$B$16-1))))</f>
        <v/>
      </c>
      <c r="T15" t="n">
        <v>0.3745562130177515</v>
      </c>
      <c r="U15">
        <f>T15*TAN(RADIANS(MIN(DEGREES(ATAN(TAN(RADIANS(Parametros!$E$12-omega*e_base))*(T15/sref)^(Parametros!$B$12-1))),DEGREES(ATAN(TAN(RADIANS(Parametros!$E$13-omega*e_base))*(T15/sref)^(Parametros!$B$13-1))),DEGREES(ATAN(TAN(RADIANS(Parametros!$E$14-omega*e_base))*(T15/sref)^(Parametros!$B$14-1))),DEGREES(ATAN(TAN(RADIANS(Parametros!$E$15-omega*e_base))*(T15/sref)^(Parametros!$B$15-1))),DEGREES(ATAN(TAN(RADIANS(Parametros!$E$16-omega*e_base))*(T15/sref)^(Parametros!$B$16-1))))))</f>
        <v/>
      </c>
      <c r="W15" t="n">
        <v>5.032390165037022</v>
      </c>
      <c r="X15" t="n">
        <v>22</v>
      </c>
      <c r="Y15" t="n">
        <v>9.726936194250161</v>
      </c>
      <c r="Z15" t="n">
        <v>22</v>
      </c>
      <c r="AB15" t="n">
        <v>5.140652494172493</v>
      </c>
      <c r="AC15" t="n">
        <v>0</v>
      </c>
      <c r="AD15" t="n">
        <v>10.21430539801676</v>
      </c>
      <c r="AE15" t="n">
        <v>0</v>
      </c>
      <c r="AG15" t="n">
        <v>5.032390165037022</v>
      </c>
      <c r="AH15" t="n">
        <v>22</v>
      </c>
      <c r="AI15" t="n">
        <v>9.726936194250161</v>
      </c>
      <c r="AJ15" t="n">
        <v>22</v>
      </c>
      <c r="AL15">
        <f>Ensayos!M14</f>
        <v/>
      </c>
      <c r="AM15">
        <f>Ensayos!P14</f>
        <v/>
      </c>
      <c r="AN15">
        <f>IF(AND(Ensayos!$D14="Mármol",LEFT(Ensayos!$E14,7)="Triaxia"),Ensayos!P14,NA())</f>
        <v/>
      </c>
      <c r="AO15">
        <f>IF(AND(Ensayos!$D14="Mármol",NOT(LEFT(Ensayos!$E14,7)="Triaxia")),Ensayos!P14,NA())</f>
        <v/>
      </c>
      <c r="AP15">
        <f>IF(AND(Ensayos!$D14="Hornfels",LEFT(Ensayos!$E14,7)="Triaxia"),Ensayos!P14,NA())</f>
        <v/>
      </c>
      <c r="AQ15">
        <f>IF(AND(Ensayos!$D14="Hornfels",NOT(LEFT(Ensayos!$E14,7)="Triaxia")),Ensayos!P14,NA())</f>
        <v/>
      </c>
      <c r="AR15">
        <f>IF(AND(Ensayos!$D14="Intrusivo",LEFT(Ensayos!$E14,7)="Triaxia"),Ensayos!P14,NA())</f>
        <v/>
      </c>
      <c r="AS15">
        <f>IF(AND(Ensayos!$D14="Intrusivo",NOT(LEFT(Ensayos!$E14,7)="Triaxia")),Ensayos!P14,NA())</f>
        <v/>
      </c>
      <c r="AT15">
        <f>IF(AND(Ensayos!$D14="Mezcla",LEFT(Ensayos!$E14,7)="Triaxia"),Ensayos!P14,NA())</f>
        <v/>
      </c>
      <c r="AU15">
        <f>IF(AND(Ensayos!$D14="Mezcla",NOT(LEFT(Ensayos!$E14,7)="Triaxia")),Ensayos!P14,NA())</f>
        <v/>
      </c>
      <c r="AV15">
        <f>IF(AND(Ensayos!$D14="Mármol",LEFT(Ensayos!$E14,7)="Triaxia"),Ensayos!M14*TAN(RADIANS(Ensayos!P14)),NA())</f>
        <v/>
      </c>
      <c r="AW15">
        <f>IF(AND(Ensayos!$D14="Mármol",NOT(LEFT(Ensayos!$E14,7)="Triaxia")),Ensayos!M14*TAN(RADIANS(Ensayos!P14)),NA())</f>
        <v/>
      </c>
      <c r="AX15">
        <f>IF(AND(Ensayos!$D14="Hornfels",LEFT(Ensayos!$E14,7)="Triaxia"),Ensayos!M14*TAN(RADIANS(Ensayos!P14)),NA())</f>
        <v/>
      </c>
      <c r="AY15">
        <f>IF(AND(Ensayos!$D14="Hornfels",NOT(LEFT(Ensayos!$E14,7)="Triaxia")),Ensayos!M14*TAN(RADIANS(Ensayos!P14)),NA())</f>
        <v/>
      </c>
      <c r="AZ15">
        <f>IF(AND(Ensayos!$D14="Intrusivo",LEFT(Ensayos!$E14,7)="Triaxia"),Ensayos!M14*TAN(RADIANS(Ensayos!P14)),NA())</f>
        <v/>
      </c>
      <c r="BA15">
        <f>IF(AND(Ensayos!$D14="Intrusivo",NOT(LEFT(Ensayos!$E14,7)="Triaxia")),Ensayos!M14*TAN(RADIANS(Ensayos!P14)),NA())</f>
        <v/>
      </c>
      <c r="BB15">
        <f>IF(AND(Ensayos!$D14="Mezcla",LEFT(Ensayos!$E14,7)="Triaxia"),Ensayos!M14*TAN(RADIANS(Ensayos!P14)),NA())</f>
        <v/>
      </c>
      <c r="BC15">
        <f>IF(AND(Ensayos!$D14="Mezcla",NOT(LEFT(Ensayos!$E14,7)="Triaxia")),Ensayos!M14*TAN(RADIANS(Ensayos!P14)),NA())</f>
        <v/>
      </c>
      <c r="BE15">
        <f>Base_mundial!C14</f>
        <v/>
      </c>
      <c r="BF15">
        <f>Base_mundial!E14-omega*(e_base-Base_mundial!B14)</f>
        <v/>
      </c>
      <c r="BG15">
        <f>BE15*TAN(RADIANS(BF15))</f>
        <v/>
      </c>
      <c r="BI15" t="n">
        <v>0.478973238667395</v>
      </c>
      <c r="BO15" t="n">
        <v>43.29064574402511</v>
      </c>
      <c r="BZ15" t="n">
        <v>120</v>
      </c>
      <c r="CA15" t="n">
        <v>0.3067882960919994</v>
      </c>
      <c r="CB15" t="n">
        <v>0.3304347826086958</v>
      </c>
      <c r="CG15" t="n">
        <v>0.1965194604150158</v>
      </c>
      <c r="CH15">
        <f>IF(MAX(CG15,sv_piso)&lt;=1,e_base-cc_bajo*LOG10(MAX(CG15,sv_piso)/sv_piso),e_base-cc_bajo*LOG10(1/sv_piso)-cc_alto*LOG10(CG15))</f>
        <v/>
      </c>
      <c r="CI15" t="n">
        <v>0.43818</v>
      </c>
      <c r="CJ15">
        <f>DEGREES(ATAN(TAN(RADIANS(pe0-omega*(e_base)))*(CG15/sref)^(m_-1)))</f>
        <v/>
      </c>
      <c r="CK15">
        <f>DEGREES(ATAN(TAN(RADIANS(pe0-omega*(CH15)))*(CG15/sref)^(m_-1)))</f>
        <v/>
      </c>
      <c r="CL15">
        <f>IF(ISNUMBER(CI15),DEGREES(ATAN(TAN(RADIANS(pe0-omega*(CI15)))*(CG15/sref)^(m_-1))),NA())</f>
        <v/>
      </c>
      <c r="CN15" t="n">
        <v>1.157529564177616</v>
      </c>
      <c r="CO15" t="n">
        <v>43.78818699017148</v>
      </c>
      <c r="CR15" t="n">
        <v>0.982</v>
      </c>
      <c r="CS15" t="n">
        <v>30</v>
      </c>
      <c r="CX15" t="n">
        <v>30</v>
      </c>
    </row>
    <row r="16">
      <c r="A16" t="n">
        <v>0.02392</v>
      </c>
      <c r="B16">
        <f>DEGREES(ATAN(TAN(RADIANS(pe0-omega*e_base))*(A16/sref)^(m_-1)))</f>
        <v/>
      </c>
      <c r="C16">
        <f>MIN(tope,B16)</f>
        <v/>
      </c>
      <c r="D16">
        <f>IF(B16&gt;tope,B16,NA())</f>
        <v/>
      </c>
      <c r="E16">
        <f>MIN(DEGREES(ATAN(TAN(RADIANS(Parametros!$E$12-omega*e_base))*(A16/sref)^(Parametros!$B$12-1))),DEGREES(ATAN(TAN(RADIANS(Parametros!$E$13-omega*e_base))*(A16/sref)^(Parametros!$B$13-1))),DEGREES(ATAN(TAN(RADIANS(Parametros!$E$14-omega*e_base))*(A16/sref)^(Parametros!$B$14-1))),DEGREES(ATAN(TAN(RADIANS(Parametros!$E$15-omega*e_base))*(A16/sref)^(Parametros!$B$15-1))),DEGREES(ATAN(TAN(RADIANS(Parametros!$E$16-omega*e_base))*(A16/sref)^(Parametros!$B$16-1))))</f>
        <v/>
      </c>
      <c r="F16">
        <f>MAX(DEGREES(ATAN(TAN(RADIANS(Parametros!$F$12-omega*e_base))*(A16/sref)^(Parametros!$B$12-1))),DEGREES(ATAN(TAN(RADIANS(Parametros!$F$13-omega*e_base))*(A16/sref)^(Parametros!$B$13-1))),DEGREES(ATAN(TAN(RADIANS(Parametros!$F$14-omega*e_base))*(A16/sref)^(Parametros!$B$14-1))),DEGREES(ATAN(TAN(RADIANS(Parametros!$F$15-omega*e_base))*(A16/sref)^(Parametros!$B$15-1))),DEGREES(ATAN(TAN(RADIANS(Parametros!$F$16-omega*e_base))*(A16/sref)^(Parametros!$B$16-1))))</f>
        <v/>
      </c>
      <c r="G16">
        <f>DEGREES(ATAN(TAN(RADIANS(46.0))*(A16/sref)^(0.9-1)))</f>
        <v/>
      </c>
      <c r="H16">
        <f>DEGREES(ATAN(TAN(RADIANS(41.0))*(A16/sref)^(0.9-1)))</f>
        <v/>
      </c>
      <c r="I16">
        <f>DEGREES(ATAN(TAN(RADIANS(36.0))*(A16/sref)^(0.9-1)))</f>
        <v/>
      </c>
      <c r="J16">
        <f>DEGREES(ATAN(TAN(RADIANS(33.0))*(A16/sref)^(0.9-1)))</f>
        <v/>
      </c>
      <c r="K16">
        <f>A16*TAN(RADIANS(C16))</f>
        <v/>
      </c>
      <c r="L16">
        <f>A16*TAN(RADIANS(G16))</f>
        <v/>
      </c>
      <c r="M16">
        <f>A16*TAN(RADIANS(H16))</f>
        <v/>
      </c>
      <c r="N16">
        <f>A16*TAN(RADIANS(I16))</f>
        <v/>
      </c>
      <c r="O16">
        <f>A16*TAN(RADIANS(J16))</f>
        <v/>
      </c>
      <c r="Q16" t="n">
        <v>0.1168088364697407</v>
      </c>
      <c r="R16">
        <f>MAX(DEGREES(ATAN(TAN(RADIANS(Parametros!$F$12-omega*e_base))*(Q16/sref)^(Parametros!$B$12-1))),DEGREES(ATAN(TAN(RADIANS(Parametros!$F$13-omega*e_base))*(Q16/sref)^(Parametros!$B$13-1))),DEGREES(ATAN(TAN(RADIANS(Parametros!$F$14-omega*e_base))*(Q16/sref)^(Parametros!$B$14-1))),DEGREES(ATAN(TAN(RADIANS(Parametros!$F$15-omega*e_base))*(Q16/sref)^(Parametros!$B$15-1))),DEGREES(ATAN(TAN(RADIANS(Parametros!$F$16-omega*e_base))*(Q16/sref)^(Parametros!$B$16-1))))</f>
        <v/>
      </c>
      <c r="T16" t="n">
        <v>0.3745562130177515</v>
      </c>
      <c r="U16">
        <f>T16*TAN(RADIANS(MAX(DEGREES(ATAN(TAN(RADIANS(Parametros!$F$12-omega*e_base))*(T16/sref)^(Parametros!$B$12-1))),DEGREES(ATAN(TAN(RADIANS(Parametros!$F$13-omega*e_base))*(T16/sref)^(Parametros!$B$13-1))),DEGREES(ATAN(TAN(RADIANS(Parametros!$F$14-omega*e_base))*(T16/sref)^(Parametros!$B$14-1))),DEGREES(ATAN(TAN(RADIANS(Parametros!$F$15-omega*e_base))*(T16/sref)^(Parametros!$B$15-1))),DEGREES(ATAN(TAN(RADIANS(Parametros!$F$16-omega*e_base))*(T16/sref)^(Parametros!$B$16-1))))))</f>
        <v/>
      </c>
      <c r="W16" t="n">
        <v>5.032390165037022</v>
      </c>
      <c r="X16" t="n">
        <v>56</v>
      </c>
      <c r="Y16" t="n">
        <v>12.47127952175629</v>
      </c>
      <c r="Z16" t="n">
        <v>56</v>
      </c>
      <c r="AB16" t="n">
        <v>5.140652494172493</v>
      </c>
      <c r="AC16" t="n">
        <v>10.5</v>
      </c>
      <c r="AD16" t="n">
        <v>12.96019574341698</v>
      </c>
      <c r="AE16" t="n">
        <v>10.5</v>
      </c>
      <c r="AG16" t="n">
        <v>5.032390165037022</v>
      </c>
      <c r="AH16" t="n">
        <v>58</v>
      </c>
      <c r="AI16" t="n">
        <v>12.47127952175629</v>
      </c>
      <c r="AJ16" t="n">
        <v>58</v>
      </c>
      <c r="AL16">
        <f>Ensayos!M15</f>
        <v/>
      </c>
      <c r="AM16">
        <f>Ensayos!P15</f>
        <v/>
      </c>
      <c r="AN16">
        <f>IF(AND(Ensayos!$D15="Mármol",LEFT(Ensayos!$E15,7)="Triaxia"),Ensayos!P15,NA())</f>
        <v/>
      </c>
      <c r="AO16">
        <f>IF(AND(Ensayos!$D15="Mármol",NOT(LEFT(Ensayos!$E15,7)="Triaxia")),Ensayos!P15,NA())</f>
        <v/>
      </c>
      <c r="AP16">
        <f>IF(AND(Ensayos!$D15="Hornfels",LEFT(Ensayos!$E15,7)="Triaxia"),Ensayos!P15,NA())</f>
        <v/>
      </c>
      <c r="AQ16">
        <f>IF(AND(Ensayos!$D15="Hornfels",NOT(LEFT(Ensayos!$E15,7)="Triaxia")),Ensayos!P15,NA())</f>
        <v/>
      </c>
      <c r="AR16">
        <f>IF(AND(Ensayos!$D15="Intrusivo",LEFT(Ensayos!$E15,7)="Triaxia"),Ensayos!P15,NA())</f>
        <v/>
      </c>
      <c r="AS16">
        <f>IF(AND(Ensayos!$D15="Intrusivo",NOT(LEFT(Ensayos!$E15,7)="Triaxia")),Ensayos!P15,NA())</f>
        <v/>
      </c>
      <c r="AT16">
        <f>IF(AND(Ensayos!$D15="Mezcla",LEFT(Ensayos!$E15,7)="Triaxia"),Ensayos!P15,NA())</f>
        <v/>
      </c>
      <c r="AU16">
        <f>IF(AND(Ensayos!$D15="Mezcla",NOT(LEFT(Ensayos!$E15,7)="Triaxia")),Ensayos!P15,NA())</f>
        <v/>
      </c>
      <c r="AV16">
        <f>IF(AND(Ensayos!$D15="Mármol",LEFT(Ensayos!$E15,7)="Triaxia"),Ensayos!M15*TAN(RADIANS(Ensayos!P15)),NA())</f>
        <v/>
      </c>
      <c r="AW16">
        <f>IF(AND(Ensayos!$D15="Mármol",NOT(LEFT(Ensayos!$E15,7)="Triaxia")),Ensayos!M15*TAN(RADIANS(Ensayos!P15)),NA())</f>
        <v/>
      </c>
      <c r="AX16">
        <f>IF(AND(Ensayos!$D15="Hornfels",LEFT(Ensayos!$E15,7)="Triaxia"),Ensayos!M15*TAN(RADIANS(Ensayos!P15)),NA())</f>
        <v/>
      </c>
      <c r="AY16">
        <f>IF(AND(Ensayos!$D15="Hornfels",NOT(LEFT(Ensayos!$E15,7)="Triaxia")),Ensayos!M15*TAN(RADIANS(Ensayos!P15)),NA())</f>
        <v/>
      </c>
      <c r="AZ16">
        <f>IF(AND(Ensayos!$D15="Intrusivo",LEFT(Ensayos!$E15,7)="Triaxia"),Ensayos!M15*TAN(RADIANS(Ensayos!P15)),NA())</f>
        <v/>
      </c>
      <c r="BA16">
        <f>IF(AND(Ensayos!$D15="Intrusivo",NOT(LEFT(Ensayos!$E15,7)="Triaxia")),Ensayos!M15*TAN(RADIANS(Ensayos!P15)),NA())</f>
        <v/>
      </c>
      <c r="BB16">
        <f>IF(AND(Ensayos!$D15="Mezcla",LEFT(Ensayos!$E15,7)="Triaxia"),Ensayos!M15*TAN(RADIANS(Ensayos!P15)),NA())</f>
        <v/>
      </c>
      <c r="BC16">
        <f>IF(AND(Ensayos!$D15="Mezcla",NOT(LEFT(Ensayos!$E15,7)="Triaxia")),Ensayos!M15*TAN(RADIANS(Ensayos!P15)),NA())</f>
        <v/>
      </c>
      <c r="BE16">
        <f>Base_mundial!C15</f>
        <v/>
      </c>
      <c r="BF16">
        <f>Base_mundial!E15-omega*(e_base-Base_mundial!B15)</f>
        <v/>
      </c>
      <c r="BG16">
        <f>BE16*TAN(RADIANS(BF16))</f>
        <v/>
      </c>
      <c r="BZ16" t="n">
        <v>130</v>
      </c>
      <c r="CA16" t="n">
        <v>0.3026754951653088</v>
      </c>
      <c r="CB16" t="n">
        <v>0.3220506362672324</v>
      </c>
      <c r="CG16" t="n">
        <v>0.2079007359049287</v>
      </c>
      <c r="CH16">
        <f>IF(MAX(CG16,sv_piso)&lt;=1,e_base-cc_bajo*LOG10(MAX(CG16,sv_piso)/sv_piso),e_base-cc_bajo*LOG10(1/sv_piso)-cc_alto*LOG10(CG16))</f>
        <v/>
      </c>
      <c r="CI16" t="n">
        <v>0.43749</v>
      </c>
      <c r="CJ16">
        <f>DEGREES(ATAN(TAN(RADIANS(pe0-omega*(e_base)))*(CG16/sref)^(m_-1)))</f>
        <v/>
      </c>
      <c r="CK16">
        <f>DEGREES(ATAN(TAN(RADIANS(pe0-omega*(CH16)))*(CG16/sref)^(m_-1)))</f>
        <v/>
      </c>
      <c r="CL16">
        <f>IF(ISNUMBER(CI16),DEGREES(ATAN(TAN(RADIANS(pe0-omega*(CI16)))*(CG16/sref)^(m_-1))),NA())</f>
        <v/>
      </c>
      <c r="CN16" t="n">
        <v>0.4406637640845732</v>
      </c>
      <c r="CO16" t="n">
        <v>48.90018935175999</v>
      </c>
      <c r="CR16" t="n">
        <v>0.49</v>
      </c>
      <c r="CS16" t="n">
        <v>8.300000000000001</v>
      </c>
      <c r="CV16" t="n">
        <v>8.300000000000001</v>
      </c>
    </row>
    <row r="17">
      <c r="A17" t="n">
        <v>0.02558</v>
      </c>
      <c r="B17">
        <f>DEGREES(ATAN(TAN(RADIANS(pe0-omega*e_base))*(A17/sref)^(m_-1)))</f>
        <v/>
      </c>
      <c r="C17">
        <f>MIN(tope,B17)</f>
        <v/>
      </c>
      <c r="D17">
        <f>IF(B17&gt;tope,B17,NA())</f>
        <v/>
      </c>
      <c r="E17">
        <f>MIN(DEGREES(ATAN(TAN(RADIANS(Parametros!$E$12-omega*e_base))*(A17/sref)^(Parametros!$B$12-1))),DEGREES(ATAN(TAN(RADIANS(Parametros!$E$13-omega*e_base))*(A17/sref)^(Parametros!$B$13-1))),DEGREES(ATAN(TAN(RADIANS(Parametros!$E$14-omega*e_base))*(A17/sref)^(Parametros!$B$14-1))),DEGREES(ATAN(TAN(RADIANS(Parametros!$E$15-omega*e_base))*(A17/sref)^(Parametros!$B$15-1))),DEGREES(ATAN(TAN(RADIANS(Parametros!$E$16-omega*e_base))*(A17/sref)^(Parametros!$B$16-1))))</f>
        <v/>
      </c>
      <c r="F17">
        <f>MAX(DEGREES(ATAN(TAN(RADIANS(Parametros!$F$12-omega*e_base))*(A17/sref)^(Parametros!$B$12-1))),DEGREES(ATAN(TAN(RADIANS(Parametros!$F$13-omega*e_base))*(A17/sref)^(Parametros!$B$13-1))),DEGREES(ATAN(TAN(RADIANS(Parametros!$F$14-omega*e_base))*(A17/sref)^(Parametros!$B$14-1))),DEGREES(ATAN(TAN(RADIANS(Parametros!$F$15-omega*e_base))*(A17/sref)^(Parametros!$B$15-1))),DEGREES(ATAN(TAN(RADIANS(Parametros!$F$16-omega*e_base))*(A17/sref)^(Parametros!$B$16-1))))</f>
        <v/>
      </c>
      <c r="G17">
        <f>DEGREES(ATAN(TAN(RADIANS(46.0))*(A17/sref)^(0.9-1)))</f>
        <v/>
      </c>
      <c r="H17">
        <f>DEGREES(ATAN(TAN(RADIANS(41.0))*(A17/sref)^(0.9-1)))</f>
        <v/>
      </c>
      <c r="I17">
        <f>DEGREES(ATAN(TAN(RADIANS(36.0))*(A17/sref)^(0.9-1)))</f>
        <v/>
      </c>
      <c r="J17">
        <f>DEGREES(ATAN(TAN(RADIANS(33.0))*(A17/sref)^(0.9-1)))</f>
        <v/>
      </c>
      <c r="K17">
        <f>A17*TAN(RADIANS(C17))</f>
        <v/>
      </c>
      <c r="L17">
        <f>A17*TAN(RADIANS(G17))</f>
        <v/>
      </c>
      <c r="M17">
        <f>A17*TAN(RADIANS(H17))</f>
        <v/>
      </c>
      <c r="N17">
        <f>A17*TAN(RADIANS(I17))</f>
        <v/>
      </c>
      <c r="O17">
        <f>A17*TAN(RADIANS(J17))</f>
        <v/>
      </c>
      <c r="AL17">
        <f>Ensayos!M16</f>
        <v/>
      </c>
      <c r="AM17">
        <f>Ensayos!P16</f>
        <v/>
      </c>
      <c r="AN17">
        <f>IF(AND(Ensayos!$D16="Mármol",LEFT(Ensayos!$E16,7)="Triaxia"),Ensayos!P16,NA())</f>
        <v/>
      </c>
      <c r="AO17">
        <f>IF(AND(Ensayos!$D16="Mármol",NOT(LEFT(Ensayos!$E16,7)="Triaxia")),Ensayos!P16,NA())</f>
        <v/>
      </c>
      <c r="AP17">
        <f>IF(AND(Ensayos!$D16="Hornfels",LEFT(Ensayos!$E16,7)="Triaxia"),Ensayos!P16,NA())</f>
        <v/>
      </c>
      <c r="AQ17">
        <f>IF(AND(Ensayos!$D16="Hornfels",NOT(LEFT(Ensayos!$E16,7)="Triaxia")),Ensayos!P16,NA())</f>
        <v/>
      </c>
      <c r="AR17">
        <f>IF(AND(Ensayos!$D16="Intrusivo",LEFT(Ensayos!$E16,7)="Triaxia"),Ensayos!P16,NA())</f>
        <v/>
      </c>
      <c r="AS17">
        <f>IF(AND(Ensayos!$D16="Intrusivo",NOT(LEFT(Ensayos!$E16,7)="Triaxia")),Ensayos!P16,NA())</f>
        <v/>
      </c>
      <c r="AT17">
        <f>IF(AND(Ensayos!$D16="Mezcla",LEFT(Ensayos!$E16,7)="Triaxia"),Ensayos!P16,NA())</f>
        <v/>
      </c>
      <c r="AU17">
        <f>IF(AND(Ensayos!$D16="Mezcla",NOT(LEFT(Ensayos!$E16,7)="Triaxia")),Ensayos!P16,NA())</f>
        <v/>
      </c>
      <c r="AV17">
        <f>IF(AND(Ensayos!$D16="Mármol",LEFT(Ensayos!$E16,7)="Triaxia"),Ensayos!M16*TAN(RADIANS(Ensayos!P16)),NA())</f>
        <v/>
      </c>
      <c r="AW17">
        <f>IF(AND(Ensayos!$D16="Mármol",NOT(LEFT(Ensayos!$E16,7)="Triaxia")),Ensayos!M16*TAN(RADIANS(Ensayos!P16)),NA())</f>
        <v/>
      </c>
      <c r="AX17">
        <f>IF(AND(Ensayos!$D16="Hornfels",LEFT(Ensayos!$E16,7)="Triaxia"),Ensayos!M16*TAN(RADIANS(Ensayos!P16)),NA())</f>
        <v/>
      </c>
      <c r="AY17">
        <f>IF(AND(Ensayos!$D16="Hornfels",NOT(LEFT(Ensayos!$E16,7)="Triaxia")),Ensayos!M16*TAN(RADIANS(Ensayos!P16)),NA())</f>
        <v/>
      </c>
      <c r="AZ17">
        <f>IF(AND(Ensayos!$D16="Intrusivo",LEFT(Ensayos!$E16,7)="Triaxia"),Ensayos!M16*TAN(RADIANS(Ensayos!P16)),NA())</f>
        <v/>
      </c>
      <c r="BA17">
        <f>IF(AND(Ensayos!$D16="Intrusivo",NOT(LEFT(Ensayos!$E16,7)="Triaxia")),Ensayos!M16*TAN(RADIANS(Ensayos!P16)),NA())</f>
        <v/>
      </c>
      <c r="BB17">
        <f>IF(AND(Ensayos!$D16="Mezcla",LEFT(Ensayos!$E16,7)="Triaxia"),Ensayos!M16*TAN(RADIANS(Ensayos!P16)),NA())</f>
        <v/>
      </c>
      <c r="BC17">
        <f>IF(AND(Ensayos!$D16="Mezcla",NOT(LEFT(Ensayos!$E16,7)="Triaxia")),Ensayos!M16*TAN(RADIANS(Ensayos!P16)),NA())</f>
        <v/>
      </c>
      <c r="BE17">
        <f>Base_mundial!C16</f>
        <v/>
      </c>
      <c r="BF17">
        <f>Base_mundial!E16-omega*(e_base-Base_mundial!B16)</f>
        <v/>
      </c>
      <c r="BG17">
        <f>BE17*TAN(RADIANS(BF17))</f>
        <v/>
      </c>
      <c r="BZ17" t="n">
        <v>140</v>
      </c>
      <c r="CA17" t="n">
        <v>0.2988657228348998</v>
      </c>
      <c r="CB17" t="n">
        <v>0.313666489925769</v>
      </c>
      <c r="CG17" t="n">
        <v>0.2199411493321416</v>
      </c>
      <c r="CH17">
        <f>IF(MAX(CG17,sv_piso)&lt;=1,e_base-cc_bajo*LOG10(MAX(CG17,sv_piso)/sv_piso),e_base-cc_bajo*LOG10(1/sv_piso)-cc_alto*LOG10(CG17))</f>
        <v/>
      </c>
      <c r="CI17" t="n">
        <v>0.43677</v>
      </c>
      <c r="CJ17">
        <f>DEGREES(ATAN(TAN(RADIANS(pe0-omega*(e_base)))*(CG17/sref)^(m_-1)))</f>
        <v/>
      </c>
      <c r="CK17">
        <f>DEGREES(ATAN(TAN(RADIANS(pe0-omega*(CH17)))*(CG17/sref)^(m_-1)))</f>
        <v/>
      </c>
      <c r="CL17">
        <f>IF(ISNUMBER(CI17),DEGREES(ATAN(TAN(RADIANS(pe0-omega*(CI17)))*(CG17/sref)^(m_-1))),NA())</f>
        <v/>
      </c>
      <c r="CN17" t="n">
        <v>0.214941960891247</v>
      </c>
      <c r="CO17" t="n">
        <v>46.77854202746128</v>
      </c>
      <c r="CR17" t="n">
        <v>0.98</v>
      </c>
      <c r="CS17" t="n">
        <v>8.5</v>
      </c>
      <c r="CV17" t="n">
        <v>8.5</v>
      </c>
    </row>
    <row r="18">
      <c r="A18" t="n">
        <v>0.02736</v>
      </c>
      <c r="B18">
        <f>DEGREES(ATAN(TAN(RADIANS(pe0-omega*e_base))*(A18/sref)^(m_-1)))</f>
        <v/>
      </c>
      <c r="C18">
        <f>MIN(tope,B18)</f>
        <v/>
      </c>
      <c r="D18">
        <f>IF(B18&gt;tope,B18,NA())</f>
        <v/>
      </c>
      <c r="E18">
        <f>MIN(DEGREES(ATAN(TAN(RADIANS(Parametros!$E$12-omega*e_base))*(A18/sref)^(Parametros!$B$12-1))),DEGREES(ATAN(TAN(RADIANS(Parametros!$E$13-omega*e_base))*(A18/sref)^(Parametros!$B$13-1))),DEGREES(ATAN(TAN(RADIANS(Parametros!$E$14-omega*e_base))*(A18/sref)^(Parametros!$B$14-1))),DEGREES(ATAN(TAN(RADIANS(Parametros!$E$15-omega*e_base))*(A18/sref)^(Parametros!$B$15-1))),DEGREES(ATAN(TAN(RADIANS(Parametros!$E$16-omega*e_base))*(A18/sref)^(Parametros!$B$16-1))))</f>
        <v/>
      </c>
      <c r="F18">
        <f>MAX(DEGREES(ATAN(TAN(RADIANS(Parametros!$F$12-omega*e_base))*(A18/sref)^(Parametros!$B$12-1))),DEGREES(ATAN(TAN(RADIANS(Parametros!$F$13-omega*e_base))*(A18/sref)^(Parametros!$B$13-1))),DEGREES(ATAN(TAN(RADIANS(Parametros!$F$14-omega*e_base))*(A18/sref)^(Parametros!$B$14-1))),DEGREES(ATAN(TAN(RADIANS(Parametros!$F$15-omega*e_base))*(A18/sref)^(Parametros!$B$15-1))),DEGREES(ATAN(TAN(RADIANS(Parametros!$F$16-omega*e_base))*(A18/sref)^(Parametros!$B$16-1))))</f>
        <v/>
      </c>
      <c r="G18">
        <f>DEGREES(ATAN(TAN(RADIANS(46.0))*(A18/sref)^(0.9-1)))</f>
        <v/>
      </c>
      <c r="H18">
        <f>DEGREES(ATAN(TAN(RADIANS(41.0))*(A18/sref)^(0.9-1)))</f>
        <v/>
      </c>
      <c r="I18">
        <f>DEGREES(ATAN(TAN(RADIANS(36.0))*(A18/sref)^(0.9-1)))</f>
        <v/>
      </c>
      <c r="J18">
        <f>DEGREES(ATAN(TAN(RADIANS(33.0))*(A18/sref)^(0.9-1)))</f>
        <v/>
      </c>
      <c r="K18">
        <f>A18*TAN(RADIANS(C18))</f>
        <v/>
      </c>
      <c r="L18">
        <f>A18*TAN(RADIANS(G18))</f>
        <v/>
      </c>
      <c r="M18">
        <f>A18*TAN(RADIANS(H18))</f>
        <v/>
      </c>
      <c r="N18">
        <f>A18*TAN(RADIANS(I18))</f>
        <v/>
      </c>
      <c r="O18">
        <f>A18*TAN(RADIANS(J18))</f>
        <v/>
      </c>
      <c r="Q18" t="n">
        <v>0.1214352083945048</v>
      </c>
      <c r="R18">
        <f>MIN(DEGREES(ATAN(TAN(RADIANS(Parametros!$E$12-omega*e_base))*(Q18/sref)^(Parametros!$B$12-1))),DEGREES(ATAN(TAN(RADIANS(Parametros!$E$13-omega*e_base))*(Q18/sref)^(Parametros!$B$13-1))),DEGREES(ATAN(TAN(RADIANS(Parametros!$E$14-omega*e_base))*(Q18/sref)^(Parametros!$B$14-1))),DEGREES(ATAN(TAN(RADIANS(Parametros!$E$15-omega*e_base))*(Q18/sref)^(Parametros!$B$15-1))),DEGREES(ATAN(TAN(RADIANS(Parametros!$E$16-omega*e_base))*(Q18/sref)^(Parametros!$B$16-1))))</f>
        <v/>
      </c>
      <c r="T18" t="n">
        <v>0.4631952662721894</v>
      </c>
      <c r="U18">
        <f>T18*TAN(RADIANS(MIN(DEGREES(ATAN(TAN(RADIANS(Parametros!$E$12-omega*e_base))*(T18/sref)^(Parametros!$B$12-1))),DEGREES(ATAN(TAN(RADIANS(Parametros!$E$13-omega*e_base))*(T18/sref)^(Parametros!$B$13-1))),DEGREES(ATAN(TAN(RADIANS(Parametros!$E$14-omega*e_base))*(T18/sref)^(Parametros!$B$14-1))),DEGREES(ATAN(TAN(RADIANS(Parametros!$E$15-omega*e_base))*(T18/sref)^(Parametros!$B$15-1))),DEGREES(ATAN(TAN(RADIANS(Parametros!$E$16-omega*e_base))*(T18/sref)^(Parametros!$B$16-1))))))</f>
        <v/>
      </c>
      <c r="W18" t="n">
        <v>5.140406360040113</v>
      </c>
      <c r="X18" t="n">
        <v>22</v>
      </c>
      <c r="Y18" t="n">
        <v>10.66758691348439</v>
      </c>
      <c r="Z18" t="n">
        <v>22</v>
      </c>
      <c r="AB18" t="n">
        <v>5.270177856448062</v>
      </c>
      <c r="AC18" t="n">
        <v>0</v>
      </c>
      <c r="AD18" t="n">
        <v>11.23420752630827</v>
      </c>
      <c r="AE18" t="n">
        <v>0</v>
      </c>
      <c r="AG18" t="n">
        <v>5.140406360040113</v>
      </c>
      <c r="AH18" t="n">
        <v>22</v>
      </c>
      <c r="AI18" t="n">
        <v>10.66758691348439</v>
      </c>
      <c r="AJ18" t="n">
        <v>22</v>
      </c>
      <c r="AL18">
        <f>Ensayos!M17</f>
        <v/>
      </c>
      <c r="AM18">
        <f>Ensayos!P17</f>
        <v/>
      </c>
      <c r="AN18">
        <f>IF(AND(Ensayos!$D17="Mármol",LEFT(Ensayos!$E17,7)="Triaxia"),Ensayos!P17,NA())</f>
        <v/>
      </c>
      <c r="AO18">
        <f>IF(AND(Ensayos!$D17="Mármol",NOT(LEFT(Ensayos!$E17,7)="Triaxia")),Ensayos!P17,NA())</f>
        <v/>
      </c>
      <c r="AP18">
        <f>IF(AND(Ensayos!$D17="Hornfels",LEFT(Ensayos!$E17,7)="Triaxia"),Ensayos!P17,NA())</f>
        <v/>
      </c>
      <c r="AQ18">
        <f>IF(AND(Ensayos!$D17="Hornfels",NOT(LEFT(Ensayos!$E17,7)="Triaxia")),Ensayos!P17,NA())</f>
        <v/>
      </c>
      <c r="AR18">
        <f>IF(AND(Ensayos!$D17="Intrusivo",LEFT(Ensayos!$E17,7)="Triaxia"),Ensayos!P17,NA())</f>
        <v/>
      </c>
      <c r="AS18">
        <f>IF(AND(Ensayos!$D17="Intrusivo",NOT(LEFT(Ensayos!$E17,7)="Triaxia")),Ensayos!P17,NA())</f>
        <v/>
      </c>
      <c r="AT18">
        <f>IF(AND(Ensayos!$D17="Mezcla",LEFT(Ensayos!$E17,7)="Triaxia"),Ensayos!P17,NA())</f>
        <v/>
      </c>
      <c r="AU18">
        <f>IF(AND(Ensayos!$D17="Mezcla",NOT(LEFT(Ensayos!$E17,7)="Triaxia")),Ensayos!P17,NA())</f>
        <v/>
      </c>
      <c r="AV18">
        <f>IF(AND(Ensayos!$D17="Mármol",LEFT(Ensayos!$E17,7)="Triaxia"),Ensayos!M17*TAN(RADIANS(Ensayos!P17)),NA())</f>
        <v/>
      </c>
      <c r="AW18">
        <f>IF(AND(Ensayos!$D17="Mármol",NOT(LEFT(Ensayos!$E17,7)="Triaxia")),Ensayos!M17*TAN(RADIANS(Ensayos!P17)),NA())</f>
        <v/>
      </c>
      <c r="AX18">
        <f>IF(AND(Ensayos!$D17="Hornfels",LEFT(Ensayos!$E17,7)="Triaxia"),Ensayos!M17*TAN(RADIANS(Ensayos!P17)),NA())</f>
        <v/>
      </c>
      <c r="AY18">
        <f>IF(AND(Ensayos!$D17="Hornfels",NOT(LEFT(Ensayos!$E17,7)="Triaxia")),Ensayos!M17*TAN(RADIANS(Ensayos!P17)),NA())</f>
        <v/>
      </c>
      <c r="AZ18">
        <f>IF(AND(Ensayos!$D17="Intrusivo",LEFT(Ensayos!$E17,7)="Triaxia"),Ensayos!M17*TAN(RADIANS(Ensayos!P17)),NA())</f>
        <v/>
      </c>
      <c r="BA18">
        <f>IF(AND(Ensayos!$D17="Intrusivo",NOT(LEFT(Ensayos!$E17,7)="Triaxia")),Ensayos!M17*TAN(RADIANS(Ensayos!P17)),NA())</f>
        <v/>
      </c>
      <c r="BB18">
        <f>IF(AND(Ensayos!$D17="Mezcla",LEFT(Ensayos!$E17,7)="Triaxia"),Ensayos!M17*TAN(RADIANS(Ensayos!P17)),NA())</f>
        <v/>
      </c>
      <c r="BC18">
        <f>IF(AND(Ensayos!$D17="Mezcla",NOT(LEFT(Ensayos!$E17,7)="Triaxia")),Ensayos!M17*TAN(RADIANS(Ensayos!P17)),NA())</f>
        <v/>
      </c>
      <c r="BE18">
        <f>Base_mundial!C17</f>
        <v/>
      </c>
      <c r="BF18">
        <f>Base_mundial!E17-omega*(e_base-Base_mundial!B17)</f>
        <v/>
      </c>
      <c r="BG18">
        <f>BE18*TAN(RADIANS(BF18))</f>
        <v/>
      </c>
      <c r="BZ18" t="n">
        <v>150</v>
      </c>
      <c r="CA18" t="n">
        <v>0.2953173459488598</v>
      </c>
      <c r="CB18" t="n">
        <v>0.3052823435843056</v>
      </c>
      <c r="CG18" t="n">
        <v>0.2326788741703373</v>
      </c>
      <c r="CH18">
        <f>IF(MAX(CG18,sv_piso)&lt;=1,e_base-cc_bajo*LOG10(MAX(CG18,sv_piso)/sv_piso),e_base-cc_bajo*LOG10(1/sv_piso)-cc_alto*LOG10(CG18))</f>
        <v/>
      </c>
      <c r="CI18" t="n">
        <v>0.43601</v>
      </c>
      <c r="CJ18">
        <f>DEGREES(ATAN(TAN(RADIANS(pe0-omega*(e_base)))*(CG18/sref)^(m_-1)))</f>
        <v/>
      </c>
      <c r="CK18">
        <f>DEGREES(ATAN(TAN(RADIANS(pe0-omega*(CH18)))*(CG18/sref)^(m_-1)))</f>
        <v/>
      </c>
      <c r="CL18">
        <f>IF(ISNUMBER(CI18),DEGREES(ATAN(TAN(RADIANS(pe0-omega*(CI18)))*(CG18/sref)^(m_-1))),NA())</f>
        <v/>
      </c>
      <c r="CN18" t="n">
        <v>1.087496509242399</v>
      </c>
      <c r="CP18" t="n">
        <v>36.58533186371302</v>
      </c>
      <c r="CR18" t="n">
        <v>1.96</v>
      </c>
      <c r="CS18" t="n">
        <v>17.6</v>
      </c>
      <c r="CV18" t="n">
        <v>17.6</v>
      </c>
    </row>
    <row r="19">
      <c r="A19" t="n">
        <v>0.02926</v>
      </c>
      <c r="B19">
        <f>DEGREES(ATAN(TAN(RADIANS(pe0-omega*e_base))*(A19/sref)^(m_-1)))</f>
        <v/>
      </c>
      <c r="C19">
        <f>MIN(tope,B19)</f>
        <v/>
      </c>
      <c r="D19">
        <f>IF(B19&gt;tope,B19,NA())</f>
        <v/>
      </c>
      <c r="E19">
        <f>MIN(DEGREES(ATAN(TAN(RADIANS(Parametros!$E$12-omega*e_base))*(A19/sref)^(Parametros!$B$12-1))),DEGREES(ATAN(TAN(RADIANS(Parametros!$E$13-omega*e_base))*(A19/sref)^(Parametros!$B$13-1))),DEGREES(ATAN(TAN(RADIANS(Parametros!$E$14-omega*e_base))*(A19/sref)^(Parametros!$B$14-1))),DEGREES(ATAN(TAN(RADIANS(Parametros!$E$15-omega*e_base))*(A19/sref)^(Parametros!$B$15-1))),DEGREES(ATAN(TAN(RADIANS(Parametros!$E$16-omega*e_base))*(A19/sref)^(Parametros!$B$16-1))))</f>
        <v/>
      </c>
      <c r="F19">
        <f>MAX(DEGREES(ATAN(TAN(RADIANS(Parametros!$F$12-omega*e_base))*(A19/sref)^(Parametros!$B$12-1))),DEGREES(ATAN(TAN(RADIANS(Parametros!$F$13-omega*e_base))*(A19/sref)^(Parametros!$B$13-1))),DEGREES(ATAN(TAN(RADIANS(Parametros!$F$14-omega*e_base))*(A19/sref)^(Parametros!$B$14-1))),DEGREES(ATAN(TAN(RADIANS(Parametros!$F$15-omega*e_base))*(A19/sref)^(Parametros!$B$15-1))),DEGREES(ATAN(TAN(RADIANS(Parametros!$F$16-omega*e_base))*(A19/sref)^(Parametros!$B$16-1))))</f>
        <v/>
      </c>
      <c r="G19">
        <f>DEGREES(ATAN(TAN(RADIANS(46.0))*(A19/sref)^(0.9-1)))</f>
        <v/>
      </c>
      <c r="H19">
        <f>DEGREES(ATAN(TAN(RADIANS(41.0))*(A19/sref)^(0.9-1)))</f>
        <v/>
      </c>
      <c r="I19">
        <f>DEGREES(ATAN(TAN(RADIANS(36.0))*(A19/sref)^(0.9-1)))</f>
        <v/>
      </c>
      <c r="J19">
        <f>DEGREES(ATAN(TAN(RADIANS(33.0))*(A19/sref)^(0.9-1)))</f>
        <v/>
      </c>
      <c r="K19">
        <f>A19*TAN(RADIANS(C19))</f>
        <v/>
      </c>
      <c r="L19">
        <f>A19*TAN(RADIANS(G19))</f>
        <v/>
      </c>
      <c r="M19">
        <f>A19*TAN(RADIANS(H19))</f>
        <v/>
      </c>
      <c r="N19">
        <f>A19*TAN(RADIANS(I19))</f>
        <v/>
      </c>
      <c r="O19">
        <f>A19*TAN(RADIANS(J19))</f>
        <v/>
      </c>
      <c r="Q19" t="n">
        <v>0.1214352083945048</v>
      </c>
      <c r="R19">
        <f>MAX(DEGREES(ATAN(TAN(RADIANS(Parametros!$F$12-omega*e_base))*(Q19/sref)^(Parametros!$B$12-1))),DEGREES(ATAN(TAN(RADIANS(Parametros!$F$13-omega*e_base))*(Q19/sref)^(Parametros!$B$13-1))),DEGREES(ATAN(TAN(RADIANS(Parametros!$F$14-omega*e_base))*(Q19/sref)^(Parametros!$B$14-1))),DEGREES(ATAN(TAN(RADIANS(Parametros!$F$15-omega*e_base))*(Q19/sref)^(Parametros!$B$15-1))),DEGREES(ATAN(TAN(RADIANS(Parametros!$F$16-omega*e_base))*(Q19/sref)^(Parametros!$B$16-1))))</f>
        <v/>
      </c>
      <c r="T19" t="n">
        <v>0.4631952662721894</v>
      </c>
      <c r="U19">
        <f>T19*TAN(RADIANS(MAX(DEGREES(ATAN(TAN(RADIANS(Parametros!$F$12-omega*e_base))*(T19/sref)^(Parametros!$B$12-1))),DEGREES(ATAN(TAN(RADIANS(Parametros!$F$13-omega*e_base))*(T19/sref)^(Parametros!$B$13-1))),DEGREES(ATAN(TAN(RADIANS(Parametros!$F$14-omega*e_base))*(T19/sref)^(Parametros!$B$14-1))),DEGREES(ATAN(TAN(RADIANS(Parametros!$F$15-omega*e_base))*(T19/sref)^(Parametros!$B$15-1))),DEGREES(ATAN(TAN(RADIANS(Parametros!$F$16-omega*e_base))*(T19/sref)^(Parametros!$B$16-1))))))</f>
        <v/>
      </c>
      <c r="W19" t="n">
        <v>5.140406360040113</v>
      </c>
      <c r="X19" t="n">
        <v>56</v>
      </c>
      <c r="Y19" t="n">
        <v>13.67732403748425</v>
      </c>
      <c r="Z19" t="n">
        <v>56</v>
      </c>
      <c r="AB19" t="n">
        <v>5.270177856448062</v>
      </c>
      <c r="AC19" t="n">
        <v>10.5</v>
      </c>
      <c r="AD19" t="n">
        <v>13.98009787170849</v>
      </c>
      <c r="AE19" t="n">
        <v>10.5</v>
      </c>
      <c r="AG19" t="n">
        <v>5.140406360040113</v>
      </c>
      <c r="AH19" t="n">
        <v>58</v>
      </c>
      <c r="AI19" t="n">
        <v>13.67732403748425</v>
      </c>
      <c r="AJ19" t="n">
        <v>58</v>
      </c>
      <c r="AL19">
        <f>Ensayos!M18</f>
        <v/>
      </c>
      <c r="AM19">
        <f>Ensayos!P18</f>
        <v/>
      </c>
      <c r="AN19">
        <f>IF(AND(Ensayos!$D18="Mármol",LEFT(Ensayos!$E18,7)="Triaxia"),Ensayos!P18,NA())</f>
        <v/>
      </c>
      <c r="AO19">
        <f>IF(AND(Ensayos!$D18="Mármol",NOT(LEFT(Ensayos!$E18,7)="Triaxia")),Ensayos!P18,NA())</f>
        <v/>
      </c>
      <c r="AP19">
        <f>IF(AND(Ensayos!$D18="Hornfels",LEFT(Ensayos!$E18,7)="Triaxia"),Ensayos!P18,NA())</f>
        <v/>
      </c>
      <c r="AQ19">
        <f>IF(AND(Ensayos!$D18="Hornfels",NOT(LEFT(Ensayos!$E18,7)="Triaxia")),Ensayos!P18,NA())</f>
        <v/>
      </c>
      <c r="AR19">
        <f>IF(AND(Ensayos!$D18="Intrusivo",LEFT(Ensayos!$E18,7)="Triaxia"),Ensayos!P18,NA())</f>
        <v/>
      </c>
      <c r="AS19">
        <f>IF(AND(Ensayos!$D18="Intrusivo",NOT(LEFT(Ensayos!$E18,7)="Triaxia")),Ensayos!P18,NA())</f>
        <v/>
      </c>
      <c r="AT19">
        <f>IF(AND(Ensayos!$D18="Mezcla",LEFT(Ensayos!$E18,7)="Triaxia"),Ensayos!P18,NA())</f>
        <v/>
      </c>
      <c r="AU19">
        <f>IF(AND(Ensayos!$D18="Mezcla",NOT(LEFT(Ensayos!$E18,7)="Triaxia")),Ensayos!P18,NA())</f>
        <v/>
      </c>
      <c r="AV19">
        <f>IF(AND(Ensayos!$D18="Mármol",LEFT(Ensayos!$E18,7)="Triaxia"),Ensayos!M18*TAN(RADIANS(Ensayos!P18)),NA())</f>
        <v/>
      </c>
      <c r="AW19">
        <f>IF(AND(Ensayos!$D18="Mármol",NOT(LEFT(Ensayos!$E18,7)="Triaxia")),Ensayos!M18*TAN(RADIANS(Ensayos!P18)),NA())</f>
        <v/>
      </c>
      <c r="AX19">
        <f>IF(AND(Ensayos!$D18="Hornfels",LEFT(Ensayos!$E18,7)="Triaxia"),Ensayos!M18*TAN(RADIANS(Ensayos!P18)),NA())</f>
        <v/>
      </c>
      <c r="AY19">
        <f>IF(AND(Ensayos!$D18="Hornfels",NOT(LEFT(Ensayos!$E18,7)="Triaxia")),Ensayos!M18*TAN(RADIANS(Ensayos!P18)),NA())</f>
        <v/>
      </c>
      <c r="AZ19">
        <f>IF(AND(Ensayos!$D18="Intrusivo",LEFT(Ensayos!$E18,7)="Triaxia"),Ensayos!M18*TAN(RADIANS(Ensayos!P18)),NA())</f>
        <v/>
      </c>
      <c r="BA19">
        <f>IF(AND(Ensayos!$D18="Intrusivo",NOT(LEFT(Ensayos!$E18,7)="Triaxia")),Ensayos!M18*TAN(RADIANS(Ensayos!P18)),NA())</f>
        <v/>
      </c>
      <c r="BB19">
        <f>IF(AND(Ensayos!$D18="Mezcla",LEFT(Ensayos!$E18,7)="Triaxia"),Ensayos!M18*TAN(RADIANS(Ensayos!P18)),NA())</f>
        <v/>
      </c>
      <c r="BC19">
        <f>IF(AND(Ensayos!$D18="Mezcla",NOT(LEFT(Ensayos!$E18,7)="Triaxia")),Ensayos!M18*TAN(RADIANS(Ensayos!P18)),NA())</f>
        <v/>
      </c>
      <c r="BE19">
        <f>Base_mundial!C18</f>
        <v/>
      </c>
      <c r="BF19">
        <f>Base_mundial!E18-omega*(e_base-Base_mundial!B18)</f>
        <v/>
      </c>
      <c r="BG19">
        <f>BE19*TAN(RADIANS(BF19))</f>
        <v/>
      </c>
      <c r="BZ19" t="n">
        <v>160</v>
      </c>
      <c r="CA19" t="n">
        <v>0.2919967640131948</v>
      </c>
      <c r="CB19" t="n">
        <v>0.2968981972428422</v>
      </c>
      <c r="CG19" t="n">
        <v>0.2461542946809721</v>
      </c>
      <c r="CH19">
        <f>IF(MAX(CG19,sv_piso)&lt;=1,e_base-cc_bajo*LOG10(MAX(CG19,sv_piso)/sv_piso),e_base-cc_bajo*LOG10(1/sv_piso)-cc_alto*LOG10(CG19))</f>
        <v/>
      </c>
      <c r="CI19" t="n">
        <v>0.43521</v>
      </c>
      <c r="CJ19">
        <f>DEGREES(ATAN(TAN(RADIANS(pe0-omega*(e_base)))*(CG19/sref)^(m_-1)))</f>
        <v/>
      </c>
      <c r="CK19">
        <f>DEGREES(ATAN(TAN(RADIANS(pe0-omega*(CH19)))*(CG19/sref)^(m_-1)))</f>
        <v/>
      </c>
      <c r="CL19">
        <f>IF(ISNUMBER(CI19),DEGREES(ATAN(TAN(RADIANS(pe0-omega*(CI19)))*(CG19/sref)^(m_-1))),NA())</f>
        <v/>
      </c>
      <c r="CN19" t="n">
        <v>1.24234030169891</v>
      </c>
      <c r="CP19" t="n">
        <v>35.47327398810495</v>
      </c>
    </row>
    <row r="20">
      <c r="A20" t="n">
        <v>0.03129</v>
      </c>
      <c r="B20">
        <f>DEGREES(ATAN(TAN(RADIANS(pe0-omega*e_base))*(A20/sref)^(m_-1)))</f>
        <v/>
      </c>
      <c r="C20">
        <f>MIN(tope,B20)</f>
        <v/>
      </c>
      <c r="D20">
        <f>IF(B20&gt;tope,B20,NA())</f>
        <v/>
      </c>
      <c r="E20">
        <f>MIN(DEGREES(ATAN(TAN(RADIANS(Parametros!$E$12-omega*e_base))*(A20/sref)^(Parametros!$B$12-1))),DEGREES(ATAN(TAN(RADIANS(Parametros!$E$13-omega*e_base))*(A20/sref)^(Parametros!$B$13-1))),DEGREES(ATAN(TAN(RADIANS(Parametros!$E$14-omega*e_base))*(A20/sref)^(Parametros!$B$14-1))),DEGREES(ATAN(TAN(RADIANS(Parametros!$E$15-omega*e_base))*(A20/sref)^(Parametros!$B$15-1))),DEGREES(ATAN(TAN(RADIANS(Parametros!$E$16-omega*e_base))*(A20/sref)^(Parametros!$B$16-1))))</f>
        <v/>
      </c>
      <c r="F20">
        <f>MAX(DEGREES(ATAN(TAN(RADIANS(Parametros!$F$12-omega*e_base))*(A20/sref)^(Parametros!$B$12-1))),DEGREES(ATAN(TAN(RADIANS(Parametros!$F$13-omega*e_base))*(A20/sref)^(Parametros!$B$13-1))),DEGREES(ATAN(TAN(RADIANS(Parametros!$F$14-omega*e_base))*(A20/sref)^(Parametros!$B$14-1))),DEGREES(ATAN(TAN(RADIANS(Parametros!$F$15-omega*e_base))*(A20/sref)^(Parametros!$B$15-1))),DEGREES(ATAN(TAN(RADIANS(Parametros!$F$16-omega*e_base))*(A20/sref)^(Parametros!$B$16-1))))</f>
        <v/>
      </c>
      <c r="G20">
        <f>DEGREES(ATAN(TAN(RADIANS(46.0))*(A20/sref)^(0.9-1)))</f>
        <v/>
      </c>
      <c r="H20">
        <f>DEGREES(ATAN(TAN(RADIANS(41.0))*(A20/sref)^(0.9-1)))</f>
        <v/>
      </c>
      <c r="I20">
        <f>DEGREES(ATAN(TAN(RADIANS(36.0))*(A20/sref)^(0.9-1)))</f>
        <v/>
      </c>
      <c r="J20">
        <f>DEGREES(ATAN(TAN(RADIANS(33.0))*(A20/sref)^(0.9-1)))</f>
        <v/>
      </c>
      <c r="K20">
        <f>A20*TAN(RADIANS(C20))</f>
        <v/>
      </c>
      <c r="L20">
        <f>A20*TAN(RADIANS(G20))</f>
        <v/>
      </c>
      <c r="M20">
        <f>A20*TAN(RADIANS(H20))</f>
        <v/>
      </c>
      <c r="N20">
        <f>A20*TAN(RADIANS(I20))</f>
        <v/>
      </c>
      <c r="O20">
        <f>A20*TAN(RADIANS(J20))</f>
        <v/>
      </c>
      <c r="AL20">
        <f>Ensayos!M19</f>
        <v/>
      </c>
      <c r="AM20">
        <f>Ensayos!P19</f>
        <v/>
      </c>
      <c r="AN20">
        <f>IF(AND(Ensayos!$D19="Mármol",LEFT(Ensayos!$E19,7)="Triaxia"),Ensayos!P19,NA())</f>
        <v/>
      </c>
      <c r="AO20">
        <f>IF(AND(Ensayos!$D19="Mármol",NOT(LEFT(Ensayos!$E19,7)="Triaxia")),Ensayos!P19,NA())</f>
        <v/>
      </c>
      <c r="AP20">
        <f>IF(AND(Ensayos!$D19="Hornfels",LEFT(Ensayos!$E19,7)="Triaxia"),Ensayos!P19,NA())</f>
        <v/>
      </c>
      <c r="AQ20">
        <f>IF(AND(Ensayos!$D19="Hornfels",NOT(LEFT(Ensayos!$E19,7)="Triaxia")),Ensayos!P19,NA())</f>
        <v/>
      </c>
      <c r="AR20">
        <f>IF(AND(Ensayos!$D19="Intrusivo",LEFT(Ensayos!$E19,7)="Triaxia"),Ensayos!P19,NA())</f>
        <v/>
      </c>
      <c r="AS20">
        <f>IF(AND(Ensayos!$D19="Intrusivo",NOT(LEFT(Ensayos!$E19,7)="Triaxia")),Ensayos!P19,NA())</f>
        <v/>
      </c>
      <c r="AT20">
        <f>IF(AND(Ensayos!$D19="Mezcla",LEFT(Ensayos!$E19,7)="Triaxia"),Ensayos!P19,NA())</f>
        <v/>
      </c>
      <c r="AU20">
        <f>IF(AND(Ensayos!$D19="Mezcla",NOT(LEFT(Ensayos!$E19,7)="Triaxia")),Ensayos!P19,NA())</f>
        <v/>
      </c>
      <c r="AV20">
        <f>IF(AND(Ensayos!$D19="Mármol",LEFT(Ensayos!$E19,7)="Triaxia"),Ensayos!M19*TAN(RADIANS(Ensayos!P19)),NA())</f>
        <v/>
      </c>
      <c r="AW20">
        <f>IF(AND(Ensayos!$D19="Mármol",NOT(LEFT(Ensayos!$E19,7)="Triaxia")),Ensayos!M19*TAN(RADIANS(Ensayos!P19)),NA())</f>
        <v/>
      </c>
      <c r="AX20">
        <f>IF(AND(Ensayos!$D19="Hornfels",LEFT(Ensayos!$E19,7)="Triaxia"),Ensayos!M19*TAN(RADIANS(Ensayos!P19)),NA())</f>
        <v/>
      </c>
      <c r="AY20">
        <f>IF(AND(Ensayos!$D19="Hornfels",NOT(LEFT(Ensayos!$E19,7)="Triaxia")),Ensayos!M19*TAN(RADIANS(Ensayos!P19)),NA())</f>
        <v/>
      </c>
      <c r="AZ20">
        <f>IF(AND(Ensayos!$D19="Intrusivo",LEFT(Ensayos!$E19,7)="Triaxia"),Ensayos!M19*TAN(RADIANS(Ensayos!P19)),NA())</f>
        <v/>
      </c>
      <c r="BA20">
        <f>IF(AND(Ensayos!$D19="Intrusivo",NOT(LEFT(Ensayos!$E19,7)="Triaxia")),Ensayos!M19*TAN(RADIANS(Ensayos!P19)),NA())</f>
        <v/>
      </c>
      <c r="BB20">
        <f>IF(AND(Ensayos!$D19="Mezcla",LEFT(Ensayos!$E19,7)="Triaxia"),Ensayos!M19*TAN(RADIANS(Ensayos!P19)),NA())</f>
        <v/>
      </c>
      <c r="BC20">
        <f>IF(AND(Ensayos!$D19="Mezcla",NOT(LEFT(Ensayos!$E19,7)="Triaxia")),Ensayos!M19*TAN(RADIANS(Ensayos!P19)),NA())</f>
        <v/>
      </c>
      <c r="BE20">
        <f>Base_mundial!C19</f>
        <v/>
      </c>
      <c r="BF20">
        <f>Base_mundial!E19-omega*(e_base-Base_mundial!B19)</f>
        <v/>
      </c>
      <c r="BG20">
        <f>BE20*TAN(RADIANS(BF20))</f>
        <v/>
      </c>
      <c r="BZ20" t="n">
        <v>170</v>
      </c>
      <c r="CA20" t="n">
        <v>0.2888764669034085</v>
      </c>
      <c r="CB20" t="n">
        <v>0.288913295965258</v>
      </c>
      <c r="CG20" t="n">
        <v>0.2604101339493729</v>
      </c>
      <c r="CH20">
        <f>IF(MAX(CG20,sv_piso)&lt;=1,e_base-cc_bajo*LOG10(MAX(CG20,sv_piso)/sv_piso),e_base-cc_bajo*LOG10(1/sv_piso)-cc_alto*LOG10(CG20))</f>
        <v/>
      </c>
      <c r="CI20" t="n">
        <v>0.43435</v>
      </c>
      <c r="CJ20">
        <f>DEGREES(ATAN(TAN(RADIANS(pe0-omega*(e_base)))*(CG20/sref)^(m_-1)))</f>
        <v/>
      </c>
      <c r="CK20">
        <f>DEGREES(ATAN(TAN(RADIANS(pe0-omega*(CH20)))*(CG20/sref)^(m_-1)))</f>
        <v/>
      </c>
      <c r="CL20">
        <f>IF(ISNUMBER(CI20),DEGREES(ATAN(TAN(RADIANS(pe0-omega*(CI20)))*(CG20/sref)^(m_-1))),NA())</f>
        <v/>
      </c>
      <c r="CN20" t="n">
        <v>1.488432401040619</v>
      </c>
      <c r="CP20" t="n">
        <v>34.37687043979711</v>
      </c>
    </row>
    <row r="21">
      <c r="A21" t="n">
        <v>0.03346</v>
      </c>
      <c r="B21">
        <f>DEGREES(ATAN(TAN(RADIANS(pe0-omega*e_base))*(A21/sref)^(m_-1)))</f>
        <v/>
      </c>
      <c r="C21">
        <f>MIN(tope,B21)</f>
        <v/>
      </c>
      <c r="D21">
        <f>IF(B21&gt;tope,B21,NA())</f>
        <v/>
      </c>
      <c r="E21">
        <f>MIN(DEGREES(ATAN(TAN(RADIANS(Parametros!$E$12-omega*e_base))*(A21/sref)^(Parametros!$B$12-1))),DEGREES(ATAN(TAN(RADIANS(Parametros!$E$13-omega*e_base))*(A21/sref)^(Parametros!$B$13-1))),DEGREES(ATAN(TAN(RADIANS(Parametros!$E$14-omega*e_base))*(A21/sref)^(Parametros!$B$14-1))),DEGREES(ATAN(TAN(RADIANS(Parametros!$E$15-omega*e_base))*(A21/sref)^(Parametros!$B$15-1))),DEGREES(ATAN(TAN(RADIANS(Parametros!$E$16-omega*e_base))*(A21/sref)^(Parametros!$B$16-1))))</f>
        <v/>
      </c>
      <c r="F21">
        <f>MAX(DEGREES(ATAN(TAN(RADIANS(Parametros!$F$12-omega*e_base))*(A21/sref)^(Parametros!$B$12-1))),DEGREES(ATAN(TAN(RADIANS(Parametros!$F$13-omega*e_base))*(A21/sref)^(Parametros!$B$13-1))),DEGREES(ATAN(TAN(RADIANS(Parametros!$F$14-omega*e_base))*(A21/sref)^(Parametros!$B$14-1))),DEGREES(ATAN(TAN(RADIANS(Parametros!$F$15-omega*e_base))*(A21/sref)^(Parametros!$B$15-1))),DEGREES(ATAN(TAN(RADIANS(Parametros!$F$16-omega*e_base))*(A21/sref)^(Parametros!$B$16-1))))</f>
        <v/>
      </c>
      <c r="G21">
        <f>DEGREES(ATAN(TAN(RADIANS(46.0))*(A21/sref)^(0.9-1)))</f>
        <v/>
      </c>
      <c r="H21">
        <f>DEGREES(ATAN(TAN(RADIANS(41.0))*(A21/sref)^(0.9-1)))</f>
        <v/>
      </c>
      <c r="I21">
        <f>DEGREES(ATAN(TAN(RADIANS(36.0))*(A21/sref)^(0.9-1)))</f>
        <v/>
      </c>
      <c r="J21">
        <f>DEGREES(ATAN(TAN(RADIANS(33.0))*(A21/sref)^(0.9-1)))</f>
        <v/>
      </c>
      <c r="K21">
        <f>A21*TAN(RADIANS(C21))</f>
        <v/>
      </c>
      <c r="L21">
        <f>A21*TAN(RADIANS(G21))</f>
        <v/>
      </c>
      <c r="M21">
        <f>A21*TAN(RADIANS(H21))</f>
        <v/>
      </c>
      <c r="N21">
        <f>A21*TAN(RADIANS(I21))</f>
        <v/>
      </c>
      <c r="O21">
        <f>A21*TAN(RADIANS(J21))</f>
        <v/>
      </c>
      <c r="Q21" t="n">
        <v>0.1262448140354252</v>
      </c>
      <c r="R21">
        <f>MIN(DEGREES(ATAN(TAN(RADIANS(Parametros!$E$12-omega*e_base))*(Q21/sref)^(Parametros!$B$12-1))),DEGREES(ATAN(TAN(RADIANS(Parametros!$E$13-omega*e_base))*(Q21/sref)^(Parametros!$B$13-1))),DEGREES(ATAN(TAN(RADIANS(Parametros!$E$14-omega*e_base))*(Q21/sref)^(Parametros!$B$14-1))),DEGREES(ATAN(TAN(RADIANS(Parametros!$E$15-omega*e_base))*(Q21/sref)^(Parametros!$B$15-1))),DEGREES(ATAN(TAN(RADIANS(Parametros!$E$16-omega*e_base))*(Q21/sref)^(Parametros!$B$16-1))))</f>
        <v/>
      </c>
      <c r="T21" t="n">
        <v>0.5518343195266272</v>
      </c>
      <c r="U21">
        <f>T21*TAN(RADIANS(MIN(DEGREES(ATAN(TAN(RADIANS(Parametros!$E$12-omega*e_base))*(T21/sref)^(Parametros!$B$12-1))),DEGREES(ATAN(TAN(RADIANS(Parametros!$E$13-omega*e_base))*(T21/sref)^(Parametros!$B$13-1))),DEGREES(ATAN(TAN(RADIANS(Parametros!$E$14-omega*e_base))*(T21/sref)^(Parametros!$B$14-1))),DEGREES(ATAN(TAN(RADIANS(Parametros!$E$15-omega*e_base))*(T21/sref)^(Parametros!$B$15-1))),DEGREES(ATAN(TAN(RADIANS(Parametros!$E$16-omega*e_base))*(T21/sref)^(Parametros!$B$16-1))))))</f>
        <v/>
      </c>
      <c r="W21" t="n">
        <v>5.250741035526692</v>
      </c>
      <c r="X21" t="n">
        <v>22</v>
      </c>
      <c r="Y21" t="n">
        <v>11.69920397175135</v>
      </c>
      <c r="Z21" t="n">
        <v>22</v>
      </c>
      <c r="AB21" t="n">
        <v>5.39970321872363</v>
      </c>
      <c r="AC21" t="n">
        <v>0</v>
      </c>
      <c r="AD21" t="n">
        <v>12.25410965459978</v>
      </c>
      <c r="AE21" t="n">
        <v>0</v>
      </c>
      <c r="AG21" t="n">
        <v>5.250741035526692</v>
      </c>
      <c r="AH21" t="n">
        <v>22</v>
      </c>
      <c r="AI21" t="n">
        <v>11.69920397175135</v>
      </c>
      <c r="AJ21" t="n">
        <v>22</v>
      </c>
      <c r="AL21">
        <f>Ensayos!M20</f>
        <v/>
      </c>
      <c r="AM21">
        <f>Ensayos!P20</f>
        <v/>
      </c>
      <c r="AN21">
        <f>IF(AND(Ensayos!$D20="Mármol",LEFT(Ensayos!$E20,7)="Triaxia"),Ensayos!P20,NA())</f>
        <v/>
      </c>
      <c r="AO21">
        <f>IF(AND(Ensayos!$D20="Mármol",NOT(LEFT(Ensayos!$E20,7)="Triaxia")),Ensayos!P20,NA())</f>
        <v/>
      </c>
      <c r="AP21">
        <f>IF(AND(Ensayos!$D20="Hornfels",LEFT(Ensayos!$E20,7)="Triaxia"),Ensayos!P20,NA())</f>
        <v/>
      </c>
      <c r="AQ21">
        <f>IF(AND(Ensayos!$D20="Hornfels",NOT(LEFT(Ensayos!$E20,7)="Triaxia")),Ensayos!P20,NA())</f>
        <v/>
      </c>
      <c r="AR21">
        <f>IF(AND(Ensayos!$D20="Intrusivo",LEFT(Ensayos!$E20,7)="Triaxia"),Ensayos!P20,NA())</f>
        <v/>
      </c>
      <c r="AS21">
        <f>IF(AND(Ensayos!$D20="Intrusivo",NOT(LEFT(Ensayos!$E20,7)="Triaxia")),Ensayos!P20,NA())</f>
        <v/>
      </c>
      <c r="AT21">
        <f>IF(AND(Ensayos!$D20="Mezcla",LEFT(Ensayos!$E20,7)="Triaxia"),Ensayos!P20,NA())</f>
        <v/>
      </c>
      <c r="AU21">
        <f>IF(AND(Ensayos!$D20="Mezcla",NOT(LEFT(Ensayos!$E20,7)="Triaxia")),Ensayos!P20,NA())</f>
        <v/>
      </c>
      <c r="AV21">
        <f>IF(AND(Ensayos!$D20="Mármol",LEFT(Ensayos!$E20,7)="Triaxia"),Ensayos!M20*TAN(RADIANS(Ensayos!P20)),NA())</f>
        <v/>
      </c>
      <c r="AW21">
        <f>IF(AND(Ensayos!$D20="Mármol",NOT(LEFT(Ensayos!$E20,7)="Triaxia")),Ensayos!M20*TAN(RADIANS(Ensayos!P20)),NA())</f>
        <v/>
      </c>
      <c r="AX21">
        <f>IF(AND(Ensayos!$D20="Hornfels",LEFT(Ensayos!$E20,7)="Triaxia"),Ensayos!M20*TAN(RADIANS(Ensayos!P20)),NA())</f>
        <v/>
      </c>
      <c r="AY21">
        <f>IF(AND(Ensayos!$D20="Hornfels",NOT(LEFT(Ensayos!$E20,7)="Triaxia")),Ensayos!M20*TAN(RADIANS(Ensayos!P20)),NA())</f>
        <v/>
      </c>
      <c r="AZ21">
        <f>IF(AND(Ensayos!$D20="Intrusivo",LEFT(Ensayos!$E20,7)="Triaxia"),Ensayos!M20*TAN(RADIANS(Ensayos!P20)),NA())</f>
        <v/>
      </c>
      <c r="BA21">
        <f>IF(AND(Ensayos!$D20="Intrusivo",NOT(LEFT(Ensayos!$E20,7)="Triaxia")),Ensayos!M20*TAN(RADIANS(Ensayos!P20)),NA())</f>
        <v/>
      </c>
      <c r="BB21">
        <f>IF(AND(Ensayos!$D20="Mezcla",LEFT(Ensayos!$E20,7)="Triaxia"),Ensayos!M20*TAN(RADIANS(Ensayos!P20)),NA())</f>
        <v/>
      </c>
      <c r="BC21">
        <f>IF(AND(Ensayos!$D20="Mezcla",NOT(LEFT(Ensayos!$E20,7)="Triaxia")),Ensayos!M20*TAN(RADIANS(Ensayos!P20)),NA())</f>
        <v/>
      </c>
      <c r="BE21">
        <f>Base_mundial!C20</f>
        <v/>
      </c>
      <c r="BF21">
        <f>Base_mundial!E20-omega*(e_base-Base_mundial!B20)</f>
        <v/>
      </c>
      <c r="BG21">
        <f>BE21*TAN(RADIANS(BF21))</f>
        <v/>
      </c>
      <c r="BZ21" t="n">
        <v>180</v>
      </c>
      <c r="CA21" t="n">
        <v>0.2859336463373871</v>
      </c>
      <c r="CB21" t="n">
        <v>0.2809283946876738</v>
      </c>
      <c r="CG21" t="n">
        <v>0.2754915893359482</v>
      </c>
      <c r="CH21">
        <f>IF(MAX(CG21,sv_piso)&lt;=1,e_base-cc_bajo*LOG10(MAX(CG21,sv_piso)/sv_piso),e_base-cc_bajo*LOG10(1/sv_piso)-cc_alto*LOG10(CG21))</f>
        <v/>
      </c>
      <c r="CI21" t="n">
        <v>0.43345</v>
      </c>
      <c r="CJ21">
        <f>DEGREES(ATAN(TAN(RADIANS(pe0-omega*(e_base)))*(CG21/sref)^(m_-1)))</f>
        <v/>
      </c>
      <c r="CK21">
        <f>DEGREES(ATAN(TAN(RADIANS(pe0-omega*(CH21)))*(CG21/sref)^(m_-1)))</f>
        <v/>
      </c>
      <c r="CL21">
        <f>IF(ISNUMBER(CI21),DEGREES(ATAN(TAN(RADIANS(pe0-omega*(CI21)))*(CG21/sref)^(m_-1))),NA())</f>
        <v/>
      </c>
      <c r="CN21" t="n">
        <v>0.3726941120440687</v>
      </c>
      <c r="CP21" t="n">
        <v>36.749555030253</v>
      </c>
    </row>
    <row r="22">
      <c r="A22" t="n">
        <v>0.03578</v>
      </c>
      <c r="B22">
        <f>DEGREES(ATAN(TAN(RADIANS(pe0-omega*e_base))*(A22/sref)^(m_-1)))</f>
        <v/>
      </c>
      <c r="C22">
        <f>MIN(tope,B22)</f>
        <v/>
      </c>
      <c r="D22">
        <f>IF(B22&gt;tope,B22,NA())</f>
        <v/>
      </c>
      <c r="E22">
        <f>MIN(DEGREES(ATAN(TAN(RADIANS(Parametros!$E$12-omega*e_base))*(A22/sref)^(Parametros!$B$12-1))),DEGREES(ATAN(TAN(RADIANS(Parametros!$E$13-omega*e_base))*(A22/sref)^(Parametros!$B$13-1))),DEGREES(ATAN(TAN(RADIANS(Parametros!$E$14-omega*e_base))*(A22/sref)^(Parametros!$B$14-1))),DEGREES(ATAN(TAN(RADIANS(Parametros!$E$15-omega*e_base))*(A22/sref)^(Parametros!$B$15-1))),DEGREES(ATAN(TAN(RADIANS(Parametros!$E$16-omega*e_base))*(A22/sref)^(Parametros!$B$16-1))))</f>
        <v/>
      </c>
      <c r="F22">
        <f>MAX(DEGREES(ATAN(TAN(RADIANS(Parametros!$F$12-omega*e_base))*(A22/sref)^(Parametros!$B$12-1))),DEGREES(ATAN(TAN(RADIANS(Parametros!$F$13-omega*e_base))*(A22/sref)^(Parametros!$B$13-1))),DEGREES(ATAN(TAN(RADIANS(Parametros!$F$14-omega*e_base))*(A22/sref)^(Parametros!$B$14-1))),DEGREES(ATAN(TAN(RADIANS(Parametros!$F$15-omega*e_base))*(A22/sref)^(Parametros!$B$15-1))),DEGREES(ATAN(TAN(RADIANS(Parametros!$F$16-omega*e_base))*(A22/sref)^(Parametros!$B$16-1))))</f>
        <v/>
      </c>
      <c r="G22">
        <f>DEGREES(ATAN(TAN(RADIANS(46.0))*(A22/sref)^(0.9-1)))</f>
        <v/>
      </c>
      <c r="H22">
        <f>DEGREES(ATAN(TAN(RADIANS(41.0))*(A22/sref)^(0.9-1)))</f>
        <v/>
      </c>
      <c r="I22">
        <f>DEGREES(ATAN(TAN(RADIANS(36.0))*(A22/sref)^(0.9-1)))</f>
        <v/>
      </c>
      <c r="J22">
        <f>DEGREES(ATAN(TAN(RADIANS(33.0))*(A22/sref)^(0.9-1)))</f>
        <v/>
      </c>
      <c r="K22">
        <f>A22*TAN(RADIANS(C22))</f>
        <v/>
      </c>
      <c r="L22">
        <f>A22*TAN(RADIANS(G22))</f>
        <v/>
      </c>
      <c r="M22">
        <f>A22*TAN(RADIANS(H22))</f>
        <v/>
      </c>
      <c r="N22">
        <f>A22*TAN(RADIANS(I22))</f>
        <v/>
      </c>
      <c r="O22">
        <f>A22*TAN(RADIANS(J22))</f>
        <v/>
      </c>
      <c r="Q22" t="n">
        <v>0.1262448140354252</v>
      </c>
      <c r="R22">
        <f>MAX(DEGREES(ATAN(TAN(RADIANS(Parametros!$F$12-omega*e_base))*(Q22/sref)^(Parametros!$B$12-1))),DEGREES(ATAN(TAN(RADIANS(Parametros!$F$13-omega*e_base))*(Q22/sref)^(Parametros!$B$13-1))),DEGREES(ATAN(TAN(RADIANS(Parametros!$F$14-omega*e_base))*(Q22/sref)^(Parametros!$B$14-1))),DEGREES(ATAN(TAN(RADIANS(Parametros!$F$15-omega*e_base))*(Q22/sref)^(Parametros!$B$15-1))),DEGREES(ATAN(TAN(RADIANS(Parametros!$F$16-omega*e_base))*(Q22/sref)^(Parametros!$B$16-1))))</f>
        <v/>
      </c>
      <c r="T22" t="n">
        <v>0.5518343195266272</v>
      </c>
      <c r="U22">
        <f>T22*TAN(RADIANS(MAX(DEGREES(ATAN(TAN(RADIANS(Parametros!$F$12-omega*e_base))*(T22/sref)^(Parametros!$B$12-1))),DEGREES(ATAN(TAN(RADIANS(Parametros!$F$13-omega*e_base))*(T22/sref)^(Parametros!$B$13-1))),DEGREES(ATAN(TAN(RADIANS(Parametros!$F$14-omega*e_base))*(T22/sref)^(Parametros!$B$14-1))),DEGREES(ATAN(TAN(RADIANS(Parametros!$F$15-omega*e_base))*(T22/sref)^(Parametros!$B$15-1))),DEGREES(ATAN(TAN(RADIANS(Parametros!$F$16-omega*e_base))*(T22/sref)^(Parametros!$B$16-1))))))</f>
        <v/>
      </c>
      <c r="W22" t="n">
        <v>5.250741035526692</v>
      </c>
      <c r="X22" t="n">
        <v>56</v>
      </c>
      <c r="Y22" t="n">
        <v>15</v>
      </c>
      <c r="Z22" t="n">
        <v>55.99999999999993</v>
      </c>
      <c r="AB22" t="n">
        <v>5.39970321872363</v>
      </c>
      <c r="AC22" t="n">
        <v>10.5</v>
      </c>
      <c r="AD22" t="n">
        <v>15</v>
      </c>
      <c r="AE22" t="n">
        <v>10.5</v>
      </c>
      <c r="AG22" t="n">
        <v>5.250741035526692</v>
      </c>
      <c r="AH22" t="n">
        <v>58</v>
      </c>
      <c r="AI22" t="n">
        <v>15</v>
      </c>
      <c r="AJ22" t="n">
        <v>57.99999999999992</v>
      </c>
      <c r="AL22">
        <f>Ensayos!M21</f>
        <v/>
      </c>
      <c r="AM22">
        <f>Ensayos!P21</f>
        <v/>
      </c>
      <c r="AN22">
        <f>IF(AND(Ensayos!$D21="Mármol",LEFT(Ensayos!$E21,7)="Triaxia"),Ensayos!P21,NA())</f>
        <v/>
      </c>
      <c r="AO22">
        <f>IF(AND(Ensayos!$D21="Mármol",NOT(LEFT(Ensayos!$E21,7)="Triaxia")),Ensayos!P21,NA())</f>
        <v/>
      </c>
      <c r="AP22">
        <f>IF(AND(Ensayos!$D21="Hornfels",LEFT(Ensayos!$E21,7)="Triaxia"),Ensayos!P21,NA())</f>
        <v/>
      </c>
      <c r="AQ22">
        <f>IF(AND(Ensayos!$D21="Hornfels",NOT(LEFT(Ensayos!$E21,7)="Triaxia")),Ensayos!P21,NA())</f>
        <v/>
      </c>
      <c r="AR22">
        <f>IF(AND(Ensayos!$D21="Intrusivo",LEFT(Ensayos!$E21,7)="Triaxia"),Ensayos!P21,NA())</f>
        <v/>
      </c>
      <c r="AS22">
        <f>IF(AND(Ensayos!$D21="Intrusivo",NOT(LEFT(Ensayos!$E21,7)="Triaxia")),Ensayos!P21,NA())</f>
        <v/>
      </c>
      <c r="AT22">
        <f>IF(AND(Ensayos!$D21="Mezcla",LEFT(Ensayos!$E21,7)="Triaxia"),Ensayos!P21,NA())</f>
        <v/>
      </c>
      <c r="AU22">
        <f>IF(AND(Ensayos!$D21="Mezcla",NOT(LEFT(Ensayos!$E21,7)="Triaxia")),Ensayos!P21,NA())</f>
        <v/>
      </c>
      <c r="AV22">
        <f>IF(AND(Ensayos!$D21="Mármol",LEFT(Ensayos!$E21,7)="Triaxia"),Ensayos!M21*TAN(RADIANS(Ensayos!P21)),NA())</f>
        <v/>
      </c>
      <c r="AW22">
        <f>IF(AND(Ensayos!$D21="Mármol",NOT(LEFT(Ensayos!$E21,7)="Triaxia")),Ensayos!M21*TAN(RADIANS(Ensayos!P21)),NA())</f>
        <v/>
      </c>
      <c r="AX22">
        <f>IF(AND(Ensayos!$D21="Hornfels",LEFT(Ensayos!$E21,7)="Triaxia"),Ensayos!M21*TAN(RADIANS(Ensayos!P21)),NA())</f>
        <v/>
      </c>
      <c r="AY22">
        <f>IF(AND(Ensayos!$D21="Hornfels",NOT(LEFT(Ensayos!$E21,7)="Triaxia")),Ensayos!M21*TAN(RADIANS(Ensayos!P21)),NA())</f>
        <v/>
      </c>
      <c r="AZ22">
        <f>IF(AND(Ensayos!$D21="Intrusivo",LEFT(Ensayos!$E21,7)="Triaxia"),Ensayos!M21*TAN(RADIANS(Ensayos!P21)),NA())</f>
        <v/>
      </c>
      <c r="BA22">
        <f>IF(AND(Ensayos!$D21="Intrusivo",NOT(LEFT(Ensayos!$E21,7)="Triaxia")),Ensayos!M21*TAN(RADIANS(Ensayos!P21)),NA())</f>
        <v/>
      </c>
      <c r="BB22">
        <f>IF(AND(Ensayos!$D21="Mezcla",LEFT(Ensayos!$E21,7)="Triaxia"),Ensayos!M21*TAN(RADIANS(Ensayos!P21)),NA())</f>
        <v/>
      </c>
      <c r="BC22">
        <f>IF(AND(Ensayos!$D21="Mezcla",NOT(LEFT(Ensayos!$E21,7)="Triaxia")),Ensayos!M21*TAN(RADIANS(Ensayos!P21)),NA())</f>
        <v/>
      </c>
      <c r="BE22">
        <f>Base_mundial!C21</f>
        <v/>
      </c>
      <c r="BF22">
        <f>Base_mundial!E21-omega*(e_base-Base_mundial!B21)</f>
        <v/>
      </c>
      <c r="BG22">
        <f>BE22*TAN(RADIANS(BF22))</f>
        <v/>
      </c>
      <c r="BZ22" t="n">
        <v>190</v>
      </c>
      <c r="CA22" t="n">
        <v>0.2831491818246682</v>
      </c>
      <c r="CB22" t="n">
        <v>0.2729434934100896</v>
      </c>
      <c r="CG22" t="n">
        <v>0.2914464757719522</v>
      </c>
      <c r="CH22">
        <f>IF(MAX(CG22,sv_piso)&lt;=1,e_base-cc_bajo*LOG10(MAX(CG22,sv_piso)/sv_piso),e_base-cc_bajo*LOG10(1/sv_piso)-cc_alto*LOG10(CG22))</f>
        <v/>
      </c>
      <c r="CI22" t="n">
        <v>0.4325</v>
      </c>
      <c r="CJ22">
        <f>DEGREES(ATAN(TAN(RADIANS(pe0-omega*(e_base)))*(CG22/sref)^(m_-1)))</f>
        <v/>
      </c>
      <c r="CK22">
        <f>DEGREES(ATAN(TAN(RADIANS(pe0-omega*(CH22)))*(CG22/sref)^(m_-1)))</f>
        <v/>
      </c>
      <c r="CL22">
        <f>IF(ISNUMBER(CI22),DEGREES(ATAN(TAN(RADIANS(pe0-omega*(CI22)))*(CG22/sref)^(m_-1))),NA())</f>
        <v/>
      </c>
      <c r="CN22" t="n">
        <v>0.5133912324744615</v>
      </c>
      <c r="CP22" t="n">
        <v>35.19238907709286</v>
      </c>
    </row>
    <row r="23">
      <c r="A23" t="n">
        <v>0.03826</v>
      </c>
      <c r="B23">
        <f>DEGREES(ATAN(TAN(RADIANS(pe0-omega*e_base))*(A23/sref)^(m_-1)))</f>
        <v/>
      </c>
      <c r="C23">
        <f>MIN(tope,B23)</f>
        <v/>
      </c>
      <c r="D23">
        <f>IF(B23&gt;tope,B23,NA())</f>
        <v/>
      </c>
      <c r="E23">
        <f>MIN(DEGREES(ATAN(TAN(RADIANS(Parametros!$E$12-omega*e_base))*(A23/sref)^(Parametros!$B$12-1))),DEGREES(ATAN(TAN(RADIANS(Parametros!$E$13-omega*e_base))*(A23/sref)^(Parametros!$B$13-1))),DEGREES(ATAN(TAN(RADIANS(Parametros!$E$14-omega*e_base))*(A23/sref)^(Parametros!$B$14-1))),DEGREES(ATAN(TAN(RADIANS(Parametros!$E$15-omega*e_base))*(A23/sref)^(Parametros!$B$15-1))),DEGREES(ATAN(TAN(RADIANS(Parametros!$E$16-omega*e_base))*(A23/sref)^(Parametros!$B$16-1))))</f>
        <v/>
      </c>
      <c r="F23">
        <f>MAX(DEGREES(ATAN(TAN(RADIANS(Parametros!$F$12-omega*e_base))*(A23/sref)^(Parametros!$B$12-1))),DEGREES(ATAN(TAN(RADIANS(Parametros!$F$13-omega*e_base))*(A23/sref)^(Parametros!$B$13-1))),DEGREES(ATAN(TAN(RADIANS(Parametros!$F$14-omega*e_base))*(A23/sref)^(Parametros!$B$14-1))),DEGREES(ATAN(TAN(RADIANS(Parametros!$F$15-omega*e_base))*(A23/sref)^(Parametros!$B$15-1))),DEGREES(ATAN(TAN(RADIANS(Parametros!$F$16-omega*e_base))*(A23/sref)^(Parametros!$B$16-1))))</f>
        <v/>
      </c>
      <c r="G23">
        <f>DEGREES(ATAN(TAN(RADIANS(46.0))*(A23/sref)^(0.9-1)))</f>
        <v/>
      </c>
      <c r="H23">
        <f>DEGREES(ATAN(TAN(RADIANS(41.0))*(A23/sref)^(0.9-1)))</f>
        <v/>
      </c>
      <c r="I23">
        <f>DEGREES(ATAN(TAN(RADIANS(36.0))*(A23/sref)^(0.9-1)))</f>
        <v/>
      </c>
      <c r="J23">
        <f>DEGREES(ATAN(TAN(RADIANS(33.0))*(A23/sref)^(0.9-1)))</f>
        <v/>
      </c>
      <c r="K23">
        <f>A23*TAN(RADIANS(C23))</f>
        <v/>
      </c>
      <c r="L23">
        <f>A23*TAN(RADIANS(G23))</f>
        <v/>
      </c>
      <c r="M23">
        <f>A23*TAN(RADIANS(H23))</f>
        <v/>
      </c>
      <c r="N23">
        <f>A23*TAN(RADIANS(I23))</f>
        <v/>
      </c>
      <c r="O23">
        <f>A23*TAN(RADIANS(J23))</f>
        <v/>
      </c>
      <c r="AL23">
        <f>Ensayos!M22</f>
        <v/>
      </c>
      <c r="AM23">
        <f>Ensayos!P22</f>
        <v/>
      </c>
      <c r="AN23">
        <f>IF(AND(Ensayos!$D22="Mármol",LEFT(Ensayos!$E22,7)="Triaxia"),Ensayos!P22,NA())</f>
        <v/>
      </c>
      <c r="AO23">
        <f>IF(AND(Ensayos!$D22="Mármol",NOT(LEFT(Ensayos!$E22,7)="Triaxia")),Ensayos!P22,NA())</f>
        <v/>
      </c>
      <c r="AP23">
        <f>IF(AND(Ensayos!$D22="Hornfels",LEFT(Ensayos!$E22,7)="Triaxia"),Ensayos!P22,NA())</f>
        <v/>
      </c>
      <c r="AQ23">
        <f>IF(AND(Ensayos!$D22="Hornfels",NOT(LEFT(Ensayos!$E22,7)="Triaxia")),Ensayos!P22,NA())</f>
        <v/>
      </c>
      <c r="AR23">
        <f>IF(AND(Ensayos!$D22="Intrusivo",LEFT(Ensayos!$E22,7)="Triaxia"),Ensayos!P22,NA())</f>
        <v/>
      </c>
      <c r="AS23">
        <f>IF(AND(Ensayos!$D22="Intrusivo",NOT(LEFT(Ensayos!$E22,7)="Triaxia")),Ensayos!P22,NA())</f>
        <v/>
      </c>
      <c r="AT23">
        <f>IF(AND(Ensayos!$D22="Mezcla",LEFT(Ensayos!$E22,7)="Triaxia"),Ensayos!P22,NA())</f>
        <v/>
      </c>
      <c r="AU23">
        <f>IF(AND(Ensayos!$D22="Mezcla",NOT(LEFT(Ensayos!$E22,7)="Triaxia")),Ensayos!P22,NA())</f>
        <v/>
      </c>
      <c r="AV23">
        <f>IF(AND(Ensayos!$D22="Mármol",LEFT(Ensayos!$E22,7)="Triaxia"),Ensayos!M22*TAN(RADIANS(Ensayos!P22)),NA())</f>
        <v/>
      </c>
      <c r="AW23">
        <f>IF(AND(Ensayos!$D22="Mármol",NOT(LEFT(Ensayos!$E22,7)="Triaxia")),Ensayos!M22*TAN(RADIANS(Ensayos!P22)),NA())</f>
        <v/>
      </c>
      <c r="AX23">
        <f>IF(AND(Ensayos!$D22="Hornfels",LEFT(Ensayos!$E22,7)="Triaxia"),Ensayos!M22*TAN(RADIANS(Ensayos!P22)),NA())</f>
        <v/>
      </c>
      <c r="AY23">
        <f>IF(AND(Ensayos!$D22="Hornfels",NOT(LEFT(Ensayos!$E22,7)="Triaxia")),Ensayos!M22*TAN(RADIANS(Ensayos!P22)),NA())</f>
        <v/>
      </c>
      <c r="AZ23">
        <f>IF(AND(Ensayos!$D22="Intrusivo",LEFT(Ensayos!$E22,7)="Triaxia"),Ensayos!M22*TAN(RADIANS(Ensayos!P22)),NA())</f>
        <v/>
      </c>
      <c r="BA23">
        <f>IF(AND(Ensayos!$D22="Intrusivo",NOT(LEFT(Ensayos!$E22,7)="Triaxia")),Ensayos!M22*TAN(RADIANS(Ensayos!P22)),NA())</f>
        <v/>
      </c>
      <c r="BB23">
        <f>IF(AND(Ensayos!$D22="Mezcla",LEFT(Ensayos!$E22,7)="Triaxia"),Ensayos!M22*TAN(RADIANS(Ensayos!P22)),NA())</f>
        <v/>
      </c>
      <c r="BC23">
        <f>IF(AND(Ensayos!$D22="Mezcla",NOT(LEFT(Ensayos!$E22,7)="Triaxia")),Ensayos!M22*TAN(RADIANS(Ensayos!P22)),NA())</f>
        <v/>
      </c>
      <c r="BE23">
        <f>Base_mundial!C22</f>
        <v/>
      </c>
      <c r="BF23">
        <f>Base_mundial!E22-omega*(e_base-Base_mundial!B22)</f>
        <v/>
      </c>
      <c r="BG23">
        <f>BE23*TAN(RADIANS(BF23))</f>
        <v/>
      </c>
      <c r="BZ23" t="n">
        <v>200</v>
      </c>
      <c r="CA23" t="n">
        <v>0.2805068860741972</v>
      </c>
      <c r="CB23" t="n">
        <v>0.2649585921325053</v>
      </c>
      <c r="CG23" t="n">
        <v>0.308325377354115</v>
      </c>
      <c r="CH23">
        <f>IF(MAX(CG23,sv_piso)&lt;=1,e_base-cc_bajo*LOG10(MAX(CG23,sv_piso)/sv_piso),e_base-cc_bajo*LOG10(1/sv_piso)-cc_alto*LOG10(CG23))</f>
        <v/>
      </c>
      <c r="CI23" t="n">
        <v>0.43149</v>
      </c>
      <c r="CJ23">
        <f>DEGREES(ATAN(TAN(RADIANS(pe0-omega*(e_base)))*(CG23/sref)^(m_-1)))</f>
        <v/>
      </c>
      <c r="CK23">
        <f>DEGREES(ATAN(TAN(RADIANS(pe0-omega*(CH23)))*(CG23/sref)^(m_-1)))</f>
        <v/>
      </c>
      <c r="CL23">
        <f>IF(ISNUMBER(CI23),DEGREES(ATAN(TAN(RADIANS(pe0-omega*(CI23)))*(CG23/sref)^(m_-1))),NA())</f>
        <v/>
      </c>
      <c r="CN23" t="n">
        <v>0.8994900693643617</v>
      </c>
      <c r="CP23" t="n">
        <v>34.53739171935855</v>
      </c>
    </row>
    <row r="24">
      <c r="A24" t="n">
        <v>0.04092</v>
      </c>
      <c r="B24">
        <f>DEGREES(ATAN(TAN(RADIANS(pe0-omega*e_base))*(A24/sref)^(m_-1)))</f>
        <v/>
      </c>
      <c r="C24">
        <f>MIN(tope,B24)</f>
        <v/>
      </c>
      <c r="D24">
        <f>IF(B24&gt;tope,B24,NA())</f>
        <v/>
      </c>
      <c r="E24">
        <f>MIN(DEGREES(ATAN(TAN(RADIANS(Parametros!$E$12-omega*e_base))*(A24/sref)^(Parametros!$B$12-1))),DEGREES(ATAN(TAN(RADIANS(Parametros!$E$13-omega*e_base))*(A24/sref)^(Parametros!$B$13-1))),DEGREES(ATAN(TAN(RADIANS(Parametros!$E$14-omega*e_base))*(A24/sref)^(Parametros!$B$14-1))),DEGREES(ATAN(TAN(RADIANS(Parametros!$E$15-omega*e_base))*(A24/sref)^(Parametros!$B$15-1))),DEGREES(ATAN(TAN(RADIANS(Parametros!$E$16-omega*e_base))*(A24/sref)^(Parametros!$B$16-1))))</f>
        <v/>
      </c>
      <c r="F24">
        <f>MAX(DEGREES(ATAN(TAN(RADIANS(Parametros!$F$12-omega*e_base))*(A24/sref)^(Parametros!$B$12-1))),DEGREES(ATAN(TAN(RADIANS(Parametros!$F$13-omega*e_base))*(A24/sref)^(Parametros!$B$13-1))),DEGREES(ATAN(TAN(RADIANS(Parametros!$F$14-omega*e_base))*(A24/sref)^(Parametros!$B$14-1))),DEGREES(ATAN(TAN(RADIANS(Parametros!$F$15-omega*e_base))*(A24/sref)^(Parametros!$B$15-1))),DEGREES(ATAN(TAN(RADIANS(Parametros!$F$16-omega*e_base))*(A24/sref)^(Parametros!$B$16-1))))</f>
        <v/>
      </c>
      <c r="G24">
        <f>DEGREES(ATAN(TAN(RADIANS(46.0))*(A24/sref)^(0.9-1)))</f>
        <v/>
      </c>
      <c r="H24">
        <f>DEGREES(ATAN(TAN(RADIANS(41.0))*(A24/sref)^(0.9-1)))</f>
        <v/>
      </c>
      <c r="I24">
        <f>DEGREES(ATAN(TAN(RADIANS(36.0))*(A24/sref)^(0.9-1)))</f>
        <v/>
      </c>
      <c r="J24">
        <f>DEGREES(ATAN(TAN(RADIANS(33.0))*(A24/sref)^(0.9-1)))</f>
        <v/>
      </c>
      <c r="K24">
        <f>A24*TAN(RADIANS(C24))</f>
        <v/>
      </c>
      <c r="L24">
        <f>A24*TAN(RADIANS(G24))</f>
        <v/>
      </c>
      <c r="M24">
        <f>A24*TAN(RADIANS(H24))</f>
        <v/>
      </c>
      <c r="N24">
        <f>A24*TAN(RADIANS(I24))</f>
        <v/>
      </c>
      <c r="O24">
        <f>A24*TAN(RADIANS(J24))</f>
        <v/>
      </c>
      <c r="Q24" t="n">
        <v>0.1312449106116106</v>
      </c>
      <c r="R24">
        <f>MIN(DEGREES(ATAN(TAN(RADIANS(Parametros!$E$12-omega*e_base))*(Q24/sref)^(Parametros!$B$12-1))),DEGREES(ATAN(TAN(RADIANS(Parametros!$E$13-omega*e_base))*(Q24/sref)^(Parametros!$B$13-1))),DEGREES(ATAN(TAN(RADIANS(Parametros!$E$14-omega*e_base))*(Q24/sref)^(Parametros!$B$14-1))),DEGREES(ATAN(TAN(RADIANS(Parametros!$E$15-omega*e_base))*(Q24/sref)^(Parametros!$B$15-1))),DEGREES(ATAN(TAN(RADIANS(Parametros!$E$16-omega*e_base))*(Q24/sref)^(Parametros!$B$16-1))))</f>
        <v/>
      </c>
      <c r="T24" t="n">
        <v>0.6404733727810651</v>
      </c>
      <c r="U24">
        <f>T24*TAN(RADIANS(MIN(DEGREES(ATAN(TAN(RADIANS(Parametros!$E$12-omega*e_base))*(T24/sref)^(Parametros!$B$12-1))),DEGREES(ATAN(TAN(RADIANS(Parametros!$E$13-omega*e_base))*(T24/sref)^(Parametros!$B$13-1))),DEGREES(ATAN(TAN(RADIANS(Parametros!$E$14-omega*e_base))*(T24/sref)^(Parametros!$B$14-1))),DEGREES(ATAN(TAN(RADIANS(Parametros!$E$15-omega*e_base))*(T24/sref)^(Parametros!$B$15-1))),DEGREES(ATAN(TAN(RADIANS(Parametros!$E$16-omega*e_base))*(T24/sref)^(Parametros!$B$16-1))))))</f>
        <v/>
      </c>
      <c r="W24" t="n">
        <v>5.363443955809904</v>
      </c>
      <c r="X24" t="n">
        <v>22</v>
      </c>
      <c r="Y24" t="n">
        <v>12.83058433764716</v>
      </c>
      <c r="Z24" t="n">
        <v>22</v>
      </c>
      <c r="AB24" t="n">
        <v>5.529228580999199</v>
      </c>
      <c r="AC24" t="n">
        <v>0</v>
      </c>
      <c r="AD24" t="n">
        <v>13.27401178289129</v>
      </c>
      <c r="AE24" t="n">
        <v>0</v>
      </c>
      <c r="AG24" t="n">
        <v>5.363443955809904</v>
      </c>
      <c r="AH24" t="n">
        <v>22</v>
      </c>
      <c r="AI24" t="n">
        <v>12.83058433764716</v>
      </c>
      <c r="AJ24" t="n">
        <v>22</v>
      </c>
      <c r="AL24">
        <f>Ensayos!M23</f>
        <v/>
      </c>
      <c r="AM24">
        <f>Ensayos!P23</f>
        <v/>
      </c>
      <c r="AN24">
        <f>IF(AND(Ensayos!$D23="Mármol",LEFT(Ensayos!$E23,7)="Triaxia"),Ensayos!P23,NA())</f>
        <v/>
      </c>
      <c r="AO24">
        <f>IF(AND(Ensayos!$D23="Mármol",NOT(LEFT(Ensayos!$E23,7)="Triaxia")),Ensayos!P23,NA())</f>
        <v/>
      </c>
      <c r="AP24">
        <f>IF(AND(Ensayos!$D23="Hornfels",LEFT(Ensayos!$E23,7)="Triaxia"),Ensayos!P23,NA())</f>
        <v/>
      </c>
      <c r="AQ24">
        <f>IF(AND(Ensayos!$D23="Hornfels",NOT(LEFT(Ensayos!$E23,7)="Triaxia")),Ensayos!P23,NA())</f>
        <v/>
      </c>
      <c r="AR24">
        <f>IF(AND(Ensayos!$D23="Intrusivo",LEFT(Ensayos!$E23,7)="Triaxia"),Ensayos!P23,NA())</f>
        <v/>
      </c>
      <c r="AS24">
        <f>IF(AND(Ensayos!$D23="Intrusivo",NOT(LEFT(Ensayos!$E23,7)="Triaxia")),Ensayos!P23,NA())</f>
        <v/>
      </c>
      <c r="AT24">
        <f>IF(AND(Ensayos!$D23="Mezcla",LEFT(Ensayos!$E23,7)="Triaxia"),Ensayos!P23,NA())</f>
        <v/>
      </c>
      <c r="AU24">
        <f>IF(AND(Ensayos!$D23="Mezcla",NOT(LEFT(Ensayos!$E23,7)="Triaxia")),Ensayos!P23,NA())</f>
        <v/>
      </c>
      <c r="AV24">
        <f>IF(AND(Ensayos!$D23="Mármol",LEFT(Ensayos!$E23,7)="Triaxia"),Ensayos!M23*TAN(RADIANS(Ensayos!P23)),NA())</f>
        <v/>
      </c>
      <c r="AW24">
        <f>IF(AND(Ensayos!$D23="Mármol",NOT(LEFT(Ensayos!$E23,7)="Triaxia")),Ensayos!M23*TAN(RADIANS(Ensayos!P23)),NA())</f>
        <v/>
      </c>
      <c r="AX24">
        <f>IF(AND(Ensayos!$D23="Hornfels",LEFT(Ensayos!$E23,7)="Triaxia"),Ensayos!M23*TAN(RADIANS(Ensayos!P23)),NA())</f>
        <v/>
      </c>
      <c r="AY24">
        <f>IF(AND(Ensayos!$D23="Hornfels",NOT(LEFT(Ensayos!$E23,7)="Triaxia")),Ensayos!M23*TAN(RADIANS(Ensayos!P23)),NA())</f>
        <v/>
      </c>
      <c r="AZ24">
        <f>IF(AND(Ensayos!$D23="Intrusivo",LEFT(Ensayos!$E23,7)="Triaxia"),Ensayos!M23*TAN(RADIANS(Ensayos!P23)),NA())</f>
        <v/>
      </c>
      <c r="BA24">
        <f>IF(AND(Ensayos!$D23="Intrusivo",NOT(LEFT(Ensayos!$E23,7)="Triaxia")),Ensayos!M23*TAN(RADIANS(Ensayos!P23)),NA())</f>
        <v/>
      </c>
      <c r="BB24">
        <f>IF(AND(Ensayos!$D23="Mezcla",LEFT(Ensayos!$E23,7)="Triaxia"),Ensayos!M23*TAN(RADIANS(Ensayos!P23)),NA())</f>
        <v/>
      </c>
      <c r="BC24">
        <f>IF(AND(Ensayos!$D23="Mezcla",NOT(LEFT(Ensayos!$E23,7)="Triaxia")),Ensayos!M23*TAN(RADIANS(Ensayos!P23)),NA())</f>
        <v/>
      </c>
      <c r="BE24">
        <f>Base_mundial!C23</f>
        <v/>
      </c>
      <c r="BF24">
        <f>Base_mundial!E23-omega*(e_base-Base_mundial!B23)</f>
        <v/>
      </c>
      <c r="BG24">
        <f>BE24*TAN(RADIANS(BF24))</f>
        <v/>
      </c>
      <c r="BZ24" t="n">
        <v>210</v>
      </c>
      <c r="CA24" t="n">
        <v>0.2779929340587143</v>
      </c>
      <c r="CB24" t="n">
        <v>0.2588393219945436</v>
      </c>
      <c r="CG24" t="n">
        <v>0.3261818077187609</v>
      </c>
      <c r="CH24">
        <f>IF(MAX(CG24,sv_piso)&lt;=1,e_base-cc_bajo*LOG10(MAX(CG24,sv_piso)/sv_piso),e_base-cc_bajo*LOG10(1/sv_piso)-cc_alto*LOG10(CG24))</f>
        <v/>
      </c>
      <c r="CI24" t="n">
        <v>0.43043</v>
      </c>
      <c r="CJ24">
        <f>DEGREES(ATAN(TAN(RADIANS(pe0-omega*(e_base)))*(CG24/sref)^(m_-1)))</f>
        <v/>
      </c>
      <c r="CK24">
        <f>DEGREES(ATAN(TAN(RADIANS(pe0-omega*(CH24)))*(CG24/sref)^(m_-1)))</f>
        <v/>
      </c>
      <c r="CL24">
        <f>IF(ISNUMBER(CI24),DEGREES(ATAN(TAN(RADIANS(pe0-omega*(CI24)))*(CG24/sref)^(m_-1))),NA())</f>
        <v/>
      </c>
      <c r="CN24" t="n">
        <v>0.4519818458519786</v>
      </c>
      <c r="CP24" t="n">
        <v>38.2051023854063</v>
      </c>
    </row>
    <row r="25">
      <c r="A25" t="n">
        <v>0.04376</v>
      </c>
      <c r="B25">
        <f>DEGREES(ATAN(TAN(RADIANS(pe0-omega*e_base))*(A25/sref)^(m_-1)))</f>
        <v/>
      </c>
      <c r="C25">
        <f>MIN(tope,B25)</f>
        <v/>
      </c>
      <c r="D25">
        <f>IF(B25&gt;tope,B25,NA())</f>
        <v/>
      </c>
      <c r="E25">
        <f>MIN(DEGREES(ATAN(TAN(RADIANS(Parametros!$E$12-omega*e_base))*(A25/sref)^(Parametros!$B$12-1))),DEGREES(ATAN(TAN(RADIANS(Parametros!$E$13-omega*e_base))*(A25/sref)^(Parametros!$B$13-1))),DEGREES(ATAN(TAN(RADIANS(Parametros!$E$14-omega*e_base))*(A25/sref)^(Parametros!$B$14-1))),DEGREES(ATAN(TAN(RADIANS(Parametros!$E$15-omega*e_base))*(A25/sref)^(Parametros!$B$15-1))),DEGREES(ATAN(TAN(RADIANS(Parametros!$E$16-omega*e_base))*(A25/sref)^(Parametros!$B$16-1))))</f>
        <v/>
      </c>
      <c r="F25">
        <f>MAX(DEGREES(ATAN(TAN(RADIANS(Parametros!$F$12-omega*e_base))*(A25/sref)^(Parametros!$B$12-1))),DEGREES(ATAN(TAN(RADIANS(Parametros!$F$13-omega*e_base))*(A25/sref)^(Parametros!$B$13-1))),DEGREES(ATAN(TAN(RADIANS(Parametros!$F$14-omega*e_base))*(A25/sref)^(Parametros!$B$14-1))),DEGREES(ATAN(TAN(RADIANS(Parametros!$F$15-omega*e_base))*(A25/sref)^(Parametros!$B$15-1))),DEGREES(ATAN(TAN(RADIANS(Parametros!$F$16-omega*e_base))*(A25/sref)^(Parametros!$B$16-1))))</f>
        <v/>
      </c>
      <c r="G25">
        <f>DEGREES(ATAN(TAN(RADIANS(46.0))*(A25/sref)^(0.9-1)))</f>
        <v/>
      </c>
      <c r="H25">
        <f>DEGREES(ATAN(TAN(RADIANS(41.0))*(A25/sref)^(0.9-1)))</f>
        <v/>
      </c>
      <c r="I25">
        <f>DEGREES(ATAN(TAN(RADIANS(36.0))*(A25/sref)^(0.9-1)))</f>
        <v/>
      </c>
      <c r="J25">
        <f>DEGREES(ATAN(TAN(RADIANS(33.0))*(A25/sref)^(0.9-1)))</f>
        <v/>
      </c>
      <c r="K25">
        <f>A25*TAN(RADIANS(C25))</f>
        <v/>
      </c>
      <c r="L25">
        <f>A25*TAN(RADIANS(G25))</f>
        <v/>
      </c>
      <c r="M25">
        <f>A25*TAN(RADIANS(H25))</f>
        <v/>
      </c>
      <c r="N25">
        <f>A25*TAN(RADIANS(I25))</f>
        <v/>
      </c>
      <c r="O25">
        <f>A25*TAN(RADIANS(J25))</f>
        <v/>
      </c>
      <c r="Q25" t="n">
        <v>0.1312449106116106</v>
      </c>
      <c r="R25">
        <f>MAX(DEGREES(ATAN(TAN(RADIANS(Parametros!$F$12-omega*e_base))*(Q25/sref)^(Parametros!$B$12-1))),DEGREES(ATAN(TAN(RADIANS(Parametros!$F$13-omega*e_base))*(Q25/sref)^(Parametros!$B$13-1))),DEGREES(ATAN(TAN(RADIANS(Parametros!$F$14-omega*e_base))*(Q25/sref)^(Parametros!$B$14-1))),DEGREES(ATAN(TAN(RADIANS(Parametros!$F$15-omega*e_base))*(Q25/sref)^(Parametros!$B$15-1))),DEGREES(ATAN(TAN(RADIANS(Parametros!$F$16-omega*e_base))*(Q25/sref)^(Parametros!$B$16-1))))</f>
        <v/>
      </c>
      <c r="T25" t="n">
        <v>0.6404733727810651</v>
      </c>
      <c r="U25">
        <f>T25*TAN(RADIANS(MAX(DEGREES(ATAN(TAN(RADIANS(Parametros!$F$12-omega*e_base))*(T25/sref)^(Parametros!$B$12-1))),DEGREES(ATAN(TAN(RADIANS(Parametros!$F$13-omega*e_base))*(T25/sref)^(Parametros!$B$13-1))),DEGREES(ATAN(TAN(RADIANS(Parametros!$F$14-omega*e_base))*(T25/sref)^(Parametros!$B$14-1))),DEGREES(ATAN(TAN(RADIANS(Parametros!$F$15-omega*e_base))*(T25/sref)^(Parametros!$B$15-1))),DEGREES(ATAN(TAN(RADIANS(Parametros!$F$16-omega*e_base))*(T25/sref)^(Parametros!$B$16-1))))))</f>
        <v/>
      </c>
      <c r="W25" t="n">
        <v>5.363443955809904</v>
      </c>
      <c r="X25" t="n">
        <v>56</v>
      </c>
      <c r="Y25" t="n">
        <v>15</v>
      </c>
      <c r="Z25" t="n">
        <v>43.3714285714285</v>
      </c>
      <c r="AB25" t="n">
        <v>5.529228580999199</v>
      </c>
      <c r="AC25" t="n">
        <v>10.5</v>
      </c>
      <c r="AD25" t="n">
        <v>15</v>
      </c>
      <c r="AE25" t="n">
        <v>6.600000000000017</v>
      </c>
      <c r="AG25" t="n">
        <v>5.363443955809904</v>
      </c>
      <c r="AH25" t="n">
        <v>58</v>
      </c>
      <c r="AI25" t="n">
        <v>15</v>
      </c>
      <c r="AJ25" t="n">
        <v>44.62857142857135</v>
      </c>
      <c r="AL25">
        <f>Ensayos!M24</f>
        <v/>
      </c>
      <c r="AM25">
        <f>Ensayos!P24</f>
        <v/>
      </c>
      <c r="AN25">
        <f>IF(AND(Ensayos!$D24="Mármol",LEFT(Ensayos!$E24,7)="Triaxia"),Ensayos!P24,NA())</f>
        <v/>
      </c>
      <c r="AO25">
        <f>IF(AND(Ensayos!$D24="Mármol",NOT(LEFT(Ensayos!$E24,7)="Triaxia")),Ensayos!P24,NA())</f>
        <v/>
      </c>
      <c r="AP25">
        <f>IF(AND(Ensayos!$D24="Hornfels",LEFT(Ensayos!$E24,7)="Triaxia"),Ensayos!P24,NA())</f>
        <v/>
      </c>
      <c r="AQ25">
        <f>IF(AND(Ensayos!$D24="Hornfels",NOT(LEFT(Ensayos!$E24,7)="Triaxia")),Ensayos!P24,NA())</f>
        <v/>
      </c>
      <c r="AR25">
        <f>IF(AND(Ensayos!$D24="Intrusivo",LEFT(Ensayos!$E24,7)="Triaxia"),Ensayos!P24,NA())</f>
        <v/>
      </c>
      <c r="AS25">
        <f>IF(AND(Ensayos!$D24="Intrusivo",NOT(LEFT(Ensayos!$E24,7)="Triaxia")),Ensayos!P24,NA())</f>
        <v/>
      </c>
      <c r="AT25">
        <f>IF(AND(Ensayos!$D24="Mezcla",LEFT(Ensayos!$E24,7)="Triaxia"),Ensayos!P24,NA())</f>
        <v/>
      </c>
      <c r="AU25">
        <f>IF(AND(Ensayos!$D24="Mezcla",NOT(LEFT(Ensayos!$E24,7)="Triaxia")),Ensayos!P24,NA())</f>
        <v/>
      </c>
      <c r="AV25">
        <f>IF(AND(Ensayos!$D24="Mármol",LEFT(Ensayos!$E24,7)="Triaxia"),Ensayos!M24*TAN(RADIANS(Ensayos!P24)),NA())</f>
        <v/>
      </c>
      <c r="AW25">
        <f>IF(AND(Ensayos!$D24="Mármol",NOT(LEFT(Ensayos!$E24,7)="Triaxia")),Ensayos!M24*TAN(RADIANS(Ensayos!P24)),NA())</f>
        <v/>
      </c>
      <c r="AX25">
        <f>IF(AND(Ensayos!$D24="Hornfels",LEFT(Ensayos!$E24,7)="Triaxia"),Ensayos!M24*TAN(RADIANS(Ensayos!P24)),NA())</f>
        <v/>
      </c>
      <c r="AY25">
        <f>IF(AND(Ensayos!$D24="Hornfels",NOT(LEFT(Ensayos!$E24,7)="Triaxia")),Ensayos!M24*TAN(RADIANS(Ensayos!P24)),NA())</f>
        <v/>
      </c>
      <c r="AZ25">
        <f>IF(AND(Ensayos!$D24="Intrusivo",LEFT(Ensayos!$E24,7)="Triaxia"),Ensayos!M24*TAN(RADIANS(Ensayos!P24)),NA())</f>
        <v/>
      </c>
      <c r="BA25">
        <f>IF(AND(Ensayos!$D24="Intrusivo",NOT(LEFT(Ensayos!$E24,7)="Triaxia")),Ensayos!M24*TAN(RADIANS(Ensayos!P24)),NA())</f>
        <v/>
      </c>
      <c r="BB25">
        <f>IF(AND(Ensayos!$D24="Mezcla",LEFT(Ensayos!$E24,7)="Triaxia"),Ensayos!M24*TAN(RADIANS(Ensayos!P24)),NA())</f>
        <v/>
      </c>
      <c r="BC25">
        <f>IF(AND(Ensayos!$D24="Mezcla",NOT(LEFT(Ensayos!$E24,7)="Triaxia")),Ensayos!M24*TAN(RADIANS(Ensayos!P24)),NA())</f>
        <v/>
      </c>
      <c r="BE25">
        <f>Base_mundial!C24</f>
        <v/>
      </c>
      <c r="BF25">
        <f>Base_mundial!E24-omega*(e_base-Base_mundial!B24)</f>
        <v/>
      </c>
      <c r="BG25">
        <f>BE25*TAN(RADIANS(BF25))</f>
        <v/>
      </c>
      <c r="BZ25" t="n">
        <v>220</v>
      </c>
      <c r="CA25" t="n">
        <v>0.2755954245758738</v>
      </c>
      <c r="CB25" t="n">
        <v>0.2527200518565818</v>
      </c>
      <c r="CG25" t="n">
        <v>0.3450723797038717</v>
      </c>
      <c r="CH25">
        <f>IF(MAX(CG25,sv_piso)&lt;=1,e_base-cc_bajo*LOG10(MAX(CG25,sv_piso)/sv_piso),e_base-cc_bajo*LOG10(1/sv_piso)-cc_alto*LOG10(CG25))</f>
        <v/>
      </c>
      <c r="CI25" t="n">
        <v>0.4293</v>
      </c>
      <c r="CJ25">
        <f>DEGREES(ATAN(TAN(RADIANS(pe0-omega*(e_base)))*(CG25/sref)^(m_-1)))</f>
        <v/>
      </c>
      <c r="CK25">
        <f>DEGREES(ATAN(TAN(RADIANS(pe0-omega*(CH25)))*(CG25/sref)^(m_-1)))</f>
        <v/>
      </c>
      <c r="CL25">
        <f>IF(ISNUMBER(CI25),DEGREES(ATAN(TAN(RADIANS(pe0-omega*(CI25)))*(CG25/sref)^(m_-1))),NA())</f>
        <v/>
      </c>
      <c r="CN25" t="n">
        <v>0.6673006758122464</v>
      </c>
      <c r="CP25" t="n">
        <v>36.51305651135673</v>
      </c>
    </row>
    <row r="26">
      <c r="A26" t="n">
        <v>0.04679</v>
      </c>
      <c r="B26">
        <f>DEGREES(ATAN(TAN(RADIANS(pe0-omega*e_base))*(A26/sref)^(m_-1)))</f>
        <v/>
      </c>
      <c r="C26">
        <f>MIN(tope,B26)</f>
        <v/>
      </c>
      <c r="D26">
        <f>IF(B26&gt;tope,B26,NA())</f>
        <v/>
      </c>
      <c r="E26">
        <f>MIN(DEGREES(ATAN(TAN(RADIANS(Parametros!$E$12-omega*e_base))*(A26/sref)^(Parametros!$B$12-1))),DEGREES(ATAN(TAN(RADIANS(Parametros!$E$13-omega*e_base))*(A26/sref)^(Parametros!$B$13-1))),DEGREES(ATAN(TAN(RADIANS(Parametros!$E$14-omega*e_base))*(A26/sref)^(Parametros!$B$14-1))),DEGREES(ATAN(TAN(RADIANS(Parametros!$E$15-omega*e_base))*(A26/sref)^(Parametros!$B$15-1))),DEGREES(ATAN(TAN(RADIANS(Parametros!$E$16-omega*e_base))*(A26/sref)^(Parametros!$B$16-1))))</f>
        <v/>
      </c>
      <c r="F26">
        <f>MAX(DEGREES(ATAN(TAN(RADIANS(Parametros!$F$12-omega*e_base))*(A26/sref)^(Parametros!$B$12-1))),DEGREES(ATAN(TAN(RADIANS(Parametros!$F$13-omega*e_base))*(A26/sref)^(Parametros!$B$13-1))),DEGREES(ATAN(TAN(RADIANS(Parametros!$F$14-omega*e_base))*(A26/sref)^(Parametros!$B$14-1))),DEGREES(ATAN(TAN(RADIANS(Parametros!$F$15-omega*e_base))*(A26/sref)^(Parametros!$B$15-1))),DEGREES(ATAN(TAN(RADIANS(Parametros!$F$16-omega*e_base))*(A26/sref)^(Parametros!$B$16-1))))</f>
        <v/>
      </c>
      <c r="G26">
        <f>DEGREES(ATAN(TAN(RADIANS(46.0))*(A26/sref)^(0.9-1)))</f>
        <v/>
      </c>
      <c r="H26">
        <f>DEGREES(ATAN(TAN(RADIANS(41.0))*(A26/sref)^(0.9-1)))</f>
        <v/>
      </c>
      <c r="I26">
        <f>DEGREES(ATAN(TAN(RADIANS(36.0))*(A26/sref)^(0.9-1)))</f>
        <v/>
      </c>
      <c r="J26">
        <f>DEGREES(ATAN(TAN(RADIANS(33.0))*(A26/sref)^(0.9-1)))</f>
        <v/>
      </c>
      <c r="K26">
        <f>A26*TAN(RADIANS(C26))</f>
        <v/>
      </c>
      <c r="L26">
        <f>A26*TAN(RADIANS(G26))</f>
        <v/>
      </c>
      <c r="M26">
        <f>A26*TAN(RADIANS(H26))</f>
        <v/>
      </c>
      <c r="N26">
        <f>A26*TAN(RADIANS(I26))</f>
        <v/>
      </c>
      <c r="O26">
        <f>A26*TAN(RADIANS(J26))</f>
        <v/>
      </c>
      <c r="AL26">
        <f>Ensayos!M25</f>
        <v/>
      </c>
      <c r="AM26">
        <f>Ensayos!P25</f>
        <v/>
      </c>
      <c r="AN26">
        <f>IF(AND(Ensayos!$D25="Mármol",LEFT(Ensayos!$E25,7)="Triaxia"),Ensayos!P25,NA())</f>
        <v/>
      </c>
      <c r="AO26">
        <f>IF(AND(Ensayos!$D25="Mármol",NOT(LEFT(Ensayos!$E25,7)="Triaxia")),Ensayos!P25,NA())</f>
        <v/>
      </c>
      <c r="AP26">
        <f>IF(AND(Ensayos!$D25="Hornfels",LEFT(Ensayos!$E25,7)="Triaxia"),Ensayos!P25,NA())</f>
        <v/>
      </c>
      <c r="AQ26">
        <f>IF(AND(Ensayos!$D25="Hornfels",NOT(LEFT(Ensayos!$E25,7)="Triaxia")),Ensayos!P25,NA())</f>
        <v/>
      </c>
      <c r="AR26">
        <f>IF(AND(Ensayos!$D25="Intrusivo",LEFT(Ensayos!$E25,7)="Triaxia"),Ensayos!P25,NA())</f>
        <v/>
      </c>
      <c r="AS26">
        <f>IF(AND(Ensayos!$D25="Intrusivo",NOT(LEFT(Ensayos!$E25,7)="Triaxia")),Ensayos!P25,NA())</f>
        <v/>
      </c>
      <c r="AT26">
        <f>IF(AND(Ensayos!$D25="Mezcla",LEFT(Ensayos!$E25,7)="Triaxia"),Ensayos!P25,NA())</f>
        <v/>
      </c>
      <c r="AU26">
        <f>IF(AND(Ensayos!$D25="Mezcla",NOT(LEFT(Ensayos!$E25,7)="Triaxia")),Ensayos!P25,NA())</f>
        <v/>
      </c>
      <c r="AV26">
        <f>IF(AND(Ensayos!$D25="Mármol",LEFT(Ensayos!$E25,7)="Triaxia"),Ensayos!M25*TAN(RADIANS(Ensayos!P25)),NA())</f>
        <v/>
      </c>
      <c r="AW26">
        <f>IF(AND(Ensayos!$D25="Mármol",NOT(LEFT(Ensayos!$E25,7)="Triaxia")),Ensayos!M25*TAN(RADIANS(Ensayos!P25)),NA())</f>
        <v/>
      </c>
      <c r="AX26">
        <f>IF(AND(Ensayos!$D25="Hornfels",LEFT(Ensayos!$E25,7)="Triaxia"),Ensayos!M25*TAN(RADIANS(Ensayos!P25)),NA())</f>
        <v/>
      </c>
      <c r="AY26">
        <f>IF(AND(Ensayos!$D25="Hornfels",NOT(LEFT(Ensayos!$E25,7)="Triaxia")),Ensayos!M25*TAN(RADIANS(Ensayos!P25)),NA())</f>
        <v/>
      </c>
      <c r="AZ26">
        <f>IF(AND(Ensayos!$D25="Intrusivo",LEFT(Ensayos!$E25,7)="Triaxia"),Ensayos!M25*TAN(RADIANS(Ensayos!P25)),NA())</f>
        <v/>
      </c>
      <c r="BA26">
        <f>IF(AND(Ensayos!$D25="Intrusivo",NOT(LEFT(Ensayos!$E25,7)="Triaxia")),Ensayos!M25*TAN(RADIANS(Ensayos!P25)),NA())</f>
        <v/>
      </c>
      <c r="BB26">
        <f>IF(AND(Ensayos!$D25="Mezcla",LEFT(Ensayos!$E25,7)="Triaxia"),Ensayos!M25*TAN(RADIANS(Ensayos!P25)),NA())</f>
        <v/>
      </c>
      <c r="BC26">
        <f>IF(AND(Ensayos!$D25="Mezcla",NOT(LEFT(Ensayos!$E25,7)="Triaxia")),Ensayos!M25*TAN(RADIANS(Ensayos!P25)),NA())</f>
        <v/>
      </c>
      <c r="BE26">
        <f>Base_mundial!C25</f>
        <v/>
      </c>
      <c r="BF26">
        <f>Base_mundial!E25-omega*(e_base-Base_mundial!B25)</f>
        <v/>
      </c>
      <c r="BG26">
        <f>BE26*TAN(RADIANS(BF26))</f>
        <v/>
      </c>
      <c r="BZ26" t="n">
        <v>230</v>
      </c>
      <c r="CA26" t="n">
        <v>0.2733040390378416</v>
      </c>
      <c r="CB26" t="n">
        <v>0.24660078171862</v>
      </c>
      <c r="CG26" t="n">
        <v>0.3650569848370003</v>
      </c>
      <c r="CH26">
        <f>IF(MAX(CG26,sv_piso)&lt;=1,e_base-cc_bajo*LOG10(MAX(CG26,sv_piso)/sv_piso),e_base-cc_bajo*LOG10(1/sv_piso)-cc_alto*LOG10(CG26))</f>
        <v/>
      </c>
      <c r="CI26" t="n">
        <v>0.42811</v>
      </c>
      <c r="CJ26">
        <f>DEGREES(ATAN(TAN(RADIANS(pe0-omega*(e_base)))*(CG26/sref)^(m_-1)))</f>
        <v/>
      </c>
      <c r="CK26">
        <f>DEGREES(ATAN(TAN(RADIANS(pe0-omega*(CH26)))*(CG26/sref)^(m_-1)))</f>
        <v/>
      </c>
      <c r="CL26">
        <f>IF(ISNUMBER(CI26),DEGREES(ATAN(TAN(RADIANS(pe0-omega*(CI26)))*(CG26/sref)^(m_-1))),NA())</f>
        <v/>
      </c>
      <c r="CN26" t="n">
        <v>0.8742420065974921</v>
      </c>
      <c r="CP26" t="n">
        <v>34.39753237074721</v>
      </c>
    </row>
    <row r="27">
      <c r="A27" t="n">
        <v>0.05004</v>
      </c>
      <c r="B27">
        <f>DEGREES(ATAN(TAN(RADIANS(pe0-omega*e_base))*(A27/sref)^(m_-1)))</f>
        <v/>
      </c>
      <c r="C27">
        <f>MIN(tope,B27)</f>
        <v/>
      </c>
      <c r="D27">
        <f>IF(B27&gt;tope,B27,NA())</f>
        <v/>
      </c>
      <c r="E27">
        <f>MIN(DEGREES(ATAN(TAN(RADIANS(Parametros!$E$12-omega*e_base))*(A27/sref)^(Parametros!$B$12-1))),DEGREES(ATAN(TAN(RADIANS(Parametros!$E$13-omega*e_base))*(A27/sref)^(Parametros!$B$13-1))),DEGREES(ATAN(TAN(RADIANS(Parametros!$E$14-omega*e_base))*(A27/sref)^(Parametros!$B$14-1))),DEGREES(ATAN(TAN(RADIANS(Parametros!$E$15-omega*e_base))*(A27/sref)^(Parametros!$B$15-1))),DEGREES(ATAN(TAN(RADIANS(Parametros!$E$16-omega*e_base))*(A27/sref)^(Parametros!$B$16-1))))</f>
        <v/>
      </c>
      <c r="F27">
        <f>MAX(DEGREES(ATAN(TAN(RADIANS(Parametros!$F$12-omega*e_base))*(A27/sref)^(Parametros!$B$12-1))),DEGREES(ATAN(TAN(RADIANS(Parametros!$F$13-omega*e_base))*(A27/sref)^(Parametros!$B$13-1))),DEGREES(ATAN(TAN(RADIANS(Parametros!$F$14-omega*e_base))*(A27/sref)^(Parametros!$B$14-1))),DEGREES(ATAN(TAN(RADIANS(Parametros!$F$15-omega*e_base))*(A27/sref)^(Parametros!$B$15-1))),DEGREES(ATAN(TAN(RADIANS(Parametros!$F$16-omega*e_base))*(A27/sref)^(Parametros!$B$16-1))))</f>
        <v/>
      </c>
      <c r="G27">
        <f>DEGREES(ATAN(TAN(RADIANS(46.0))*(A27/sref)^(0.9-1)))</f>
        <v/>
      </c>
      <c r="H27">
        <f>DEGREES(ATAN(TAN(RADIANS(41.0))*(A27/sref)^(0.9-1)))</f>
        <v/>
      </c>
      <c r="I27">
        <f>DEGREES(ATAN(TAN(RADIANS(36.0))*(A27/sref)^(0.9-1)))</f>
        <v/>
      </c>
      <c r="J27">
        <f>DEGREES(ATAN(TAN(RADIANS(33.0))*(A27/sref)^(0.9-1)))</f>
        <v/>
      </c>
      <c r="K27">
        <f>A27*TAN(RADIANS(C27))</f>
        <v/>
      </c>
      <c r="L27">
        <f>A27*TAN(RADIANS(G27))</f>
        <v/>
      </c>
      <c r="M27">
        <f>A27*TAN(RADIANS(H27))</f>
        <v/>
      </c>
      <c r="N27">
        <f>A27*TAN(RADIANS(I27))</f>
        <v/>
      </c>
      <c r="O27">
        <f>A27*TAN(RADIANS(J27))</f>
        <v/>
      </c>
      <c r="Q27" t="n">
        <v>0.1364430427741463</v>
      </c>
      <c r="R27">
        <f>MIN(DEGREES(ATAN(TAN(RADIANS(Parametros!$E$12-omega*e_base))*(Q27/sref)^(Parametros!$B$12-1))),DEGREES(ATAN(TAN(RADIANS(Parametros!$E$13-omega*e_base))*(Q27/sref)^(Parametros!$B$13-1))),DEGREES(ATAN(TAN(RADIANS(Parametros!$E$14-omega*e_base))*(Q27/sref)^(Parametros!$B$14-1))),DEGREES(ATAN(TAN(RADIANS(Parametros!$E$15-omega*e_base))*(Q27/sref)^(Parametros!$B$15-1))),DEGREES(ATAN(TAN(RADIANS(Parametros!$E$16-omega*e_base))*(Q27/sref)^(Parametros!$B$16-1))))</f>
        <v/>
      </c>
      <c r="T27" t="n">
        <v>0.729112426035503</v>
      </c>
      <c r="U27">
        <f>T27*TAN(RADIANS(MIN(DEGREES(ATAN(TAN(RADIANS(Parametros!$E$12-omega*e_base))*(T27/sref)^(Parametros!$B$12-1))),DEGREES(ATAN(TAN(RADIANS(Parametros!$E$13-omega*e_base))*(T27/sref)^(Parametros!$B$13-1))),DEGREES(ATAN(TAN(RADIANS(Parametros!$E$14-omega*e_base))*(T27/sref)^(Parametros!$B$14-1))),DEGREES(ATAN(TAN(RADIANS(Parametros!$E$15-omega*e_base))*(T27/sref)^(Parametros!$B$15-1))),DEGREES(ATAN(TAN(RADIANS(Parametros!$E$16-omega*e_base))*(T27/sref)^(Parametros!$B$16-1))))))</f>
        <v/>
      </c>
      <c r="W27" t="n">
        <v>5.478565953353718</v>
      </c>
      <c r="X27" t="n">
        <v>22</v>
      </c>
      <c r="Y27" t="n">
        <v>14.07137569726743</v>
      </c>
      <c r="Z27" t="n">
        <v>22</v>
      </c>
      <c r="AB27" t="n">
        <v>5.658753943274768</v>
      </c>
      <c r="AC27" t="n">
        <v>0</v>
      </c>
      <c r="AD27" t="n">
        <v>14.2939139111828</v>
      </c>
      <c r="AE27" t="n">
        <v>0</v>
      </c>
      <c r="AG27" t="n">
        <v>5.478565953353718</v>
      </c>
      <c r="AH27" t="n">
        <v>22</v>
      </c>
      <c r="AI27" t="n">
        <v>14.07137569726743</v>
      </c>
      <c r="AJ27" t="n">
        <v>22</v>
      </c>
      <c r="AL27">
        <f>Ensayos!M26</f>
        <v/>
      </c>
      <c r="AM27">
        <f>Ensayos!P26</f>
        <v/>
      </c>
      <c r="AN27">
        <f>IF(AND(Ensayos!$D26="Mármol",LEFT(Ensayos!$E26,7)="Triaxia"),Ensayos!P26,NA())</f>
        <v/>
      </c>
      <c r="AO27">
        <f>IF(AND(Ensayos!$D26="Mármol",NOT(LEFT(Ensayos!$E26,7)="Triaxia")),Ensayos!P26,NA())</f>
        <v/>
      </c>
      <c r="AP27">
        <f>IF(AND(Ensayos!$D26="Hornfels",LEFT(Ensayos!$E26,7)="Triaxia"),Ensayos!P26,NA())</f>
        <v/>
      </c>
      <c r="AQ27">
        <f>IF(AND(Ensayos!$D26="Hornfels",NOT(LEFT(Ensayos!$E26,7)="Triaxia")),Ensayos!P26,NA())</f>
        <v/>
      </c>
      <c r="AR27">
        <f>IF(AND(Ensayos!$D26="Intrusivo",LEFT(Ensayos!$E26,7)="Triaxia"),Ensayos!P26,NA())</f>
        <v/>
      </c>
      <c r="AS27">
        <f>IF(AND(Ensayos!$D26="Intrusivo",NOT(LEFT(Ensayos!$E26,7)="Triaxia")),Ensayos!P26,NA())</f>
        <v/>
      </c>
      <c r="AT27">
        <f>IF(AND(Ensayos!$D26="Mezcla",LEFT(Ensayos!$E26,7)="Triaxia"),Ensayos!P26,NA())</f>
        <v/>
      </c>
      <c r="AU27">
        <f>IF(AND(Ensayos!$D26="Mezcla",NOT(LEFT(Ensayos!$E26,7)="Triaxia")),Ensayos!P26,NA())</f>
        <v/>
      </c>
      <c r="AV27">
        <f>IF(AND(Ensayos!$D26="Mármol",LEFT(Ensayos!$E26,7)="Triaxia"),Ensayos!M26*TAN(RADIANS(Ensayos!P26)),NA())</f>
        <v/>
      </c>
      <c r="AW27">
        <f>IF(AND(Ensayos!$D26="Mármol",NOT(LEFT(Ensayos!$E26,7)="Triaxia")),Ensayos!M26*TAN(RADIANS(Ensayos!P26)),NA())</f>
        <v/>
      </c>
      <c r="AX27">
        <f>IF(AND(Ensayos!$D26="Hornfels",LEFT(Ensayos!$E26,7)="Triaxia"),Ensayos!M26*TAN(RADIANS(Ensayos!P26)),NA())</f>
        <v/>
      </c>
      <c r="AY27">
        <f>IF(AND(Ensayos!$D26="Hornfels",NOT(LEFT(Ensayos!$E26,7)="Triaxia")),Ensayos!M26*TAN(RADIANS(Ensayos!P26)),NA())</f>
        <v/>
      </c>
      <c r="AZ27">
        <f>IF(AND(Ensayos!$D26="Intrusivo",LEFT(Ensayos!$E26,7)="Triaxia"),Ensayos!M26*TAN(RADIANS(Ensayos!P26)),NA())</f>
        <v/>
      </c>
      <c r="BA27">
        <f>IF(AND(Ensayos!$D26="Intrusivo",NOT(LEFT(Ensayos!$E26,7)="Triaxia")),Ensayos!M26*TAN(RADIANS(Ensayos!P26)),NA())</f>
        <v/>
      </c>
      <c r="BB27">
        <f>IF(AND(Ensayos!$D26="Mezcla",LEFT(Ensayos!$E26,7)="Triaxia"),Ensayos!M26*TAN(RADIANS(Ensayos!P26)),NA())</f>
        <v/>
      </c>
      <c r="BC27">
        <f>IF(AND(Ensayos!$D26="Mezcla",NOT(LEFT(Ensayos!$E26,7)="Triaxia")),Ensayos!M26*TAN(RADIANS(Ensayos!P26)),NA())</f>
        <v/>
      </c>
      <c r="BE27">
        <f>Base_mundial!C26</f>
        <v/>
      </c>
      <c r="BF27">
        <f>Base_mundial!E26-omega*(e_base-Base_mundial!B26)</f>
        <v/>
      </c>
      <c r="BG27">
        <f>BE27*TAN(RADIANS(BF27))</f>
        <v/>
      </c>
      <c r="BZ27" t="n">
        <v>240</v>
      </c>
      <c r="CA27" t="n">
        <v>0.2711097727100327</v>
      </c>
      <c r="CB27" t="n">
        <v>0.2404815115806583</v>
      </c>
      <c r="CG27" t="n">
        <v>0.3861989832180897</v>
      </c>
      <c r="CH27">
        <f>IF(MAX(CG27,sv_piso)&lt;=1,e_base-cc_bajo*LOG10(MAX(CG27,sv_piso)/sv_piso),e_base-cc_bajo*LOG10(1/sv_piso)-cc_alto*LOG10(CG27))</f>
        <v/>
      </c>
      <c r="CI27" t="n">
        <v>0.42686</v>
      </c>
      <c r="CJ27">
        <f>DEGREES(ATAN(TAN(RADIANS(pe0-omega*(e_base)))*(CG27/sref)^(m_-1)))</f>
        <v/>
      </c>
      <c r="CK27">
        <f>DEGREES(ATAN(TAN(RADIANS(pe0-omega*(CH27)))*(CG27/sref)^(m_-1)))</f>
        <v/>
      </c>
      <c r="CL27">
        <f>IF(ISNUMBER(CI27),DEGREES(ATAN(TAN(RADIANS(pe0-omega*(CI27)))*(CG27/sref)^(m_-1))),NA())</f>
        <v/>
      </c>
      <c r="CN27" t="n">
        <v>0.2988687251127763</v>
      </c>
      <c r="CP27" t="n">
        <v>30.95993125587627</v>
      </c>
    </row>
    <row r="28">
      <c r="A28" t="n">
        <v>0.05351</v>
      </c>
      <c r="B28">
        <f>DEGREES(ATAN(TAN(RADIANS(pe0-omega*e_base))*(A28/sref)^(m_-1)))</f>
        <v/>
      </c>
      <c r="C28">
        <f>MIN(tope,B28)</f>
        <v/>
      </c>
      <c r="D28">
        <f>IF(B28&gt;tope,B28,NA())</f>
        <v/>
      </c>
      <c r="E28">
        <f>MIN(DEGREES(ATAN(TAN(RADIANS(Parametros!$E$12-omega*e_base))*(A28/sref)^(Parametros!$B$12-1))),DEGREES(ATAN(TAN(RADIANS(Parametros!$E$13-omega*e_base))*(A28/sref)^(Parametros!$B$13-1))),DEGREES(ATAN(TAN(RADIANS(Parametros!$E$14-omega*e_base))*(A28/sref)^(Parametros!$B$14-1))),DEGREES(ATAN(TAN(RADIANS(Parametros!$E$15-omega*e_base))*(A28/sref)^(Parametros!$B$15-1))),DEGREES(ATAN(TAN(RADIANS(Parametros!$E$16-omega*e_base))*(A28/sref)^(Parametros!$B$16-1))))</f>
        <v/>
      </c>
      <c r="F28">
        <f>MAX(DEGREES(ATAN(TAN(RADIANS(Parametros!$F$12-omega*e_base))*(A28/sref)^(Parametros!$B$12-1))),DEGREES(ATAN(TAN(RADIANS(Parametros!$F$13-omega*e_base))*(A28/sref)^(Parametros!$B$13-1))),DEGREES(ATAN(TAN(RADIANS(Parametros!$F$14-omega*e_base))*(A28/sref)^(Parametros!$B$14-1))),DEGREES(ATAN(TAN(RADIANS(Parametros!$F$15-omega*e_base))*(A28/sref)^(Parametros!$B$15-1))),DEGREES(ATAN(TAN(RADIANS(Parametros!$F$16-omega*e_base))*(A28/sref)^(Parametros!$B$16-1))))</f>
        <v/>
      </c>
      <c r="G28">
        <f>DEGREES(ATAN(TAN(RADIANS(46.0))*(A28/sref)^(0.9-1)))</f>
        <v/>
      </c>
      <c r="H28">
        <f>DEGREES(ATAN(TAN(RADIANS(41.0))*(A28/sref)^(0.9-1)))</f>
        <v/>
      </c>
      <c r="I28">
        <f>DEGREES(ATAN(TAN(RADIANS(36.0))*(A28/sref)^(0.9-1)))</f>
        <v/>
      </c>
      <c r="J28">
        <f>DEGREES(ATAN(TAN(RADIANS(33.0))*(A28/sref)^(0.9-1)))</f>
        <v/>
      </c>
      <c r="K28">
        <f>A28*TAN(RADIANS(C28))</f>
        <v/>
      </c>
      <c r="L28">
        <f>A28*TAN(RADIANS(G28))</f>
        <v/>
      </c>
      <c r="M28">
        <f>A28*TAN(RADIANS(H28))</f>
        <v/>
      </c>
      <c r="N28">
        <f>A28*TAN(RADIANS(I28))</f>
        <v/>
      </c>
      <c r="O28">
        <f>A28*TAN(RADIANS(J28))</f>
        <v/>
      </c>
      <c r="Q28" t="n">
        <v>0.1364430427741463</v>
      </c>
      <c r="R28">
        <f>MAX(DEGREES(ATAN(TAN(RADIANS(Parametros!$F$12-omega*e_base))*(Q28/sref)^(Parametros!$B$12-1))),DEGREES(ATAN(TAN(RADIANS(Parametros!$F$13-omega*e_base))*(Q28/sref)^(Parametros!$B$13-1))),DEGREES(ATAN(TAN(RADIANS(Parametros!$F$14-omega*e_base))*(Q28/sref)^(Parametros!$B$14-1))),DEGREES(ATAN(TAN(RADIANS(Parametros!$F$15-omega*e_base))*(Q28/sref)^(Parametros!$B$15-1))),DEGREES(ATAN(TAN(RADIANS(Parametros!$F$16-omega*e_base))*(Q28/sref)^(Parametros!$B$16-1))))</f>
        <v/>
      </c>
      <c r="T28" t="n">
        <v>0.729112426035503</v>
      </c>
      <c r="U28">
        <f>T28*TAN(RADIANS(MAX(DEGREES(ATAN(TAN(RADIANS(Parametros!$F$12-omega*e_base))*(T28/sref)^(Parametros!$B$12-1))),DEGREES(ATAN(TAN(RADIANS(Parametros!$F$13-omega*e_base))*(T28/sref)^(Parametros!$B$13-1))),DEGREES(ATAN(TAN(RADIANS(Parametros!$F$14-omega*e_base))*(T28/sref)^(Parametros!$B$14-1))),DEGREES(ATAN(TAN(RADIANS(Parametros!$F$15-omega*e_base))*(T28/sref)^(Parametros!$B$15-1))),DEGREES(ATAN(TAN(RADIANS(Parametros!$F$16-omega*e_base))*(T28/sref)^(Parametros!$B$16-1))))))</f>
        <v/>
      </c>
      <c r="W28" t="n">
        <v>5.478565953353718</v>
      </c>
      <c r="X28" t="n">
        <v>56</v>
      </c>
      <c r="Y28" t="n">
        <v>15</v>
      </c>
      <c r="Z28" t="n">
        <v>30.74285714285705</v>
      </c>
      <c r="AB28" t="n">
        <v>5.658753943274768</v>
      </c>
      <c r="AC28" t="n">
        <v>10.5</v>
      </c>
      <c r="AD28" t="n">
        <v>15</v>
      </c>
      <c r="AE28" t="n">
        <v>2.700000000000017</v>
      </c>
      <c r="AG28" t="n">
        <v>5.478565953353718</v>
      </c>
      <c r="AH28" t="n">
        <v>58</v>
      </c>
      <c r="AI28" t="n">
        <v>15</v>
      </c>
      <c r="AJ28" t="n">
        <v>31.25714285714276</v>
      </c>
      <c r="AL28">
        <f>Ensayos!M27</f>
        <v/>
      </c>
      <c r="AM28">
        <f>Ensayos!P27</f>
        <v/>
      </c>
      <c r="AN28">
        <f>IF(AND(Ensayos!$D27="Mármol",LEFT(Ensayos!$E27,7)="Triaxia"),Ensayos!P27,NA())</f>
        <v/>
      </c>
      <c r="AO28">
        <f>IF(AND(Ensayos!$D27="Mármol",NOT(LEFT(Ensayos!$E27,7)="Triaxia")),Ensayos!P27,NA())</f>
        <v/>
      </c>
      <c r="AP28">
        <f>IF(AND(Ensayos!$D27="Hornfels",LEFT(Ensayos!$E27,7)="Triaxia"),Ensayos!P27,NA())</f>
        <v/>
      </c>
      <c r="AQ28">
        <f>IF(AND(Ensayos!$D27="Hornfels",NOT(LEFT(Ensayos!$E27,7)="Triaxia")),Ensayos!P27,NA())</f>
        <v/>
      </c>
      <c r="AR28">
        <f>IF(AND(Ensayos!$D27="Intrusivo",LEFT(Ensayos!$E27,7)="Triaxia"),Ensayos!P27,NA())</f>
        <v/>
      </c>
      <c r="AS28">
        <f>IF(AND(Ensayos!$D27="Intrusivo",NOT(LEFT(Ensayos!$E27,7)="Triaxia")),Ensayos!P27,NA())</f>
        <v/>
      </c>
      <c r="AT28">
        <f>IF(AND(Ensayos!$D27="Mezcla",LEFT(Ensayos!$E27,7)="Triaxia"),Ensayos!P27,NA())</f>
        <v/>
      </c>
      <c r="AU28">
        <f>IF(AND(Ensayos!$D27="Mezcla",NOT(LEFT(Ensayos!$E27,7)="Triaxia")),Ensayos!P27,NA())</f>
        <v/>
      </c>
      <c r="AV28">
        <f>IF(AND(Ensayos!$D27="Mármol",LEFT(Ensayos!$E27,7)="Triaxia"),Ensayos!M27*TAN(RADIANS(Ensayos!P27)),NA())</f>
        <v/>
      </c>
      <c r="AW28">
        <f>IF(AND(Ensayos!$D27="Mármol",NOT(LEFT(Ensayos!$E27,7)="Triaxia")),Ensayos!M27*TAN(RADIANS(Ensayos!P27)),NA())</f>
        <v/>
      </c>
      <c r="AX28">
        <f>IF(AND(Ensayos!$D27="Hornfels",LEFT(Ensayos!$E27,7)="Triaxia"),Ensayos!M27*TAN(RADIANS(Ensayos!P27)),NA())</f>
        <v/>
      </c>
      <c r="AY28">
        <f>IF(AND(Ensayos!$D27="Hornfels",NOT(LEFT(Ensayos!$E27,7)="Triaxia")),Ensayos!M27*TAN(RADIANS(Ensayos!P27)),NA())</f>
        <v/>
      </c>
      <c r="AZ28">
        <f>IF(AND(Ensayos!$D27="Intrusivo",LEFT(Ensayos!$E27,7)="Triaxia"),Ensayos!M27*TAN(RADIANS(Ensayos!P27)),NA())</f>
        <v/>
      </c>
      <c r="BA28">
        <f>IF(AND(Ensayos!$D27="Intrusivo",NOT(LEFT(Ensayos!$E27,7)="Triaxia")),Ensayos!M27*TAN(RADIANS(Ensayos!P27)),NA())</f>
        <v/>
      </c>
      <c r="BB28">
        <f>IF(AND(Ensayos!$D27="Mezcla",LEFT(Ensayos!$E27,7)="Triaxia"),Ensayos!M27*TAN(RADIANS(Ensayos!P27)),NA())</f>
        <v/>
      </c>
      <c r="BC28">
        <f>IF(AND(Ensayos!$D27="Mezcla",NOT(LEFT(Ensayos!$E27,7)="Triaxia")),Ensayos!M27*TAN(RADIANS(Ensayos!P27)),NA())</f>
        <v/>
      </c>
      <c r="BE28">
        <f>Base_mundial!C27</f>
        <v/>
      </c>
      <c r="BF28">
        <f>Base_mundial!E27-omega*(e_base-Base_mundial!B27)</f>
        <v/>
      </c>
      <c r="BG28">
        <f>BE28*TAN(RADIANS(BF28))</f>
        <v/>
      </c>
      <c r="BZ28" t="n">
        <v>250</v>
      </c>
      <c r="CA28" t="n">
        <v>0.2690047206882689</v>
      </c>
      <c r="CB28" t="n">
        <v>0.2345868018147318</v>
      </c>
      <c r="CG28" t="n">
        <v>0.4085654043992129</v>
      </c>
      <c r="CH28">
        <f>IF(MAX(CG28,sv_piso)&lt;=1,e_base-cc_bajo*LOG10(MAX(CG28,sv_piso)/sv_piso),e_base-cc_bajo*LOG10(1/sv_piso)-cc_alto*LOG10(CG28))</f>
        <v/>
      </c>
      <c r="CI28" t="n">
        <v>0.42553</v>
      </c>
      <c r="CJ28">
        <f>DEGREES(ATAN(TAN(RADIANS(pe0-omega*(e_base)))*(CG28/sref)^(m_-1)))</f>
        <v/>
      </c>
      <c r="CK28">
        <f>DEGREES(ATAN(TAN(RADIANS(pe0-omega*(CH28)))*(CG28/sref)^(m_-1)))</f>
        <v/>
      </c>
      <c r="CL28">
        <f>IF(ISNUMBER(CI28),DEGREES(ATAN(TAN(RADIANS(pe0-omega*(CI28)))*(CG28/sref)^(m_-1))),NA())</f>
        <v/>
      </c>
      <c r="CN28" t="n">
        <v>0.4833032042637348</v>
      </c>
      <c r="CP28" t="n">
        <v>29.7275517743612</v>
      </c>
    </row>
    <row r="29">
      <c r="A29" t="n">
        <v>0.05723</v>
      </c>
      <c r="B29">
        <f>DEGREES(ATAN(TAN(RADIANS(pe0-omega*e_base))*(A29/sref)^(m_-1)))</f>
        <v/>
      </c>
      <c r="C29">
        <f>MIN(tope,B29)</f>
        <v/>
      </c>
      <c r="D29">
        <f>IF(B29&gt;tope,B29,NA())</f>
        <v/>
      </c>
      <c r="E29">
        <f>MIN(DEGREES(ATAN(TAN(RADIANS(Parametros!$E$12-omega*e_base))*(A29/sref)^(Parametros!$B$12-1))),DEGREES(ATAN(TAN(RADIANS(Parametros!$E$13-omega*e_base))*(A29/sref)^(Parametros!$B$13-1))),DEGREES(ATAN(TAN(RADIANS(Parametros!$E$14-omega*e_base))*(A29/sref)^(Parametros!$B$14-1))),DEGREES(ATAN(TAN(RADIANS(Parametros!$E$15-omega*e_base))*(A29/sref)^(Parametros!$B$15-1))),DEGREES(ATAN(TAN(RADIANS(Parametros!$E$16-omega*e_base))*(A29/sref)^(Parametros!$B$16-1))))</f>
        <v/>
      </c>
      <c r="F29">
        <f>MAX(DEGREES(ATAN(TAN(RADIANS(Parametros!$F$12-omega*e_base))*(A29/sref)^(Parametros!$B$12-1))),DEGREES(ATAN(TAN(RADIANS(Parametros!$F$13-omega*e_base))*(A29/sref)^(Parametros!$B$13-1))),DEGREES(ATAN(TAN(RADIANS(Parametros!$F$14-omega*e_base))*(A29/sref)^(Parametros!$B$14-1))),DEGREES(ATAN(TAN(RADIANS(Parametros!$F$15-omega*e_base))*(A29/sref)^(Parametros!$B$15-1))),DEGREES(ATAN(TAN(RADIANS(Parametros!$F$16-omega*e_base))*(A29/sref)^(Parametros!$B$16-1))))</f>
        <v/>
      </c>
      <c r="G29">
        <f>DEGREES(ATAN(TAN(RADIANS(46.0))*(A29/sref)^(0.9-1)))</f>
        <v/>
      </c>
      <c r="H29">
        <f>DEGREES(ATAN(TAN(RADIANS(41.0))*(A29/sref)^(0.9-1)))</f>
        <v/>
      </c>
      <c r="I29">
        <f>DEGREES(ATAN(TAN(RADIANS(36.0))*(A29/sref)^(0.9-1)))</f>
        <v/>
      </c>
      <c r="J29">
        <f>DEGREES(ATAN(TAN(RADIANS(33.0))*(A29/sref)^(0.9-1)))</f>
        <v/>
      </c>
      <c r="K29">
        <f>A29*TAN(RADIANS(C29))</f>
        <v/>
      </c>
      <c r="L29">
        <f>A29*TAN(RADIANS(G29))</f>
        <v/>
      </c>
      <c r="M29">
        <f>A29*TAN(RADIANS(H29))</f>
        <v/>
      </c>
      <c r="N29">
        <f>A29*TAN(RADIANS(I29))</f>
        <v/>
      </c>
      <c r="O29">
        <f>A29*TAN(RADIANS(J29))</f>
        <v/>
      </c>
      <c r="AL29">
        <f>Ensayos!M28</f>
        <v/>
      </c>
      <c r="AM29">
        <f>Ensayos!P28</f>
        <v/>
      </c>
      <c r="AN29">
        <f>IF(AND(Ensayos!$D28="Mármol",LEFT(Ensayos!$E28,7)="Triaxia"),Ensayos!P28,NA())</f>
        <v/>
      </c>
      <c r="AO29">
        <f>IF(AND(Ensayos!$D28="Mármol",NOT(LEFT(Ensayos!$E28,7)="Triaxia")),Ensayos!P28,NA())</f>
        <v/>
      </c>
      <c r="AP29">
        <f>IF(AND(Ensayos!$D28="Hornfels",LEFT(Ensayos!$E28,7)="Triaxia"),Ensayos!P28,NA())</f>
        <v/>
      </c>
      <c r="AQ29">
        <f>IF(AND(Ensayos!$D28="Hornfels",NOT(LEFT(Ensayos!$E28,7)="Triaxia")),Ensayos!P28,NA())</f>
        <v/>
      </c>
      <c r="AR29">
        <f>IF(AND(Ensayos!$D28="Intrusivo",LEFT(Ensayos!$E28,7)="Triaxia"),Ensayos!P28,NA())</f>
        <v/>
      </c>
      <c r="AS29">
        <f>IF(AND(Ensayos!$D28="Intrusivo",NOT(LEFT(Ensayos!$E28,7)="Triaxia")),Ensayos!P28,NA())</f>
        <v/>
      </c>
      <c r="AT29">
        <f>IF(AND(Ensayos!$D28="Mezcla",LEFT(Ensayos!$E28,7)="Triaxia"),Ensayos!P28,NA())</f>
        <v/>
      </c>
      <c r="AU29">
        <f>IF(AND(Ensayos!$D28="Mezcla",NOT(LEFT(Ensayos!$E28,7)="Triaxia")),Ensayos!P28,NA())</f>
        <v/>
      </c>
      <c r="AV29">
        <f>IF(AND(Ensayos!$D28="Mármol",LEFT(Ensayos!$E28,7)="Triaxia"),Ensayos!M28*TAN(RADIANS(Ensayos!P28)),NA())</f>
        <v/>
      </c>
      <c r="AW29">
        <f>IF(AND(Ensayos!$D28="Mármol",NOT(LEFT(Ensayos!$E28,7)="Triaxia")),Ensayos!M28*TAN(RADIANS(Ensayos!P28)),NA())</f>
        <v/>
      </c>
      <c r="AX29">
        <f>IF(AND(Ensayos!$D28="Hornfels",LEFT(Ensayos!$E28,7)="Triaxia"),Ensayos!M28*TAN(RADIANS(Ensayos!P28)),NA())</f>
        <v/>
      </c>
      <c r="AY29">
        <f>IF(AND(Ensayos!$D28="Hornfels",NOT(LEFT(Ensayos!$E28,7)="Triaxia")),Ensayos!M28*TAN(RADIANS(Ensayos!P28)),NA())</f>
        <v/>
      </c>
      <c r="AZ29">
        <f>IF(AND(Ensayos!$D28="Intrusivo",LEFT(Ensayos!$E28,7)="Triaxia"),Ensayos!M28*TAN(RADIANS(Ensayos!P28)),NA())</f>
        <v/>
      </c>
      <c r="BA29">
        <f>IF(AND(Ensayos!$D28="Intrusivo",NOT(LEFT(Ensayos!$E28,7)="Triaxia")),Ensayos!M28*TAN(RADIANS(Ensayos!P28)),NA())</f>
        <v/>
      </c>
      <c r="BB29">
        <f>IF(AND(Ensayos!$D28="Mezcla",LEFT(Ensayos!$E28,7)="Triaxia"),Ensayos!M28*TAN(RADIANS(Ensayos!P28)),NA())</f>
        <v/>
      </c>
      <c r="BC29">
        <f>IF(AND(Ensayos!$D28="Mezcla",NOT(LEFT(Ensayos!$E28,7)="Triaxia")),Ensayos!M28*TAN(RADIANS(Ensayos!P28)),NA())</f>
        <v/>
      </c>
      <c r="BE29">
        <f>Base_mundial!C28</f>
        <v/>
      </c>
      <c r="BF29">
        <f>Base_mundial!E28-omega*(e_base-Base_mundial!B28)</f>
        <v/>
      </c>
      <c r="BG29">
        <f>BE29*TAN(RADIANS(BF29))</f>
        <v/>
      </c>
      <c r="BZ29" t="n">
        <v>260</v>
      </c>
      <c r="CA29" t="n">
        <v>0.2669819057577048</v>
      </c>
      <c r="CB29" t="n">
        <v>0.2286920920488054</v>
      </c>
      <c r="CG29" t="n">
        <v>0.4322271598981089</v>
      </c>
      <c r="CH29">
        <f>IF(MAX(CG29,sv_piso)&lt;=1,e_base-cc_bajo*LOG10(MAX(CG29,sv_piso)/sv_piso),e_base-cc_bajo*LOG10(1/sv_piso)-cc_alto*LOG10(CG29))</f>
        <v/>
      </c>
      <c r="CI29" t="n">
        <v>0.42412</v>
      </c>
      <c r="CJ29">
        <f>DEGREES(ATAN(TAN(RADIANS(pe0-omega*(e_base)))*(CG29/sref)^(m_-1)))</f>
        <v/>
      </c>
      <c r="CK29">
        <f>DEGREES(ATAN(TAN(RADIANS(pe0-omega*(CH29)))*(CG29/sref)^(m_-1)))</f>
        <v/>
      </c>
      <c r="CL29">
        <f>IF(ISNUMBER(CI29),DEGREES(ATAN(TAN(RADIANS(pe0-omega*(CI29)))*(CG29/sref)^(m_-1))),NA())</f>
        <v/>
      </c>
      <c r="CN29" t="n">
        <v>0.7502762606833721</v>
      </c>
      <c r="CP29" t="n">
        <v>30.71880752937584</v>
      </c>
    </row>
    <row r="30">
      <c r="A30" t="n">
        <v>0.0612</v>
      </c>
      <c r="B30">
        <f>DEGREES(ATAN(TAN(RADIANS(pe0-omega*e_base))*(A30/sref)^(m_-1)))</f>
        <v/>
      </c>
      <c r="C30">
        <f>MIN(tope,B30)</f>
        <v/>
      </c>
      <c r="D30">
        <f>IF(B30&gt;tope,B30,NA())</f>
        <v/>
      </c>
      <c r="E30">
        <f>MIN(DEGREES(ATAN(TAN(RADIANS(Parametros!$E$12-omega*e_base))*(A30/sref)^(Parametros!$B$12-1))),DEGREES(ATAN(TAN(RADIANS(Parametros!$E$13-omega*e_base))*(A30/sref)^(Parametros!$B$13-1))),DEGREES(ATAN(TAN(RADIANS(Parametros!$E$14-omega*e_base))*(A30/sref)^(Parametros!$B$14-1))),DEGREES(ATAN(TAN(RADIANS(Parametros!$E$15-omega*e_base))*(A30/sref)^(Parametros!$B$15-1))),DEGREES(ATAN(TAN(RADIANS(Parametros!$E$16-omega*e_base))*(A30/sref)^(Parametros!$B$16-1))))</f>
        <v/>
      </c>
      <c r="F30">
        <f>MAX(DEGREES(ATAN(TAN(RADIANS(Parametros!$F$12-omega*e_base))*(A30/sref)^(Parametros!$B$12-1))),DEGREES(ATAN(TAN(RADIANS(Parametros!$F$13-omega*e_base))*(A30/sref)^(Parametros!$B$13-1))),DEGREES(ATAN(TAN(RADIANS(Parametros!$F$14-omega*e_base))*(A30/sref)^(Parametros!$B$14-1))),DEGREES(ATAN(TAN(RADIANS(Parametros!$F$15-omega*e_base))*(A30/sref)^(Parametros!$B$15-1))),DEGREES(ATAN(TAN(RADIANS(Parametros!$F$16-omega*e_base))*(A30/sref)^(Parametros!$B$16-1))))</f>
        <v/>
      </c>
      <c r="G30">
        <f>DEGREES(ATAN(TAN(RADIANS(46.0))*(A30/sref)^(0.9-1)))</f>
        <v/>
      </c>
      <c r="H30">
        <f>DEGREES(ATAN(TAN(RADIANS(41.0))*(A30/sref)^(0.9-1)))</f>
        <v/>
      </c>
      <c r="I30">
        <f>DEGREES(ATAN(TAN(RADIANS(36.0))*(A30/sref)^(0.9-1)))</f>
        <v/>
      </c>
      <c r="J30">
        <f>DEGREES(ATAN(TAN(RADIANS(33.0))*(A30/sref)^(0.9-1)))</f>
        <v/>
      </c>
      <c r="K30">
        <f>A30*TAN(RADIANS(C30))</f>
        <v/>
      </c>
      <c r="L30">
        <f>A30*TAN(RADIANS(G30))</f>
        <v/>
      </c>
      <c r="M30">
        <f>A30*TAN(RADIANS(H30))</f>
        <v/>
      </c>
      <c r="N30">
        <f>A30*TAN(RADIANS(I30))</f>
        <v/>
      </c>
      <c r="O30">
        <f>A30*TAN(RADIANS(J30))</f>
        <v/>
      </c>
      <c r="Q30" t="n">
        <v>0.141847053990226</v>
      </c>
      <c r="R30">
        <f>MIN(DEGREES(ATAN(TAN(RADIANS(Parametros!$E$12-omega*e_base))*(Q30/sref)^(Parametros!$B$12-1))),DEGREES(ATAN(TAN(RADIANS(Parametros!$E$13-omega*e_base))*(Q30/sref)^(Parametros!$B$13-1))),DEGREES(ATAN(TAN(RADIANS(Parametros!$E$14-omega*e_base))*(Q30/sref)^(Parametros!$B$14-1))),DEGREES(ATAN(TAN(RADIANS(Parametros!$E$15-omega*e_base))*(Q30/sref)^(Parametros!$B$15-1))),DEGREES(ATAN(TAN(RADIANS(Parametros!$E$16-omega*e_base))*(Q30/sref)^(Parametros!$B$16-1))))</f>
        <v/>
      </c>
      <c r="T30" t="n">
        <v>0.8177514792899409</v>
      </c>
      <c r="U30">
        <f>T30*TAN(RADIANS(MIN(DEGREES(ATAN(TAN(RADIANS(Parametros!$E$12-omega*e_base))*(T30/sref)^(Parametros!$B$12-1))),DEGREES(ATAN(TAN(RADIANS(Parametros!$E$13-omega*e_base))*(T30/sref)^(Parametros!$B$13-1))),DEGREES(ATAN(TAN(RADIANS(Parametros!$E$14-omega*e_base))*(T30/sref)^(Parametros!$B$14-1))),DEGREES(ATAN(TAN(RADIANS(Parametros!$E$15-omega*e_base))*(T30/sref)^(Parametros!$B$15-1))),DEGREES(ATAN(TAN(RADIANS(Parametros!$E$16-omega*e_base))*(T30/sref)^(Parametros!$B$16-1))))))</f>
        <v/>
      </c>
      <c r="W30" t="n">
        <v>5.59615895169994</v>
      </c>
      <c r="X30" t="n">
        <v>22</v>
      </c>
      <c r="AB30" t="n">
        <v>5.788279305550336</v>
      </c>
      <c r="AC30" t="n">
        <v>0</v>
      </c>
      <c r="AG30" t="n">
        <v>5.59615895169994</v>
      </c>
      <c r="AH30" t="n">
        <v>22</v>
      </c>
      <c r="AL30">
        <f>Ensayos!M29</f>
        <v/>
      </c>
      <c r="AM30">
        <f>Ensayos!P29</f>
        <v/>
      </c>
      <c r="AN30">
        <f>IF(AND(Ensayos!$D29="Mármol",LEFT(Ensayos!$E29,7)="Triaxia"),Ensayos!P29,NA())</f>
        <v/>
      </c>
      <c r="AO30">
        <f>IF(AND(Ensayos!$D29="Mármol",NOT(LEFT(Ensayos!$E29,7)="Triaxia")),Ensayos!P29,NA())</f>
        <v/>
      </c>
      <c r="AP30">
        <f>IF(AND(Ensayos!$D29="Hornfels",LEFT(Ensayos!$E29,7)="Triaxia"),Ensayos!P29,NA())</f>
        <v/>
      </c>
      <c r="AQ30">
        <f>IF(AND(Ensayos!$D29="Hornfels",NOT(LEFT(Ensayos!$E29,7)="Triaxia")),Ensayos!P29,NA())</f>
        <v/>
      </c>
      <c r="AR30">
        <f>IF(AND(Ensayos!$D29="Intrusivo",LEFT(Ensayos!$E29,7)="Triaxia"),Ensayos!P29,NA())</f>
        <v/>
      </c>
      <c r="AS30">
        <f>IF(AND(Ensayos!$D29="Intrusivo",NOT(LEFT(Ensayos!$E29,7)="Triaxia")),Ensayos!P29,NA())</f>
        <v/>
      </c>
      <c r="AT30">
        <f>IF(AND(Ensayos!$D29="Mezcla",LEFT(Ensayos!$E29,7)="Triaxia"),Ensayos!P29,NA())</f>
        <v/>
      </c>
      <c r="AU30">
        <f>IF(AND(Ensayos!$D29="Mezcla",NOT(LEFT(Ensayos!$E29,7)="Triaxia")),Ensayos!P29,NA())</f>
        <v/>
      </c>
      <c r="AV30">
        <f>IF(AND(Ensayos!$D29="Mármol",LEFT(Ensayos!$E29,7)="Triaxia"),Ensayos!M29*TAN(RADIANS(Ensayos!P29)),NA())</f>
        <v/>
      </c>
      <c r="AW30">
        <f>IF(AND(Ensayos!$D29="Mármol",NOT(LEFT(Ensayos!$E29,7)="Triaxia")),Ensayos!M29*TAN(RADIANS(Ensayos!P29)),NA())</f>
        <v/>
      </c>
      <c r="AX30">
        <f>IF(AND(Ensayos!$D29="Hornfels",LEFT(Ensayos!$E29,7)="Triaxia"),Ensayos!M29*TAN(RADIANS(Ensayos!P29)),NA())</f>
        <v/>
      </c>
      <c r="AY30">
        <f>IF(AND(Ensayos!$D29="Hornfels",NOT(LEFT(Ensayos!$E29,7)="Triaxia")),Ensayos!M29*TAN(RADIANS(Ensayos!P29)),NA())</f>
        <v/>
      </c>
      <c r="AZ30">
        <f>IF(AND(Ensayos!$D29="Intrusivo",LEFT(Ensayos!$E29,7)="Triaxia"),Ensayos!M29*TAN(RADIANS(Ensayos!P29)),NA())</f>
        <v/>
      </c>
      <c r="BA30">
        <f>IF(AND(Ensayos!$D29="Intrusivo",NOT(LEFT(Ensayos!$E29,7)="Triaxia")),Ensayos!M29*TAN(RADIANS(Ensayos!P29)),NA())</f>
        <v/>
      </c>
      <c r="BB30">
        <f>IF(AND(Ensayos!$D29="Mezcla",LEFT(Ensayos!$E29,7)="Triaxia"),Ensayos!M29*TAN(RADIANS(Ensayos!P29)),NA())</f>
        <v/>
      </c>
      <c r="BC30">
        <f>IF(AND(Ensayos!$D29="Mezcla",NOT(LEFT(Ensayos!$E29,7)="Triaxia")),Ensayos!M29*TAN(RADIANS(Ensayos!P29)),NA())</f>
        <v/>
      </c>
      <c r="BE30">
        <f>Base_mundial!C29</f>
        <v/>
      </c>
      <c r="BF30">
        <f>Base_mundial!E29-omega*(e_base-Base_mundial!B29)</f>
        <v/>
      </c>
      <c r="BG30">
        <f>BE30*TAN(RADIANS(BF30))</f>
        <v/>
      </c>
      <c r="BZ30" t="n">
        <v>270</v>
      </c>
      <c r="CA30" t="n">
        <v>0.2650351386676079</v>
      </c>
      <c r="CB30" t="n">
        <v>0.222797382282879</v>
      </c>
      <c r="CG30" t="n">
        <v>0.4572592680192806</v>
      </c>
      <c r="CH30">
        <f>IF(MAX(CG30,sv_piso)&lt;=1,e_base-cc_bajo*LOG10(MAX(CG30,sv_piso)/sv_piso),e_base-cc_bajo*LOG10(1/sv_piso)-cc_alto*LOG10(CG30))</f>
        <v/>
      </c>
      <c r="CI30" t="n">
        <v>0.42264</v>
      </c>
      <c r="CJ30">
        <f>DEGREES(ATAN(TAN(RADIANS(pe0-omega*(e_base)))*(CG30/sref)^(m_-1)))</f>
        <v/>
      </c>
      <c r="CK30">
        <f>DEGREES(ATAN(TAN(RADIANS(pe0-omega*(CH30)))*(CG30/sref)^(m_-1)))</f>
        <v/>
      </c>
      <c r="CL30">
        <f>IF(ISNUMBER(CI30),DEGREES(ATAN(TAN(RADIANS(pe0-omega*(CI30)))*(CG30/sref)^(m_-1))),NA())</f>
        <v/>
      </c>
      <c r="CN30" t="n">
        <v>0.3955913439355597</v>
      </c>
      <c r="CP30" t="n">
        <v>38.78572747826866</v>
      </c>
    </row>
    <row r="31">
      <c r="A31" t="n">
        <v>0.06544999999999999</v>
      </c>
      <c r="B31">
        <f>DEGREES(ATAN(TAN(RADIANS(pe0-omega*e_base))*(A31/sref)^(m_-1)))</f>
        <v/>
      </c>
      <c r="C31">
        <f>MIN(tope,B31)</f>
        <v/>
      </c>
      <c r="D31">
        <f>IF(B31&gt;tope,B31,NA())</f>
        <v/>
      </c>
      <c r="E31">
        <f>MIN(DEGREES(ATAN(TAN(RADIANS(Parametros!$E$12-omega*e_base))*(A31/sref)^(Parametros!$B$12-1))),DEGREES(ATAN(TAN(RADIANS(Parametros!$E$13-omega*e_base))*(A31/sref)^(Parametros!$B$13-1))),DEGREES(ATAN(TAN(RADIANS(Parametros!$E$14-omega*e_base))*(A31/sref)^(Parametros!$B$14-1))),DEGREES(ATAN(TAN(RADIANS(Parametros!$E$15-omega*e_base))*(A31/sref)^(Parametros!$B$15-1))),DEGREES(ATAN(TAN(RADIANS(Parametros!$E$16-omega*e_base))*(A31/sref)^(Parametros!$B$16-1))))</f>
        <v/>
      </c>
      <c r="F31">
        <f>MAX(DEGREES(ATAN(TAN(RADIANS(Parametros!$F$12-omega*e_base))*(A31/sref)^(Parametros!$B$12-1))),DEGREES(ATAN(TAN(RADIANS(Parametros!$F$13-omega*e_base))*(A31/sref)^(Parametros!$B$13-1))),DEGREES(ATAN(TAN(RADIANS(Parametros!$F$14-omega*e_base))*(A31/sref)^(Parametros!$B$14-1))),DEGREES(ATAN(TAN(RADIANS(Parametros!$F$15-omega*e_base))*(A31/sref)^(Parametros!$B$15-1))),DEGREES(ATAN(TAN(RADIANS(Parametros!$F$16-omega*e_base))*(A31/sref)^(Parametros!$B$16-1))))</f>
        <v/>
      </c>
      <c r="G31">
        <f>DEGREES(ATAN(TAN(RADIANS(46.0))*(A31/sref)^(0.9-1)))</f>
        <v/>
      </c>
      <c r="H31">
        <f>DEGREES(ATAN(TAN(RADIANS(41.0))*(A31/sref)^(0.9-1)))</f>
        <v/>
      </c>
      <c r="I31">
        <f>DEGREES(ATAN(TAN(RADIANS(36.0))*(A31/sref)^(0.9-1)))</f>
        <v/>
      </c>
      <c r="J31">
        <f>DEGREES(ATAN(TAN(RADIANS(33.0))*(A31/sref)^(0.9-1)))</f>
        <v/>
      </c>
      <c r="K31">
        <f>A31*TAN(RADIANS(C31))</f>
        <v/>
      </c>
      <c r="L31">
        <f>A31*TAN(RADIANS(G31))</f>
        <v/>
      </c>
      <c r="M31">
        <f>A31*TAN(RADIANS(H31))</f>
        <v/>
      </c>
      <c r="N31">
        <f>A31*TAN(RADIANS(I31))</f>
        <v/>
      </c>
      <c r="O31">
        <f>A31*TAN(RADIANS(J31))</f>
        <v/>
      </c>
      <c r="Q31" t="n">
        <v>0.141847053990226</v>
      </c>
      <c r="R31">
        <f>MAX(DEGREES(ATAN(TAN(RADIANS(Parametros!$F$12-omega*e_base))*(Q31/sref)^(Parametros!$B$12-1))),DEGREES(ATAN(TAN(RADIANS(Parametros!$F$13-omega*e_base))*(Q31/sref)^(Parametros!$B$13-1))),DEGREES(ATAN(TAN(RADIANS(Parametros!$F$14-omega*e_base))*(Q31/sref)^(Parametros!$B$14-1))),DEGREES(ATAN(TAN(RADIANS(Parametros!$F$15-omega*e_base))*(Q31/sref)^(Parametros!$B$15-1))),DEGREES(ATAN(TAN(RADIANS(Parametros!$F$16-omega*e_base))*(Q31/sref)^(Parametros!$B$16-1))))</f>
        <v/>
      </c>
      <c r="T31" t="n">
        <v>0.8177514792899409</v>
      </c>
      <c r="U31">
        <f>T31*TAN(RADIANS(MAX(DEGREES(ATAN(TAN(RADIANS(Parametros!$F$12-omega*e_base))*(T31/sref)^(Parametros!$B$12-1))),DEGREES(ATAN(TAN(RADIANS(Parametros!$F$13-omega*e_base))*(T31/sref)^(Parametros!$B$13-1))),DEGREES(ATAN(TAN(RADIANS(Parametros!$F$14-omega*e_base))*(T31/sref)^(Parametros!$B$14-1))),DEGREES(ATAN(TAN(RADIANS(Parametros!$F$15-omega*e_base))*(T31/sref)^(Parametros!$B$15-1))),DEGREES(ATAN(TAN(RADIANS(Parametros!$F$16-omega*e_base))*(T31/sref)^(Parametros!$B$16-1))))))</f>
        <v/>
      </c>
      <c r="W31" t="n">
        <v>5.59615895169994</v>
      </c>
      <c r="X31" t="n">
        <v>56</v>
      </c>
      <c r="AB31" t="n">
        <v>5.788279305550336</v>
      </c>
      <c r="AC31" t="n">
        <v>10.5</v>
      </c>
      <c r="AG31" t="n">
        <v>5.59615895169994</v>
      </c>
      <c r="AH31" t="n">
        <v>58</v>
      </c>
      <c r="AL31">
        <f>Ensayos!M30</f>
        <v/>
      </c>
      <c r="AM31">
        <f>Ensayos!P30</f>
        <v/>
      </c>
      <c r="AN31">
        <f>IF(AND(Ensayos!$D30="Mármol",LEFT(Ensayos!$E30,7)="Triaxia"),Ensayos!P30,NA())</f>
        <v/>
      </c>
      <c r="AO31">
        <f>IF(AND(Ensayos!$D30="Mármol",NOT(LEFT(Ensayos!$E30,7)="Triaxia")),Ensayos!P30,NA())</f>
        <v/>
      </c>
      <c r="AP31">
        <f>IF(AND(Ensayos!$D30="Hornfels",LEFT(Ensayos!$E30,7)="Triaxia"),Ensayos!P30,NA())</f>
        <v/>
      </c>
      <c r="AQ31">
        <f>IF(AND(Ensayos!$D30="Hornfels",NOT(LEFT(Ensayos!$E30,7)="Triaxia")),Ensayos!P30,NA())</f>
        <v/>
      </c>
      <c r="AR31">
        <f>IF(AND(Ensayos!$D30="Intrusivo",LEFT(Ensayos!$E30,7)="Triaxia"),Ensayos!P30,NA())</f>
        <v/>
      </c>
      <c r="AS31">
        <f>IF(AND(Ensayos!$D30="Intrusivo",NOT(LEFT(Ensayos!$E30,7)="Triaxia")),Ensayos!P30,NA())</f>
        <v/>
      </c>
      <c r="AT31">
        <f>IF(AND(Ensayos!$D30="Mezcla",LEFT(Ensayos!$E30,7)="Triaxia"),Ensayos!P30,NA())</f>
        <v/>
      </c>
      <c r="AU31">
        <f>IF(AND(Ensayos!$D30="Mezcla",NOT(LEFT(Ensayos!$E30,7)="Triaxia")),Ensayos!P30,NA())</f>
        <v/>
      </c>
      <c r="AV31">
        <f>IF(AND(Ensayos!$D30="Mármol",LEFT(Ensayos!$E30,7)="Triaxia"),Ensayos!M30*TAN(RADIANS(Ensayos!P30)),NA())</f>
        <v/>
      </c>
      <c r="AW31">
        <f>IF(AND(Ensayos!$D30="Mármol",NOT(LEFT(Ensayos!$E30,7)="Triaxia")),Ensayos!M30*TAN(RADIANS(Ensayos!P30)),NA())</f>
        <v/>
      </c>
      <c r="AX31">
        <f>IF(AND(Ensayos!$D30="Hornfels",LEFT(Ensayos!$E30,7)="Triaxia"),Ensayos!M30*TAN(RADIANS(Ensayos!P30)),NA())</f>
        <v/>
      </c>
      <c r="AY31">
        <f>IF(AND(Ensayos!$D30="Hornfels",NOT(LEFT(Ensayos!$E30,7)="Triaxia")),Ensayos!M30*TAN(RADIANS(Ensayos!P30)),NA())</f>
        <v/>
      </c>
      <c r="AZ31">
        <f>IF(AND(Ensayos!$D30="Intrusivo",LEFT(Ensayos!$E30,7)="Triaxia"),Ensayos!M30*TAN(RADIANS(Ensayos!P30)),NA())</f>
        <v/>
      </c>
      <c r="BA31">
        <f>IF(AND(Ensayos!$D30="Intrusivo",NOT(LEFT(Ensayos!$E30,7)="Triaxia")),Ensayos!M30*TAN(RADIANS(Ensayos!P30)),NA())</f>
        <v/>
      </c>
      <c r="BB31">
        <f>IF(AND(Ensayos!$D30="Mezcla",LEFT(Ensayos!$E30,7)="Triaxia"),Ensayos!M30*TAN(RADIANS(Ensayos!P30)),NA())</f>
        <v/>
      </c>
      <c r="BC31">
        <f>IF(AND(Ensayos!$D30="Mezcla",NOT(LEFT(Ensayos!$E30,7)="Triaxia")),Ensayos!M30*TAN(RADIANS(Ensayos!P30)),NA())</f>
        <v/>
      </c>
      <c r="BE31">
        <f>Base_mundial!C30</f>
        <v/>
      </c>
      <c r="BF31">
        <f>Base_mundial!E30-omega*(e_base-Base_mundial!B30)</f>
        <v/>
      </c>
      <c r="BG31">
        <f>BE31*TAN(RADIANS(BF31))</f>
        <v/>
      </c>
      <c r="BZ31" t="n">
        <v>280</v>
      </c>
      <c r="CA31" t="n">
        <v>0.2631589037617896</v>
      </c>
      <c r="CB31" t="n">
        <v>0.2169026725169526</v>
      </c>
      <c r="CG31" t="n">
        <v>0.4837410916954342</v>
      </c>
      <c r="CH31">
        <f>IF(MAX(CG31,sv_piso)&lt;=1,e_base-cc_bajo*LOG10(MAX(CG31,sv_piso)/sv_piso),e_base-cc_bajo*LOG10(1/sv_piso)-cc_alto*LOG10(CG31))</f>
        <v/>
      </c>
      <c r="CI31" t="n">
        <v>0.42107</v>
      </c>
      <c r="CJ31">
        <f>DEGREES(ATAN(TAN(RADIANS(pe0-omega*(e_base)))*(CG31/sref)^(m_-1)))</f>
        <v/>
      </c>
      <c r="CK31">
        <f>DEGREES(ATAN(TAN(RADIANS(pe0-omega*(CH31)))*(CG31/sref)^(m_-1)))</f>
        <v/>
      </c>
      <c r="CL31">
        <f>IF(ISNUMBER(CI31),DEGREES(ATAN(TAN(RADIANS(pe0-omega*(CI31)))*(CG31/sref)^(m_-1))),NA())</f>
        <v/>
      </c>
      <c r="CN31" t="n">
        <v>0.4229967908089778</v>
      </c>
      <c r="CP31" t="n">
        <v>37.95684979270763</v>
      </c>
    </row>
    <row r="32">
      <c r="A32" t="n">
        <v>0.06999</v>
      </c>
      <c r="B32">
        <f>DEGREES(ATAN(TAN(RADIANS(pe0-omega*e_base))*(A32/sref)^(m_-1)))</f>
        <v/>
      </c>
      <c r="C32">
        <f>MIN(tope,B32)</f>
        <v/>
      </c>
      <c r="D32">
        <f>IF(B32&gt;tope,B32,NA())</f>
        <v/>
      </c>
      <c r="E32">
        <f>MIN(DEGREES(ATAN(TAN(RADIANS(Parametros!$E$12-omega*e_base))*(A32/sref)^(Parametros!$B$12-1))),DEGREES(ATAN(TAN(RADIANS(Parametros!$E$13-omega*e_base))*(A32/sref)^(Parametros!$B$13-1))),DEGREES(ATAN(TAN(RADIANS(Parametros!$E$14-omega*e_base))*(A32/sref)^(Parametros!$B$14-1))),DEGREES(ATAN(TAN(RADIANS(Parametros!$E$15-omega*e_base))*(A32/sref)^(Parametros!$B$15-1))),DEGREES(ATAN(TAN(RADIANS(Parametros!$E$16-omega*e_base))*(A32/sref)^(Parametros!$B$16-1))))</f>
        <v/>
      </c>
      <c r="F32">
        <f>MAX(DEGREES(ATAN(TAN(RADIANS(Parametros!$F$12-omega*e_base))*(A32/sref)^(Parametros!$B$12-1))),DEGREES(ATAN(TAN(RADIANS(Parametros!$F$13-omega*e_base))*(A32/sref)^(Parametros!$B$13-1))),DEGREES(ATAN(TAN(RADIANS(Parametros!$F$14-omega*e_base))*(A32/sref)^(Parametros!$B$14-1))),DEGREES(ATAN(TAN(RADIANS(Parametros!$F$15-omega*e_base))*(A32/sref)^(Parametros!$B$15-1))),DEGREES(ATAN(TAN(RADIANS(Parametros!$F$16-omega*e_base))*(A32/sref)^(Parametros!$B$16-1))))</f>
        <v/>
      </c>
      <c r="G32">
        <f>DEGREES(ATAN(TAN(RADIANS(46.0))*(A32/sref)^(0.9-1)))</f>
        <v/>
      </c>
      <c r="H32">
        <f>DEGREES(ATAN(TAN(RADIANS(41.0))*(A32/sref)^(0.9-1)))</f>
        <v/>
      </c>
      <c r="I32">
        <f>DEGREES(ATAN(TAN(RADIANS(36.0))*(A32/sref)^(0.9-1)))</f>
        <v/>
      </c>
      <c r="J32">
        <f>DEGREES(ATAN(TAN(RADIANS(33.0))*(A32/sref)^(0.9-1)))</f>
        <v/>
      </c>
      <c r="K32">
        <f>A32*TAN(RADIANS(C32))</f>
        <v/>
      </c>
      <c r="L32">
        <f>A32*TAN(RADIANS(G32))</f>
        <v/>
      </c>
      <c r="M32">
        <f>A32*TAN(RADIANS(H32))</f>
        <v/>
      </c>
      <c r="N32">
        <f>A32*TAN(RADIANS(I32))</f>
        <v/>
      </c>
      <c r="O32">
        <f>A32*TAN(RADIANS(J32))</f>
        <v/>
      </c>
      <c r="AL32">
        <f>Ensayos!M31</f>
        <v/>
      </c>
      <c r="AM32">
        <f>Ensayos!P31</f>
        <v/>
      </c>
      <c r="AN32">
        <f>IF(AND(Ensayos!$D31="Mármol",LEFT(Ensayos!$E31,7)="Triaxia"),Ensayos!P31,NA())</f>
        <v/>
      </c>
      <c r="AO32">
        <f>IF(AND(Ensayos!$D31="Mármol",NOT(LEFT(Ensayos!$E31,7)="Triaxia")),Ensayos!P31,NA())</f>
        <v/>
      </c>
      <c r="AP32">
        <f>IF(AND(Ensayos!$D31="Hornfels",LEFT(Ensayos!$E31,7)="Triaxia"),Ensayos!P31,NA())</f>
        <v/>
      </c>
      <c r="AQ32">
        <f>IF(AND(Ensayos!$D31="Hornfels",NOT(LEFT(Ensayos!$E31,7)="Triaxia")),Ensayos!P31,NA())</f>
        <v/>
      </c>
      <c r="AR32">
        <f>IF(AND(Ensayos!$D31="Intrusivo",LEFT(Ensayos!$E31,7)="Triaxia"),Ensayos!P31,NA())</f>
        <v/>
      </c>
      <c r="AS32">
        <f>IF(AND(Ensayos!$D31="Intrusivo",NOT(LEFT(Ensayos!$E31,7)="Triaxia")),Ensayos!P31,NA())</f>
        <v/>
      </c>
      <c r="AT32">
        <f>IF(AND(Ensayos!$D31="Mezcla",LEFT(Ensayos!$E31,7)="Triaxia"),Ensayos!P31,NA())</f>
        <v/>
      </c>
      <c r="AU32">
        <f>IF(AND(Ensayos!$D31="Mezcla",NOT(LEFT(Ensayos!$E31,7)="Triaxia")),Ensayos!P31,NA())</f>
        <v/>
      </c>
      <c r="AV32">
        <f>IF(AND(Ensayos!$D31="Mármol",LEFT(Ensayos!$E31,7)="Triaxia"),Ensayos!M31*TAN(RADIANS(Ensayos!P31)),NA())</f>
        <v/>
      </c>
      <c r="AW32">
        <f>IF(AND(Ensayos!$D31="Mármol",NOT(LEFT(Ensayos!$E31,7)="Triaxia")),Ensayos!M31*TAN(RADIANS(Ensayos!P31)),NA())</f>
        <v/>
      </c>
      <c r="AX32">
        <f>IF(AND(Ensayos!$D31="Hornfels",LEFT(Ensayos!$E31,7)="Triaxia"),Ensayos!M31*TAN(RADIANS(Ensayos!P31)),NA())</f>
        <v/>
      </c>
      <c r="AY32">
        <f>IF(AND(Ensayos!$D31="Hornfels",NOT(LEFT(Ensayos!$E31,7)="Triaxia")),Ensayos!M31*TAN(RADIANS(Ensayos!P31)),NA())</f>
        <v/>
      </c>
      <c r="AZ32">
        <f>IF(AND(Ensayos!$D31="Intrusivo",LEFT(Ensayos!$E31,7)="Triaxia"),Ensayos!M31*TAN(RADIANS(Ensayos!P31)),NA())</f>
        <v/>
      </c>
      <c r="BA32">
        <f>IF(AND(Ensayos!$D31="Intrusivo",NOT(LEFT(Ensayos!$E31,7)="Triaxia")),Ensayos!M31*TAN(RADIANS(Ensayos!P31)),NA())</f>
        <v/>
      </c>
      <c r="BB32">
        <f>IF(AND(Ensayos!$D31="Mezcla",LEFT(Ensayos!$E31,7)="Triaxia"),Ensayos!M31*TAN(RADIANS(Ensayos!P31)),NA())</f>
        <v/>
      </c>
      <c r="BC32">
        <f>IF(AND(Ensayos!$D31="Mezcla",NOT(LEFT(Ensayos!$E31,7)="Triaxia")),Ensayos!M31*TAN(RADIANS(Ensayos!P31)),NA())</f>
        <v/>
      </c>
      <c r="BE32">
        <f>Base_mundial!C31</f>
        <v/>
      </c>
      <c r="BF32">
        <f>Base_mundial!E31-omega*(e_base-Base_mundial!B31)</f>
        <v/>
      </c>
      <c r="BG32">
        <f>BE32*TAN(RADIANS(BF32))</f>
        <v/>
      </c>
      <c r="BZ32" t="n">
        <v>290</v>
      </c>
      <c r="CA32" t="n">
        <v>0.2613482646358645</v>
      </c>
      <c r="CB32" t="n">
        <v>0.2126216728905671</v>
      </c>
      <c r="CG32" t="n">
        <v>0.5117565901033275</v>
      </c>
      <c r="CH32">
        <f>IF(MAX(CG32,sv_piso)&lt;=1,e_base-cc_bajo*LOG10(MAX(CG32,sv_piso)/sv_piso),e_base-cc_bajo*LOG10(1/sv_piso)-cc_alto*LOG10(CG32))</f>
        <v/>
      </c>
      <c r="CI32" t="n">
        <v>0.41941</v>
      </c>
      <c r="CJ32">
        <f>DEGREES(ATAN(TAN(RADIANS(pe0-omega*(e_base)))*(CG32/sref)^(m_-1)))</f>
        <v/>
      </c>
      <c r="CK32">
        <f>DEGREES(ATAN(TAN(RADIANS(pe0-omega*(CH32)))*(CG32/sref)^(m_-1)))</f>
        <v/>
      </c>
      <c r="CL32">
        <f>IF(ISNUMBER(CI32),DEGREES(ATAN(TAN(RADIANS(pe0-omega*(CI32)))*(CG32/sref)^(m_-1))),NA())</f>
        <v/>
      </c>
      <c r="CN32" t="n">
        <v>0.6463389404547389</v>
      </c>
      <c r="CP32" t="n">
        <v>31.0508966571185</v>
      </c>
    </row>
    <row r="33">
      <c r="A33" t="n">
        <v>0.07484</v>
      </c>
      <c r="B33">
        <f>DEGREES(ATAN(TAN(RADIANS(pe0-omega*e_base))*(A33/sref)^(m_-1)))</f>
        <v/>
      </c>
      <c r="C33">
        <f>MIN(tope,B33)</f>
        <v/>
      </c>
      <c r="D33">
        <f>IF(B33&gt;tope,B33,NA())</f>
        <v/>
      </c>
      <c r="E33">
        <f>MIN(DEGREES(ATAN(TAN(RADIANS(Parametros!$E$12-omega*e_base))*(A33/sref)^(Parametros!$B$12-1))),DEGREES(ATAN(TAN(RADIANS(Parametros!$E$13-omega*e_base))*(A33/sref)^(Parametros!$B$13-1))),DEGREES(ATAN(TAN(RADIANS(Parametros!$E$14-omega*e_base))*(A33/sref)^(Parametros!$B$14-1))),DEGREES(ATAN(TAN(RADIANS(Parametros!$E$15-omega*e_base))*(A33/sref)^(Parametros!$B$15-1))),DEGREES(ATAN(TAN(RADIANS(Parametros!$E$16-omega*e_base))*(A33/sref)^(Parametros!$B$16-1))))</f>
        <v/>
      </c>
      <c r="F33">
        <f>MAX(DEGREES(ATAN(TAN(RADIANS(Parametros!$F$12-omega*e_base))*(A33/sref)^(Parametros!$B$12-1))),DEGREES(ATAN(TAN(RADIANS(Parametros!$F$13-omega*e_base))*(A33/sref)^(Parametros!$B$13-1))),DEGREES(ATAN(TAN(RADIANS(Parametros!$F$14-omega*e_base))*(A33/sref)^(Parametros!$B$14-1))),DEGREES(ATAN(TAN(RADIANS(Parametros!$F$15-omega*e_base))*(A33/sref)^(Parametros!$B$15-1))),DEGREES(ATAN(TAN(RADIANS(Parametros!$F$16-omega*e_base))*(A33/sref)^(Parametros!$B$16-1))))</f>
        <v/>
      </c>
      <c r="G33">
        <f>DEGREES(ATAN(TAN(RADIANS(46.0))*(A33/sref)^(0.9-1)))</f>
        <v/>
      </c>
      <c r="H33">
        <f>DEGREES(ATAN(TAN(RADIANS(41.0))*(A33/sref)^(0.9-1)))</f>
        <v/>
      </c>
      <c r="I33">
        <f>DEGREES(ATAN(TAN(RADIANS(36.0))*(A33/sref)^(0.9-1)))</f>
        <v/>
      </c>
      <c r="J33">
        <f>DEGREES(ATAN(TAN(RADIANS(33.0))*(A33/sref)^(0.9-1)))</f>
        <v/>
      </c>
      <c r="K33">
        <f>A33*TAN(RADIANS(C33))</f>
        <v/>
      </c>
      <c r="L33">
        <f>A33*TAN(RADIANS(G33))</f>
        <v/>
      </c>
      <c r="M33">
        <f>A33*TAN(RADIANS(H33))</f>
        <v/>
      </c>
      <c r="N33">
        <f>A33*TAN(RADIANS(I33))</f>
        <v/>
      </c>
      <c r="O33">
        <f>A33*TAN(RADIANS(J33))</f>
        <v/>
      </c>
      <c r="Q33" t="n">
        <v>0.1474650983781681</v>
      </c>
      <c r="R33">
        <f>MIN(DEGREES(ATAN(TAN(RADIANS(Parametros!$E$12-omega*e_base))*(Q33/sref)^(Parametros!$B$12-1))),DEGREES(ATAN(TAN(RADIANS(Parametros!$E$13-omega*e_base))*(Q33/sref)^(Parametros!$B$13-1))),DEGREES(ATAN(TAN(RADIANS(Parametros!$E$14-omega*e_base))*(Q33/sref)^(Parametros!$B$14-1))),DEGREES(ATAN(TAN(RADIANS(Parametros!$E$15-omega*e_base))*(Q33/sref)^(Parametros!$B$15-1))),DEGREES(ATAN(TAN(RADIANS(Parametros!$E$16-omega*e_base))*(Q33/sref)^(Parametros!$B$16-1))))</f>
        <v/>
      </c>
      <c r="T33" t="n">
        <v>0.9063905325443787</v>
      </c>
      <c r="U33">
        <f>T33*TAN(RADIANS(MIN(DEGREES(ATAN(TAN(RADIANS(Parametros!$E$12-omega*e_base))*(T33/sref)^(Parametros!$B$12-1))),DEGREES(ATAN(TAN(RADIANS(Parametros!$E$13-omega*e_base))*(T33/sref)^(Parametros!$B$13-1))),DEGREES(ATAN(TAN(RADIANS(Parametros!$E$14-omega*e_base))*(T33/sref)^(Parametros!$B$14-1))),DEGREES(ATAN(TAN(RADIANS(Parametros!$E$15-omega*e_base))*(T33/sref)^(Parametros!$B$15-1))),DEGREES(ATAN(TAN(RADIANS(Parametros!$E$16-omega*e_base))*(T33/sref)^(Parametros!$B$16-1))))))</f>
        <v/>
      </c>
      <c r="W33" t="n">
        <v>5.716275988887312</v>
      </c>
      <c r="X33" t="n">
        <v>22</v>
      </c>
      <c r="AB33" t="n">
        <v>5.917804667825905</v>
      </c>
      <c r="AC33" t="n">
        <v>0</v>
      </c>
      <c r="AG33" t="n">
        <v>5.716275988887312</v>
      </c>
      <c r="AH33" t="n">
        <v>22</v>
      </c>
      <c r="AL33">
        <f>Ensayos!M32</f>
        <v/>
      </c>
      <c r="AM33">
        <f>Ensayos!P32</f>
        <v/>
      </c>
      <c r="AN33">
        <f>IF(AND(Ensayos!$D32="Mármol",LEFT(Ensayos!$E32,7)="Triaxia"),Ensayos!P32,NA())</f>
        <v/>
      </c>
      <c r="AO33">
        <f>IF(AND(Ensayos!$D32="Mármol",NOT(LEFT(Ensayos!$E32,7)="Triaxia")),Ensayos!P32,NA())</f>
        <v/>
      </c>
      <c r="AP33">
        <f>IF(AND(Ensayos!$D32="Hornfels",LEFT(Ensayos!$E32,7)="Triaxia"),Ensayos!P32,NA())</f>
        <v/>
      </c>
      <c r="AQ33">
        <f>IF(AND(Ensayos!$D32="Hornfels",NOT(LEFT(Ensayos!$E32,7)="Triaxia")),Ensayos!P32,NA())</f>
        <v/>
      </c>
      <c r="AR33">
        <f>IF(AND(Ensayos!$D32="Intrusivo",LEFT(Ensayos!$E32,7)="Triaxia"),Ensayos!P32,NA())</f>
        <v/>
      </c>
      <c r="AS33">
        <f>IF(AND(Ensayos!$D32="Intrusivo",NOT(LEFT(Ensayos!$E32,7)="Triaxia")),Ensayos!P32,NA())</f>
        <v/>
      </c>
      <c r="AT33">
        <f>IF(AND(Ensayos!$D32="Mezcla",LEFT(Ensayos!$E32,7)="Triaxia"),Ensayos!P32,NA())</f>
        <v/>
      </c>
      <c r="AU33">
        <f>IF(AND(Ensayos!$D32="Mezcla",NOT(LEFT(Ensayos!$E32,7)="Triaxia")),Ensayos!P32,NA())</f>
        <v/>
      </c>
      <c r="AV33">
        <f>IF(AND(Ensayos!$D32="Mármol",LEFT(Ensayos!$E32,7)="Triaxia"),Ensayos!M32*TAN(RADIANS(Ensayos!P32)),NA())</f>
        <v/>
      </c>
      <c r="AW33">
        <f>IF(AND(Ensayos!$D32="Mármol",NOT(LEFT(Ensayos!$E32,7)="Triaxia")),Ensayos!M32*TAN(RADIANS(Ensayos!P32)),NA())</f>
        <v/>
      </c>
      <c r="AX33">
        <f>IF(AND(Ensayos!$D32="Hornfels",LEFT(Ensayos!$E32,7)="Triaxia"),Ensayos!M32*TAN(RADIANS(Ensayos!P32)),NA())</f>
        <v/>
      </c>
      <c r="AY33">
        <f>IF(AND(Ensayos!$D32="Hornfels",NOT(LEFT(Ensayos!$E32,7)="Triaxia")),Ensayos!M32*TAN(RADIANS(Ensayos!P32)),NA())</f>
        <v/>
      </c>
      <c r="AZ33">
        <f>IF(AND(Ensayos!$D32="Intrusivo",LEFT(Ensayos!$E32,7)="Triaxia"),Ensayos!M32*TAN(RADIANS(Ensayos!P32)),NA())</f>
        <v/>
      </c>
      <c r="BA33">
        <f>IF(AND(Ensayos!$D32="Intrusivo",NOT(LEFT(Ensayos!$E32,7)="Triaxia")),Ensayos!M32*TAN(RADIANS(Ensayos!P32)),NA())</f>
        <v/>
      </c>
      <c r="BB33">
        <f>IF(AND(Ensayos!$D32="Mezcla",LEFT(Ensayos!$E32,7)="Triaxia"),Ensayos!M32*TAN(RADIANS(Ensayos!P32)),NA())</f>
        <v/>
      </c>
      <c r="BC33">
        <f>IF(AND(Ensayos!$D32="Mezcla",NOT(LEFT(Ensayos!$E32,7)="Triaxia")),Ensayos!M32*TAN(RADIANS(Ensayos!P32)),NA())</f>
        <v/>
      </c>
      <c r="BE33">
        <f>Base_mundial!C32</f>
        <v/>
      </c>
      <c r="BF33">
        <f>Base_mundial!E32-omega*(e_base-Base_mundial!B32)</f>
        <v/>
      </c>
      <c r="BG33">
        <f>BE33*TAN(RADIANS(BF33))</f>
        <v/>
      </c>
      <c r="BZ33" t="n">
        <v>300</v>
      </c>
      <c r="CA33" t="n">
        <v>0.2595987857550176</v>
      </c>
      <c r="CB33" t="n">
        <v>0.2083406732641817</v>
      </c>
      <c r="CG33" t="n">
        <v>0.5413945848517567</v>
      </c>
      <c r="CH33">
        <f>IF(MAX(CG33,sv_piso)&lt;=1,e_base-cc_bajo*LOG10(MAX(CG33,sv_piso)/sv_piso),e_base-cc_bajo*LOG10(1/sv_piso)-cc_alto*LOG10(CG33))</f>
        <v/>
      </c>
      <c r="CI33" t="n">
        <v>0.41766</v>
      </c>
      <c r="CJ33">
        <f>DEGREES(ATAN(TAN(RADIANS(pe0-omega*(e_base)))*(CG33/sref)^(m_-1)))</f>
        <v/>
      </c>
      <c r="CK33">
        <f>DEGREES(ATAN(TAN(RADIANS(pe0-omega*(CH33)))*(CG33/sref)^(m_-1)))</f>
        <v/>
      </c>
      <c r="CL33">
        <f>IF(ISNUMBER(CI33),DEGREES(ATAN(TAN(RADIANS(pe0-omega*(CI33)))*(CG33/sref)^(m_-1))),NA())</f>
        <v/>
      </c>
      <c r="CN33" t="n">
        <v>0.1644720516960877</v>
      </c>
      <c r="CP33" t="n">
        <v>34.69699775618999</v>
      </c>
    </row>
    <row r="34">
      <c r="A34" t="n">
        <v>0.08004</v>
      </c>
      <c r="B34">
        <f>DEGREES(ATAN(TAN(RADIANS(pe0-omega*e_base))*(A34/sref)^(m_-1)))</f>
        <v/>
      </c>
      <c r="C34">
        <f>MIN(tope,B34)</f>
        <v/>
      </c>
      <c r="D34">
        <f>IF(B34&gt;tope,B34,NA())</f>
        <v/>
      </c>
      <c r="E34">
        <f>MIN(DEGREES(ATAN(TAN(RADIANS(Parametros!$E$12-omega*e_base))*(A34/sref)^(Parametros!$B$12-1))),DEGREES(ATAN(TAN(RADIANS(Parametros!$E$13-omega*e_base))*(A34/sref)^(Parametros!$B$13-1))),DEGREES(ATAN(TAN(RADIANS(Parametros!$E$14-omega*e_base))*(A34/sref)^(Parametros!$B$14-1))),DEGREES(ATAN(TAN(RADIANS(Parametros!$E$15-omega*e_base))*(A34/sref)^(Parametros!$B$15-1))),DEGREES(ATAN(TAN(RADIANS(Parametros!$E$16-omega*e_base))*(A34/sref)^(Parametros!$B$16-1))))</f>
        <v/>
      </c>
      <c r="F34">
        <f>MAX(DEGREES(ATAN(TAN(RADIANS(Parametros!$F$12-omega*e_base))*(A34/sref)^(Parametros!$B$12-1))),DEGREES(ATAN(TAN(RADIANS(Parametros!$F$13-omega*e_base))*(A34/sref)^(Parametros!$B$13-1))),DEGREES(ATAN(TAN(RADIANS(Parametros!$F$14-omega*e_base))*(A34/sref)^(Parametros!$B$14-1))),DEGREES(ATAN(TAN(RADIANS(Parametros!$F$15-omega*e_base))*(A34/sref)^(Parametros!$B$15-1))),DEGREES(ATAN(TAN(RADIANS(Parametros!$F$16-omega*e_base))*(A34/sref)^(Parametros!$B$16-1))))</f>
        <v/>
      </c>
      <c r="G34">
        <f>DEGREES(ATAN(TAN(RADIANS(46.0))*(A34/sref)^(0.9-1)))</f>
        <v/>
      </c>
      <c r="H34">
        <f>DEGREES(ATAN(TAN(RADIANS(41.0))*(A34/sref)^(0.9-1)))</f>
        <v/>
      </c>
      <c r="I34">
        <f>DEGREES(ATAN(TAN(RADIANS(36.0))*(A34/sref)^(0.9-1)))</f>
        <v/>
      </c>
      <c r="J34">
        <f>DEGREES(ATAN(TAN(RADIANS(33.0))*(A34/sref)^(0.9-1)))</f>
        <v/>
      </c>
      <c r="K34">
        <f>A34*TAN(RADIANS(C34))</f>
        <v/>
      </c>
      <c r="L34">
        <f>A34*TAN(RADIANS(G34))</f>
        <v/>
      </c>
      <c r="M34">
        <f>A34*TAN(RADIANS(H34))</f>
        <v/>
      </c>
      <c r="N34">
        <f>A34*TAN(RADIANS(I34))</f>
        <v/>
      </c>
      <c r="O34">
        <f>A34*TAN(RADIANS(J34))</f>
        <v/>
      </c>
      <c r="Q34" t="n">
        <v>0.1474650983781681</v>
      </c>
      <c r="R34">
        <f>MAX(DEGREES(ATAN(TAN(RADIANS(Parametros!$F$12-omega*e_base))*(Q34/sref)^(Parametros!$B$12-1))),DEGREES(ATAN(TAN(RADIANS(Parametros!$F$13-omega*e_base))*(Q34/sref)^(Parametros!$B$13-1))),DEGREES(ATAN(TAN(RADIANS(Parametros!$F$14-omega*e_base))*(Q34/sref)^(Parametros!$B$14-1))),DEGREES(ATAN(TAN(RADIANS(Parametros!$F$15-omega*e_base))*(Q34/sref)^(Parametros!$B$15-1))),DEGREES(ATAN(TAN(RADIANS(Parametros!$F$16-omega*e_base))*(Q34/sref)^(Parametros!$B$16-1))))</f>
        <v/>
      </c>
      <c r="T34" t="n">
        <v>0.9063905325443787</v>
      </c>
      <c r="U34">
        <f>T34*TAN(RADIANS(MAX(DEGREES(ATAN(TAN(RADIANS(Parametros!$F$12-omega*e_base))*(T34/sref)^(Parametros!$B$12-1))),DEGREES(ATAN(TAN(RADIANS(Parametros!$F$13-omega*e_base))*(T34/sref)^(Parametros!$B$13-1))),DEGREES(ATAN(TAN(RADIANS(Parametros!$F$14-omega*e_base))*(T34/sref)^(Parametros!$B$14-1))),DEGREES(ATAN(TAN(RADIANS(Parametros!$F$15-omega*e_base))*(T34/sref)^(Parametros!$B$15-1))),DEGREES(ATAN(TAN(RADIANS(Parametros!$F$16-omega*e_base))*(T34/sref)^(Parametros!$B$16-1))))))</f>
        <v/>
      </c>
      <c r="W34" t="n">
        <v>5.716275988887312</v>
      </c>
      <c r="X34" t="n">
        <v>56</v>
      </c>
      <c r="AB34" t="n">
        <v>5.917804667825905</v>
      </c>
      <c r="AC34" t="n">
        <v>10.5</v>
      </c>
      <c r="AG34" t="n">
        <v>5.716275988887312</v>
      </c>
      <c r="AH34" t="n">
        <v>58</v>
      </c>
      <c r="AL34">
        <f>Ensayos!M33</f>
        <v/>
      </c>
      <c r="AM34">
        <f>Ensayos!P33</f>
        <v/>
      </c>
      <c r="AN34">
        <f>IF(AND(Ensayos!$D33="Mármol",LEFT(Ensayos!$E33,7)="Triaxia"),Ensayos!P33,NA())</f>
        <v/>
      </c>
      <c r="AO34">
        <f>IF(AND(Ensayos!$D33="Mármol",NOT(LEFT(Ensayos!$E33,7)="Triaxia")),Ensayos!P33,NA())</f>
        <v/>
      </c>
      <c r="AP34">
        <f>IF(AND(Ensayos!$D33="Hornfels",LEFT(Ensayos!$E33,7)="Triaxia"),Ensayos!P33,NA())</f>
        <v/>
      </c>
      <c r="AQ34">
        <f>IF(AND(Ensayos!$D33="Hornfels",NOT(LEFT(Ensayos!$E33,7)="Triaxia")),Ensayos!P33,NA())</f>
        <v/>
      </c>
      <c r="AR34">
        <f>IF(AND(Ensayos!$D33="Intrusivo",LEFT(Ensayos!$E33,7)="Triaxia"),Ensayos!P33,NA())</f>
        <v/>
      </c>
      <c r="AS34">
        <f>IF(AND(Ensayos!$D33="Intrusivo",NOT(LEFT(Ensayos!$E33,7)="Triaxia")),Ensayos!P33,NA())</f>
        <v/>
      </c>
      <c r="AT34">
        <f>IF(AND(Ensayos!$D33="Mezcla",LEFT(Ensayos!$E33,7)="Triaxia"),Ensayos!P33,NA())</f>
        <v/>
      </c>
      <c r="AU34">
        <f>IF(AND(Ensayos!$D33="Mezcla",NOT(LEFT(Ensayos!$E33,7)="Triaxia")),Ensayos!P33,NA())</f>
        <v/>
      </c>
      <c r="AV34">
        <f>IF(AND(Ensayos!$D33="Mármol",LEFT(Ensayos!$E33,7)="Triaxia"),Ensayos!M33*TAN(RADIANS(Ensayos!P33)),NA())</f>
        <v/>
      </c>
      <c r="AW34">
        <f>IF(AND(Ensayos!$D33="Mármol",NOT(LEFT(Ensayos!$E33,7)="Triaxia")),Ensayos!M33*TAN(RADIANS(Ensayos!P33)),NA())</f>
        <v/>
      </c>
      <c r="AX34">
        <f>IF(AND(Ensayos!$D33="Hornfels",LEFT(Ensayos!$E33,7)="Triaxia"),Ensayos!M33*TAN(RADIANS(Ensayos!P33)),NA())</f>
        <v/>
      </c>
      <c r="AY34">
        <f>IF(AND(Ensayos!$D33="Hornfels",NOT(LEFT(Ensayos!$E33,7)="Triaxia")),Ensayos!M33*TAN(RADIANS(Ensayos!P33)),NA())</f>
        <v/>
      </c>
      <c r="AZ34">
        <f>IF(AND(Ensayos!$D33="Intrusivo",LEFT(Ensayos!$E33,7)="Triaxia"),Ensayos!M33*TAN(RADIANS(Ensayos!P33)),NA())</f>
        <v/>
      </c>
      <c r="BA34">
        <f>IF(AND(Ensayos!$D33="Intrusivo",NOT(LEFT(Ensayos!$E33,7)="Triaxia")),Ensayos!M33*TAN(RADIANS(Ensayos!P33)),NA())</f>
        <v/>
      </c>
      <c r="BB34">
        <f>IF(AND(Ensayos!$D33="Mezcla",LEFT(Ensayos!$E33,7)="Triaxia"),Ensayos!M33*TAN(RADIANS(Ensayos!P33)),NA())</f>
        <v/>
      </c>
      <c r="BC34">
        <f>IF(AND(Ensayos!$D33="Mezcla",NOT(LEFT(Ensayos!$E33,7)="Triaxia")),Ensayos!M33*TAN(RADIANS(Ensayos!P33)),NA())</f>
        <v/>
      </c>
      <c r="BE34">
        <f>Base_mundial!C33</f>
        <v/>
      </c>
      <c r="BF34">
        <f>Base_mundial!E33-omega*(e_base-Base_mundial!B33)</f>
        <v/>
      </c>
      <c r="BG34">
        <f>BE34*TAN(RADIANS(BF34))</f>
        <v/>
      </c>
      <c r="BZ34" t="n">
        <v>310</v>
      </c>
      <c r="CA34" t="n">
        <v>0.2579064668977823</v>
      </c>
      <c r="CB34" t="n">
        <v>0.2040596736377962</v>
      </c>
      <c r="CG34" t="n">
        <v>0.5727490415856202</v>
      </c>
      <c r="CH34">
        <f>IF(MAX(CG34,sv_piso)&lt;=1,e_base-cc_bajo*LOG10(MAX(CG34,sv_piso)/sv_piso),e_base-cc_bajo*LOG10(1/sv_piso)-cc_alto*LOG10(CG34))</f>
        <v/>
      </c>
      <c r="CI34" t="n">
        <v>0.41581</v>
      </c>
      <c r="CJ34">
        <f>DEGREES(ATAN(TAN(RADIANS(pe0-omega*(e_base)))*(CG34/sref)^(m_-1)))</f>
        <v/>
      </c>
      <c r="CK34">
        <f>DEGREES(ATAN(TAN(RADIANS(pe0-omega*(CH34)))*(CG34/sref)^(m_-1)))</f>
        <v/>
      </c>
      <c r="CL34">
        <f>IF(ISNUMBER(CI34),DEGREES(ATAN(TAN(RADIANS(pe0-omega*(CI34)))*(CG34/sref)^(m_-1))),NA())</f>
        <v/>
      </c>
      <c r="CN34" t="n">
        <v>0.2828160876285721</v>
      </c>
      <c r="CP34" t="n">
        <v>36.30974705753745</v>
      </c>
    </row>
    <row r="35">
      <c r="A35" t="n">
        <v>0.08559</v>
      </c>
      <c r="B35">
        <f>DEGREES(ATAN(TAN(RADIANS(pe0-omega*e_base))*(A35/sref)^(m_-1)))</f>
        <v/>
      </c>
      <c r="C35">
        <f>MIN(tope,B35)</f>
        <v/>
      </c>
      <c r="D35">
        <f>IF(B35&gt;tope,B35,NA())</f>
        <v/>
      </c>
      <c r="E35">
        <f>MIN(DEGREES(ATAN(TAN(RADIANS(Parametros!$E$12-omega*e_base))*(A35/sref)^(Parametros!$B$12-1))),DEGREES(ATAN(TAN(RADIANS(Parametros!$E$13-omega*e_base))*(A35/sref)^(Parametros!$B$13-1))),DEGREES(ATAN(TAN(RADIANS(Parametros!$E$14-omega*e_base))*(A35/sref)^(Parametros!$B$14-1))),DEGREES(ATAN(TAN(RADIANS(Parametros!$E$15-omega*e_base))*(A35/sref)^(Parametros!$B$15-1))),DEGREES(ATAN(TAN(RADIANS(Parametros!$E$16-omega*e_base))*(A35/sref)^(Parametros!$B$16-1))))</f>
        <v/>
      </c>
      <c r="F35">
        <f>MAX(DEGREES(ATAN(TAN(RADIANS(Parametros!$F$12-omega*e_base))*(A35/sref)^(Parametros!$B$12-1))),DEGREES(ATAN(TAN(RADIANS(Parametros!$F$13-omega*e_base))*(A35/sref)^(Parametros!$B$13-1))),DEGREES(ATAN(TAN(RADIANS(Parametros!$F$14-omega*e_base))*(A35/sref)^(Parametros!$B$14-1))),DEGREES(ATAN(TAN(RADIANS(Parametros!$F$15-omega*e_base))*(A35/sref)^(Parametros!$B$15-1))),DEGREES(ATAN(TAN(RADIANS(Parametros!$F$16-omega*e_base))*(A35/sref)^(Parametros!$B$16-1))))</f>
        <v/>
      </c>
      <c r="G35">
        <f>DEGREES(ATAN(TAN(RADIANS(46.0))*(A35/sref)^(0.9-1)))</f>
        <v/>
      </c>
      <c r="H35">
        <f>DEGREES(ATAN(TAN(RADIANS(41.0))*(A35/sref)^(0.9-1)))</f>
        <v/>
      </c>
      <c r="I35">
        <f>DEGREES(ATAN(TAN(RADIANS(36.0))*(A35/sref)^(0.9-1)))</f>
        <v/>
      </c>
      <c r="J35">
        <f>DEGREES(ATAN(TAN(RADIANS(33.0))*(A35/sref)^(0.9-1)))</f>
        <v/>
      </c>
      <c r="K35">
        <f>A35*TAN(RADIANS(C35))</f>
        <v/>
      </c>
      <c r="L35">
        <f>A35*TAN(RADIANS(G35))</f>
        <v/>
      </c>
      <c r="M35">
        <f>A35*TAN(RADIANS(H35))</f>
        <v/>
      </c>
      <c r="N35">
        <f>A35*TAN(RADIANS(I35))</f>
        <v/>
      </c>
      <c r="O35">
        <f>A35*TAN(RADIANS(J35))</f>
        <v/>
      </c>
      <c r="AL35">
        <f>Ensayos!M34</f>
        <v/>
      </c>
      <c r="AM35">
        <f>Ensayos!P34</f>
        <v/>
      </c>
      <c r="AN35">
        <f>IF(AND(Ensayos!$D34="Mármol",LEFT(Ensayos!$E34,7)="Triaxia"),Ensayos!P34,NA())</f>
        <v/>
      </c>
      <c r="AO35">
        <f>IF(AND(Ensayos!$D34="Mármol",NOT(LEFT(Ensayos!$E34,7)="Triaxia")),Ensayos!P34,NA())</f>
        <v/>
      </c>
      <c r="AP35">
        <f>IF(AND(Ensayos!$D34="Hornfels",LEFT(Ensayos!$E34,7)="Triaxia"),Ensayos!P34,NA())</f>
        <v/>
      </c>
      <c r="AQ35">
        <f>IF(AND(Ensayos!$D34="Hornfels",NOT(LEFT(Ensayos!$E34,7)="Triaxia")),Ensayos!P34,NA())</f>
        <v/>
      </c>
      <c r="AR35">
        <f>IF(AND(Ensayos!$D34="Intrusivo",LEFT(Ensayos!$E34,7)="Triaxia"),Ensayos!P34,NA())</f>
        <v/>
      </c>
      <c r="AS35">
        <f>IF(AND(Ensayos!$D34="Intrusivo",NOT(LEFT(Ensayos!$E34,7)="Triaxia")),Ensayos!P34,NA())</f>
        <v/>
      </c>
      <c r="AT35">
        <f>IF(AND(Ensayos!$D34="Mezcla",LEFT(Ensayos!$E34,7)="Triaxia"),Ensayos!P34,NA())</f>
        <v/>
      </c>
      <c r="AU35">
        <f>IF(AND(Ensayos!$D34="Mezcla",NOT(LEFT(Ensayos!$E34,7)="Triaxia")),Ensayos!P34,NA())</f>
        <v/>
      </c>
      <c r="AV35">
        <f>IF(AND(Ensayos!$D34="Mármol",LEFT(Ensayos!$E34,7)="Triaxia"),Ensayos!M34*TAN(RADIANS(Ensayos!P34)),NA())</f>
        <v/>
      </c>
      <c r="AW35">
        <f>IF(AND(Ensayos!$D34="Mármol",NOT(LEFT(Ensayos!$E34,7)="Triaxia")),Ensayos!M34*TAN(RADIANS(Ensayos!P34)),NA())</f>
        <v/>
      </c>
      <c r="AX35">
        <f>IF(AND(Ensayos!$D34="Hornfels",LEFT(Ensayos!$E34,7)="Triaxia"),Ensayos!M34*TAN(RADIANS(Ensayos!P34)),NA())</f>
        <v/>
      </c>
      <c r="AY35">
        <f>IF(AND(Ensayos!$D34="Hornfels",NOT(LEFT(Ensayos!$E34,7)="Triaxia")),Ensayos!M34*TAN(RADIANS(Ensayos!P34)),NA())</f>
        <v/>
      </c>
      <c r="AZ35">
        <f>IF(AND(Ensayos!$D34="Intrusivo",LEFT(Ensayos!$E34,7)="Triaxia"),Ensayos!M34*TAN(RADIANS(Ensayos!P34)),NA())</f>
        <v/>
      </c>
      <c r="BA35">
        <f>IF(AND(Ensayos!$D34="Intrusivo",NOT(LEFT(Ensayos!$E34,7)="Triaxia")),Ensayos!M34*TAN(RADIANS(Ensayos!P34)),NA())</f>
        <v/>
      </c>
      <c r="BB35">
        <f>IF(AND(Ensayos!$D34="Mezcla",LEFT(Ensayos!$E34,7)="Triaxia"),Ensayos!M34*TAN(RADIANS(Ensayos!P34)),NA())</f>
        <v/>
      </c>
      <c r="BC35">
        <f>IF(AND(Ensayos!$D34="Mezcla",NOT(LEFT(Ensayos!$E34,7)="Triaxia")),Ensayos!M34*TAN(RADIANS(Ensayos!P34)),NA())</f>
        <v/>
      </c>
      <c r="BE35">
        <f>Base_mundial!C34</f>
        <v/>
      </c>
      <c r="BF35">
        <f>Base_mundial!E34-omega*(e_base-Base_mundial!B34)</f>
        <v/>
      </c>
      <c r="BG35">
        <f>BE35*TAN(RADIANS(BF35))</f>
        <v/>
      </c>
      <c r="BZ35" t="n">
        <v>320</v>
      </c>
      <c r="CA35" t="n">
        <v>0.2562676879868264</v>
      </c>
      <c r="CB35" t="n">
        <v>0.1997786740114108</v>
      </c>
      <c r="CG35" t="n">
        <v>0.6059193678988682</v>
      </c>
      <c r="CH35">
        <f>IF(MAX(CG35,sv_piso)&lt;=1,e_base-cc_bajo*LOG10(MAX(CG35,sv_piso)/sv_piso),e_base-cc_bajo*LOG10(1/sv_piso)-cc_alto*LOG10(CG35))</f>
        <v/>
      </c>
      <c r="CI35" t="n">
        <v>0.41385</v>
      </c>
      <c r="CJ35">
        <f>DEGREES(ATAN(TAN(RADIANS(pe0-omega*(e_base)))*(CG35/sref)^(m_-1)))</f>
        <v/>
      </c>
      <c r="CK35">
        <f>DEGREES(ATAN(TAN(RADIANS(pe0-omega*(CH35)))*(CG35/sref)^(m_-1)))</f>
        <v/>
      </c>
      <c r="CL35">
        <f>IF(ISNUMBER(CI35),DEGREES(ATAN(TAN(RADIANS(pe0-omega*(CI35)))*(CG35/sref)^(m_-1))),NA())</f>
        <v/>
      </c>
      <c r="CN35" t="n">
        <v>0.3204520825679733</v>
      </c>
      <c r="CP35" t="n">
        <v>39.19654350437354</v>
      </c>
    </row>
    <row r="36">
      <c r="A36" t="n">
        <v>0.09153</v>
      </c>
      <c r="B36">
        <f>DEGREES(ATAN(TAN(RADIANS(pe0-omega*e_base))*(A36/sref)^(m_-1)))</f>
        <v/>
      </c>
      <c r="C36">
        <f>MIN(tope,B36)</f>
        <v/>
      </c>
      <c r="D36">
        <f>IF(B36&gt;tope,B36,NA())</f>
        <v/>
      </c>
      <c r="E36">
        <f>MIN(DEGREES(ATAN(TAN(RADIANS(Parametros!$E$12-omega*e_base))*(A36/sref)^(Parametros!$B$12-1))),DEGREES(ATAN(TAN(RADIANS(Parametros!$E$13-omega*e_base))*(A36/sref)^(Parametros!$B$13-1))),DEGREES(ATAN(TAN(RADIANS(Parametros!$E$14-omega*e_base))*(A36/sref)^(Parametros!$B$14-1))),DEGREES(ATAN(TAN(RADIANS(Parametros!$E$15-omega*e_base))*(A36/sref)^(Parametros!$B$15-1))),DEGREES(ATAN(TAN(RADIANS(Parametros!$E$16-omega*e_base))*(A36/sref)^(Parametros!$B$16-1))))</f>
        <v/>
      </c>
      <c r="F36">
        <f>MAX(DEGREES(ATAN(TAN(RADIANS(Parametros!$F$12-omega*e_base))*(A36/sref)^(Parametros!$B$12-1))),DEGREES(ATAN(TAN(RADIANS(Parametros!$F$13-omega*e_base))*(A36/sref)^(Parametros!$B$13-1))),DEGREES(ATAN(TAN(RADIANS(Parametros!$F$14-omega*e_base))*(A36/sref)^(Parametros!$B$14-1))),DEGREES(ATAN(TAN(RADIANS(Parametros!$F$15-omega*e_base))*(A36/sref)^(Parametros!$B$15-1))),DEGREES(ATAN(TAN(RADIANS(Parametros!$F$16-omega*e_base))*(A36/sref)^(Parametros!$B$16-1))))</f>
        <v/>
      </c>
      <c r="G36">
        <f>DEGREES(ATAN(TAN(RADIANS(46.0))*(A36/sref)^(0.9-1)))</f>
        <v/>
      </c>
      <c r="H36">
        <f>DEGREES(ATAN(TAN(RADIANS(41.0))*(A36/sref)^(0.9-1)))</f>
        <v/>
      </c>
      <c r="I36">
        <f>DEGREES(ATAN(TAN(RADIANS(36.0))*(A36/sref)^(0.9-1)))</f>
        <v/>
      </c>
      <c r="J36">
        <f>DEGREES(ATAN(TAN(RADIANS(33.0))*(A36/sref)^(0.9-1)))</f>
        <v/>
      </c>
      <c r="K36">
        <f>A36*TAN(RADIANS(C36))</f>
        <v/>
      </c>
      <c r="L36">
        <f>A36*TAN(RADIANS(G36))</f>
        <v/>
      </c>
      <c r="M36">
        <f>A36*TAN(RADIANS(H36))</f>
        <v/>
      </c>
      <c r="N36">
        <f>A36*TAN(RADIANS(I36))</f>
        <v/>
      </c>
      <c r="O36">
        <f>A36*TAN(RADIANS(J36))</f>
        <v/>
      </c>
      <c r="Q36" t="n">
        <v>0.1533056530111737</v>
      </c>
      <c r="R36">
        <f>MIN(DEGREES(ATAN(TAN(RADIANS(Parametros!$E$12-omega*e_base))*(Q36/sref)^(Parametros!$B$12-1))),DEGREES(ATAN(TAN(RADIANS(Parametros!$E$13-omega*e_base))*(Q36/sref)^(Parametros!$B$13-1))),DEGREES(ATAN(TAN(RADIANS(Parametros!$E$14-omega*e_base))*(Q36/sref)^(Parametros!$B$14-1))),DEGREES(ATAN(TAN(RADIANS(Parametros!$E$15-omega*e_base))*(Q36/sref)^(Parametros!$B$15-1))),DEGREES(ATAN(TAN(RADIANS(Parametros!$E$16-omega*e_base))*(Q36/sref)^(Parametros!$B$16-1))))</f>
        <v/>
      </c>
      <c r="T36" t="n">
        <v>0.9950295857988166</v>
      </c>
      <c r="U36">
        <f>T36*TAN(RADIANS(MIN(DEGREES(ATAN(TAN(RADIANS(Parametros!$E$12-omega*e_base))*(T36/sref)^(Parametros!$B$12-1))),DEGREES(ATAN(TAN(RADIANS(Parametros!$E$13-omega*e_base))*(T36/sref)^(Parametros!$B$13-1))),DEGREES(ATAN(TAN(RADIANS(Parametros!$E$14-omega*e_base))*(T36/sref)^(Parametros!$B$14-1))),DEGREES(ATAN(TAN(RADIANS(Parametros!$E$15-omega*e_base))*(T36/sref)^(Parametros!$B$15-1))),DEGREES(ATAN(TAN(RADIANS(Parametros!$E$16-omega*e_base))*(T36/sref)^(Parametros!$B$16-1))))))</f>
        <v/>
      </c>
      <c r="W36" t="n">
        <v>5.838971241373282</v>
      </c>
      <c r="X36" t="n">
        <v>22</v>
      </c>
      <c r="AB36" t="n">
        <v>6.047330030101473</v>
      </c>
      <c r="AC36" t="n">
        <v>0</v>
      </c>
      <c r="AG36" t="n">
        <v>5.838971241373282</v>
      </c>
      <c r="AH36" t="n">
        <v>22</v>
      </c>
      <c r="AL36">
        <f>Ensayos!M35</f>
        <v/>
      </c>
      <c r="AM36">
        <f>Ensayos!P35</f>
        <v/>
      </c>
      <c r="AN36">
        <f>IF(AND(Ensayos!$D35="Mármol",LEFT(Ensayos!$E35,7)="Triaxia"),Ensayos!P35,NA())</f>
        <v/>
      </c>
      <c r="AO36">
        <f>IF(AND(Ensayos!$D35="Mármol",NOT(LEFT(Ensayos!$E35,7)="Triaxia")),Ensayos!P35,NA())</f>
        <v/>
      </c>
      <c r="AP36">
        <f>IF(AND(Ensayos!$D35="Hornfels",LEFT(Ensayos!$E35,7)="Triaxia"),Ensayos!P35,NA())</f>
        <v/>
      </c>
      <c r="AQ36">
        <f>IF(AND(Ensayos!$D35="Hornfels",NOT(LEFT(Ensayos!$E35,7)="Triaxia")),Ensayos!P35,NA())</f>
        <v/>
      </c>
      <c r="AR36">
        <f>IF(AND(Ensayos!$D35="Intrusivo",LEFT(Ensayos!$E35,7)="Triaxia"),Ensayos!P35,NA())</f>
        <v/>
      </c>
      <c r="AS36">
        <f>IF(AND(Ensayos!$D35="Intrusivo",NOT(LEFT(Ensayos!$E35,7)="Triaxia")),Ensayos!P35,NA())</f>
        <v/>
      </c>
      <c r="AT36">
        <f>IF(AND(Ensayos!$D35="Mezcla",LEFT(Ensayos!$E35,7)="Triaxia"),Ensayos!P35,NA())</f>
        <v/>
      </c>
      <c r="AU36">
        <f>IF(AND(Ensayos!$D35="Mezcla",NOT(LEFT(Ensayos!$E35,7)="Triaxia")),Ensayos!P35,NA())</f>
        <v/>
      </c>
      <c r="AV36">
        <f>IF(AND(Ensayos!$D35="Mármol",LEFT(Ensayos!$E35,7)="Triaxia"),Ensayos!M35*TAN(RADIANS(Ensayos!P35)),NA())</f>
        <v/>
      </c>
      <c r="AW36">
        <f>IF(AND(Ensayos!$D35="Mármol",NOT(LEFT(Ensayos!$E35,7)="Triaxia")),Ensayos!M35*TAN(RADIANS(Ensayos!P35)),NA())</f>
        <v/>
      </c>
      <c r="AX36">
        <f>IF(AND(Ensayos!$D35="Hornfels",LEFT(Ensayos!$E35,7)="Triaxia"),Ensayos!M35*TAN(RADIANS(Ensayos!P35)),NA())</f>
        <v/>
      </c>
      <c r="AY36">
        <f>IF(AND(Ensayos!$D35="Hornfels",NOT(LEFT(Ensayos!$E35,7)="Triaxia")),Ensayos!M35*TAN(RADIANS(Ensayos!P35)),NA())</f>
        <v/>
      </c>
      <c r="AZ36">
        <f>IF(AND(Ensayos!$D35="Intrusivo",LEFT(Ensayos!$E35,7)="Triaxia"),Ensayos!M35*TAN(RADIANS(Ensayos!P35)),NA())</f>
        <v/>
      </c>
      <c r="BA36">
        <f>IF(AND(Ensayos!$D35="Intrusivo",NOT(LEFT(Ensayos!$E35,7)="Triaxia")),Ensayos!M35*TAN(RADIANS(Ensayos!P35)),NA())</f>
        <v/>
      </c>
      <c r="BB36">
        <f>IF(AND(Ensayos!$D35="Mezcla",LEFT(Ensayos!$E35,7)="Triaxia"),Ensayos!M35*TAN(RADIANS(Ensayos!P35)),NA())</f>
        <v/>
      </c>
      <c r="BC36">
        <f>IF(AND(Ensayos!$D35="Mezcla",NOT(LEFT(Ensayos!$E35,7)="Triaxia")),Ensayos!M35*TAN(RADIANS(Ensayos!P35)),NA())</f>
        <v/>
      </c>
      <c r="BE36">
        <f>Base_mundial!C35</f>
        <v/>
      </c>
      <c r="BF36">
        <f>Base_mundial!E35-omega*(e_base-Base_mundial!B35)</f>
        <v/>
      </c>
      <c r="BG36">
        <f>BE36*TAN(RADIANS(BF36))</f>
        <v/>
      </c>
      <c r="BZ36" t="n">
        <v>330</v>
      </c>
      <c r="CA36" t="n">
        <v>0.2546791623922743</v>
      </c>
      <c r="CB36" t="n">
        <v>0.1956123440178749</v>
      </c>
      <c r="CG36" t="n">
        <v>0.6410107285008534</v>
      </c>
      <c r="CH36">
        <f>IF(MAX(CG36,sv_piso)&lt;=1,e_base-cc_bajo*LOG10(MAX(CG36,sv_piso)/sv_piso),e_base-cc_bajo*LOG10(1/sv_piso)-cc_alto*LOG10(CG36))</f>
        <v/>
      </c>
      <c r="CI36" t="n">
        <v>0.41179</v>
      </c>
      <c r="CJ36">
        <f>DEGREES(ATAN(TAN(RADIANS(pe0-omega*(e_base)))*(CG36/sref)^(m_-1)))</f>
        <v/>
      </c>
      <c r="CK36">
        <f>DEGREES(ATAN(TAN(RADIANS(pe0-omega*(CH36)))*(CG36/sref)^(m_-1)))</f>
        <v/>
      </c>
      <c r="CL36">
        <f>IF(ISNUMBER(CI36),DEGREES(ATAN(TAN(RADIANS(pe0-omega*(CI36)))*(CG36/sref)^(m_-1))),NA())</f>
        <v/>
      </c>
      <c r="CN36" t="n">
        <v>0.2502143559188182</v>
      </c>
      <c r="CP36" t="n">
        <v>35.07453795620643</v>
      </c>
    </row>
    <row r="37">
      <c r="A37" t="n">
        <v>0.09787999999999999</v>
      </c>
      <c r="B37">
        <f>DEGREES(ATAN(TAN(RADIANS(pe0-omega*e_base))*(A37/sref)^(m_-1)))</f>
        <v/>
      </c>
      <c r="C37">
        <f>MIN(tope,B37)</f>
        <v/>
      </c>
      <c r="D37">
        <f>IF(B37&gt;tope,B37,NA())</f>
        <v/>
      </c>
      <c r="E37">
        <f>MIN(DEGREES(ATAN(TAN(RADIANS(Parametros!$E$12-omega*e_base))*(A37/sref)^(Parametros!$B$12-1))),DEGREES(ATAN(TAN(RADIANS(Parametros!$E$13-omega*e_base))*(A37/sref)^(Parametros!$B$13-1))),DEGREES(ATAN(TAN(RADIANS(Parametros!$E$14-omega*e_base))*(A37/sref)^(Parametros!$B$14-1))),DEGREES(ATAN(TAN(RADIANS(Parametros!$E$15-omega*e_base))*(A37/sref)^(Parametros!$B$15-1))),DEGREES(ATAN(TAN(RADIANS(Parametros!$E$16-omega*e_base))*(A37/sref)^(Parametros!$B$16-1))))</f>
        <v/>
      </c>
      <c r="F37">
        <f>MAX(DEGREES(ATAN(TAN(RADIANS(Parametros!$F$12-omega*e_base))*(A37/sref)^(Parametros!$B$12-1))),DEGREES(ATAN(TAN(RADIANS(Parametros!$F$13-omega*e_base))*(A37/sref)^(Parametros!$B$13-1))),DEGREES(ATAN(TAN(RADIANS(Parametros!$F$14-omega*e_base))*(A37/sref)^(Parametros!$B$14-1))),DEGREES(ATAN(TAN(RADIANS(Parametros!$F$15-omega*e_base))*(A37/sref)^(Parametros!$B$15-1))),DEGREES(ATAN(TAN(RADIANS(Parametros!$F$16-omega*e_base))*(A37/sref)^(Parametros!$B$16-1))))</f>
        <v/>
      </c>
      <c r="G37">
        <f>DEGREES(ATAN(TAN(RADIANS(46.0))*(A37/sref)^(0.9-1)))</f>
        <v/>
      </c>
      <c r="H37">
        <f>DEGREES(ATAN(TAN(RADIANS(41.0))*(A37/sref)^(0.9-1)))</f>
        <v/>
      </c>
      <c r="I37">
        <f>DEGREES(ATAN(TAN(RADIANS(36.0))*(A37/sref)^(0.9-1)))</f>
        <v/>
      </c>
      <c r="J37">
        <f>DEGREES(ATAN(TAN(RADIANS(33.0))*(A37/sref)^(0.9-1)))</f>
        <v/>
      </c>
      <c r="K37">
        <f>A37*TAN(RADIANS(C37))</f>
        <v/>
      </c>
      <c r="L37">
        <f>A37*TAN(RADIANS(G37))</f>
        <v/>
      </c>
      <c r="M37">
        <f>A37*TAN(RADIANS(H37))</f>
        <v/>
      </c>
      <c r="N37">
        <f>A37*TAN(RADIANS(I37))</f>
        <v/>
      </c>
      <c r="O37">
        <f>A37*TAN(RADIANS(J37))</f>
        <v/>
      </c>
      <c r="Q37" t="n">
        <v>0.1533056530111737</v>
      </c>
      <c r="R37">
        <f>MAX(DEGREES(ATAN(TAN(RADIANS(Parametros!$F$12-omega*e_base))*(Q37/sref)^(Parametros!$B$12-1))),DEGREES(ATAN(TAN(RADIANS(Parametros!$F$13-omega*e_base))*(Q37/sref)^(Parametros!$B$13-1))),DEGREES(ATAN(TAN(RADIANS(Parametros!$F$14-omega*e_base))*(Q37/sref)^(Parametros!$B$14-1))),DEGREES(ATAN(TAN(RADIANS(Parametros!$F$15-omega*e_base))*(Q37/sref)^(Parametros!$B$15-1))),DEGREES(ATAN(TAN(RADIANS(Parametros!$F$16-omega*e_base))*(Q37/sref)^(Parametros!$B$16-1))))</f>
        <v/>
      </c>
      <c r="T37" t="n">
        <v>0.9950295857988166</v>
      </c>
      <c r="U37">
        <f>T37*TAN(RADIANS(MAX(DEGREES(ATAN(TAN(RADIANS(Parametros!$F$12-omega*e_base))*(T37/sref)^(Parametros!$B$12-1))),DEGREES(ATAN(TAN(RADIANS(Parametros!$F$13-omega*e_base))*(T37/sref)^(Parametros!$B$13-1))),DEGREES(ATAN(TAN(RADIANS(Parametros!$F$14-omega*e_base))*(T37/sref)^(Parametros!$B$14-1))),DEGREES(ATAN(TAN(RADIANS(Parametros!$F$15-omega*e_base))*(T37/sref)^(Parametros!$B$15-1))),DEGREES(ATAN(TAN(RADIANS(Parametros!$F$16-omega*e_base))*(T37/sref)^(Parametros!$B$16-1))))))</f>
        <v/>
      </c>
      <c r="W37" t="n">
        <v>5.838971241373282</v>
      </c>
      <c r="X37" t="n">
        <v>56</v>
      </c>
      <c r="AB37" t="n">
        <v>6.047330030101473</v>
      </c>
      <c r="AC37" t="n">
        <v>10.5</v>
      </c>
      <c r="AG37" t="n">
        <v>5.838971241373282</v>
      </c>
      <c r="AH37" t="n">
        <v>58</v>
      </c>
      <c r="AL37">
        <f>Ensayos!M36</f>
        <v/>
      </c>
      <c r="AM37">
        <f>Ensayos!P36</f>
        <v/>
      </c>
      <c r="AN37">
        <f>IF(AND(Ensayos!$D36="Mármol",LEFT(Ensayos!$E36,7)="Triaxia"),Ensayos!P36,NA())</f>
        <v/>
      </c>
      <c r="AO37">
        <f>IF(AND(Ensayos!$D36="Mármol",NOT(LEFT(Ensayos!$E36,7)="Triaxia")),Ensayos!P36,NA())</f>
        <v/>
      </c>
      <c r="AP37">
        <f>IF(AND(Ensayos!$D36="Hornfels",LEFT(Ensayos!$E36,7)="Triaxia"),Ensayos!P36,NA())</f>
        <v/>
      </c>
      <c r="AQ37">
        <f>IF(AND(Ensayos!$D36="Hornfels",NOT(LEFT(Ensayos!$E36,7)="Triaxia")),Ensayos!P36,NA())</f>
        <v/>
      </c>
      <c r="AR37">
        <f>IF(AND(Ensayos!$D36="Intrusivo",LEFT(Ensayos!$E36,7)="Triaxia"),Ensayos!P36,NA())</f>
        <v/>
      </c>
      <c r="AS37">
        <f>IF(AND(Ensayos!$D36="Intrusivo",NOT(LEFT(Ensayos!$E36,7)="Triaxia")),Ensayos!P36,NA())</f>
        <v/>
      </c>
      <c r="AT37">
        <f>IF(AND(Ensayos!$D36="Mezcla",LEFT(Ensayos!$E36,7)="Triaxia"),Ensayos!P36,NA())</f>
        <v/>
      </c>
      <c r="AU37">
        <f>IF(AND(Ensayos!$D36="Mezcla",NOT(LEFT(Ensayos!$E36,7)="Triaxia")),Ensayos!P36,NA())</f>
        <v/>
      </c>
      <c r="AV37">
        <f>IF(AND(Ensayos!$D36="Mármol",LEFT(Ensayos!$E36,7)="Triaxia"),Ensayos!M36*TAN(RADIANS(Ensayos!P36)),NA())</f>
        <v/>
      </c>
      <c r="AW37">
        <f>IF(AND(Ensayos!$D36="Mármol",NOT(LEFT(Ensayos!$E36,7)="Triaxia")),Ensayos!M36*TAN(RADIANS(Ensayos!P36)),NA())</f>
        <v/>
      </c>
      <c r="AX37">
        <f>IF(AND(Ensayos!$D36="Hornfels",LEFT(Ensayos!$E36,7)="Triaxia"),Ensayos!M36*TAN(RADIANS(Ensayos!P36)),NA())</f>
        <v/>
      </c>
      <c r="AY37">
        <f>IF(AND(Ensayos!$D36="Hornfels",NOT(LEFT(Ensayos!$E36,7)="Triaxia")),Ensayos!M36*TAN(RADIANS(Ensayos!P36)),NA())</f>
        <v/>
      </c>
      <c r="AZ37">
        <f>IF(AND(Ensayos!$D36="Intrusivo",LEFT(Ensayos!$E36,7)="Triaxia"),Ensayos!M36*TAN(RADIANS(Ensayos!P36)),NA())</f>
        <v/>
      </c>
      <c r="BA37">
        <f>IF(AND(Ensayos!$D36="Intrusivo",NOT(LEFT(Ensayos!$E36,7)="Triaxia")),Ensayos!M36*TAN(RADIANS(Ensayos!P36)),NA())</f>
        <v/>
      </c>
      <c r="BB37">
        <f>IF(AND(Ensayos!$D36="Mezcla",LEFT(Ensayos!$E36,7)="Triaxia"),Ensayos!M36*TAN(RADIANS(Ensayos!P36)),NA())</f>
        <v/>
      </c>
      <c r="BC37">
        <f>IF(AND(Ensayos!$D36="Mezcla",NOT(LEFT(Ensayos!$E36,7)="Triaxia")),Ensayos!M36*TAN(RADIANS(Ensayos!P36)),NA())</f>
        <v/>
      </c>
      <c r="BE37">
        <f>Base_mundial!C36</f>
        <v/>
      </c>
      <c r="BF37">
        <f>Base_mundial!E36-omega*(e_base-Base_mundial!B36)</f>
        <v/>
      </c>
      <c r="BG37">
        <f>BE37*TAN(RADIANS(BF37))</f>
        <v/>
      </c>
      <c r="BZ37" t="n">
        <v>340</v>
      </c>
      <c r="CA37" t="n">
        <v>0.2531378971925432</v>
      </c>
      <c r="CB37" t="n">
        <v>0.191446014024339</v>
      </c>
      <c r="CG37" t="n">
        <v>0.6781343786353032</v>
      </c>
      <c r="CH37">
        <f>IF(MAX(CG37,sv_piso)&lt;=1,e_base-cc_bajo*LOG10(MAX(CG37,sv_piso)/sv_piso),e_base-cc_bajo*LOG10(1/sv_piso)-cc_alto*LOG10(CG37))</f>
        <v/>
      </c>
      <c r="CI37" t="n">
        <v>0.40961</v>
      </c>
      <c r="CJ37">
        <f>DEGREES(ATAN(TAN(RADIANS(pe0-omega*(e_base)))*(CG37/sref)^(m_-1)))</f>
        <v/>
      </c>
      <c r="CK37">
        <f>DEGREES(ATAN(TAN(RADIANS(pe0-omega*(CH37)))*(CG37/sref)^(m_-1)))</f>
        <v/>
      </c>
      <c r="CL37">
        <f>IF(ISNUMBER(CI37),DEGREES(ATAN(TAN(RADIANS(pe0-omega*(CI37)))*(CG37/sref)^(m_-1))),NA())</f>
        <v/>
      </c>
      <c r="CN37" t="n">
        <v>0.3565146060637778</v>
      </c>
      <c r="CP37" t="n">
        <v>33.62035916802434</v>
      </c>
    </row>
    <row r="38">
      <c r="A38" t="n">
        <v>0.1</v>
      </c>
      <c r="B38">
        <f>DEGREES(ATAN(TAN(RADIANS(pe0-omega*e_base))*(A38/sref)^(m_-1)))</f>
        <v/>
      </c>
      <c r="C38">
        <f>MIN(tope,B38)</f>
        <v/>
      </c>
      <c r="D38">
        <f>IF(B38&gt;tope,B38,NA())</f>
        <v/>
      </c>
      <c r="E38">
        <f>MIN(DEGREES(ATAN(TAN(RADIANS(Parametros!$E$12-omega*e_base))*(A38/sref)^(Parametros!$B$12-1))),DEGREES(ATAN(TAN(RADIANS(Parametros!$E$13-omega*e_base))*(A38/sref)^(Parametros!$B$13-1))),DEGREES(ATAN(TAN(RADIANS(Parametros!$E$14-omega*e_base))*(A38/sref)^(Parametros!$B$14-1))),DEGREES(ATAN(TAN(RADIANS(Parametros!$E$15-omega*e_base))*(A38/sref)^(Parametros!$B$15-1))),DEGREES(ATAN(TAN(RADIANS(Parametros!$E$16-omega*e_base))*(A38/sref)^(Parametros!$B$16-1))))</f>
        <v/>
      </c>
      <c r="F38">
        <f>MAX(DEGREES(ATAN(TAN(RADIANS(Parametros!$F$12-omega*e_base))*(A38/sref)^(Parametros!$B$12-1))),DEGREES(ATAN(TAN(RADIANS(Parametros!$F$13-omega*e_base))*(A38/sref)^(Parametros!$B$13-1))),DEGREES(ATAN(TAN(RADIANS(Parametros!$F$14-omega*e_base))*(A38/sref)^(Parametros!$B$14-1))),DEGREES(ATAN(TAN(RADIANS(Parametros!$F$15-omega*e_base))*(A38/sref)^(Parametros!$B$15-1))),DEGREES(ATAN(TAN(RADIANS(Parametros!$F$16-omega*e_base))*(A38/sref)^(Parametros!$B$16-1))))</f>
        <v/>
      </c>
      <c r="G38">
        <f>DEGREES(ATAN(TAN(RADIANS(46.0))*(A38/sref)^(0.9-1)))</f>
        <v/>
      </c>
      <c r="H38">
        <f>DEGREES(ATAN(TAN(RADIANS(41.0))*(A38/sref)^(0.9-1)))</f>
        <v/>
      </c>
      <c r="I38">
        <f>DEGREES(ATAN(TAN(RADIANS(36.0))*(A38/sref)^(0.9-1)))</f>
        <v/>
      </c>
      <c r="J38">
        <f>DEGREES(ATAN(TAN(RADIANS(33.0))*(A38/sref)^(0.9-1)))</f>
        <v/>
      </c>
      <c r="K38">
        <f>A38*TAN(RADIANS(C38))</f>
        <v/>
      </c>
      <c r="L38">
        <f>A38*TAN(RADIANS(G38))</f>
        <v/>
      </c>
      <c r="M38">
        <f>A38*TAN(RADIANS(H38))</f>
        <v/>
      </c>
      <c r="N38">
        <f>A38*TAN(RADIANS(I38))</f>
        <v/>
      </c>
      <c r="O38">
        <f>A38*TAN(RADIANS(J38))</f>
        <v/>
      </c>
      <c r="AL38">
        <f>Ensayos!M37</f>
        <v/>
      </c>
      <c r="AM38">
        <f>Ensayos!P37</f>
        <v/>
      </c>
      <c r="AN38">
        <f>IF(AND(Ensayos!$D37="Mármol",LEFT(Ensayos!$E37,7)="Triaxia"),Ensayos!P37,NA())</f>
        <v/>
      </c>
      <c r="AO38">
        <f>IF(AND(Ensayos!$D37="Mármol",NOT(LEFT(Ensayos!$E37,7)="Triaxia")),Ensayos!P37,NA())</f>
        <v/>
      </c>
      <c r="AP38">
        <f>IF(AND(Ensayos!$D37="Hornfels",LEFT(Ensayos!$E37,7)="Triaxia"),Ensayos!P37,NA())</f>
        <v/>
      </c>
      <c r="AQ38">
        <f>IF(AND(Ensayos!$D37="Hornfels",NOT(LEFT(Ensayos!$E37,7)="Triaxia")),Ensayos!P37,NA())</f>
        <v/>
      </c>
      <c r="AR38">
        <f>IF(AND(Ensayos!$D37="Intrusivo",LEFT(Ensayos!$E37,7)="Triaxia"),Ensayos!P37,NA())</f>
        <v/>
      </c>
      <c r="AS38">
        <f>IF(AND(Ensayos!$D37="Intrusivo",NOT(LEFT(Ensayos!$E37,7)="Triaxia")),Ensayos!P37,NA())</f>
        <v/>
      </c>
      <c r="AT38">
        <f>IF(AND(Ensayos!$D37="Mezcla",LEFT(Ensayos!$E37,7)="Triaxia"),Ensayos!P37,NA())</f>
        <v/>
      </c>
      <c r="AU38">
        <f>IF(AND(Ensayos!$D37="Mezcla",NOT(LEFT(Ensayos!$E37,7)="Triaxia")),Ensayos!P37,NA())</f>
        <v/>
      </c>
      <c r="AV38">
        <f>IF(AND(Ensayos!$D37="Mármol",LEFT(Ensayos!$E37,7)="Triaxia"),Ensayos!M37*TAN(RADIANS(Ensayos!P37)),NA())</f>
        <v/>
      </c>
      <c r="AW38">
        <f>IF(AND(Ensayos!$D37="Mármol",NOT(LEFT(Ensayos!$E37,7)="Triaxia")),Ensayos!M37*TAN(RADIANS(Ensayos!P37)),NA())</f>
        <v/>
      </c>
      <c r="AX38">
        <f>IF(AND(Ensayos!$D37="Hornfels",LEFT(Ensayos!$E37,7)="Triaxia"),Ensayos!M37*TAN(RADIANS(Ensayos!P37)),NA())</f>
        <v/>
      </c>
      <c r="AY38">
        <f>IF(AND(Ensayos!$D37="Hornfels",NOT(LEFT(Ensayos!$E37,7)="Triaxia")),Ensayos!M37*TAN(RADIANS(Ensayos!P37)),NA())</f>
        <v/>
      </c>
      <c r="AZ38">
        <f>IF(AND(Ensayos!$D37="Intrusivo",LEFT(Ensayos!$E37,7)="Triaxia"),Ensayos!M37*TAN(RADIANS(Ensayos!P37)),NA())</f>
        <v/>
      </c>
      <c r="BA38">
        <f>IF(AND(Ensayos!$D37="Intrusivo",NOT(LEFT(Ensayos!$E37,7)="Triaxia")),Ensayos!M37*TAN(RADIANS(Ensayos!P37)),NA())</f>
        <v/>
      </c>
      <c r="BB38">
        <f>IF(AND(Ensayos!$D37="Mezcla",LEFT(Ensayos!$E37,7)="Triaxia"),Ensayos!M37*TAN(RADIANS(Ensayos!P37)),NA())</f>
        <v/>
      </c>
      <c r="BC38">
        <f>IF(AND(Ensayos!$D37="Mezcla",NOT(LEFT(Ensayos!$E37,7)="Triaxia")),Ensayos!M37*TAN(RADIANS(Ensayos!P37)),NA())</f>
        <v/>
      </c>
      <c r="BE38">
        <f>Base_mundial!C37</f>
        <v/>
      </c>
      <c r="BF38">
        <f>Base_mundial!E37-omega*(e_base-Base_mundial!B37)</f>
        <v/>
      </c>
      <c r="BG38">
        <f>BE38*TAN(RADIANS(BF38))</f>
        <v/>
      </c>
      <c r="BZ38" t="n">
        <v>350</v>
      </c>
      <c r="CA38" t="n">
        <v>0.2516411591846066</v>
      </c>
      <c r="CB38" t="n">
        <v>0.1872796840308031</v>
      </c>
      <c r="CG38" t="n">
        <v>0.717408016808999</v>
      </c>
      <c r="CH38">
        <f>IF(MAX(CG38,sv_piso)&lt;=1,e_base-cc_bajo*LOG10(MAX(CG38,sv_piso)/sv_piso),e_base-cc_bajo*LOG10(1/sv_piso)-cc_alto*LOG10(CG38))</f>
        <v/>
      </c>
      <c r="CI38" t="n">
        <v>0.4073</v>
      </c>
      <c r="CJ38">
        <f>DEGREES(ATAN(TAN(RADIANS(pe0-omega*(e_base)))*(CG38/sref)^(m_-1)))</f>
        <v/>
      </c>
      <c r="CK38">
        <f>DEGREES(ATAN(TAN(RADIANS(pe0-omega*(CH38)))*(CG38/sref)^(m_-1)))</f>
        <v/>
      </c>
      <c r="CL38">
        <f>IF(ISNUMBER(CI38),DEGREES(ATAN(TAN(RADIANS(pe0-omega*(CI38)))*(CG38/sref)^(m_-1))),NA())</f>
        <v/>
      </c>
      <c r="CN38" t="n">
        <v>0.5494345034887614</v>
      </c>
      <c r="CP38" t="n">
        <v>33.68064905684869</v>
      </c>
    </row>
    <row r="39">
      <c r="A39" t="n">
        <v>0.10468</v>
      </c>
      <c r="B39">
        <f>DEGREES(ATAN(TAN(RADIANS(pe0-omega*e_base))*(A39/sref)^(m_-1)))</f>
        <v/>
      </c>
      <c r="C39">
        <f>MIN(tope,B39)</f>
        <v/>
      </c>
      <c r="D39">
        <f>IF(B39&gt;tope,B39,NA())</f>
        <v/>
      </c>
      <c r="E39">
        <f>MIN(DEGREES(ATAN(TAN(RADIANS(Parametros!$E$12-omega*e_base))*(A39/sref)^(Parametros!$B$12-1))),DEGREES(ATAN(TAN(RADIANS(Parametros!$E$13-omega*e_base))*(A39/sref)^(Parametros!$B$13-1))),DEGREES(ATAN(TAN(RADIANS(Parametros!$E$14-omega*e_base))*(A39/sref)^(Parametros!$B$14-1))),DEGREES(ATAN(TAN(RADIANS(Parametros!$E$15-omega*e_base))*(A39/sref)^(Parametros!$B$15-1))),DEGREES(ATAN(TAN(RADIANS(Parametros!$E$16-omega*e_base))*(A39/sref)^(Parametros!$B$16-1))))</f>
        <v/>
      </c>
      <c r="F39">
        <f>MAX(DEGREES(ATAN(TAN(RADIANS(Parametros!$F$12-omega*e_base))*(A39/sref)^(Parametros!$B$12-1))),DEGREES(ATAN(TAN(RADIANS(Parametros!$F$13-omega*e_base))*(A39/sref)^(Parametros!$B$13-1))),DEGREES(ATAN(TAN(RADIANS(Parametros!$F$14-omega*e_base))*(A39/sref)^(Parametros!$B$14-1))),DEGREES(ATAN(TAN(RADIANS(Parametros!$F$15-omega*e_base))*(A39/sref)^(Parametros!$B$15-1))),DEGREES(ATAN(TAN(RADIANS(Parametros!$F$16-omega*e_base))*(A39/sref)^(Parametros!$B$16-1))))</f>
        <v/>
      </c>
      <c r="G39">
        <f>DEGREES(ATAN(TAN(RADIANS(46.0))*(A39/sref)^(0.9-1)))</f>
        <v/>
      </c>
      <c r="H39">
        <f>DEGREES(ATAN(TAN(RADIANS(41.0))*(A39/sref)^(0.9-1)))</f>
        <v/>
      </c>
      <c r="I39">
        <f>DEGREES(ATAN(TAN(RADIANS(36.0))*(A39/sref)^(0.9-1)))</f>
        <v/>
      </c>
      <c r="J39">
        <f>DEGREES(ATAN(TAN(RADIANS(33.0))*(A39/sref)^(0.9-1)))</f>
        <v/>
      </c>
      <c r="K39">
        <f>A39*TAN(RADIANS(C39))</f>
        <v/>
      </c>
      <c r="L39">
        <f>A39*TAN(RADIANS(G39))</f>
        <v/>
      </c>
      <c r="M39">
        <f>A39*TAN(RADIANS(H39))</f>
        <v/>
      </c>
      <c r="N39">
        <f>A39*TAN(RADIANS(I39))</f>
        <v/>
      </c>
      <c r="O39">
        <f>A39*TAN(RADIANS(J39))</f>
        <v/>
      </c>
      <c r="Q39" t="n">
        <v>0.159377530708391</v>
      </c>
      <c r="R39">
        <f>MIN(DEGREES(ATAN(TAN(RADIANS(Parametros!$E$12-omega*e_base))*(Q39/sref)^(Parametros!$B$12-1))),DEGREES(ATAN(TAN(RADIANS(Parametros!$E$13-omega*e_base))*(Q39/sref)^(Parametros!$B$13-1))),DEGREES(ATAN(TAN(RADIANS(Parametros!$E$14-omega*e_base))*(Q39/sref)^(Parametros!$B$14-1))),DEGREES(ATAN(TAN(RADIANS(Parametros!$E$15-omega*e_base))*(Q39/sref)^(Parametros!$B$15-1))),DEGREES(ATAN(TAN(RADIANS(Parametros!$E$16-omega*e_base))*(Q39/sref)^(Parametros!$B$16-1))))</f>
        <v/>
      </c>
      <c r="T39" t="n">
        <v>1.083668639053254</v>
      </c>
      <c r="U39">
        <f>T39*TAN(RADIANS(MIN(DEGREES(ATAN(TAN(RADIANS(Parametros!$E$12-omega*e_base))*(T39/sref)^(Parametros!$B$12-1))),DEGREES(ATAN(TAN(RADIANS(Parametros!$E$13-omega*e_base))*(T39/sref)^(Parametros!$B$13-1))),DEGREES(ATAN(TAN(RADIANS(Parametros!$E$14-omega*e_base))*(T39/sref)^(Parametros!$B$14-1))),DEGREES(ATAN(TAN(RADIANS(Parametros!$E$15-omega*e_base))*(T39/sref)^(Parametros!$B$15-1))),DEGREES(ATAN(TAN(RADIANS(Parametros!$E$16-omega*e_base))*(T39/sref)^(Parametros!$B$16-1))))))</f>
        <v/>
      </c>
      <c r="W39" t="n">
        <v>5.964300048469259</v>
      </c>
      <c r="X39" t="n">
        <v>22</v>
      </c>
      <c r="AB39" t="n">
        <v>6.176855392377042</v>
      </c>
      <c r="AC39" t="n">
        <v>0</v>
      </c>
      <c r="AG39" t="n">
        <v>5.964300048469259</v>
      </c>
      <c r="AH39" t="n">
        <v>22</v>
      </c>
      <c r="AL39">
        <f>Ensayos!M38</f>
        <v/>
      </c>
      <c r="AM39">
        <f>Ensayos!P38</f>
        <v/>
      </c>
      <c r="AN39">
        <f>IF(AND(Ensayos!$D38="Mármol",LEFT(Ensayos!$E38,7)="Triaxia"),Ensayos!P38,NA())</f>
        <v/>
      </c>
      <c r="AO39">
        <f>IF(AND(Ensayos!$D38="Mármol",NOT(LEFT(Ensayos!$E38,7)="Triaxia")),Ensayos!P38,NA())</f>
        <v/>
      </c>
      <c r="AP39">
        <f>IF(AND(Ensayos!$D38="Hornfels",LEFT(Ensayos!$E38,7)="Triaxia"),Ensayos!P38,NA())</f>
        <v/>
      </c>
      <c r="AQ39">
        <f>IF(AND(Ensayos!$D38="Hornfels",NOT(LEFT(Ensayos!$E38,7)="Triaxia")),Ensayos!P38,NA())</f>
        <v/>
      </c>
      <c r="AR39">
        <f>IF(AND(Ensayos!$D38="Intrusivo",LEFT(Ensayos!$E38,7)="Triaxia"),Ensayos!P38,NA())</f>
        <v/>
      </c>
      <c r="AS39">
        <f>IF(AND(Ensayos!$D38="Intrusivo",NOT(LEFT(Ensayos!$E38,7)="Triaxia")),Ensayos!P38,NA())</f>
        <v/>
      </c>
      <c r="AT39">
        <f>IF(AND(Ensayos!$D38="Mezcla",LEFT(Ensayos!$E38,7)="Triaxia"),Ensayos!P38,NA())</f>
        <v/>
      </c>
      <c r="AU39">
        <f>IF(AND(Ensayos!$D38="Mezcla",NOT(LEFT(Ensayos!$E38,7)="Triaxia")),Ensayos!P38,NA())</f>
        <v/>
      </c>
      <c r="AV39">
        <f>IF(AND(Ensayos!$D38="Mármol",LEFT(Ensayos!$E38,7)="Triaxia"),Ensayos!M38*TAN(RADIANS(Ensayos!P38)),NA())</f>
        <v/>
      </c>
      <c r="AW39">
        <f>IF(AND(Ensayos!$D38="Mármol",NOT(LEFT(Ensayos!$E38,7)="Triaxia")),Ensayos!M38*TAN(RADIANS(Ensayos!P38)),NA())</f>
        <v/>
      </c>
      <c r="AX39">
        <f>IF(AND(Ensayos!$D38="Hornfels",LEFT(Ensayos!$E38,7)="Triaxia"),Ensayos!M38*TAN(RADIANS(Ensayos!P38)),NA())</f>
        <v/>
      </c>
      <c r="AY39">
        <f>IF(AND(Ensayos!$D38="Hornfels",NOT(LEFT(Ensayos!$E38,7)="Triaxia")),Ensayos!M38*TAN(RADIANS(Ensayos!P38)),NA())</f>
        <v/>
      </c>
      <c r="AZ39">
        <f>IF(AND(Ensayos!$D38="Intrusivo",LEFT(Ensayos!$E38,7)="Triaxia"),Ensayos!M38*TAN(RADIANS(Ensayos!P38)),NA())</f>
        <v/>
      </c>
      <c r="BA39">
        <f>IF(AND(Ensayos!$D38="Intrusivo",NOT(LEFT(Ensayos!$E38,7)="Triaxia")),Ensayos!M38*TAN(RADIANS(Ensayos!P38)),NA())</f>
        <v/>
      </c>
      <c r="BB39">
        <f>IF(AND(Ensayos!$D38="Mezcla",LEFT(Ensayos!$E38,7)="Triaxia"),Ensayos!M38*TAN(RADIANS(Ensayos!P38)),NA())</f>
        <v/>
      </c>
      <c r="BC39">
        <f>IF(AND(Ensayos!$D38="Mezcla",NOT(LEFT(Ensayos!$E38,7)="Triaxia")),Ensayos!M38*TAN(RADIANS(Ensayos!P38)),NA())</f>
        <v/>
      </c>
      <c r="BE39">
        <f>Base_mundial!C38</f>
        <v/>
      </c>
      <c r="BF39">
        <f>Base_mundial!E38-omega*(e_base-Base_mundial!B38)</f>
        <v/>
      </c>
      <c r="BG39">
        <f>BE39*TAN(RADIANS(BF39))</f>
        <v/>
      </c>
      <c r="BZ39" t="n">
        <v>360</v>
      </c>
      <c r="CA39" t="n">
        <v>0.2501864456734747</v>
      </c>
      <c r="CB39" t="n">
        <v>0.1831133540372672</v>
      </c>
      <c r="CG39" t="n">
        <v>0.7589561579484674</v>
      </c>
      <c r="CH39">
        <f>IF(MAX(CG39,sv_piso)&lt;=1,e_base-cc_bajo*LOG10(MAX(CG39,sv_piso)/sv_piso),e_base-cc_bajo*LOG10(1/sv_piso)-cc_alto*LOG10(CG39))</f>
        <v/>
      </c>
      <c r="CI39" t="n">
        <v>0.40487</v>
      </c>
      <c r="CJ39">
        <f>DEGREES(ATAN(TAN(RADIANS(pe0-omega*(e_base)))*(CG39/sref)^(m_-1)))</f>
        <v/>
      </c>
      <c r="CK39">
        <f>DEGREES(ATAN(TAN(RADIANS(pe0-omega*(CH39)))*(CG39/sref)^(m_-1)))</f>
        <v/>
      </c>
      <c r="CL39">
        <f>IF(ISNUMBER(CI39),DEGREES(ATAN(TAN(RADIANS(pe0-omega*(CI39)))*(CG39/sref)^(m_-1))),NA())</f>
        <v/>
      </c>
    </row>
    <row r="40">
      <c r="A40" t="n">
        <v>0.11194</v>
      </c>
      <c r="B40">
        <f>DEGREES(ATAN(TAN(RADIANS(pe0-omega*e_base))*(A40/sref)^(m_-1)))</f>
        <v/>
      </c>
      <c r="C40">
        <f>MIN(tope,B40)</f>
        <v/>
      </c>
      <c r="D40">
        <f>IF(B40&gt;tope,B40,NA())</f>
        <v/>
      </c>
      <c r="E40">
        <f>MIN(DEGREES(ATAN(TAN(RADIANS(Parametros!$E$12-omega*e_base))*(A40/sref)^(Parametros!$B$12-1))),DEGREES(ATAN(TAN(RADIANS(Parametros!$E$13-omega*e_base))*(A40/sref)^(Parametros!$B$13-1))),DEGREES(ATAN(TAN(RADIANS(Parametros!$E$14-omega*e_base))*(A40/sref)^(Parametros!$B$14-1))),DEGREES(ATAN(TAN(RADIANS(Parametros!$E$15-omega*e_base))*(A40/sref)^(Parametros!$B$15-1))),DEGREES(ATAN(TAN(RADIANS(Parametros!$E$16-omega*e_base))*(A40/sref)^(Parametros!$B$16-1))))</f>
        <v/>
      </c>
      <c r="F40">
        <f>MAX(DEGREES(ATAN(TAN(RADIANS(Parametros!$F$12-omega*e_base))*(A40/sref)^(Parametros!$B$12-1))),DEGREES(ATAN(TAN(RADIANS(Parametros!$F$13-omega*e_base))*(A40/sref)^(Parametros!$B$13-1))),DEGREES(ATAN(TAN(RADIANS(Parametros!$F$14-omega*e_base))*(A40/sref)^(Parametros!$B$14-1))),DEGREES(ATAN(TAN(RADIANS(Parametros!$F$15-omega*e_base))*(A40/sref)^(Parametros!$B$15-1))),DEGREES(ATAN(TAN(RADIANS(Parametros!$F$16-omega*e_base))*(A40/sref)^(Parametros!$B$16-1))))</f>
        <v/>
      </c>
      <c r="G40">
        <f>DEGREES(ATAN(TAN(RADIANS(46.0))*(A40/sref)^(0.9-1)))</f>
        <v/>
      </c>
      <c r="H40">
        <f>DEGREES(ATAN(TAN(RADIANS(41.0))*(A40/sref)^(0.9-1)))</f>
        <v/>
      </c>
      <c r="I40">
        <f>DEGREES(ATAN(TAN(RADIANS(36.0))*(A40/sref)^(0.9-1)))</f>
        <v/>
      </c>
      <c r="J40">
        <f>DEGREES(ATAN(TAN(RADIANS(33.0))*(A40/sref)^(0.9-1)))</f>
        <v/>
      </c>
      <c r="K40">
        <f>A40*TAN(RADIANS(C40))</f>
        <v/>
      </c>
      <c r="L40">
        <f>A40*TAN(RADIANS(G40))</f>
        <v/>
      </c>
      <c r="M40">
        <f>A40*TAN(RADIANS(H40))</f>
        <v/>
      </c>
      <c r="N40">
        <f>A40*TAN(RADIANS(I40))</f>
        <v/>
      </c>
      <c r="O40">
        <f>A40*TAN(RADIANS(J40))</f>
        <v/>
      </c>
      <c r="Q40" t="n">
        <v>0.159377530708391</v>
      </c>
      <c r="R40">
        <f>MAX(DEGREES(ATAN(TAN(RADIANS(Parametros!$F$12-omega*e_base))*(Q40/sref)^(Parametros!$B$12-1))),DEGREES(ATAN(TAN(RADIANS(Parametros!$F$13-omega*e_base))*(Q40/sref)^(Parametros!$B$13-1))),DEGREES(ATAN(TAN(RADIANS(Parametros!$F$14-omega*e_base))*(Q40/sref)^(Parametros!$B$14-1))),DEGREES(ATAN(TAN(RADIANS(Parametros!$F$15-omega*e_base))*(Q40/sref)^(Parametros!$B$15-1))),DEGREES(ATAN(TAN(RADIANS(Parametros!$F$16-omega*e_base))*(Q40/sref)^(Parametros!$B$16-1))))</f>
        <v/>
      </c>
      <c r="T40" t="n">
        <v>1.083668639053254</v>
      </c>
      <c r="U40">
        <f>T40*TAN(RADIANS(MAX(DEGREES(ATAN(TAN(RADIANS(Parametros!$F$12-omega*e_base))*(T40/sref)^(Parametros!$B$12-1))),DEGREES(ATAN(TAN(RADIANS(Parametros!$F$13-omega*e_base))*(T40/sref)^(Parametros!$B$13-1))),DEGREES(ATAN(TAN(RADIANS(Parametros!$F$14-omega*e_base))*(T40/sref)^(Parametros!$B$14-1))),DEGREES(ATAN(TAN(RADIANS(Parametros!$F$15-omega*e_base))*(T40/sref)^(Parametros!$B$15-1))),DEGREES(ATAN(TAN(RADIANS(Parametros!$F$16-omega*e_base))*(T40/sref)^(Parametros!$B$16-1))))))</f>
        <v/>
      </c>
      <c r="W40" t="n">
        <v>5.964300048469259</v>
      </c>
      <c r="X40" t="n">
        <v>56</v>
      </c>
      <c r="AB40" t="n">
        <v>6.176855392377042</v>
      </c>
      <c r="AC40" t="n">
        <v>10.5</v>
      </c>
      <c r="AG40" t="n">
        <v>5.964300048469259</v>
      </c>
      <c r="AH40" t="n">
        <v>58</v>
      </c>
      <c r="BE40">
        <f>Base_mundial!C39</f>
        <v/>
      </c>
      <c r="BF40">
        <f>Base_mundial!E39-omega*(e_base-Base_mundial!B39)</f>
        <v/>
      </c>
      <c r="BG40">
        <f>BE40*TAN(RADIANS(BF40))</f>
        <v/>
      </c>
      <c r="BZ40" t="n">
        <v>370</v>
      </c>
      <c r="CA40" t="n">
        <v>0.2487714592564761</v>
      </c>
      <c r="CB40" t="n">
        <v>0.1790571473034724</v>
      </c>
      <c r="CG40" t="n">
        <v>0.8029105281677603</v>
      </c>
      <c r="CH40">
        <f>IF(MAX(CG40,sv_piso)&lt;=1,e_base-cc_bajo*LOG10(MAX(CG40,sv_piso)/sv_piso),e_base-cc_bajo*LOG10(1/sv_piso)-cc_alto*LOG10(CG40))</f>
        <v/>
      </c>
      <c r="CI40" t="n">
        <v>0.40241</v>
      </c>
      <c r="CJ40">
        <f>DEGREES(ATAN(TAN(RADIANS(pe0-omega*(e_base)))*(CG40/sref)^(m_-1)))</f>
        <v/>
      </c>
      <c r="CK40">
        <f>DEGREES(ATAN(TAN(RADIANS(pe0-omega*(CH40)))*(CG40/sref)^(m_-1)))</f>
        <v/>
      </c>
      <c r="CL40">
        <f>IF(ISNUMBER(CI40),DEGREES(ATAN(TAN(RADIANS(pe0-omega*(CI40)))*(CG40/sref)^(m_-1))),NA())</f>
        <v/>
      </c>
    </row>
    <row r="41">
      <c r="A41" t="n">
        <v>0.11971</v>
      </c>
      <c r="B41">
        <f>DEGREES(ATAN(TAN(RADIANS(pe0-omega*e_base))*(A41/sref)^(m_-1)))</f>
        <v/>
      </c>
      <c r="C41">
        <f>MIN(tope,B41)</f>
        <v/>
      </c>
      <c r="D41">
        <f>IF(B41&gt;tope,B41,NA())</f>
        <v/>
      </c>
      <c r="E41">
        <f>MIN(DEGREES(ATAN(TAN(RADIANS(Parametros!$E$12-omega*e_base))*(A41/sref)^(Parametros!$B$12-1))),DEGREES(ATAN(TAN(RADIANS(Parametros!$E$13-omega*e_base))*(A41/sref)^(Parametros!$B$13-1))),DEGREES(ATAN(TAN(RADIANS(Parametros!$E$14-omega*e_base))*(A41/sref)^(Parametros!$B$14-1))),DEGREES(ATAN(TAN(RADIANS(Parametros!$E$15-omega*e_base))*(A41/sref)^(Parametros!$B$15-1))),DEGREES(ATAN(TAN(RADIANS(Parametros!$E$16-omega*e_base))*(A41/sref)^(Parametros!$B$16-1))))</f>
        <v/>
      </c>
      <c r="F41">
        <f>MAX(DEGREES(ATAN(TAN(RADIANS(Parametros!$F$12-omega*e_base))*(A41/sref)^(Parametros!$B$12-1))),DEGREES(ATAN(TAN(RADIANS(Parametros!$F$13-omega*e_base))*(A41/sref)^(Parametros!$B$13-1))),DEGREES(ATAN(TAN(RADIANS(Parametros!$F$14-omega*e_base))*(A41/sref)^(Parametros!$B$14-1))),DEGREES(ATAN(TAN(RADIANS(Parametros!$F$15-omega*e_base))*(A41/sref)^(Parametros!$B$15-1))),DEGREES(ATAN(TAN(RADIANS(Parametros!$F$16-omega*e_base))*(A41/sref)^(Parametros!$B$16-1))))</f>
        <v/>
      </c>
      <c r="G41">
        <f>DEGREES(ATAN(TAN(RADIANS(46.0))*(A41/sref)^(0.9-1)))</f>
        <v/>
      </c>
      <c r="H41">
        <f>DEGREES(ATAN(TAN(RADIANS(41.0))*(A41/sref)^(0.9-1)))</f>
        <v/>
      </c>
      <c r="I41">
        <f>DEGREES(ATAN(TAN(RADIANS(36.0))*(A41/sref)^(0.9-1)))</f>
        <v/>
      </c>
      <c r="J41">
        <f>DEGREES(ATAN(TAN(RADIANS(33.0))*(A41/sref)^(0.9-1)))</f>
        <v/>
      </c>
      <c r="K41">
        <f>A41*TAN(RADIANS(C41))</f>
        <v/>
      </c>
      <c r="L41">
        <f>A41*TAN(RADIANS(G41))</f>
        <v/>
      </c>
      <c r="M41">
        <f>A41*TAN(RADIANS(H41))</f>
        <v/>
      </c>
      <c r="N41">
        <f>A41*TAN(RADIANS(I41))</f>
        <v/>
      </c>
      <c r="O41">
        <f>A41*TAN(RADIANS(J41))</f>
        <v/>
      </c>
      <c r="BE41">
        <f>Base_mundial!C40</f>
        <v/>
      </c>
      <c r="BF41">
        <f>Base_mundial!E40-omega*(e_base-Base_mundial!B40)</f>
        <v/>
      </c>
      <c r="BG41">
        <f>BE41*TAN(RADIANS(BF41))</f>
        <v/>
      </c>
      <c r="BZ41" t="n">
        <v>380</v>
      </c>
      <c r="CA41" t="n">
        <v>0.2473940859641442</v>
      </c>
      <c r="CB41" t="n">
        <v>0.1750009405696776</v>
      </c>
      <c r="CG41" t="n">
        <v>0.8494104823989113</v>
      </c>
      <c r="CH41">
        <f>IF(MAX(CG41,sv_piso)&lt;=1,e_base-cc_bajo*LOG10(MAX(CG41,sv_piso)/sv_piso),e_base-cc_bajo*LOG10(1/sv_piso)-cc_alto*LOG10(CG41))</f>
        <v/>
      </c>
      <c r="CI41" t="n">
        <v>0.40027</v>
      </c>
      <c r="CJ41">
        <f>DEGREES(ATAN(TAN(RADIANS(pe0-omega*(e_base)))*(CG41/sref)^(m_-1)))</f>
        <v/>
      </c>
      <c r="CK41">
        <f>DEGREES(ATAN(TAN(RADIANS(pe0-omega*(CH41)))*(CG41/sref)^(m_-1)))</f>
        <v/>
      </c>
      <c r="CL41">
        <f>IF(ISNUMBER(CI41),DEGREES(ATAN(TAN(RADIANS(pe0-omega*(CI41)))*(CG41/sref)^(m_-1))),NA())</f>
        <v/>
      </c>
    </row>
    <row r="42">
      <c r="A42" t="n">
        <v>0.12802</v>
      </c>
      <c r="B42">
        <f>DEGREES(ATAN(TAN(RADIANS(pe0-omega*e_base))*(A42/sref)^(m_-1)))</f>
        <v/>
      </c>
      <c r="C42">
        <f>MIN(tope,B42)</f>
        <v/>
      </c>
      <c r="D42">
        <f>IF(B42&gt;tope,B42,NA())</f>
        <v/>
      </c>
      <c r="E42">
        <f>MIN(DEGREES(ATAN(TAN(RADIANS(Parametros!$E$12-omega*e_base))*(A42/sref)^(Parametros!$B$12-1))),DEGREES(ATAN(TAN(RADIANS(Parametros!$E$13-omega*e_base))*(A42/sref)^(Parametros!$B$13-1))),DEGREES(ATAN(TAN(RADIANS(Parametros!$E$14-omega*e_base))*(A42/sref)^(Parametros!$B$14-1))),DEGREES(ATAN(TAN(RADIANS(Parametros!$E$15-omega*e_base))*(A42/sref)^(Parametros!$B$15-1))),DEGREES(ATAN(TAN(RADIANS(Parametros!$E$16-omega*e_base))*(A42/sref)^(Parametros!$B$16-1))))</f>
        <v/>
      </c>
      <c r="F42">
        <f>MAX(DEGREES(ATAN(TAN(RADIANS(Parametros!$F$12-omega*e_base))*(A42/sref)^(Parametros!$B$12-1))),DEGREES(ATAN(TAN(RADIANS(Parametros!$F$13-omega*e_base))*(A42/sref)^(Parametros!$B$13-1))),DEGREES(ATAN(TAN(RADIANS(Parametros!$F$14-omega*e_base))*(A42/sref)^(Parametros!$B$14-1))),DEGREES(ATAN(TAN(RADIANS(Parametros!$F$15-omega*e_base))*(A42/sref)^(Parametros!$B$15-1))),DEGREES(ATAN(TAN(RADIANS(Parametros!$F$16-omega*e_base))*(A42/sref)^(Parametros!$B$16-1))))</f>
        <v/>
      </c>
      <c r="G42">
        <f>DEGREES(ATAN(TAN(RADIANS(46.0))*(A42/sref)^(0.9-1)))</f>
        <v/>
      </c>
      <c r="H42">
        <f>DEGREES(ATAN(TAN(RADIANS(41.0))*(A42/sref)^(0.9-1)))</f>
        <v/>
      </c>
      <c r="I42">
        <f>DEGREES(ATAN(TAN(RADIANS(36.0))*(A42/sref)^(0.9-1)))</f>
        <v/>
      </c>
      <c r="J42">
        <f>DEGREES(ATAN(TAN(RADIANS(33.0))*(A42/sref)^(0.9-1)))</f>
        <v/>
      </c>
      <c r="K42">
        <f>A42*TAN(RADIANS(C42))</f>
        <v/>
      </c>
      <c r="L42">
        <f>A42*TAN(RADIANS(G42))</f>
        <v/>
      </c>
      <c r="M42">
        <f>A42*TAN(RADIANS(H42))</f>
        <v/>
      </c>
      <c r="N42">
        <f>A42*TAN(RADIANS(I42))</f>
        <v/>
      </c>
      <c r="O42">
        <f>A42*TAN(RADIANS(J42))</f>
        <v/>
      </c>
      <c r="Q42" t="n">
        <v>0.165689893332588</v>
      </c>
      <c r="R42">
        <f>MIN(DEGREES(ATAN(TAN(RADIANS(Parametros!$E$12-omega*e_base))*(Q42/sref)^(Parametros!$B$12-1))),DEGREES(ATAN(TAN(RADIANS(Parametros!$E$13-omega*e_base))*(Q42/sref)^(Parametros!$B$13-1))),DEGREES(ATAN(TAN(RADIANS(Parametros!$E$14-omega*e_base))*(Q42/sref)^(Parametros!$B$14-1))),DEGREES(ATAN(TAN(RADIANS(Parametros!$E$15-omega*e_base))*(Q42/sref)^(Parametros!$B$15-1))),DEGREES(ATAN(TAN(RADIANS(Parametros!$E$16-omega*e_base))*(Q42/sref)^(Parametros!$B$16-1))))</f>
        <v/>
      </c>
      <c r="T42" t="n">
        <v>1.172307692307692</v>
      </c>
      <c r="U42">
        <f>T42*TAN(RADIANS(MIN(DEGREES(ATAN(TAN(RADIANS(Parametros!$E$12-omega*e_base))*(T42/sref)^(Parametros!$B$12-1))),DEGREES(ATAN(TAN(RADIANS(Parametros!$E$13-omega*e_base))*(T42/sref)^(Parametros!$B$13-1))),DEGREES(ATAN(TAN(RADIANS(Parametros!$E$14-omega*e_base))*(T42/sref)^(Parametros!$B$14-1))),DEGREES(ATAN(TAN(RADIANS(Parametros!$E$15-omega*e_base))*(T42/sref)^(Parametros!$B$15-1))),DEGREES(ATAN(TAN(RADIANS(Parametros!$E$16-omega*e_base))*(T42/sref)^(Parametros!$B$16-1))))))</f>
        <v/>
      </c>
      <c r="W42" t="n">
        <v>6.09231893730032</v>
      </c>
      <c r="X42" t="n">
        <v>22</v>
      </c>
      <c r="AB42" t="n">
        <v>6.30638075465261</v>
      </c>
      <c r="AC42" t="n">
        <v>0</v>
      </c>
      <c r="AG42" t="n">
        <v>6.09231893730032</v>
      </c>
      <c r="AH42" t="n">
        <v>22</v>
      </c>
      <c r="BE42">
        <f>Base_mundial!C41</f>
        <v/>
      </c>
      <c r="BF42">
        <f>Base_mundial!E41-omega*(e_base-Base_mundial!B41)</f>
        <v/>
      </c>
      <c r="BG42">
        <f>BE42*TAN(RADIANS(BF42))</f>
        <v/>
      </c>
      <c r="BZ42" t="n">
        <v>390</v>
      </c>
      <c r="CA42" t="n">
        <v>0.2460523762353857</v>
      </c>
      <c r="CB42" t="n">
        <v>0.1709447338358828</v>
      </c>
      <c r="CG42" t="n">
        <v>0.8986034462091411</v>
      </c>
      <c r="CH42">
        <f>IF(MAX(CG42,sv_piso)&lt;=1,e_base-cc_bajo*LOG10(MAX(CG42,sv_piso)/sv_piso),e_base-cc_bajo*LOG10(1/sv_piso)-cc_alto*LOG10(CG42))</f>
        <v/>
      </c>
      <c r="CI42" t="n">
        <v>0.39802</v>
      </c>
      <c r="CJ42">
        <f>DEGREES(ATAN(TAN(RADIANS(pe0-omega*(e_base)))*(CG42/sref)^(m_-1)))</f>
        <v/>
      </c>
      <c r="CK42">
        <f>DEGREES(ATAN(TAN(RADIANS(pe0-omega*(CH42)))*(CG42/sref)^(m_-1)))</f>
        <v/>
      </c>
      <c r="CL42">
        <f>IF(ISNUMBER(CI42),DEGREES(ATAN(TAN(RADIANS(pe0-omega*(CI42)))*(CG42/sref)^(m_-1))),NA())</f>
        <v/>
      </c>
    </row>
    <row r="43">
      <c r="A43" t="n">
        <v>0.1369</v>
      </c>
      <c r="B43">
        <f>DEGREES(ATAN(TAN(RADIANS(pe0-omega*e_base))*(A43/sref)^(m_-1)))</f>
        <v/>
      </c>
      <c r="C43">
        <f>MIN(tope,B43)</f>
        <v/>
      </c>
      <c r="D43">
        <f>IF(B43&gt;tope,B43,NA())</f>
        <v/>
      </c>
      <c r="E43">
        <f>MIN(DEGREES(ATAN(TAN(RADIANS(Parametros!$E$12-omega*e_base))*(A43/sref)^(Parametros!$B$12-1))),DEGREES(ATAN(TAN(RADIANS(Parametros!$E$13-omega*e_base))*(A43/sref)^(Parametros!$B$13-1))),DEGREES(ATAN(TAN(RADIANS(Parametros!$E$14-omega*e_base))*(A43/sref)^(Parametros!$B$14-1))),DEGREES(ATAN(TAN(RADIANS(Parametros!$E$15-omega*e_base))*(A43/sref)^(Parametros!$B$15-1))),DEGREES(ATAN(TAN(RADIANS(Parametros!$E$16-omega*e_base))*(A43/sref)^(Parametros!$B$16-1))))</f>
        <v/>
      </c>
      <c r="F43">
        <f>MAX(DEGREES(ATAN(TAN(RADIANS(Parametros!$F$12-omega*e_base))*(A43/sref)^(Parametros!$B$12-1))),DEGREES(ATAN(TAN(RADIANS(Parametros!$F$13-omega*e_base))*(A43/sref)^(Parametros!$B$13-1))),DEGREES(ATAN(TAN(RADIANS(Parametros!$F$14-omega*e_base))*(A43/sref)^(Parametros!$B$14-1))),DEGREES(ATAN(TAN(RADIANS(Parametros!$F$15-omega*e_base))*(A43/sref)^(Parametros!$B$15-1))),DEGREES(ATAN(TAN(RADIANS(Parametros!$F$16-omega*e_base))*(A43/sref)^(Parametros!$B$16-1))))</f>
        <v/>
      </c>
      <c r="G43">
        <f>DEGREES(ATAN(TAN(RADIANS(46.0))*(A43/sref)^(0.9-1)))</f>
        <v/>
      </c>
      <c r="H43">
        <f>DEGREES(ATAN(TAN(RADIANS(41.0))*(A43/sref)^(0.9-1)))</f>
        <v/>
      </c>
      <c r="I43">
        <f>DEGREES(ATAN(TAN(RADIANS(36.0))*(A43/sref)^(0.9-1)))</f>
        <v/>
      </c>
      <c r="J43">
        <f>DEGREES(ATAN(TAN(RADIANS(33.0))*(A43/sref)^(0.9-1)))</f>
        <v/>
      </c>
      <c r="K43">
        <f>A43*TAN(RADIANS(C43))</f>
        <v/>
      </c>
      <c r="L43">
        <f>A43*TAN(RADIANS(G43))</f>
        <v/>
      </c>
      <c r="M43">
        <f>A43*TAN(RADIANS(H43))</f>
        <v/>
      </c>
      <c r="N43">
        <f>A43*TAN(RADIANS(I43))</f>
        <v/>
      </c>
      <c r="O43">
        <f>A43*TAN(RADIANS(J43))</f>
        <v/>
      </c>
      <c r="Q43" t="n">
        <v>0.165689893332588</v>
      </c>
      <c r="R43">
        <f>MAX(DEGREES(ATAN(TAN(RADIANS(Parametros!$F$12-omega*e_base))*(Q43/sref)^(Parametros!$B$12-1))),DEGREES(ATAN(TAN(RADIANS(Parametros!$F$13-omega*e_base))*(Q43/sref)^(Parametros!$B$13-1))),DEGREES(ATAN(TAN(RADIANS(Parametros!$F$14-omega*e_base))*(Q43/sref)^(Parametros!$B$14-1))),DEGREES(ATAN(TAN(RADIANS(Parametros!$F$15-omega*e_base))*(Q43/sref)^(Parametros!$B$15-1))),DEGREES(ATAN(TAN(RADIANS(Parametros!$F$16-omega*e_base))*(Q43/sref)^(Parametros!$B$16-1))))</f>
        <v/>
      </c>
      <c r="T43" t="n">
        <v>1.172307692307692</v>
      </c>
      <c r="U43">
        <f>T43*TAN(RADIANS(MAX(DEGREES(ATAN(TAN(RADIANS(Parametros!$F$12-omega*e_base))*(T43/sref)^(Parametros!$B$12-1))),DEGREES(ATAN(TAN(RADIANS(Parametros!$F$13-omega*e_base))*(T43/sref)^(Parametros!$B$13-1))),DEGREES(ATAN(TAN(RADIANS(Parametros!$F$14-omega*e_base))*(T43/sref)^(Parametros!$B$14-1))),DEGREES(ATAN(TAN(RADIANS(Parametros!$F$15-omega*e_base))*(T43/sref)^(Parametros!$B$15-1))),DEGREES(ATAN(TAN(RADIANS(Parametros!$F$16-omega*e_base))*(T43/sref)^(Parametros!$B$16-1))))))</f>
        <v/>
      </c>
      <c r="W43" t="n">
        <v>6.09231893730032</v>
      </c>
      <c r="X43" t="n">
        <v>56</v>
      </c>
      <c r="AB43" t="n">
        <v>6.30638075465261</v>
      </c>
      <c r="AC43" t="n">
        <v>10.5</v>
      </c>
      <c r="AG43" t="n">
        <v>6.09231893730032</v>
      </c>
      <c r="AH43" t="n">
        <v>58</v>
      </c>
      <c r="BE43">
        <f>Base_mundial!C42</f>
        <v/>
      </c>
      <c r="BF43">
        <f>Base_mundial!E42-omega*(e_base-Base_mundial!B42)</f>
        <v/>
      </c>
      <c r="BG43">
        <f>BE43*TAN(RADIANS(BF43))</f>
        <v/>
      </c>
      <c r="BZ43" t="n">
        <v>400</v>
      </c>
      <c r="CA43" t="n">
        <v>0.2447445282970425</v>
      </c>
      <c r="CB43" t="n">
        <v>0.166888527102088</v>
      </c>
      <c r="CG43" t="n">
        <v>0.9506453832055745</v>
      </c>
      <c r="CH43">
        <f>IF(MAX(CG43,sv_piso)&lt;=1,e_base-cc_bajo*LOG10(MAX(CG43,sv_piso)/sv_piso),e_base-cc_bajo*LOG10(1/sv_piso)-cc_alto*LOG10(CG43))</f>
        <v/>
      </c>
      <c r="CI43" t="n">
        <v>0.39563</v>
      </c>
      <c r="CJ43">
        <f>DEGREES(ATAN(TAN(RADIANS(pe0-omega*(e_base)))*(CG43/sref)^(m_-1)))</f>
        <v/>
      </c>
      <c r="CK43">
        <f>DEGREES(ATAN(TAN(RADIANS(pe0-omega*(CH43)))*(CG43/sref)^(m_-1)))</f>
        <v/>
      </c>
      <c r="CL43">
        <f>IF(ISNUMBER(CI43),DEGREES(ATAN(TAN(RADIANS(pe0-omega*(CI43)))*(CG43/sref)^(m_-1))),NA())</f>
        <v/>
      </c>
    </row>
    <row r="44">
      <c r="A44" t="n">
        <v>0.1464</v>
      </c>
      <c r="B44">
        <f>DEGREES(ATAN(TAN(RADIANS(pe0-omega*e_base))*(A44/sref)^(m_-1)))</f>
        <v/>
      </c>
      <c r="C44">
        <f>MIN(tope,B44)</f>
        <v/>
      </c>
      <c r="D44">
        <f>IF(B44&gt;tope,B44,NA())</f>
        <v/>
      </c>
      <c r="E44">
        <f>MIN(DEGREES(ATAN(TAN(RADIANS(Parametros!$E$12-omega*e_base))*(A44/sref)^(Parametros!$B$12-1))),DEGREES(ATAN(TAN(RADIANS(Parametros!$E$13-omega*e_base))*(A44/sref)^(Parametros!$B$13-1))),DEGREES(ATAN(TAN(RADIANS(Parametros!$E$14-omega*e_base))*(A44/sref)^(Parametros!$B$14-1))),DEGREES(ATAN(TAN(RADIANS(Parametros!$E$15-omega*e_base))*(A44/sref)^(Parametros!$B$15-1))),DEGREES(ATAN(TAN(RADIANS(Parametros!$E$16-omega*e_base))*(A44/sref)^(Parametros!$B$16-1))))</f>
        <v/>
      </c>
      <c r="F44">
        <f>MAX(DEGREES(ATAN(TAN(RADIANS(Parametros!$F$12-omega*e_base))*(A44/sref)^(Parametros!$B$12-1))),DEGREES(ATAN(TAN(RADIANS(Parametros!$F$13-omega*e_base))*(A44/sref)^(Parametros!$B$13-1))),DEGREES(ATAN(TAN(RADIANS(Parametros!$F$14-omega*e_base))*(A44/sref)^(Parametros!$B$14-1))),DEGREES(ATAN(TAN(RADIANS(Parametros!$F$15-omega*e_base))*(A44/sref)^(Parametros!$B$15-1))),DEGREES(ATAN(TAN(RADIANS(Parametros!$F$16-omega*e_base))*(A44/sref)^(Parametros!$B$16-1))))</f>
        <v/>
      </c>
      <c r="G44">
        <f>DEGREES(ATAN(TAN(RADIANS(46.0))*(A44/sref)^(0.9-1)))</f>
        <v/>
      </c>
      <c r="H44">
        <f>DEGREES(ATAN(TAN(RADIANS(41.0))*(A44/sref)^(0.9-1)))</f>
        <v/>
      </c>
      <c r="I44">
        <f>DEGREES(ATAN(TAN(RADIANS(36.0))*(A44/sref)^(0.9-1)))</f>
        <v/>
      </c>
      <c r="J44">
        <f>DEGREES(ATAN(TAN(RADIANS(33.0))*(A44/sref)^(0.9-1)))</f>
        <v/>
      </c>
      <c r="K44">
        <f>A44*TAN(RADIANS(C44))</f>
        <v/>
      </c>
      <c r="L44">
        <f>A44*TAN(RADIANS(G44))</f>
        <v/>
      </c>
      <c r="M44">
        <f>A44*TAN(RADIANS(H44))</f>
        <v/>
      </c>
      <c r="N44">
        <f>A44*TAN(RADIANS(I44))</f>
        <v/>
      </c>
      <c r="O44">
        <f>A44*TAN(RADIANS(J44))</f>
        <v/>
      </c>
      <c r="BE44">
        <f>Base_mundial!C43</f>
        <v/>
      </c>
      <c r="BF44">
        <f>Base_mundial!E43-omega*(e_base-Base_mundial!B43)</f>
        <v/>
      </c>
      <c r="BG44">
        <f>BE44*TAN(RADIANS(BF44))</f>
        <v/>
      </c>
      <c r="BZ44" t="n">
        <v>410</v>
      </c>
      <c r="CA44" t="n">
        <v>0.2434688735921588</v>
      </c>
      <c r="CB44" t="n">
        <v>0.1629381344570008</v>
      </c>
      <c r="CG44" t="n">
        <v>1.005701289509344</v>
      </c>
      <c r="CH44">
        <f>IF(MAX(CG44,sv_piso)&lt;=1,e_base-cc_bajo*LOG10(MAX(CG44,sv_piso)/sv_piso),e_base-cc_bajo*LOG10(1/sv_piso)-cc_alto*LOG10(CG44))</f>
        <v/>
      </c>
      <c r="CI44" t="n">
        <v>0.39312</v>
      </c>
      <c r="CJ44">
        <f>DEGREES(ATAN(TAN(RADIANS(pe0-omega*(e_base)))*(CG44/sref)^(m_-1)))</f>
        <v/>
      </c>
      <c r="CK44">
        <f>DEGREES(ATAN(TAN(RADIANS(pe0-omega*(CH44)))*(CG44/sref)^(m_-1)))</f>
        <v/>
      </c>
      <c r="CL44">
        <f>IF(ISNUMBER(CI44),DEGREES(ATAN(TAN(RADIANS(pe0-omega*(CI44)))*(CG44/sref)^(m_-1))),NA())</f>
        <v/>
      </c>
    </row>
    <row r="45">
      <c r="A45" t="n">
        <v>0.15656</v>
      </c>
      <c r="B45">
        <f>DEGREES(ATAN(TAN(RADIANS(pe0-omega*e_base))*(A45/sref)^(m_-1)))</f>
        <v/>
      </c>
      <c r="C45">
        <f>MIN(tope,B45)</f>
        <v/>
      </c>
      <c r="D45">
        <f>IF(B45&gt;tope,B45,NA())</f>
        <v/>
      </c>
      <c r="E45">
        <f>MIN(DEGREES(ATAN(TAN(RADIANS(Parametros!$E$12-omega*e_base))*(A45/sref)^(Parametros!$B$12-1))),DEGREES(ATAN(TAN(RADIANS(Parametros!$E$13-omega*e_base))*(A45/sref)^(Parametros!$B$13-1))),DEGREES(ATAN(TAN(RADIANS(Parametros!$E$14-omega*e_base))*(A45/sref)^(Parametros!$B$14-1))),DEGREES(ATAN(TAN(RADIANS(Parametros!$E$15-omega*e_base))*(A45/sref)^(Parametros!$B$15-1))),DEGREES(ATAN(TAN(RADIANS(Parametros!$E$16-omega*e_base))*(A45/sref)^(Parametros!$B$16-1))))</f>
        <v/>
      </c>
      <c r="F45">
        <f>MAX(DEGREES(ATAN(TAN(RADIANS(Parametros!$F$12-omega*e_base))*(A45/sref)^(Parametros!$B$12-1))),DEGREES(ATAN(TAN(RADIANS(Parametros!$F$13-omega*e_base))*(A45/sref)^(Parametros!$B$13-1))),DEGREES(ATAN(TAN(RADIANS(Parametros!$F$14-omega*e_base))*(A45/sref)^(Parametros!$B$14-1))),DEGREES(ATAN(TAN(RADIANS(Parametros!$F$15-omega*e_base))*(A45/sref)^(Parametros!$B$15-1))),DEGREES(ATAN(TAN(RADIANS(Parametros!$F$16-omega*e_base))*(A45/sref)^(Parametros!$B$16-1))))</f>
        <v/>
      </c>
      <c r="G45">
        <f>DEGREES(ATAN(TAN(RADIANS(46.0))*(A45/sref)^(0.9-1)))</f>
        <v/>
      </c>
      <c r="H45">
        <f>DEGREES(ATAN(TAN(RADIANS(41.0))*(A45/sref)^(0.9-1)))</f>
        <v/>
      </c>
      <c r="I45">
        <f>DEGREES(ATAN(TAN(RADIANS(36.0))*(A45/sref)^(0.9-1)))</f>
        <v/>
      </c>
      <c r="J45">
        <f>DEGREES(ATAN(TAN(RADIANS(33.0))*(A45/sref)^(0.9-1)))</f>
        <v/>
      </c>
      <c r="K45">
        <f>A45*TAN(RADIANS(C45))</f>
        <v/>
      </c>
      <c r="L45">
        <f>A45*TAN(RADIANS(G45))</f>
        <v/>
      </c>
      <c r="M45">
        <f>A45*TAN(RADIANS(H45))</f>
        <v/>
      </c>
      <c r="N45">
        <f>A45*TAN(RADIANS(I45))</f>
        <v/>
      </c>
      <c r="O45">
        <f>A45*TAN(RADIANS(J45))</f>
        <v/>
      </c>
      <c r="Q45" t="n">
        <v>0.1722522656144967</v>
      </c>
      <c r="R45">
        <f>MIN(DEGREES(ATAN(TAN(RADIANS(Parametros!$E$12-omega*e_base))*(Q45/sref)^(Parametros!$B$12-1))),DEGREES(ATAN(TAN(RADIANS(Parametros!$E$13-omega*e_base))*(Q45/sref)^(Parametros!$B$13-1))),DEGREES(ATAN(TAN(RADIANS(Parametros!$E$14-omega*e_base))*(Q45/sref)^(Parametros!$B$14-1))),DEGREES(ATAN(TAN(RADIANS(Parametros!$E$15-omega*e_base))*(Q45/sref)^(Parametros!$B$15-1))),DEGREES(ATAN(TAN(RADIANS(Parametros!$E$16-omega*e_base))*(Q45/sref)^(Parametros!$B$16-1))))</f>
        <v/>
      </c>
      <c r="T45" t="n">
        <v>1.26094674556213</v>
      </c>
      <c r="U45">
        <f>T45*TAN(RADIANS(MIN(DEGREES(ATAN(TAN(RADIANS(Parametros!$E$12-omega*e_base))*(T45/sref)^(Parametros!$B$12-1))),DEGREES(ATAN(TAN(RADIANS(Parametros!$E$13-omega*e_base))*(T45/sref)^(Parametros!$B$13-1))),DEGREES(ATAN(TAN(RADIANS(Parametros!$E$14-omega*e_base))*(T45/sref)^(Parametros!$B$14-1))),DEGREES(ATAN(TAN(RADIANS(Parametros!$E$15-omega*e_base))*(T45/sref)^(Parametros!$B$15-1))),DEGREES(ATAN(TAN(RADIANS(Parametros!$E$16-omega*e_base))*(T45/sref)^(Parametros!$B$16-1))))))</f>
        <v/>
      </c>
      <c r="W45" t="n">
        <v>6.223085648300679</v>
      </c>
      <c r="X45" t="n">
        <v>22</v>
      </c>
      <c r="AB45" t="n">
        <v>6.435906116928178</v>
      </c>
      <c r="AC45" t="n">
        <v>0</v>
      </c>
      <c r="AG45" t="n">
        <v>6.223085648300679</v>
      </c>
      <c r="AH45" t="n">
        <v>22</v>
      </c>
      <c r="BE45">
        <f>Base_mundial!C44</f>
        <v/>
      </c>
      <c r="BF45">
        <f>Base_mundial!E44-omega*(e_base-Base_mundial!B44)</f>
        <v/>
      </c>
      <c r="BG45">
        <f>BE45*TAN(RADIANS(BF45))</f>
        <v/>
      </c>
      <c r="BZ45" t="n">
        <v>420</v>
      </c>
      <c r="CA45" t="n">
        <v>0.2422238639611823</v>
      </c>
      <c r="CB45" t="n">
        <v>0.1589877418119137</v>
      </c>
      <c r="CG45" t="n">
        <v>1.063945716866787</v>
      </c>
      <c r="CH45">
        <f>IF(MAX(CG45,sv_piso)&lt;=1,e_base-cc_bajo*LOG10(MAX(CG45,sv_piso)/sv_piso),e_base-cc_bajo*LOG10(1/sv_piso)-cc_alto*LOG10(CG45))</f>
        <v/>
      </c>
      <c r="CI45" t="n">
        <v>0.39046</v>
      </c>
      <c r="CJ45">
        <f>DEGREES(ATAN(TAN(RADIANS(pe0-omega*(e_base)))*(CG45/sref)^(m_-1)))</f>
        <v/>
      </c>
      <c r="CK45">
        <f>DEGREES(ATAN(TAN(RADIANS(pe0-omega*(CH45)))*(CG45/sref)^(m_-1)))</f>
        <v/>
      </c>
      <c r="CL45">
        <f>IF(ISNUMBER(CI45),DEGREES(ATAN(TAN(RADIANS(pe0-omega*(CI45)))*(CG45/sref)^(m_-1))),NA())</f>
        <v/>
      </c>
    </row>
    <row r="46">
      <c r="A46" t="n">
        <v>0.16742</v>
      </c>
      <c r="B46">
        <f>DEGREES(ATAN(TAN(RADIANS(pe0-omega*e_base))*(A46/sref)^(m_-1)))</f>
        <v/>
      </c>
      <c r="C46">
        <f>MIN(tope,B46)</f>
        <v/>
      </c>
      <c r="D46">
        <f>IF(B46&gt;tope,B46,NA())</f>
        <v/>
      </c>
      <c r="E46">
        <f>MIN(DEGREES(ATAN(TAN(RADIANS(Parametros!$E$12-omega*e_base))*(A46/sref)^(Parametros!$B$12-1))),DEGREES(ATAN(TAN(RADIANS(Parametros!$E$13-omega*e_base))*(A46/sref)^(Parametros!$B$13-1))),DEGREES(ATAN(TAN(RADIANS(Parametros!$E$14-omega*e_base))*(A46/sref)^(Parametros!$B$14-1))),DEGREES(ATAN(TAN(RADIANS(Parametros!$E$15-omega*e_base))*(A46/sref)^(Parametros!$B$15-1))),DEGREES(ATAN(TAN(RADIANS(Parametros!$E$16-omega*e_base))*(A46/sref)^(Parametros!$B$16-1))))</f>
        <v/>
      </c>
      <c r="F46">
        <f>MAX(DEGREES(ATAN(TAN(RADIANS(Parametros!$F$12-omega*e_base))*(A46/sref)^(Parametros!$B$12-1))),DEGREES(ATAN(TAN(RADIANS(Parametros!$F$13-omega*e_base))*(A46/sref)^(Parametros!$B$13-1))),DEGREES(ATAN(TAN(RADIANS(Parametros!$F$14-omega*e_base))*(A46/sref)^(Parametros!$B$14-1))),DEGREES(ATAN(TAN(RADIANS(Parametros!$F$15-omega*e_base))*(A46/sref)^(Parametros!$B$15-1))),DEGREES(ATAN(TAN(RADIANS(Parametros!$F$16-omega*e_base))*(A46/sref)^(Parametros!$B$16-1))))</f>
        <v/>
      </c>
      <c r="G46">
        <f>DEGREES(ATAN(TAN(RADIANS(46.0))*(A46/sref)^(0.9-1)))</f>
        <v/>
      </c>
      <c r="H46">
        <f>DEGREES(ATAN(TAN(RADIANS(41.0))*(A46/sref)^(0.9-1)))</f>
        <v/>
      </c>
      <c r="I46">
        <f>DEGREES(ATAN(TAN(RADIANS(36.0))*(A46/sref)^(0.9-1)))</f>
        <v/>
      </c>
      <c r="J46">
        <f>DEGREES(ATAN(TAN(RADIANS(33.0))*(A46/sref)^(0.9-1)))</f>
        <v/>
      </c>
      <c r="K46">
        <f>A46*TAN(RADIANS(C46))</f>
        <v/>
      </c>
      <c r="L46">
        <f>A46*TAN(RADIANS(G46))</f>
        <v/>
      </c>
      <c r="M46">
        <f>A46*TAN(RADIANS(H46))</f>
        <v/>
      </c>
      <c r="N46">
        <f>A46*TAN(RADIANS(I46))</f>
        <v/>
      </c>
      <c r="O46">
        <f>A46*TAN(RADIANS(J46))</f>
        <v/>
      </c>
      <c r="Q46" t="n">
        <v>0.1722522656144967</v>
      </c>
      <c r="R46">
        <f>MAX(DEGREES(ATAN(TAN(RADIANS(Parametros!$F$12-omega*e_base))*(Q46/sref)^(Parametros!$B$12-1))),DEGREES(ATAN(TAN(RADIANS(Parametros!$F$13-omega*e_base))*(Q46/sref)^(Parametros!$B$13-1))),DEGREES(ATAN(TAN(RADIANS(Parametros!$F$14-omega*e_base))*(Q46/sref)^(Parametros!$B$14-1))),DEGREES(ATAN(TAN(RADIANS(Parametros!$F$15-omega*e_base))*(Q46/sref)^(Parametros!$B$15-1))),DEGREES(ATAN(TAN(RADIANS(Parametros!$F$16-omega*e_base))*(Q46/sref)^(Parametros!$B$16-1))))</f>
        <v/>
      </c>
      <c r="T46" t="n">
        <v>1.26094674556213</v>
      </c>
      <c r="U46">
        <f>T46*TAN(RADIANS(MAX(DEGREES(ATAN(TAN(RADIANS(Parametros!$F$12-omega*e_base))*(T46/sref)^(Parametros!$B$12-1))),DEGREES(ATAN(TAN(RADIANS(Parametros!$F$13-omega*e_base))*(T46/sref)^(Parametros!$B$13-1))),DEGREES(ATAN(TAN(RADIANS(Parametros!$F$14-omega*e_base))*(T46/sref)^(Parametros!$B$14-1))),DEGREES(ATAN(TAN(RADIANS(Parametros!$F$15-omega*e_base))*(T46/sref)^(Parametros!$B$15-1))),DEGREES(ATAN(TAN(RADIANS(Parametros!$F$16-omega*e_base))*(T46/sref)^(Parametros!$B$16-1))))))</f>
        <v/>
      </c>
      <c r="W46" t="n">
        <v>6.223085648300679</v>
      </c>
      <c r="X46" t="n">
        <v>56</v>
      </c>
      <c r="AB46" t="n">
        <v>6.435906116928178</v>
      </c>
      <c r="AC46" t="n">
        <v>10.5</v>
      </c>
      <c r="AG46" t="n">
        <v>6.223085648300679</v>
      </c>
      <c r="AH46" t="n">
        <v>58</v>
      </c>
      <c r="BE46">
        <f>Base_mundial!C45</f>
        <v/>
      </c>
      <c r="BF46">
        <f>Base_mundial!E45-omega*(e_base-Base_mundial!B45)</f>
        <v/>
      </c>
      <c r="BG46">
        <f>BE46*TAN(RADIANS(BF46))</f>
        <v/>
      </c>
      <c r="BZ46" t="n">
        <v>430</v>
      </c>
      <c r="CA46" t="n">
        <v>0.2410080603289744</v>
      </c>
      <c r="CB46" t="n">
        <v>0.1550373491668266</v>
      </c>
      <c r="CG46" t="n">
        <v>1.125563326056236</v>
      </c>
      <c r="CH46">
        <f>IF(MAX(CG46,sv_piso)&lt;=1,e_base-cc_bajo*LOG10(MAX(CG46,sv_piso)/sv_piso),e_base-cc_bajo*LOG10(1/sv_piso)-cc_alto*LOG10(CG46))</f>
        <v/>
      </c>
      <c r="CI46" t="n">
        <v>0.38766</v>
      </c>
      <c r="CJ46">
        <f>DEGREES(ATAN(TAN(RADIANS(pe0-omega*(e_base)))*(CG46/sref)^(m_-1)))</f>
        <v/>
      </c>
      <c r="CK46">
        <f>DEGREES(ATAN(TAN(RADIANS(pe0-omega*(CH46)))*(CG46/sref)^(m_-1)))</f>
        <v/>
      </c>
      <c r="CL46">
        <f>IF(ISNUMBER(CI46),DEGREES(ATAN(TAN(RADIANS(pe0-omega*(CI46)))*(CG46/sref)^(m_-1))),NA())</f>
        <v/>
      </c>
    </row>
    <row r="47">
      <c r="A47" t="n">
        <v>0.17904</v>
      </c>
      <c r="B47">
        <f>DEGREES(ATAN(TAN(RADIANS(pe0-omega*e_base))*(A47/sref)^(m_-1)))</f>
        <v/>
      </c>
      <c r="C47">
        <f>MIN(tope,B47)</f>
        <v/>
      </c>
      <c r="D47">
        <f>IF(B47&gt;tope,B47,NA())</f>
        <v/>
      </c>
      <c r="E47">
        <f>MIN(DEGREES(ATAN(TAN(RADIANS(Parametros!$E$12-omega*e_base))*(A47/sref)^(Parametros!$B$12-1))),DEGREES(ATAN(TAN(RADIANS(Parametros!$E$13-omega*e_base))*(A47/sref)^(Parametros!$B$13-1))),DEGREES(ATAN(TAN(RADIANS(Parametros!$E$14-omega*e_base))*(A47/sref)^(Parametros!$B$14-1))),DEGREES(ATAN(TAN(RADIANS(Parametros!$E$15-omega*e_base))*(A47/sref)^(Parametros!$B$15-1))),DEGREES(ATAN(TAN(RADIANS(Parametros!$E$16-omega*e_base))*(A47/sref)^(Parametros!$B$16-1))))</f>
        <v/>
      </c>
      <c r="F47">
        <f>MAX(DEGREES(ATAN(TAN(RADIANS(Parametros!$F$12-omega*e_base))*(A47/sref)^(Parametros!$B$12-1))),DEGREES(ATAN(TAN(RADIANS(Parametros!$F$13-omega*e_base))*(A47/sref)^(Parametros!$B$13-1))),DEGREES(ATAN(TAN(RADIANS(Parametros!$F$14-omega*e_base))*(A47/sref)^(Parametros!$B$14-1))),DEGREES(ATAN(TAN(RADIANS(Parametros!$F$15-omega*e_base))*(A47/sref)^(Parametros!$B$15-1))),DEGREES(ATAN(TAN(RADIANS(Parametros!$F$16-omega*e_base))*(A47/sref)^(Parametros!$B$16-1))))</f>
        <v/>
      </c>
      <c r="G47">
        <f>DEGREES(ATAN(TAN(RADIANS(46.0))*(A47/sref)^(0.9-1)))</f>
        <v/>
      </c>
      <c r="H47">
        <f>DEGREES(ATAN(TAN(RADIANS(41.0))*(A47/sref)^(0.9-1)))</f>
        <v/>
      </c>
      <c r="I47">
        <f>DEGREES(ATAN(TAN(RADIANS(36.0))*(A47/sref)^(0.9-1)))</f>
        <v/>
      </c>
      <c r="J47">
        <f>DEGREES(ATAN(TAN(RADIANS(33.0))*(A47/sref)^(0.9-1)))</f>
        <v/>
      </c>
      <c r="K47">
        <f>A47*TAN(RADIANS(C47))</f>
        <v/>
      </c>
      <c r="L47">
        <f>A47*TAN(RADIANS(G47))</f>
        <v/>
      </c>
      <c r="M47">
        <f>A47*TAN(RADIANS(H47))</f>
        <v/>
      </c>
      <c r="N47">
        <f>A47*TAN(RADIANS(I47))</f>
        <v/>
      </c>
      <c r="O47">
        <f>A47*TAN(RADIANS(J47))</f>
        <v/>
      </c>
      <c r="BE47">
        <f>Base_mundial!C46</f>
        <v/>
      </c>
      <c r="BF47">
        <f>Base_mundial!E46-omega*(e_base-Base_mundial!B46)</f>
        <v/>
      </c>
      <c r="BG47">
        <f>BE47*TAN(RADIANS(BF47))</f>
        <v/>
      </c>
      <c r="BZ47" t="n">
        <v>440</v>
      </c>
      <c r="CA47" t="n">
        <v>0.2398201226902246</v>
      </c>
      <c r="CB47" t="n">
        <v>0.1510869565217395</v>
      </c>
      <c r="CG47" t="n">
        <v>1.19074947234493</v>
      </c>
      <c r="CH47">
        <f>IF(MAX(CG47,sv_piso)&lt;=1,e_base-cc_bajo*LOG10(MAX(CG47,sv_piso)/sv_piso),e_base-cc_bajo*LOG10(1/sv_piso)-cc_alto*LOG10(CG47))</f>
        <v/>
      </c>
      <c r="CI47" t="n">
        <v>0.3847</v>
      </c>
      <c r="CJ47">
        <f>DEGREES(ATAN(TAN(RADIANS(pe0-omega*(e_base)))*(CG47/sref)^(m_-1)))</f>
        <v/>
      </c>
      <c r="CK47">
        <f>DEGREES(ATAN(TAN(RADIANS(pe0-omega*(CH47)))*(CG47/sref)^(m_-1)))</f>
        <v/>
      </c>
      <c r="CL47">
        <f>IF(ISNUMBER(CI47),DEGREES(ATAN(TAN(RADIANS(pe0-omega*(CI47)))*(CG47/sref)^(m_-1))),NA())</f>
        <v/>
      </c>
    </row>
    <row r="48">
      <c r="A48" t="n">
        <v>0.19147</v>
      </c>
      <c r="B48">
        <f>DEGREES(ATAN(TAN(RADIANS(pe0-omega*e_base))*(A48/sref)^(m_-1)))</f>
        <v/>
      </c>
      <c r="C48">
        <f>MIN(tope,B48)</f>
        <v/>
      </c>
      <c r="D48">
        <f>IF(B48&gt;tope,B48,NA())</f>
        <v/>
      </c>
      <c r="E48">
        <f>MIN(DEGREES(ATAN(TAN(RADIANS(Parametros!$E$12-omega*e_base))*(A48/sref)^(Parametros!$B$12-1))),DEGREES(ATAN(TAN(RADIANS(Parametros!$E$13-omega*e_base))*(A48/sref)^(Parametros!$B$13-1))),DEGREES(ATAN(TAN(RADIANS(Parametros!$E$14-omega*e_base))*(A48/sref)^(Parametros!$B$14-1))),DEGREES(ATAN(TAN(RADIANS(Parametros!$E$15-omega*e_base))*(A48/sref)^(Parametros!$B$15-1))),DEGREES(ATAN(TAN(RADIANS(Parametros!$E$16-omega*e_base))*(A48/sref)^(Parametros!$B$16-1))))</f>
        <v/>
      </c>
      <c r="F48">
        <f>MAX(DEGREES(ATAN(TAN(RADIANS(Parametros!$F$12-omega*e_base))*(A48/sref)^(Parametros!$B$12-1))),DEGREES(ATAN(TAN(RADIANS(Parametros!$F$13-omega*e_base))*(A48/sref)^(Parametros!$B$13-1))),DEGREES(ATAN(TAN(RADIANS(Parametros!$F$14-omega*e_base))*(A48/sref)^(Parametros!$B$14-1))),DEGREES(ATAN(TAN(RADIANS(Parametros!$F$15-omega*e_base))*(A48/sref)^(Parametros!$B$15-1))),DEGREES(ATAN(TAN(RADIANS(Parametros!$F$16-omega*e_base))*(A48/sref)^(Parametros!$B$16-1))))</f>
        <v/>
      </c>
      <c r="G48">
        <f>DEGREES(ATAN(TAN(RADIANS(46.0))*(A48/sref)^(0.9-1)))</f>
        <v/>
      </c>
      <c r="H48">
        <f>DEGREES(ATAN(TAN(RADIANS(41.0))*(A48/sref)^(0.9-1)))</f>
        <v/>
      </c>
      <c r="I48">
        <f>DEGREES(ATAN(TAN(RADIANS(36.0))*(A48/sref)^(0.9-1)))</f>
        <v/>
      </c>
      <c r="J48">
        <f>DEGREES(ATAN(TAN(RADIANS(33.0))*(A48/sref)^(0.9-1)))</f>
        <v/>
      </c>
      <c r="K48">
        <f>A48*TAN(RADIANS(C48))</f>
        <v/>
      </c>
      <c r="L48">
        <f>A48*TAN(RADIANS(G48))</f>
        <v/>
      </c>
      <c r="M48">
        <f>A48*TAN(RADIANS(H48))</f>
        <v/>
      </c>
      <c r="N48">
        <f>A48*TAN(RADIANS(I48))</f>
        <v/>
      </c>
      <c r="O48">
        <f>A48*TAN(RADIANS(J48))</f>
        <v/>
      </c>
      <c r="Q48" t="n">
        <v>0.1790745495246901</v>
      </c>
      <c r="R48">
        <f>MIN(DEGREES(ATAN(TAN(RADIANS(Parametros!$E$12-omega*e_base))*(Q48/sref)^(Parametros!$B$12-1))),DEGREES(ATAN(TAN(RADIANS(Parametros!$E$13-omega*e_base))*(Q48/sref)^(Parametros!$B$13-1))),DEGREES(ATAN(TAN(RADIANS(Parametros!$E$14-omega*e_base))*(Q48/sref)^(Parametros!$B$14-1))),DEGREES(ATAN(TAN(RADIANS(Parametros!$E$15-omega*e_base))*(Q48/sref)^(Parametros!$B$15-1))),DEGREES(ATAN(TAN(RADIANS(Parametros!$E$16-omega*e_base))*(Q48/sref)^(Parametros!$B$16-1))))</f>
        <v/>
      </c>
      <c r="T48" t="n">
        <v>1.349585798816568</v>
      </c>
      <c r="U48">
        <f>T48*TAN(RADIANS(MIN(DEGREES(ATAN(TAN(RADIANS(Parametros!$E$12-omega*e_base))*(T48/sref)^(Parametros!$B$12-1))),DEGREES(ATAN(TAN(RADIANS(Parametros!$E$13-omega*e_base))*(T48/sref)^(Parametros!$B$13-1))),DEGREES(ATAN(TAN(RADIANS(Parametros!$E$14-omega*e_base))*(T48/sref)^(Parametros!$B$14-1))),DEGREES(ATAN(TAN(RADIANS(Parametros!$E$15-omega*e_base))*(T48/sref)^(Parametros!$B$15-1))),DEGREES(ATAN(TAN(RADIANS(Parametros!$E$16-omega*e_base))*(T48/sref)^(Parametros!$B$16-1))))))</f>
        <v/>
      </c>
      <c r="W48" t="n">
        <v>6.356659161256392</v>
      </c>
      <c r="X48" t="n">
        <v>22</v>
      </c>
      <c r="AB48" t="n">
        <v>6.565431479203747</v>
      </c>
      <c r="AC48" t="n">
        <v>0</v>
      </c>
      <c r="AG48" t="n">
        <v>6.356659161256392</v>
      </c>
      <c r="AH48" t="n">
        <v>22</v>
      </c>
      <c r="BE48">
        <f>Base_mundial!C47</f>
        <v/>
      </c>
      <c r="BF48">
        <f>Base_mundial!E47-omega*(e_base-Base_mundial!B47)</f>
        <v/>
      </c>
      <c r="BG48">
        <f>BE48*TAN(RADIANS(BF48))</f>
        <v/>
      </c>
      <c r="BZ48" t="n">
        <v>450</v>
      </c>
      <c r="CA48" t="n">
        <v>0.2386588012184418</v>
      </c>
      <c r="CB48" t="n">
        <v>0.1485101199400303</v>
      </c>
      <c r="CG48" t="n">
        <v>1.259710824852239</v>
      </c>
      <c r="CH48">
        <f>IF(MAX(CG48,sv_piso)&lt;=1,e_base-cc_bajo*LOG10(MAX(CG48,sv_piso)/sv_piso),e_base-cc_bajo*LOG10(1/sv_piso)-cc_alto*LOG10(CG48))</f>
        <v/>
      </c>
      <c r="CI48" t="n">
        <v>0.38158</v>
      </c>
      <c r="CJ48">
        <f>DEGREES(ATAN(TAN(RADIANS(pe0-omega*(e_base)))*(CG48/sref)^(m_-1)))</f>
        <v/>
      </c>
      <c r="CK48">
        <f>DEGREES(ATAN(TAN(RADIANS(pe0-omega*(CH48)))*(CG48/sref)^(m_-1)))</f>
        <v/>
      </c>
      <c r="CL48">
        <f>IF(ISNUMBER(CI48),DEGREES(ATAN(TAN(RADIANS(pe0-omega*(CI48)))*(CG48/sref)^(m_-1))),NA())</f>
        <v/>
      </c>
    </row>
    <row r="49">
      <c r="A49" t="n">
        <v>0.20475</v>
      </c>
      <c r="B49">
        <f>DEGREES(ATAN(TAN(RADIANS(pe0-omega*e_base))*(A49/sref)^(m_-1)))</f>
        <v/>
      </c>
      <c r="C49">
        <f>MIN(tope,B49)</f>
        <v/>
      </c>
      <c r="D49">
        <f>IF(B49&gt;tope,B49,NA())</f>
        <v/>
      </c>
      <c r="E49">
        <f>MIN(DEGREES(ATAN(TAN(RADIANS(Parametros!$E$12-omega*e_base))*(A49/sref)^(Parametros!$B$12-1))),DEGREES(ATAN(TAN(RADIANS(Parametros!$E$13-omega*e_base))*(A49/sref)^(Parametros!$B$13-1))),DEGREES(ATAN(TAN(RADIANS(Parametros!$E$14-omega*e_base))*(A49/sref)^(Parametros!$B$14-1))),DEGREES(ATAN(TAN(RADIANS(Parametros!$E$15-omega*e_base))*(A49/sref)^(Parametros!$B$15-1))),DEGREES(ATAN(TAN(RADIANS(Parametros!$E$16-omega*e_base))*(A49/sref)^(Parametros!$B$16-1))))</f>
        <v/>
      </c>
      <c r="F49">
        <f>MAX(DEGREES(ATAN(TAN(RADIANS(Parametros!$F$12-omega*e_base))*(A49/sref)^(Parametros!$B$12-1))),DEGREES(ATAN(TAN(RADIANS(Parametros!$F$13-omega*e_base))*(A49/sref)^(Parametros!$B$13-1))),DEGREES(ATAN(TAN(RADIANS(Parametros!$F$14-omega*e_base))*(A49/sref)^(Parametros!$B$14-1))),DEGREES(ATAN(TAN(RADIANS(Parametros!$F$15-omega*e_base))*(A49/sref)^(Parametros!$B$15-1))),DEGREES(ATAN(TAN(RADIANS(Parametros!$F$16-omega*e_base))*(A49/sref)^(Parametros!$B$16-1))))</f>
        <v/>
      </c>
      <c r="G49">
        <f>DEGREES(ATAN(TAN(RADIANS(46.0))*(A49/sref)^(0.9-1)))</f>
        <v/>
      </c>
      <c r="H49">
        <f>DEGREES(ATAN(TAN(RADIANS(41.0))*(A49/sref)^(0.9-1)))</f>
        <v/>
      </c>
      <c r="I49">
        <f>DEGREES(ATAN(TAN(RADIANS(36.0))*(A49/sref)^(0.9-1)))</f>
        <v/>
      </c>
      <c r="J49">
        <f>DEGREES(ATAN(TAN(RADIANS(33.0))*(A49/sref)^(0.9-1)))</f>
        <v/>
      </c>
      <c r="K49">
        <f>A49*TAN(RADIANS(C49))</f>
        <v/>
      </c>
      <c r="L49">
        <f>A49*TAN(RADIANS(G49))</f>
        <v/>
      </c>
      <c r="M49">
        <f>A49*TAN(RADIANS(H49))</f>
        <v/>
      </c>
      <c r="N49">
        <f>A49*TAN(RADIANS(I49))</f>
        <v/>
      </c>
      <c r="O49">
        <f>A49*TAN(RADIANS(J49))</f>
        <v/>
      </c>
      <c r="Q49" t="n">
        <v>0.1790745495246901</v>
      </c>
      <c r="R49">
        <f>MAX(DEGREES(ATAN(TAN(RADIANS(Parametros!$F$12-omega*e_base))*(Q49/sref)^(Parametros!$B$12-1))),DEGREES(ATAN(TAN(RADIANS(Parametros!$F$13-omega*e_base))*(Q49/sref)^(Parametros!$B$13-1))),DEGREES(ATAN(TAN(RADIANS(Parametros!$F$14-omega*e_base))*(Q49/sref)^(Parametros!$B$14-1))),DEGREES(ATAN(TAN(RADIANS(Parametros!$F$15-omega*e_base))*(Q49/sref)^(Parametros!$B$15-1))),DEGREES(ATAN(TAN(RADIANS(Parametros!$F$16-omega*e_base))*(Q49/sref)^(Parametros!$B$16-1))))</f>
        <v/>
      </c>
      <c r="T49" t="n">
        <v>1.349585798816568</v>
      </c>
      <c r="U49">
        <f>T49*TAN(RADIANS(MAX(DEGREES(ATAN(TAN(RADIANS(Parametros!$F$12-omega*e_base))*(T49/sref)^(Parametros!$B$12-1))),DEGREES(ATAN(TAN(RADIANS(Parametros!$F$13-omega*e_base))*(T49/sref)^(Parametros!$B$13-1))),DEGREES(ATAN(TAN(RADIANS(Parametros!$F$14-omega*e_base))*(T49/sref)^(Parametros!$B$14-1))),DEGREES(ATAN(TAN(RADIANS(Parametros!$F$15-omega*e_base))*(T49/sref)^(Parametros!$B$15-1))),DEGREES(ATAN(TAN(RADIANS(Parametros!$F$16-omega*e_base))*(T49/sref)^(Parametros!$B$16-1))))))</f>
        <v/>
      </c>
      <c r="W49" t="n">
        <v>6.356659161256392</v>
      </c>
      <c r="X49" t="n">
        <v>56</v>
      </c>
      <c r="AB49" t="n">
        <v>6.565431479203747</v>
      </c>
      <c r="AC49" t="n">
        <v>10.5</v>
      </c>
      <c r="AG49" t="n">
        <v>6.356659161256392</v>
      </c>
      <c r="AH49" t="n">
        <v>58</v>
      </c>
      <c r="BE49">
        <f>Base_mundial!C48</f>
        <v/>
      </c>
      <c r="BF49">
        <f>Base_mundial!E48-omega*(e_base-Base_mundial!B48)</f>
        <v/>
      </c>
      <c r="BG49">
        <f>BE49*TAN(RADIANS(BF49))</f>
        <v/>
      </c>
      <c r="BZ49" t="n">
        <v>460</v>
      </c>
      <c r="CA49" t="n">
        <v>0.2375229283505633</v>
      </c>
      <c r="CB49" t="n">
        <v>0.1459332833583212</v>
      </c>
      <c r="CG49" t="n">
        <v>1.332666021782819</v>
      </c>
      <c r="CH49">
        <f>IF(MAX(CG49,sv_piso)&lt;=1,e_base-cc_bajo*LOG10(MAX(CG49,sv_piso)/sv_piso),e_base-cc_bajo*LOG10(1/sv_piso)-cc_alto*LOG10(CG49))</f>
        <v/>
      </c>
      <c r="CI49" t="n">
        <v>0.37828</v>
      </c>
      <c r="CJ49">
        <f>DEGREES(ATAN(TAN(RADIANS(pe0-omega*(e_base)))*(CG49/sref)^(m_-1)))</f>
        <v/>
      </c>
      <c r="CK49">
        <f>DEGREES(ATAN(TAN(RADIANS(pe0-omega*(CH49)))*(CG49/sref)^(m_-1)))</f>
        <v/>
      </c>
      <c r="CL49">
        <f>IF(ISNUMBER(CI49),DEGREES(ATAN(TAN(RADIANS(pe0-omega*(CI49)))*(CG49/sref)^(m_-1))),NA())</f>
        <v/>
      </c>
    </row>
    <row r="50">
      <c r="A50" t="n">
        <v>0.21896</v>
      </c>
      <c r="B50">
        <f>DEGREES(ATAN(TAN(RADIANS(pe0-omega*e_base))*(A50/sref)^(m_-1)))</f>
        <v/>
      </c>
      <c r="C50">
        <f>MIN(tope,B50)</f>
        <v/>
      </c>
      <c r="D50">
        <f>IF(B50&gt;tope,B50,NA())</f>
        <v/>
      </c>
      <c r="E50">
        <f>MIN(DEGREES(ATAN(TAN(RADIANS(Parametros!$E$12-omega*e_base))*(A50/sref)^(Parametros!$B$12-1))),DEGREES(ATAN(TAN(RADIANS(Parametros!$E$13-omega*e_base))*(A50/sref)^(Parametros!$B$13-1))),DEGREES(ATAN(TAN(RADIANS(Parametros!$E$14-omega*e_base))*(A50/sref)^(Parametros!$B$14-1))),DEGREES(ATAN(TAN(RADIANS(Parametros!$E$15-omega*e_base))*(A50/sref)^(Parametros!$B$15-1))),DEGREES(ATAN(TAN(RADIANS(Parametros!$E$16-omega*e_base))*(A50/sref)^(Parametros!$B$16-1))))</f>
        <v/>
      </c>
      <c r="F50">
        <f>MAX(DEGREES(ATAN(TAN(RADIANS(Parametros!$F$12-omega*e_base))*(A50/sref)^(Parametros!$B$12-1))),DEGREES(ATAN(TAN(RADIANS(Parametros!$F$13-omega*e_base))*(A50/sref)^(Parametros!$B$13-1))),DEGREES(ATAN(TAN(RADIANS(Parametros!$F$14-omega*e_base))*(A50/sref)^(Parametros!$B$14-1))),DEGREES(ATAN(TAN(RADIANS(Parametros!$F$15-omega*e_base))*(A50/sref)^(Parametros!$B$15-1))),DEGREES(ATAN(TAN(RADIANS(Parametros!$F$16-omega*e_base))*(A50/sref)^(Parametros!$B$16-1))))</f>
        <v/>
      </c>
      <c r="G50">
        <f>DEGREES(ATAN(TAN(RADIANS(46.0))*(A50/sref)^(0.9-1)))</f>
        <v/>
      </c>
      <c r="H50">
        <f>DEGREES(ATAN(TAN(RADIANS(41.0))*(A50/sref)^(0.9-1)))</f>
        <v/>
      </c>
      <c r="I50">
        <f>DEGREES(ATAN(TAN(RADIANS(36.0))*(A50/sref)^(0.9-1)))</f>
        <v/>
      </c>
      <c r="J50">
        <f>DEGREES(ATAN(TAN(RADIANS(33.0))*(A50/sref)^(0.9-1)))</f>
        <v/>
      </c>
      <c r="K50">
        <f>A50*TAN(RADIANS(C50))</f>
        <v/>
      </c>
      <c r="L50">
        <f>A50*TAN(RADIANS(G50))</f>
        <v/>
      </c>
      <c r="M50">
        <f>A50*TAN(RADIANS(H50))</f>
        <v/>
      </c>
      <c r="N50">
        <f>A50*TAN(RADIANS(I50))</f>
        <v/>
      </c>
      <c r="O50">
        <f>A50*TAN(RADIANS(J50))</f>
        <v/>
      </c>
      <c r="BE50">
        <f>Base_mundial!C49</f>
        <v/>
      </c>
      <c r="BF50">
        <f>Base_mundial!E49-omega*(e_base-Base_mundial!B49)</f>
        <v/>
      </c>
      <c r="BG50">
        <f>BE50*TAN(RADIANS(BF50))</f>
        <v/>
      </c>
      <c r="BZ50" t="n">
        <v>470</v>
      </c>
      <c r="CA50" t="n">
        <v>0.236411411721461</v>
      </c>
      <c r="CB50" t="n">
        <v>0.143356446776612</v>
      </c>
      <c r="CG50" t="n">
        <v>1.409846363607111</v>
      </c>
      <c r="CH50">
        <f>IF(MAX(CG50,sv_piso)&lt;=1,e_base-cc_bajo*LOG10(MAX(CG50,sv_piso)/sv_piso),e_base-cc_bajo*LOG10(1/sv_piso)-cc_alto*LOG10(CG50))</f>
        <v/>
      </c>
      <c r="CI50" t="n">
        <v>0.3748</v>
      </c>
      <c r="CJ50">
        <f>DEGREES(ATAN(TAN(RADIANS(pe0-omega*(e_base)))*(CG50/sref)^(m_-1)))</f>
        <v/>
      </c>
      <c r="CK50">
        <f>DEGREES(ATAN(TAN(RADIANS(pe0-omega*(CH50)))*(CG50/sref)^(m_-1)))</f>
        <v/>
      </c>
      <c r="CL50">
        <f>IF(ISNUMBER(CI50),DEGREES(ATAN(TAN(RADIANS(pe0-omega*(CI50)))*(CG50/sref)^(m_-1))),NA())</f>
        <v/>
      </c>
    </row>
    <row r="51">
      <c r="A51" t="n">
        <v>0.23416</v>
      </c>
      <c r="B51">
        <f>DEGREES(ATAN(TAN(RADIANS(pe0-omega*e_base))*(A51/sref)^(m_-1)))</f>
        <v/>
      </c>
      <c r="C51">
        <f>MIN(tope,B51)</f>
        <v/>
      </c>
      <c r="D51">
        <f>IF(B51&gt;tope,B51,NA())</f>
        <v/>
      </c>
      <c r="E51">
        <f>MIN(DEGREES(ATAN(TAN(RADIANS(Parametros!$E$12-omega*e_base))*(A51/sref)^(Parametros!$B$12-1))),DEGREES(ATAN(TAN(RADIANS(Parametros!$E$13-omega*e_base))*(A51/sref)^(Parametros!$B$13-1))),DEGREES(ATAN(TAN(RADIANS(Parametros!$E$14-omega*e_base))*(A51/sref)^(Parametros!$B$14-1))),DEGREES(ATAN(TAN(RADIANS(Parametros!$E$15-omega*e_base))*(A51/sref)^(Parametros!$B$15-1))),DEGREES(ATAN(TAN(RADIANS(Parametros!$E$16-omega*e_base))*(A51/sref)^(Parametros!$B$16-1))))</f>
        <v/>
      </c>
      <c r="F51">
        <f>MAX(DEGREES(ATAN(TAN(RADIANS(Parametros!$F$12-omega*e_base))*(A51/sref)^(Parametros!$B$12-1))),DEGREES(ATAN(TAN(RADIANS(Parametros!$F$13-omega*e_base))*(A51/sref)^(Parametros!$B$13-1))),DEGREES(ATAN(TAN(RADIANS(Parametros!$F$14-omega*e_base))*(A51/sref)^(Parametros!$B$14-1))),DEGREES(ATAN(TAN(RADIANS(Parametros!$F$15-omega*e_base))*(A51/sref)^(Parametros!$B$15-1))),DEGREES(ATAN(TAN(RADIANS(Parametros!$F$16-omega*e_base))*(A51/sref)^(Parametros!$B$16-1))))</f>
        <v/>
      </c>
      <c r="G51">
        <f>DEGREES(ATAN(TAN(RADIANS(46.0))*(A51/sref)^(0.9-1)))</f>
        <v/>
      </c>
      <c r="H51">
        <f>DEGREES(ATAN(TAN(RADIANS(41.0))*(A51/sref)^(0.9-1)))</f>
        <v/>
      </c>
      <c r="I51">
        <f>DEGREES(ATAN(TAN(RADIANS(36.0))*(A51/sref)^(0.9-1)))</f>
        <v/>
      </c>
      <c r="J51">
        <f>DEGREES(ATAN(TAN(RADIANS(33.0))*(A51/sref)^(0.9-1)))</f>
        <v/>
      </c>
      <c r="K51">
        <f>A51*TAN(RADIANS(C51))</f>
        <v/>
      </c>
      <c r="L51">
        <f>A51*TAN(RADIANS(G51))</f>
        <v/>
      </c>
      <c r="M51">
        <f>A51*TAN(RADIANS(H51))</f>
        <v/>
      </c>
      <c r="N51">
        <f>A51*TAN(RADIANS(I51))</f>
        <v/>
      </c>
      <c r="O51">
        <f>A51*TAN(RADIANS(J51))</f>
        <v/>
      </c>
      <c r="Q51" t="n">
        <v>0.1861670392146752</v>
      </c>
      <c r="R51">
        <f>MIN(DEGREES(ATAN(TAN(RADIANS(Parametros!$E$12-omega*e_base))*(Q51/sref)^(Parametros!$B$12-1))),DEGREES(ATAN(TAN(RADIANS(Parametros!$E$13-omega*e_base))*(Q51/sref)^(Parametros!$B$13-1))),DEGREES(ATAN(TAN(RADIANS(Parametros!$E$14-omega*e_base))*(Q51/sref)^(Parametros!$B$14-1))),DEGREES(ATAN(TAN(RADIANS(Parametros!$E$15-omega*e_base))*(Q51/sref)^(Parametros!$B$15-1))),DEGREES(ATAN(TAN(RADIANS(Parametros!$E$16-omega*e_base))*(Q51/sref)^(Parametros!$B$16-1))))</f>
        <v/>
      </c>
      <c r="T51" t="n">
        <v>1.438224852071006</v>
      </c>
      <c r="U51">
        <f>T51*TAN(RADIANS(MIN(DEGREES(ATAN(TAN(RADIANS(Parametros!$E$12-omega*e_base))*(T51/sref)^(Parametros!$B$12-1))),DEGREES(ATAN(TAN(RADIANS(Parametros!$E$13-omega*e_base))*(T51/sref)^(Parametros!$B$13-1))),DEGREES(ATAN(TAN(RADIANS(Parametros!$E$14-omega*e_base))*(T51/sref)^(Parametros!$B$14-1))),DEGREES(ATAN(TAN(RADIANS(Parametros!$E$15-omega*e_base))*(T51/sref)^(Parametros!$B$15-1))),DEGREES(ATAN(TAN(RADIANS(Parametros!$E$16-omega*e_base))*(T51/sref)^(Parametros!$B$16-1))))))</f>
        <v/>
      </c>
      <c r="W51" t="n">
        <v>6.49309972190704</v>
      </c>
      <c r="X51" t="n">
        <v>22</v>
      </c>
      <c r="AB51" t="n">
        <v>6.694956841479316</v>
      </c>
      <c r="AC51" t="n">
        <v>0</v>
      </c>
      <c r="AG51" t="n">
        <v>6.49309972190704</v>
      </c>
      <c r="AH51" t="n">
        <v>22</v>
      </c>
      <c r="BE51">
        <f>Base_mundial!C50</f>
        <v/>
      </c>
      <c r="BF51">
        <f>Base_mundial!E50-omega*(e_base-Base_mundial!B50)</f>
        <v/>
      </c>
      <c r="BG51">
        <f>BE51*TAN(RADIANS(BF51))</f>
        <v/>
      </c>
      <c r="BZ51" t="n">
        <v>480</v>
      </c>
      <c r="CA51" t="n">
        <v>0.2353232278411343</v>
      </c>
      <c r="CB51" t="n">
        <v>0.1407796101949029</v>
      </c>
      <c r="CG51" t="n">
        <v>1.491496546386863</v>
      </c>
      <c r="CH51">
        <f>IF(MAX(CG51,sv_piso)&lt;=1,e_base-cc_bajo*LOG10(MAX(CG51,sv_piso)/sv_piso),e_base-cc_bajo*LOG10(1/sv_piso)-cc_alto*LOG10(CG51))</f>
        <v/>
      </c>
      <c r="CI51" t="n">
        <v>0.37112</v>
      </c>
      <c r="CJ51">
        <f>DEGREES(ATAN(TAN(RADIANS(pe0-omega*(e_base)))*(CG51/sref)^(m_-1)))</f>
        <v/>
      </c>
      <c r="CK51">
        <f>DEGREES(ATAN(TAN(RADIANS(pe0-omega*(CH51)))*(CG51/sref)^(m_-1)))</f>
        <v/>
      </c>
      <c r="CL51">
        <f>IF(ISNUMBER(CI51),DEGREES(ATAN(TAN(RADIANS(pe0-omega*(CI51)))*(CG51/sref)^(m_-1))),NA())</f>
        <v/>
      </c>
    </row>
    <row r="52">
      <c r="A52" t="n">
        <v>0.25041</v>
      </c>
      <c r="B52">
        <f>DEGREES(ATAN(TAN(RADIANS(pe0-omega*e_base))*(A52/sref)^(m_-1)))</f>
        <v/>
      </c>
      <c r="C52">
        <f>MIN(tope,B52)</f>
        <v/>
      </c>
      <c r="D52">
        <f>IF(B52&gt;tope,B52,NA())</f>
        <v/>
      </c>
      <c r="E52">
        <f>MIN(DEGREES(ATAN(TAN(RADIANS(Parametros!$E$12-omega*e_base))*(A52/sref)^(Parametros!$B$12-1))),DEGREES(ATAN(TAN(RADIANS(Parametros!$E$13-omega*e_base))*(A52/sref)^(Parametros!$B$13-1))),DEGREES(ATAN(TAN(RADIANS(Parametros!$E$14-omega*e_base))*(A52/sref)^(Parametros!$B$14-1))),DEGREES(ATAN(TAN(RADIANS(Parametros!$E$15-omega*e_base))*(A52/sref)^(Parametros!$B$15-1))),DEGREES(ATAN(TAN(RADIANS(Parametros!$E$16-omega*e_base))*(A52/sref)^(Parametros!$B$16-1))))</f>
        <v/>
      </c>
      <c r="F52">
        <f>MAX(DEGREES(ATAN(TAN(RADIANS(Parametros!$F$12-omega*e_base))*(A52/sref)^(Parametros!$B$12-1))),DEGREES(ATAN(TAN(RADIANS(Parametros!$F$13-omega*e_base))*(A52/sref)^(Parametros!$B$13-1))),DEGREES(ATAN(TAN(RADIANS(Parametros!$F$14-omega*e_base))*(A52/sref)^(Parametros!$B$14-1))),DEGREES(ATAN(TAN(RADIANS(Parametros!$F$15-omega*e_base))*(A52/sref)^(Parametros!$B$15-1))),DEGREES(ATAN(TAN(RADIANS(Parametros!$F$16-omega*e_base))*(A52/sref)^(Parametros!$B$16-1))))</f>
        <v/>
      </c>
      <c r="G52">
        <f>DEGREES(ATAN(TAN(RADIANS(46.0))*(A52/sref)^(0.9-1)))</f>
        <v/>
      </c>
      <c r="H52">
        <f>DEGREES(ATAN(TAN(RADIANS(41.0))*(A52/sref)^(0.9-1)))</f>
        <v/>
      </c>
      <c r="I52">
        <f>DEGREES(ATAN(TAN(RADIANS(36.0))*(A52/sref)^(0.9-1)))</f>
        <v/>
      </c>
      <c r="J52">
        <f>DEGREES(ATAN(TAN(RADIANS(33.0))*(A52/sref)^(0.9-1)))</f>
        <v/>
      </c>
      <c r="K52">
        <f>A52*TAN(RADIANS(C52))</f>
        <v/>
      </c>
      <c r="L52">
        <f>A52*TAN(RADIANS(G52))</f>
        <v/>
      </c>
      <c r="M52">
        <f>A52*TAN(RADIANS(H52))</f>
        <v/>
      </c>
      <c r="N52">
        <f>A52*TAN(RADIANS(I52))</f>
        <v/>
      </c>
      <c r="O52">
        <f>A52*TAN(RADIANS(J52))</f>
        <v/>
      </c>
      <c r="Q52" t="n">
        <v>0.1861670392146752</v>
      </c>
      <c r="R52">
        <f>MAX(DEGREES(ATAN(TAN(RADIANS(Parametros!$F$12-omega*e_base))*(Q52/sref)^(Parametros!$B$12-1))),DEGREES(ATAN(TAN(RADIANS(Parametros!$F$13-omega*e_base))*(Q52/sref)^(Parametros!$B$13-1))),DEGREES(ATAN(TAN(RADIANS(Parametros!$F$14-omega*e_base))*(Q52/sref)^(Parametros!$B$14-1))),DEGREES(ATAN(TAN(RADIANS(Parametros!$F$15-omega*e_base))*(Q52/sref)^(Parametros!$B$15-1))),DEGREES(ATAN(TAN(RADIANS(Parametros!$F$16-omega*e_base))*(Q52/sref)^(Parametros!$B$16-1))))</f>
        <v/>
      </c>
      <c r="T52" t="n">
        <v>1.438224852071006</v>
      </c>
      <c r="U52">
        <f>T52*TAN(RADIANS(MAX(DEGREES(ATAN(TAN(RADIANS(Parametros!$F$12-omega*e_base))*(T52/sref)^(Parametros!$B$12-1))),DEGREES(ATAN(TAN(RADIANS(Parametros!$F$13-omega*e_base))*(T52/sref)^(Parametros!$B$13-1))),DEGREES(ATAN(TAN(RADIANS(Parametros!$F$14-omega*e_base))*(T52/sref)^(Parametros!$B$14-1))),DEGREES(ATAN(TAN(RADIANS(Parametros!$F$15-omega*e_base))*(T52/sref)^(Parametros!$B$15-1))),DEGREES(ATAN(TAN(RADIANS(Parametros!$F$16-omega*e_base))*(T52/sref)^(Parametros!$B$16-1))))))</f>
        <v/>
      </c>
      <c r="W52" t="n">
        <v>6.49309972190704</v>
      </c>
      <c r="X52" t="n">
        <v>56</v>
      </c>
      <c r="AB52" t="n">
        <v>6.694956841479316</v>
      </c>
      <c r="AC52" t="n">
        <v>10.5</v>
      </c>
      <c r="AG52" t="n">
        <v>6.49309972190704</v>
      </c>
      <c r="AH52" t="n">
        <v>58</v>
      </c>
      <c r="BE52">
        <f>Base_mundial!C51</f>
        <v/>
      </c>
      <c r="BF52">
        <f>Base_mundial!E51-omega*(e_base-Base_mundial!B51)</f>
        <v/>
      </c>
      <c r="BG52">
        <f>BE52*TAN(RADIANS(BF52))</f>
        <v/>
      </c>
      <c r="BZ52" t="n">
        <v>490</v>
      </c>
      <c r="CA52" t="n">
        <v>0.2342574164228296</v>
      </c>
      <c r="CB52" t="n">
        <v>0.1382468221017699</v>
      </c>
      <c r="CG52" t="n">
        <v>1.577875437570637</v>
      </c>
      <c r="CH52">
        <f>IF(MAX(CG52,sv_piso)&lt;=1,e_base-cc_bajo*LOG10(MAX(CG52,sv_piso)/sv_piso),e_base-cc_bajo*LOG10(1/sv_piso)-cc_alto*LOG10(CG52))</f>
        <v/>
      </c>
      <c r="CI52" t="n">
        <v>0.36725</v>
      </c>
      <c r="CJ52">
        <f>DEGREES(ATAN(TAN(RADIANS(pe0-omega*(e_base)))*(CG52/sref)^(m_-1)))</f>
        <v/>
      </c>
      <c r="CK52">
        <f>DEGREES(ATAN(TAN(RADIANS(pe0-omega*(CH52)))*(CG52/sref)^(m_-1)))</f>
        <v/>
      </c>
      <c r="CL52">
        <f>IF(ISNUMBER(CI52),DEGREES(ATAN(TAN(RADIANS(pe0-omega*(CI52)))*(CG52/sref)^(m_-1))),NA())</f>
        <v/>
      </c>
    </row>
    <row r="53">
      <c r="A53" t="n">
        <v>0.26778</v>
      </c>
      <c r="B53">
        <f>DEGREES(ATAN(TAN(RADIANS(pe0-omega*e_base))*(A53/sref)^(m_-1)))</f>
        <v/>
      </c>
      <c r="C53">
        <f>MIN(tope,B53)</f>
        <v/>
      </c>
      <c r="D53">
        <f>IF(B53&gt;tope,B53,NA())</f>
        <v/>
      </c>
      <c r="E53">
        <f>MIN(DEGREES(ATAN(TAN(RADIANS(Parametros!$E$12-omega*e_base))*(A53/sref)^(Parametros!$B$12-1))),DEGREES(ATAN(TAN(RADIANS(Parametros!$E$13-omega*e_base))*(A53/sref)^(Parametros!$B$13-1))),DEGREES(ATAN(TAN(RADIANS(Parametros!$E$14-omega*e_base))*(A53/sref)^(Parametros!$B$14-1))),DEGREES(ATAN(TAN(RADIANS(Parametros!$E$15-omega*e_base))*(A53/sref)^(Parametros!$B$15-1))),DEGREES(ATAN(TAN(RADIANS(Parametros!$E$16-omega*e_base))*(A53/sref)^(Parametros!$B$16-1))))</f>
        <v/>
      </c>
      <c r="F53">
        <f>MAX(DEGREES(ATAN(TAN(RADIANS(Parametros!$F$12-omega*e_base))*(A53/sref)^(Parametros!$B$12-1))),DEGREES(ATAN(TAN(RADIANS(Parametros!$F$13-omega*e_base))*(A53/sref)^(Parametros!$B$13-1))),DEGREES(ATAN(TAN(RADIANS(Parametros!$F$14-omega*e_base))*(A53/sref)^(Parametros!$B$14-1))),DEGREES(ATAN(TAN(RADIANS(Parametros!$F$15-omega*e_base))*(A53/sref)^(Parametros!$B$15-1))),DEGREES(ATAN(TAN(RADIANS(Parametros!$F$16-omega*e_base))*(A53/sref)^(Parametros!$B$16-1))))</f>
        <v/>
      </c>
      <c r="G53">
        <f>DEGREES(ATAN(TAN(RADIANS(46.0))*(A53/sref)^(0.9-1)))</f>
        <v/>
      </c>
      <c r="H53">
        <f>DEGREES(ATAN(TAN(RADIANS(41.0))*(A53/sref)^(0.9-1)))</f>
        <v/>
      </c>
      <c r="I53">
        <f>DEGREES(ATAN(TAN(RADIANS(36.0))*(A53/sref)^(0.9-1)))</f>
        <v/>
      </c>
      <c r="J53">
        <f>DEGREES(ATAN(TAN(RADIANS(33.0))*(A53/sref)^(0.9-1)))</f>
        <v/>
      </c>
      <c r="K53">
        <f>A53*TAN(RADIANS(C53))</f>
        <v/>
      </c>
      <c r="L53">
        <f>A53*TAN(RADIANS(G53))</f>
        <v/>
      </c>
      <c r="M53">
        <f>A53*TAN(RADIANS(H53))</f>
        <v/>
      </c>
      <c r="N53">
        <f>A53*TAN(RADIANS(I53))</f>
        <v/>
      </c>
      <c r="O53">
        <f>A53*TAN(RADIANS(J53))</f>
        <v/>
      </c>
      <c r="BE53">
        <f>Base_mundial!C52</f>
        <v/>
      </c>
      <c r="BF53">
        <f>Base_mundial!E52-omega*(e_base-Base_mundial!B52)</f>
        <v/>
      </c>
      <c r="BG53">
        <f>BE53*TAN(RADIANS(BF53))</f>
        <v/>
      </c>
      <c r="BZ53" t="n">
        <v>500</v>
      </c>
      <c r="CA53" t="n">
        <v>0.2332130752832891</v>
      </c>
      <c r="CB53" t="n">
        <v>0.135714034008637</v>
      </c>
      <c r="CG53" t="n">
        <v>1.669256896718923</v>
      </c>
      <c r="CH53">
        <f>IF(MAX(CG53,sv_piso)&lt;=1,e_base-cc_bajo*LOG10(MAX(CG53,sv_piso)/sv_piso),e_base-cc_bajo*LOG10(1/sv_piso)-cc_alto*LOG10(CG53))</f>
        <v/>
      </c>
      <c r="CI53" t="n">
        <v>0.36329</v>
      </c>
      <c r="CJ53">
        <f>DEGREES(ATAN(TAN(RADIANS(pe0-omega*(e_base)))*(CG53/sref)^(m_-1)))</f>
        <v/>
      </c>
      <c r="CK53">
        <f>DEGREES(ATAN(TAN(RADIANS(pe0-omega*(CH53)))*(CG53/sref)^(m_-1)))</f>
        <v/>
      </c>
      <c r="CL53">
        <f>IF(ISNUMBER(CI53),DEGREES(ATAN(TAN(RADIANS(pe0-omega*(CI53)))*(CG53/sref)^(m_-1))),NA())</f>
        <v/>
      </c>
    </row>
    <row r="54">
      <c r="A54" t="n">
        <v>0.28637</v>
      </c>
      <c r="B54">
        <f>DEGREES(ATAN(TAN(RADIANS(pe0-omega*e_base))*(A54/sref)^(m_-1)))</f>
        <v/>
      </c>
      <c r="C54">
        <f>MIN(tope,B54)</f>
        <v/>
      </c>
      <c r="D54">
        <f>IF(B54&gt;tope,B54,NA())</f>
        <v/>
      </c>
      <c r="E54">
        <f>MIN(DEGREES(ATAN(TAN(RADIANS(Parametros!$E$12-omega*e_base))*(A54/sref)^(Parametros!$B$12-1))),DEGREES(ATAN(TAN(RADIANS(Parametros!$E$13-omega*e_base))*(A54/sref)^(Parametros!$B$13-1))),DEGREES(ATAN(TAN(RADIANS(Parametros!$E$14-omega*e_base))*(A54/sref)^(Parametros!$B$14-1))),DEGREES(ATAN(TAN(RADIANS(Parametros!$E$15-omega*e_base))*(A54/sref)^(Parametros!$B$15-1))),DEGREES(ATAN(TAN(RADIANS(Parametros!$E$16-omega*e_base))*(A54/sref)^(Parametros!$B$16-1))))</f>
        <v/>
      </c>
      <c r="F54">
        <f>MAX(DEGREES(ATAN(TAN(RADIANS(Parametros!$F$12-omega*e_base))*(A54/sref)^(Parametros!$B$12-1))),DEGREES(ATAN(TAN(RADIANS(Parametros!$F$13-omega*e_base))*(A54/sref)^(Parametros!$B$13-1))),DEGREES(ATAN(TAN(RADIANS(Parametros!$F$14-omega*e_base))*(A54/sref)^(Parametros!$B$14-1))),DEGREES(ATAN(TAN(RADIANS(Parametros!$F$15-omega*e_base))*(A54/sref)^(Parametros!$B$15-1))),DEGREES(ATAN(TAN(RADIANS(Parametros!$F$16-omega*e_base))*(A54/sref)^(Parametros!$B$16-1))))</f>
        <v/>
      </c>
      <c r="G54">
        <f>DEGREES(ATAN(TAN(RADIANS(46.0))*(A54/sref)^(0.9-1)))</f>
        <v/>
      </c>
      <c r="H54">
        <f>DEGREES(ATAN(TAN(RADIANS(41.0))*(A54/sref)^(0.9-1)))</f>
        <v/>
      </c>
      <c r="I54">
        <f>DEGREES(ATAN(TAN(RADIANS(36.0))*(A54/sref)^(0.9-1)))</f>
        <v/>
      </c>
      <c r="J54">
        <f>DEGREES(ATAN(TAN(RADIANS(33.0))*(A54/sref)^(0.9-1)))</f>
        <v/>
      </c>
      <c r="K54">
        <f>A54*TAN(RADIANS(C54))</f>
        <v/>
      </c>
      <c r="L54">
        <f>A54*TAN(RADIANS(G54))</f>
        <v/>
      </c>
      <c r="M54">
        <f>A54*TAN(RADIANS(H54))</f>
        <v/>
      </c>
      <c r="N54">
        <f>A54*TAN(RADIANS(I54))</f>
        <v/>
      </c>
      <c r="O54">
        <f>A54*TAN(RADIANS(J54))</f>
        <v/>
      </c>
      <c r="Q54" t="n">
        <v>0.1935404365497505</v>
      </c>
      <c r="R54">
        <f>MIN(DEGREES(ATAN(TAN(RADIANS(Parametros!$E$12-omega*e_base))*(Q54/sref)^(Parametros!$B$12-1))),DEGREES(ATAN(TAN(RADIANS(Parametros!$E$13-omega*e_base))*(Q54/sref)^(Parametros!$B$13-1))),DEGREES(ATAN(TAN(RADIANS(Parametros!$E$14-omega*e_base))*(Q54/sref)^(Parametros!$B$14-1))),DEGREES(ATAN(TAN(RADIANS(Parametros!$E$15-omega*e_base))*(Q54/sref)^(Parametros!$B$15-1))),DEGREES(ATAN(TAN(RADIANS(Parametros!$E$16-omega*e_base))*(Q54/sref)^(Parametros!$B$16-1))))</f>
        <v/>
      </c>
      <c r="T54" t="n">
        <v>1.526863905325444</v>
      </c>
      <c r="U54">
        <f>T54*TAN(RADIANS(MIN(DEGREES(ATAN(TAN(RADIANS(Parametros!$E$12-omega*e_base))*(T54/sref)^(Parametros!$B$12-1))),DEGREES(ATAN(TAN(RADIANS(Parametros!$E$13-omega*e_base))*(T54/sref)^(Parametros!$B$13-1))),DEGREES(ATAN(TAN(RADIANS(Parametros!$E$14-omega*e_base))*(T54/sref)^(Parametros!$B$14-1))),DEGREES(ATAN(TAN(RADIANS(Parametros!$E$15-omega*e_base))*(T54/sref)^(Parametros!$B$15-1))),DEGREES(ATAN(TAN(RADIANS(Parametros!$E$16-omega*e_base))*(T54/sref)^(Parametros!$B$16-1))))))</f>
        <v/>
      </c>
      <c r="W54" t="n">
        <v>6.632468869118394</v>
      </c>
      <c r="X54" t="n">
        <v>22</v>
      </c>
      <c r="AB54" t="n">
        <v>6.824482203754885</v>
      </c>
      <c r="AC54" t="n">
        <v>0</v>
      </c>
      <c r="AG54" t="n">
        <v>6.632468869118394</v>
      </c>
      <c r="AH54" t="n">
        <v>22</v>
      </c>
      <c r="BE54">
        <f>Base_mundial!C53</f>
        <v/>
      </c>
      <c r="BF54">
        <f>Base_mundial!E53-omega*(e_base-Base_mundial!B53)</f>
        <v/>
      </c>
      <c r="BG54">
        <f>BE54*TAN(RADIANS(BF54))</f>
        <v/>
      </c>
      <c r="BZ54" t="n">
        <v>510</v>
      </c>
      <c r="CA54" t="n">
        <v>0.232189355747239</v>
      </c>
      <c r="CB54" t="n">
        <v>0.133181245915504</v>
      </c>
      <c r="CG54" t="n">
        <v>1.765930643760941</v>
      </c>
      <c r="CH54">
        <f>IF(MAX(CG54,sv_piso)&lt;=1,e_base-cc_bajo*LOG10(MAX(CG54,sv_piso)/sv_piso),e_base-cc_bajo*LOG10(1/sv_piso)-cc_alto*LOG10(CG54))</f>
        <v/>
      </c>
      <c r="CI54" t="n">
        <v>0.35919</v>
      </c>
      <c r="CJ54">
        <f>DEGREES(ATAN(TAN(RADIANS(pe0-omega*(e_base)))*(CG54/sref)^(m_-1)))</f>
        <v/>
      </c>
      <c r="CK54">
        <f>DEGREES(ATAN(TAN(RADIANS(pe0-omega*(CH54)))*(CG54/sref)^(m_-1)))</f>
        <v/>
      </c>
      <c r="CL54">
        <f>IF(ISNUMBER(CI54),DEGREES(ATAN(TAN(RADIANS(pe0-omega*(CI54)))*(CG54/sref)^(m_-1))),NA())</f>
        <v/>
      </c>
    </row>
    <row r="55">
      <c r="A55" t="n">
        <v>0.30624</v>
      </c>
      <c r="B55">
        <f>DEGREES(ATAN(TAN(RADIANS(pe0-omega*e_base))*(A55/sref)^(m_-1)))</f>
        <v/>
      </c>
      <c r="C55">
        <f>MIN(tope,B55)</f>
        <v/>
      </c>
      <c r="D55">
        <f>IF(B55&gt;tope,B55,NA())</f>
        <v/>
      </c>
      <c r="E55">
        <f>MIN(DEGREES(ATAN(TAN(RADIANS(Parametros!$E$12-omega*e_base))*(A55/sref)^(Parametros!$B$12-1))),DEGREES(ATAN(TAN(RADIANS(Parametros!$E$13-omega*e_base))*(A55/sref)^(Parametros!$B$13-1))),DEGREES(ATAN(TAN(RADIANS(Parametros!$E$14-omega*e_base))*(A55/sref)^(Parametros!$B$14-1))),DEGREES(ATAN(TAN(RADIANS(Parametros!$E$15-omega*e_base))*(A55/sref)^(Parametros!$B$15-1))),DEGREES(ATAN(TAN(RADIANS(Parametros!$E$16-omega*e_base))*(A55/sref)^(Parametros!$B$16-1))))</f>
        <v/>
      </c>
      <c r="F55">
        <f>MAX(DEGREES(ATAN(TAN(RADIANS(Parametros!$F$12-omega*e_base))*(A55/sref)^(Parametros!$B$12-1))),DEGREES(ATAN(TAN(RADIANS(Parametros!$F$13-omega*e_base))*(A55/sref)^(Parametros!$B$13-1))),DEGREES(ATAN(TAN(RADIANS(Parametros!$F$14-omega*e_base))*(A55/sref)^(Parametros!$B$14-1))),DEGREES(ATAN(TAN(RADIANS(Parametros!$F$15-omega*e_base))*(A55/sref)^(Parametros!$B$15-1))),DEGREES(ATAN(TAN(RADIANS(Parametros!$F$16-omega*e_base))*(A55/sref)^(Parametros!$B$16-1))))</f>
        <v/>
      </c>
      <c r="G55">
        <f>DEGREES(ATAN(TAN(RADIANS(46.0))*(A55/sref)^(0.9-1)))</f>
        <v/>
      </c>
      <c r="H55">
        <f>DEGREES(ATAN(TAN(RADIANS(41.0))*(A55/sref)^(0.9-1)))</f>
        <v/>
      </c>
      <c r="I55">
        <f>DEGREES(ATAN(TAN(RADIANS(36.0))*(A55/sref)^(0.9-1)))</f>
        <v/>
      </c>
      <c r="J55">
        <f>DEGREES(ATAN(TAN(RADIANS(33.0))*(A55/sref)^(0.9-1)))</f>
        <v/>
      </c>
      <c r="K55">
        <f>A55*TAN(RADIANS(C55))</f>
        <v/>
      </c>
      <c r="L55">
        <f>A55*TAN(RADIANS(G55))</f>
        <v/>
      </c>
      <c r="M55">
        <f>A55*TAN(RADIANS(H55))</f>
        <v/>
      </c>
      <c r="N55">
        <f>A55*TAN(RADIANS(I55))</f>
        <v/>
      </c>
      <c r="O55">
        <f>A55*TAN(RADIANS(J55))</f>
        <v/>
      </c>
      <c r="Q55" t="n">
        <v>0.1935404365497505</v>
      </c>
      <c r="R55">
        <f>MAX(DEGREES(ATAN(TAN(RADIANS(Parametros!$F$12-omega*e_base))*(Q55/sref)^(Parametros!$B$12-1))),DEGREES(ATAN(TAN(RADIANS(Parametros!$F$13-omega*e_base))*(Q55/sref)^(Parametros!$B$13-1))),DEGREES(ATAN(TAN(RADIANS(Parametros!$F$14-omega*e_base))*(Q55/sref)^(Parametros!$B$14-1))),DEGREES(ATAN(TAN(RADIANS(Parametros!$F$15-omega*e_base))*(Q55/sref)^(Parametros!$B$15-1))),DEGREES(ATAN(TAN(RADIANS(Parametros!$F$16-omega*e_base))*(Q55/sref)^(Parametros!$B$16-1))))</f>
        <v/>
      </c>
      <c r="T55" t="n">
        <v>1.526863905325444</v>
      </c>
      <c r="U55">
        <f>T55*TAN(RADIANS(MAX(DEGREES(ATAN(TAN(RADIANS(Parametros!$F$12-omega*e_base))*(T55/sref)^(Parametros!$B$12-1))),DEGREES(ATAN(TAN(RADIANS(Parametros!$F$13-omega*e_base))*(T55/sref)^(Parametros!$B$13-1))),DEGREES(ATAN(TAN(RADIANS(Parametros!$F$14-omega*e_base))*(T55/sref)^(Parametros!$B$14-1))),DEGREES(ATAN(TAN(RADIANS(Parametros!$F$15-omega*e_base))*(T55/sref)^(Parametros!$B$15-1))),DEGREES(ATAN(TAN(RADIANS(Parametros!$F$16-omega*e_base))*(T55/sref)^(Parametros!$B$16-1))))))</f>
        <v/>
      </c>
      <c r="W55" t="n">
        <v>6.632468869118394</v>
      </c>
      <c r="X55" t="n">
        <v>56</v>
      </c>
      <c r="AB55" t="n">
        <v>6.824482203754885</v>
      </c>
      <c r="AC55" t="n">
        <v>10.5</v>
      </c>
      <c r="AG55" t="n">
        <v>6.632468869118394</v>
      </c>
      <c r="AH55" t="n">
        <v>58</v>
      </c>
      <c r="BE55">
        <f>Base_mundial!C54</f>
        <v/>
      </c>
      <c r="BF55">
        <f>Base_mundial!E54-omega*(e_base-Base_mundial!B54)</f>
        <v/>
      </c>
      <c r="BG55">
        <f>BE55*TAN(RADIANS(BF55))</f>
        <v/>
      </c>
      <c r="BZ55" t="n">
        <v>520</v>
      </c>
      <c r="CA55" t="n">
        <v>0.2311854584974457</v>
      </c>
      <c r="CB55" t="n">
        <v>0.1306484578223711</v>
      </c>
      <c r="CG55" t="n">
        <v>1.868203177535854</v>
      </c>
      <c r="CH55">
        <f>IF(MAX(CG55,sv_piso)&lt;=1,e_base-cc_bajo*LOG10(MAX(CG55,sv_piso)/sv_piso),e_base-cc_bajo*LOG10(1/sv_piso)-cc_alto*LOG10(CG55))</f>
        <v/>
      </c>
      <c r="CI55" t="n">
        <v>0.35487</v>
      </c>
      <c r="CJ55">
        <f>DEGREES(ATAN(TAN(RADIANS(pe0-omega*(e_base)))*(CG55/sref)^(m_-1)))</f>
        <v/>
      </c>
      <c r="CK55">
        <f>DEGREES(ATAN(TAN(RADIANS(pe0-omega*(CH55)))*(CG55/sref)^(m_-1)))</f>
        <v/>
      </c>
      <c r="CL55">
        <f>IF(ISNUMBER(CI55),DEGREES(ATAN(TAN(RADIANS(pe0-omega*(CI55)))*(CG55/sref)^(m_-1))),NA())</f>
        <v/>
      </c>
    </row>
    <row r="56">
      <c r="A56" t="n">
        <v>0.32749</v>
      </c>
      <c r="B56">
        <f>DEGREES(ATAN(TAN(RADIANS(pe0-omega*e_base))*(A56/sref)^(m_-1)))</f>
        <v/>
      </c>
      <c r="C56">
        <f>MIN(tope,B56)</f>
        <v/>
      </c>
      <c r="D56">
        <f>IF(B56&gt;tope,B56,NA())</f>
        <v/>
      </c>
      <c r="E56">
        <f>MIN(DEGREES(ATAN(TAN(RADIANS(Parametros!$E$12-omega*e_base))*(A56/sref)^(Parametros!$B$12-1))),DEGREES(ATAN(TAN(RADIANS(Parametros!$E$13-omega*e_base))*(A56/sref)^(Parametros!$B$13-1))),DEGREES(ATAN(TAN(RADIANS(Parametros!$E$14-omega*e_base))*(A56/sref)^(Parametros!$B$14-1))),DEGREES(ATAN(TAN(RADIANS(Parametros!$E$15-omega*e_base))*(A56/sref)^(Parametros!$B$15-1))),DEGREES(ATAN(TAN(RADIANS(Parametros!$E$16-omega*e_base))*(A56/sref)^(Parametros!$B$16-1))))</f>
        <v/>
      </c>
      <c r="F56">
        <f>MAX(DEGREES(ATAN(TAN(RADIANS(Parametros!$F$12-omega*e_base))*(A56/sref)^(Parametros!$B$12-1))),DEGREES(ATAN(TAN(RADIANS(Parametros!$F$13-omega*e_base))*(A56/sref)^(Parametros!$B$13-1))),DEGREES(ATAN(TAN(RADIANS(Parametros!$F$14-omega*e_base))*(A56/sref)^(Parametros!$B$14-1))),DEGREES(ATAN(TAN(RADIANS(Parametros!$F$15-omega*e_base))*(A56/sref)^(Parametros!$B$15-1))),DEGREES(ATAN(TAN(RADIANS(Parametros!$F$16-omega*e_base))*(A56/sref)^(Parametros!$B$16-1))))</f>
        <v/>
      </c>
      <c r="G56">
        <f>DEGREES(ATAN(TAN(RADIANS(46.0))*(A56/sref)^(0.9-1)))</f>
        <v/>
      </c>
      <c r="H56">
        <f>DEGREES(ATAN(TAN(RADIANS(41.0))*(A56/sref)^(0.9-1)))</f>
        <v/>
      </c>
      <c r="I56">
        <f>DEGREES(ATAN(TAN(RADIANS(36.0))*(A56/sref)^(0.9-1)))</f>
        <v/>
      </c>
      <c r="J56">
        <f>DEGREES(ATAN(TAN(RADIANS(33.0))*(A56/sref)^(0.9-1)))</f>
        <v/>
      </c>
      <c r="K56">
        <f>A56*TAN(RADIANS(C56))</f>
        <v/>
      </c>
      <c r="L56">
        <f>A56*TAN(RADIANS(G56))</f>
        <v/>
      </c>
      <c r="M56">
        <f>A56*TAN(RADIANS(H56))</f>
        <v/>
      </c>
      <c r="N56">
        <f>A56*TAN(RADIANS(I56))</f>
        <v/>
      </c>
      <c r="O56">
        <f>A56*TAN(RADIANS(J56))</f>
        <v/>
      </c>
      <c r="BE56">
        <f>Base_mundial!C55</f>
        <v/>
      </c>
      <c r="BF56">
        <f>Base_mundial!E55-omega*(e_base-Base_mundial!B55)</f>
        <v/>
      </c>
      <c r="BG56">
        <f>BE56*TAN(RADIANS(BF56))</f>
        <v/>
      </c>
      <c r="BZ56" t="n">
        <v>530</v>
      </c>
      <c r="CA56" t="n">
        <v>0.2302006298194801</v>
      </c>
      <c r="CB56" t="n">
        <v>0.1287770984669352</v>
      </c>
      <c r="CG56" t="n">
        <v>1.976398747530618</v>
      </c>
      <c r="CH56">
        <f>IF(MAX(CG56,sv_piso)&lt;=1,e_base-cc_bajo*LOG10(MAX(CG56,sv_piso)/sv_piso),e_base-cc_bajo*LOG10(1/sv_piso)-cc_alto*LOG10(CG56))</f>
        <v/>
      </c>
      <c r="CI56" t="n">
        <v>0.35032</v>
      </c>
      <c r="CJ56">
        <f>DEGREES(ATAN(TAN(RADIANS(pe0-omega*(e_base)))*(CG56/sref)^(m_-1)))</f>
        <v/>
      </c>
      <c r="CK56">
        <f>DEGREES(ATAN(TAN(RADIANS(pe0-omega*(CH56)))*(CG56/sref)^(m_-1)))</f>
        <v/>
      </c>
      <c r="CL56">
        <f>IF(ISNUMBER(CI56),DEGREES(ATAN(TAN(RADIANS(pe0-omega*(CI56)))*(CG56/sref)^(m_-1))),NA())</f>
        <v/>
      </c>
    </row>
    <row r="57">
      <c r="A57" t="n">
        <v>0.35022</v>
      </c>
      <c r="B57">
        <f>DEGREES(ATAN(TAN(RADIANS(pe0-omega*e_base))*(A57/sref)^(m_-1)))</f>
        <v/>
      </c>
      <c r="C57">
        <f>MIN(tope,B57)</f>
        <v/>
      </c>
      <c r="D57">
        <f>IF(B57&gt;tope,B57,NA())</f>
        <v/>
      </c>
      <c r="E57">
        <f>MIN(DEGREES(ATAN(TAN(RADIANS(Parametros!$E$12-omega*e_base))*(A57/sref)^(Parametros!$B$12-1))),DEGREES(ATAN(TAN(RADIANS(Parametros!$E$13-omega*e_base))*(A57/sref)^(Parametros!$B$13-1))),DEGREES(ATAN(TAN(RADIANS(Parametros!$E$14-omega*e_base))*(A57/sref)^(Parametros!$B$14-1))),DEGREES(ATAN(TAN(RADIANS(Parametros!$E$15-omega*e_base))*(A57/sref)^(Parametros!$B$15-1))),DEGREES(ATAN(TAN(RADIANS(Parametros!$E$16-omega*e_base))*(A57/sref)^(Parametros!$B$16-1))))</f>
        <v/>
      </c>
      <c r="F57">
        <f>MAX(DEGREES(ATAN(TAN(RADIANS(Parametros!$F$12-omega*e_base))*(A57/sref)^(Parametros!$B$12-1))),DEGREES(ATAN(TAN(RADIANS(Parametros!$F$13-omega*e_base))*(A57/sref)^(Parametros!$B$13-1))),DEGREES(ATAN(TAN(RADIANS(Parametros!$F$14-omega*e_base))*(A57/sref)^(Parametros!$B$14-1))),DEGREES(ATAN(TAN(RADIANS(Parametros!$F$15-omega*e_base))*(A57/sref)^(Parametros!$B$15-1))),DEGREES(ATAN(TAN(RADIANS(Parametros!$F$16-omega*e_base))*(A57/sref)^(Parametros!$B$16-1))))</f>
        <v/>
      </c>
      <c r="G57">
        <f>DEGREES(ATAN(TAN(RADIANS(46.0))*(A57/sref)^(0.9-1)))</f>
        <v/>
      </c>
      <c r="H57">
        <f>DEGREES(ATAN(TAN(RADIANS(41.0))*(A57/sref)^(0.9-1)))</f>
        <v/>
      </c>
      <c r="I57">
        <f>DEGREES(ATAN(TAN(RADIANS(36.0))*(A57/sref)^(0.9-1)))</f>
        <v/>
      </c>
      <c r="J57">
        <f>DEGREES(ATAN(TAN(RADIANS(33.0))*(A57/sref)^(0.9-1)))</f>
        <v/>
      </c>
      <c r="K57">
        <f>A57*TAN(RADIANS(C57))</f>
        <v/>
      </c>
      <c r="L57">
        <f>A57*TAN(RADIANS(G57))</f>
        <v/>
      </c>
      <c r="M57">
        <f>A57*TAN(RADIANS(H57))</f>
        <v/>
      </c>
      <c r="N57">
        <f>A57*TAN(RADIANS(I57))</f>
        <v/>
      </c>
      <c r="O57">
        <f>A57*TAN(RADIANS(J57))</f>
        <v/>
      </c>
      <c r="Q57" t="n">
        <v>0.2012058672570609</v>
      </c>
      <c r="R57">
        <f>MIN(DEGREES(ATAN(TAN(RADIANS(Parametros!$E$12-omega*e_base))*(Q57/sref)^(Parametros!$B$12-1))),DEGREES(ATAN(TAN(RADIANS(Parametros!$E$13-omega*e_base))*(Q57/sref)^(Parametros!$B$13-1))),DEGREES(ATAN(TAN(RADIANS(Parametros!$E$14-omega*e_base))*(Q57/sref)^(Parametros!$B$14-1))),DEGREES(ATAN(TAN(RADIANS(Parametros!$E$15-omega*e_base))*(Q57/sref)^(Parametros!$B$15-1))),DEGREES(ATAN(TAN(RADIANS(Parametros!$E$16-omega*e_base))*(Q57/sref)^(Parametros!$B$16-1))))</f>
        <v/>
      </c>
      <c r="T57" t="n">
        <v>1.615502958579882</v>
      </c>
      <c r="U57">
        <f>T57*TAN(RADIANS(MIN(DEGREES(ATAN(TAN(RADIANS(Parametros!$E$12-omega*e_base))*(T57/sref)^(Parametros!$B$12-1))),DEGREES(ATAN(TAN(RADIANS(Parametros!$E$13-omega*e_base))*(T57/sref)^(Parametros!$B$13-1))),DEGREES(ATAN(TAN(RADIANS(Parametros!$E$14-omega*e_base))*(T57/sref)^(Parametros!$B$14-1))),DEGREES(ATAN(TAN(RADIANS(Parametros!$E$15-omega*e_base))*(T57/sref)^(Parametros!$B$15-1))),DEGREES(ATAN(TAN(RADIANS(Parametros!$E$16-omega*e_base))*(T57/sref)^(Parametros!$B$16-1))))))</f>
        <v/>
      </c>
      <c r="W57" t="n">
        <v>6.774829462638344</v>
      </c>
      <c r="X57" t="n">
        <v>22</v>
      </c>
      <c r="AB57" t="n">
        <v>6.954007566030453</v>
      </c>
      <c r="AC57" t="n">
        <v>0</v>
      </c>
      <c r="AG57" t="n">
        <v>6.774829462638344</v>
      </c>
      <c r="AH57" t="n">
        <v>22</v>
      </c>
      <c r="BE57">
        <f>Base_mundial!C56</f>
        <v/>
      </c>
      <c r="BF57">
        <f>Base_mundial!E56-omega*(e_base-Base_mundial!B56)</f>
        <v/>
      </c>
      <c r="BG57">
        <f>BE57*TAN(RADIANS(BF57))</f>
        <v/>
      </c>
      <c r="BZ57" t="n">
        <v>540</v>
      </c>
      <c r="CA57" t="n">
        <v>0.2292341581969805</v>
      </c>
      <c r="CB57" t="n">
        <v>0.1269057391114994</v>
      </c>
      <c r="CG57" t="n">
        <v>2.090860381895283</v>
      </c>
      <c r="CH57">
        <f>IF(MAX(CG57,sv_piso)&lt;=1,e_base-cc_bajo*LOG10(MAX(CG57,sv_piso)/sv_piso),e_base-cc_bajo*LOG10(1/sv_piso)-cc_alto*LOG10(CG57))</f>
        <v/>
      </c>
      <c r="CI57" t="n">
        <v>0.34552</v>
      </c>
      <c r="CJ57">
        <f>DEGREES(ATAN(TAN(RADIANS(pe0-omega*(e_base)))*(CG57/sref)^(m_-1)))</f>
        <v/>
      </c>
      <c r="CK57">
        <f>DEGREES(ATAN(TAN(RADIANS(pe0-omega*(CH57)))*(CG57/sref)^(m_-1)))</f>
        <v/>
      </c>
      <c r="CL57">
        <f>IF(ISNUMBER(CI57),DEGREES(ATAN(TAN(RADIANS(pe0-omega*(CI57)))*(CG57/sref)^(m_-1))),NA())</f>
        <v/>
      </c>
    </row>
    <row r="58">
      <c r="A58" t="n">
        <v>0.37452</v>
      </c>
      <c r="B58">
        <f>DEGREES(ATAN(TAN(RADIANS(pe0-omega*e_base))*(A58/sref)^(m_-1)))</f>
        <v/>
      </c>
      <c r="C58">
        <f>MIN(tope,B58)</f>
        <v/>
      </c>
      <c r="D58">
        <f>IF(B58&gt;tope,B58,NA())</f>
        <v/>
      </c>
      <c r="E58">
        <f>MIN(DEGREES(ATAN(TAN(RADIANS(Parametros!$E$12-omega*e_base))*(A58/sref)^(Parametros!$B$12-1))),DEGREES(ATAN(TAN(RADIANS(Parametros!$E$13-omega*e_base))*(A58/sref)^(Parametros!$B$13-1))),DEGREES(ATAN(TAN(RADIANS(Parametros!$E$14-omega*e_base))*(A58/sref)^(Parametros!$B$14-1))),DEGREES(ATAN(TAN(RADIANS(Parametros!$E$15-omega*e_base))*(A58/sref)^(Parametros!$B$15-1))),DEGREES(ATAN(TAN(RADIANS(Parametros!$E$16-omega*e_base))*(A58/sref)^(Parametros!$B$16-1))))</f>
        <v/>
      </c>
      <c r="F58">
        <f>MAX(DEGREES(ATAN(TAN(RADIANS(Parametros!$F$12-omega*e_base))*(A58/sref)^(Parametros!$B$12-1))),DEGREES(ATAN(TAN(RADIANS(Parametros!$F$13-omega*e_base))*(A58/sref)^(Parametros!$B$13-1))),DEGREES(ATAN(TAN(RADIANS(Parametros!$F$14-omega*e_base))*(A58/sref)^(Parametros!$B$14-1))),DEGREES(ATAN(TAN(RADIANS(Parametros!$F$15-omega*e_base))*(A58/sref)^(Parametros!$B$15-1))),DEGREES(ATAN(TAN(RADIANS(Parametros!$F$16-omega*e_base))*(A58/sref)^(Parametros!$B$16-1))))</f>
        <v/>
      </c>
      <c r="G58">
        <f>DEGREES(ATAN(TAN(RADIANS(46.0))*(A58/sref)^(0.9-1)))</f>
        <v/>
      </c>
      <c r="H58">
        <f>DEGREES(ATAN(TAN(RADIANS(41.0))*(A58/sref)^(0.9-1)))</f>
        <v/>
      </c>
      <c r="I58">
        <f>DEGREES(ATAN(TAN(RADIANS(36.0))*(A58/sref)^(0.9-1)))</f>
        <v/>
      </c>
      <c r="J58">
        <f>DEGREES(ATAN(TAN(RADIANS(33.0))*(A58/sref)^(0.9-1)))</f>
        <v/>
      </c>
      <c r="K58">
        <f>A58*TAN(RADIANS(C58))</f>
        <v/>
      </c>
      <c r="L58">
        <f>A58*TAN(RADIANS(G58))</f>
        <v/>
      </c>
      <c r="M58">
        <f>A58*TAN(RADIANS(H58))</f>
        <v/>
      </c>
      <c r="N58">
        <f>A58*TAN(RADIANS(I58))</f>
        <v/>
      </c>
      <c r="O58">
        <f>A58*TAN(RADIANS(J58))</f>
        <v/>
      </c>
      <c r="Q58" t="n">
        <v>0.2012058672570609</v>
      </c>
      <c r="R58">
        <f>MAX(DEGREES(ATAN(TAN(RADIANS(Parametros!$F$12-omega*e_base))*(Q58/sref)^(Parametros!$B$12-1))),DEGREES(ATAN(TAN(RADIANS(Parametros!$F$13-omega*e_base))*(Q58/sref)^(Parametros!$B$13-1))),DEGREES(ATAN(TAN(RADIANS(Parametros!$F$14-omega*e_base))*(Q58/sref)^(Parametros!$B$14-1))),DEGREES(ATAN(TAN(RADIANS(Parametros!$F$15-omega*e_base))*(Q58/sref)^(Parametros!$B$15-1))),DEGREES(ATAN(TAN(RADIANS(Parametros!$F$16-omega*e_base))*(Q58/sref)^(Parametros!$B$16-1))))</f>
        <v/>
      </c>
      <c r="T58" t="n">
        <v>1.615502958579882</v>
      </c>
      <c r="U58">
        <f>T58*TAN(RADIANS(MAX(DEGREES(ATAN(TAN(RADIANS(Parametros!$F$12-omega*e_base))*(T58/sref)^(Parametros!$B$12-1))),DEGREES(ATAN(TAN(RADIANS(Parametros!$F$13-omega*e_base))*(T58/sref)^(Parametros!$B$13-1))),DEGREES(ATAN(TAN(RADIANS(Parametros!$F$14-omega*e_base))*(T58/sref)^(Parametros!$B$14-1))),DEGREES(ATAN(TAN(RADIANS(Parametros!$F$15-omega*e_base))*(T58/sref)^(Parametros!$B$15-1))),DEGREES(ATAN(TAN(RADIANS(Parametros!$F$16-omega*e_base))*(T58/sref)^(Parametros!$B$16-1))))))</f>
        <v/>
      </c>
      <c r="W58" t="n">
        <v>6.774829462638344</v>
      </c>
      <c r="X58" t="n">
        <v>56</v>
      </c>
      <c r="AB58" t="n">
        <v>6.954007566030453</v>
      </c>
      <c r="AC58" t="n">
        <v>10.5</v>
      </c>
      <c r="AG58" t="n">
        <v>6.774829462638344</v>
      </c>
      <c r="AH58" t="n">
        <v>58</v>
      </c>
      <c r="BE58">
        <f>Base_mundial!C57</f>
        <v/>
      </c>
      <c r="BF58">
        <f>Base_mundial!E57-omega*(e_base-Base_mundial!B57)</f>
        <v/>
      </c>
      <c r="BG58">
        <f>BE58*TAN(RADIANS(BF58))</f>
        <v/>
      </c>
      <c r="BZ58" t="n">
        <v>550</v>
      </c>
      <c r="CA58" t="n">
        <v>0.2282853712188707</v>
      </c>
      <c r="CB58" t="n">
        <v>0.1250343797560636</v>
      </c>
      <c r="CG58" t="n">
        <v>2.211950974995019</v>
      </c>
      <c r="CH58">
        <f>IF(MAX(CG58,sv_piso)&lt;=1,e_base-cc_bajo*LOG10(MAX(CG58,sv_piso)/sv_piso),e_base-cc_bajo*LOG10(1/sv_piso)-cc_alto*LOG10(CG58))</f>
        <v/>
      </c>
      <c r="CI58" t="n">
        <v>0.34046</v>
      </c>
      <c r="CJ58">
        <f>DEGREES(ATAN(TAN(RADIANS(pe0-omega*(e_base)))*(CG58/sref)^(m_-1)))</f>
        <v/>
      </c>
      <c r="CK58">
        <f>DEGREES(ATAN(TAN(RADIANS(pe0-omega*(CH58)))*(CG58/sref)^(m_-1)))</f>
        <v/>
      </c>
      <c r="CL58">
        <f>IF(ISNUMBER(CI58),DEGREES(ATAN(TAN(RADIANS(pe0-omega*(CI58)))*(CG58/sref)^(m_-1))),NA())</f>
        <v/>
      </c>
    </row>
    <row r="59">
      <c r="A59" t="n">
        <v>0.40051</v>
      </c>
      <c r="B59">
        <f>DEGREES(ATAN(TAN(RADIANS(pe0-omega*e_base))*(A59/sref)^(m_-1)))</f>
        <v/>
      </c>
      <c r="C59">
        <f>MIN(tope,B59)</f>
        <v/>
      </c>
      <c r="D59">
        <f>IF(B59&gt;tope,B59,NA())</f>
        <v/>
      </c>
      <c r="E59">
        <f>MIN(DEGREES(ATAN(TAN(RADIANS(Parametros!$E$12-omega*e_base))*(A59/sref)^(Parametros!$B$12-1))),DEGREES(ATAN(TAN(RADIANS(Parametros!$E$13-omega*e_base))*(A59/sref)^(Parametros!$B$13-1))),DEGREES(ATAN(TAN(RADIANS(Parametros!$E$14-omega*e_base))*(A59/sref)^(Parametros!$B$14-1))),DEGREES(ATAN(TAN(RADIANS(Parametros!$E$15-omega*e_base))*(A59/sref)^(Parametros!$B$15-1))),DEGREES(ATAN(TAN(RADIANS(Parametros!$E$16-omega*e_base))*(A59/sref)^(Parametros!$B$16-1))))</f>
        <v/>
      </c>
      <c r="F59">
        <f>MAX(DEGREES(ATAN(TAN(RADIANS(Parametros!$F$12-omega*e_base))*(A59/sref)^(Parametros!$B$12-1))),DEGREES(ATAN(TAN(RADIANS(Parametros!$F$13-omega*e_base))*(A59/sref)^(Parametros!$B$13-1))),DEGREES(ATAN(TAN(RADIANS(Parametros!$F$14-omega*e_base))*(A59/sref)^(Parametros!$B$14-1))),DEGREES(ATAN(TAN(RADIANS(Parametros!$F$15-omega*e_base))*(A59/sref)^(Parametros!$B$15-1))),DEGREES(ATAN(TAN(RADIANS(Parametros!$F$16-omega*e_base))*(A59/sref)^(Parametros!$B$16-1))))</f>
        <v/>
      </c>
      <c r="G59">
        <f>DEGREES(ATAN(TAN(RADIANS(46.0))*(A59/sref)^(0.9-1)))</f>
        <v/>
      </c>
      <c r="H59">
        <f>DEGREES(ATAN(TAN(RADIANS(41.0))*(A59/sref)^(0.9-1)))</f>
        <v/>
      </c>
      <c r="I59">
        <f>DEGREES(ATAN(TAN(RADIANS(36.0))*(A59/sref)^(0.9-1)))</f>
        <v/>
      </c>
      <c r="J59">
        <f>DEGREES(ATAN(TAN(RADIANS(33.0))*(A59/sref)^(0.9-1)))</f>
        <v/>
      </c>
      <c r="K59">
        <f>A59*TAN(RADIANS(C59))</f>
        <v/>
      </c>
      <c r="L59">
        <f>A59*TAN(RADIANS(G59))</f>
        <v/>
      </c>
      <c r="M59">
        <f>A59*TAN(RADIANS(H59))</f>
        <v/>
      </c>
      <c r="N59">
        <f>A59*TAN(RADIANS(I59))</f>
        <v/>
      </c>
      <c r="O59">
        <f>A59*TAN(RADIANS(J59))</f>
        <v/>
      </c>
      <c r="BE59">
        <f>Base_mundial!C58</f>
        <v/>
      </c>
      <c r="BF59">
        <f>Base_mundial!E58-omega*(e_base-Base_mundial!B58)</f>
        <v/>
      </c>
      <c r="BG59">
        <f>BE59*TAN(RADIANS(BF59))</f>
        <v/>
      </c>
      <c r="BZ59" t="n">
        <v>560</v>
      </c>
      <c r="CA59" t="n">
        <v>0.2273536327648522</v>
      </c>
      <c r="CB59" t="n">
        <v>0.1231630204006278</v>
      </c>
      <c r="CG59" t="n">
        <v>2.340054437946905</v>
      </c>
      <c r="CH59">
        <f>IF(MAX(CG59,sv_piso)&lt;=1,e_base-cc_bajo*LOG10(MAX(CG59,sv_piso)/sv_piso),e_base-cc_bajo*LOG10(1/sv_piso)-cc_alto*LOG10(CG59))</f>
        <v/>
      </c>
      <c r="CI59" t="n">
        <v>0.33512</v>
      </c>
      <c r="CJ59">
        <f>DEGREES(ATAN(TAN(RADIANS(pe0-omega*(e_base)))*(CG59/sref)^(m_-1)))</f>
        <v/>
      </c>
      <c r="CK59">
        <f>DEGREES(ATAN(TAN(RADIANS(pe0-omega*(CH59)))*(CG59/sref)^(m_-1)))</f>
        <v/>
      </c>
      <c r="CL59">
        <f>IF(ISNUMBER(CI59),DEGREES(ATAN(TAN(RADIANS(pe0-omega*(CI59)))*(CG59/sref)^(m_-1))),NA())</f>
        <v/>
      </c>
    </row>
    <row r="60">
      <c r="A60" t="n">
        <v>0.42831</v>
      </c>
      <c r="B60">
        <f>DEGREES(ATAN(TAN(RADIANS(pe0-omega*e_base))*(A60/sref)^(m_-1)))</f>
        <v/>
      </c>
      <c r="C60">
        <f>MIN(tope,B60)</f>
        <v/>
      </c>
      <c r="D60">
        <f>IF(B60&gt;tope,B60,NA())</f>
        <v/>
      </c>
      <c r="E60">
        <f>MIN(DEGREES(ATAN(TAN(RADIANS(Parametros!$E$12-omega*e_base))*(A60/sref)^(Parametros!$B$12-1))),DEGREES(ATAN(TAN(RADIANS(Parametros!$E$13-omega*e_base))*(A60/sref)^(Parametros!$B$13-1))),DEGREES(ATAN(TAN(RADIANS(Parametros!$E$14-omega*e_base))*(A60/sref)^(Parametros!$B$14-1))),DEGREES(ATAN(TAN(RADIANS(Parametros!$E$15-omega*e_base))*(A60/sref)^(Parametros!$B$15-1))),DEGREES(ATAN(TAN(RADIANS(Parametros!$E$16-omega*e_base))*(A60/sref)^(Parametros!$B$16-1))))</f>
        <v/>
      </c>
      <c r="F60">
        <f>MAX(DEGREES(ATAN(TAN(RADIANS(Parametros!$F$12-omega*e_base))*(A60/sref)^(Parametros!$B$12-1))),DEGREES(ATAN(TAN(RADIANS(Parametros!$F$13-omega*e_base))*(A60/sref)^(Parametros!$B$13-1))),DEGREES(ATAN(TAN(RADIANS(Parametros!$F$14-omega*e_base))*(A60/sref)^(Parametros!$B$14-1))),DEGREES(ATAN(TAN(RADIANS(Parametros!$F$15-omega*e_base))*(A60/sref)^(Parametros!$B$15-1))),DEGREES(ATAN(TAN(RADIANS(Parametros!$F$16-omega*e_base))*(A60/sref)^(Parametros!$B$16-1))))</f>
        <v/>
      </c>
      <c r="G60">
        <f>DEGREES(ATAN(TAN(RADIANS(46.0))*(A60/sref)^(0.9-1)))</f>
        <v/>
      </c>
      <c r="H60">
        <f>DEGREES(ATAN(TAN(RADIANS(41.0))*(A60/sref)^(0.9-1)))</f>
        <v/>
      </c>
      <c r="I60">
        <f>DEGREES(ATAN(TAN(RADIANS(36.0))*(A60/sref)^(0.9-1)))</f>
        <v/>
      </c>
      <c r="J60">
        <f>DEGREES(ATAN(TAN(RADIANS(33.0))*(A60/sref)^(0.9-1)))</f>
        <v/>
      </c>
      <c r="K60">
        <f>A60*TAN(RADIANS(C60))</f>
        <v/>
      </c>
      <c r="L60">
        <f>A60*TAN(RADIANS(G60))</f>
        <v/>
      </c>
      <c r="M60">
        <f>A60*TAN(RADIANS(H60))</f>
        <v/>
      </c>
      <c r="N60">
        <f>A60*TAN(RADIANS(I60))</f>
        <v/>
      </c>
      <c r="O60">
        <f>A60*TAN(RADIANS(J60))</f>
        <v/>
      </c>
      <c r="Q60" t="n">
        <v>0.2091748977132201</v>
      </c>
      <c r="R60">
        <f>MIN(DEGREES(ATAN(TAN(RADIANS(Parametros!$E$12-omega*e_base))*(Q60/sref)^(Parametros!$B$12-1))),DEGREES(ATAN(TAN(RADIANS(Parametros!$E$13-omega*e_base))*(Q60/sref)^(Parametros!$B$13-1))),DEGREES(ATAN(TAN(RADIANS(Parametros!$E$14-omega*e_base))*(Q60/sref)^(Parametros!$B$14-1))),DEGREES(ATAN(TAN(RADIANS(Parametros!$E$15-omega*e_base))*(Q60/sref)^(Parametros!$B$15-1))),DEGREES(ATAN(TAN(RADIANS(Parametros!$E$16-omega*e_base))*(Q60/sref)^(Parametros!$B$16-1))))</f>
        <v/>
      </c>
      <c r="T60" t="n">
        <v>1.70414201183432</v>
      </c>
      <c r="U60">
        <f>T60*TAN(RADIANS(MIN(DEGREES(ATAN(TAN(RADIANS(Parametros!$E$12-omega*e_base))*(T60/sref)^(Parametros!$B$12-1))),DEGREES(ATAN(TAN(RADIANS(Parametros!$E$13-omega*e_base))*(T60/sref)^(Parametros!$B$13-1))),DEGREES(ATAN(TAN(RADIANS(Parametros!$E$14-omega*e_base))*(T60/sref)^(Parametros!$B$14-1))),DEGREES(ATAN(TAN(RADIANS(Parametros!$E$15-omega*e_base))*(T60/sref)^(Parametros!$B$15-1))),DEGREES(ATAN(TAN(RADIANS(Parametros!$E$16-omega*e_base))*(T60/sref)^(Parametros!$B$16-1))))))</f>
        <v/>
      </c>
      <c r="W60" t="n">
        <v>6.920245711448542</v>
      </c>
      <c r="X60" t="n">
        <v>22</v>
      </c>
      <c r="AB60" t="n">
        <v>7.083532928306021</v>
      </c>
      <c r="AC60" t="n">
        <v>0</v>
      </c>
      <c r="AG60" t="n">
        <v>6.920245711448542</v>
      </c>
      <c r="AH60" t="n">
        <v>22</v>
      </c>
      <c r="BE60">
        <f>Base_mundial!C59</f>
        <v/>
      </c>
      <c r="BF60">
        <f>Base_mundial!E59-omega*(e_base-Base_mundial!B59)</f>
        <v/>
      </c>
      <c r="BG60">
        <f>BE60*TAN(RADIANS(BF60))</f>
        <v/>
      </c>
      <c r="BZ60" t="n">
        <v>570</v>
      </c>
      <c r="CA60" t="n">
        <v>0.2264383404396521</v>
      </c>
      <c r="CB60" t="n">
        <v>0.1213153491382988</v>
      </c>
      <c r="CG60" t="n">
        <v>2.475576915789166</v>
      </c>
      <c r="CH60">
        <f>IF(MAX(CG60,sv_piso)&lt;=1,e_base-cc_bajo*LOG10(MAX(CG60,sv_piso)/sv_piso),e_base-cc_bajo*LOG10(1/sv_piso)-cc_alto*LOG10(CG60))</f>
        <v/>
      </c>
      <c r="CI60" t="n">
        <v>0.32955</v>
      </c>
      <c r="CJ60">
        <f>DEGREES(ATAN(TAN(RADIANS(pe0-omega*(e_base)))*(CG60/sref)^(m_-1)))</f>
        <v/>
      </c>
      <c r="CK60">
        <f>DEGREES(ATAN(TAN(RADIANS(pe0-omega*(CH60)))*(CG60/sref)^(m_-1)))</f>
        <v/>
      </c>
      <c r="CL60">
        <f>IF(ISNUMBER(CI60),DEGREES(ATAN(TAN(RADIANS(pe0-omega*(CI60)))*(CG60/sref)^(m_-1))),NA())</f>
        <v/>
      </c>
    </row>
    <row r="61">
      <c r="A61" t="n">
        <v>0.45803</v>
      </c>
      <c r="B61">
        <f>DEGREES(ATAN(TAN(RADIANS(pe0-omega*e_base))*(A61/sref)^(m_-1)))</f>
        <v/>
      </c>
      <c r="C61">
        <f>MIN(tope,B61)</f>
        <v/>
      </c>
      <c r="D61">
        <f>IF(B61&gt;tope,B61,NA())</f>
        <v/>
      </c>
      <c r="E61">
        <f>MIN(DEGREES(ATAN(TAN(RADIANS(Parametros!$E$12-omega*e_base))*(A61/sref)^(Parametros!$B$12-1))),DEGREES(ATAN(TAN(RADIANS(Parametros!$E$13-omega*e_base))*(A61/sref)^(Parametros!$B$13-1))),DEGREES(ATAN(TAN(RADIANS(Parametros!$E$14-omega*e_base))*(A61/sref)^(Parametros!$B$14-1))),DEGREES(ATAN(TAN(RADIANS(Parametros!$E$15-omega*e_base))*(A61/sref)^(Parametros!$B$15-1))),DEGREES(ATAN(TAN(RADIANS(Parametros!$E$16-omega*e_base))*(A61/sref)^(Parametros!$B$16-1))))</f>
        <v/>
      </c>
      <c r="F61">
        <f>MAX(DEGREES(ATAN(TAN(RADIANS(Parametros!$F$12-omega*e_base))*(A61/sref)^(Parametros!$B$12-1))),DEGREES(ATAN(TAN(RADIANS(Parametros!$F$13-omega*e_base))*(A61/sref)^(Parametros!$B$13-1))),DEGREES(ATAN(TAN(RADIANS(Parametros!$F$14-omega*e_base))*(A61/sref)^(Parametros!$B$14-1))),DEGREES(ATAN(TAN(RADIANS(Parametros!$F$15-omega*e_base))*(A61/sref)^(Parametros!$B$15-1))),DEGREES(ATAN(TAN(RADIANS(Parametros!$F$16-omega*e_base))*(A61/sref)^(Parametros!$B$16-1))))</f>
        <v/>
      </c>
      <c r="G61">
        <f>DEGREES(ATAN(TAN(RADIANS(46.0))*(A61/sref)^(0.9-1)))</f>
        <v/>
      </c>
      <c r="H61">
        <f>DEGREES(ATAN(TAN(RADIANS(41.0))*(A61/sref)^(0.9-1)))</f>
        <v/>
      </c>
      <c r="I61">
        <f>DEGREES(ATAN(TAN(RADIANS(36.0))*(A61/sref)^(0.9-1)))</f>
        <v/>
      </c>
      <c r="J61">
        <f>DEGREES(ATAN(TAN(RADIANS(33.0))*(A61/sref)^(0.9-1)))</f>
        <v/>
      </c>
      <c r="K61">
        <f>A61*TAN(RADIANS(C61))</f>
        <v/>
      </c>
      <c r="L61">
        <f>A61*TAN(RADIANS(G61))</f>
        <v/>
      </c>
      <c r="M61">
        <f>A61*TAN(RADIANS(H61))</f>
        <v/>
      </c>
      <c r="N61">
        <f>A61*TAN(RADIANS(I61))</f>
        <v/>
      </c>
      <c r="O61">
        <f>A61*TAN(RADIANS(J61))</f>
        <v/>
      </c>
      <c r="Q61" t="n">
        <v>0.2091748977132201</v>
      </c>
      <c r="R61">
        <f>MAX(DEGREES(ATAN(TAN(RADIANS(Parametros!$F$12-omega*e_base))*(Q61/sref)^(Parametros!$B$12-1))),DEGREES(ATAN(TAN(RADIANS(Parametros!$F$13-omega*e_base))*(Q61/sref)^(Parametros!$B$13-1))),DEGREES(ATAN(TAN(RADIANS(Parametros!$F$14-omega*e_base))*(Q61/sref)^(Parametros!$B$14-1))),DEGREES(ATAN(TAN(RADIANS(Parametros!$F$15-omega*e_base))*(Q61/sref)^(Parametros!$B$15-1))),DEGREES(ATAN(TAN(RADIANS(Parametros!$F$16-omega*e_base))*(Q61/sref)^(Parametros!$B$16-1))))</f>
        <v/>
      </c>
      <c r="T61" t="n">
        <v>1.70414201183432</v>
      </c>
      <c r="U61">
        <f>T61*TAN(RADIANS(MAX(DEGREES(ATAN(TAN(RADIANS(Parametros!$F$12-omega*e_base))*(T61/sref)^(Parametros!$B$12-1))),DEGREES(ATAN(TAN(RADIANS(Parametros!$F$13-omega*e_base))*(T61/sref)^(Parametros!$B$13-1))),DEGREES(ATAN(TAN(RADIANS(Parametros!$F$14-omega*e_base))*(T61/sref)^(Parametros!$B$14-1))),DEGREES(ATAN(TAN(RADIANS(Parametros!$F$15-omega*e_base))*(T61/sref)^(Parametros!$B$15-1))),DEGREES(ATAN(TAN(RADIANS(Parametros!$F$16-omega*e_base))*(T61/sref)^(Parametros!$B$16-1))))))</f>
        <v/>
      </c>
      <c r="W61" t="n">
        <v>6.920245711448542</v>
      </c>
      <c r="X61" t="n">
        <v>56</v>
      </c>
      <c r="AB61" t="n">
        <v>7.083532928306021</v>
      </c>
      <c r="AC61" t="n">
        <v>10.5</v>
      </c>
      <c r="AG61" t="n">
        <v>6.920245711448542</v>
      </c>
      <c r="AH61" t="n">
        <v>58</v>
      </c>
      <c r="BE61">
        <f>Base_mundial!C60</f>
        <v/>
      </c>
      <c r="BF61">
        <f>Base_mundial!E60-omega*(e_base-Base_mundial!B60)</f>
        <v/>
      </c>
      <c r="BG61">
        <f>BE61*TAN(RADIANS(BF61))</f>
        <v/>
      </c>
      <c r="BZ61" t="n">
        <v>580</v>
      </c>
      <c r="CA61" t="n">
        <v>0.2255389232301014</v>
      </c>
      <c r="CB61" t="n">
        <v>0.1194676778759698</v>
      </c>
      <c r="CG61" t="n">
        <v>2.618948075141852</v>
      </c>
      <c r="CH61">
        <f>IF(MAX(CG61,sv_piso)&lt;=1,e_base-cc_bajo*LOG10(MAX(CG61,sv_piso)/sv_piso),e_base-cc_bajo*LOG10(1/sv_piso)-cc_alto*LOG10(CG61))</f>
        <v/>
      </c>
      <c r="CI61" t="n">
        <v>0.32392</v>
      </c>
      <c r="CJ61">
        <f>DEGREES(ATAN(TAN(RADIANS(pe0-omega*(e_base)))*(CG61/sref)^(m_-1)))</f>
        <v/>
      </c>
      <c r="CK61">
        <f>DEGREES(ATAN(TAN(RADIANS(pe0-omega*(CH61)))*(CG61/sref)^(m_-1)))</f>
        <v/>
      </c>
      <c r="CL61">
        <f>IF(ISNUMBER(CI61),DEGREES(ATAN(TAN(RADIANS(pe0-omega*(CI61)))*(CG61/sref)^(m_-1))),NA())</f>
        <v/>
      </c>
    </row>
    <row r="62">
      <c r="A62" t="n">
        <v>0.48981</v>
      </c>
      <c r="B62">
        <f>DEGREES(ATAN(TAN(RADIANS(pe0-omega*e_base))*(A62/sref)^(m_-1)))</f>
        <v/>
      </c>
      <c r="C62">
        <f>MIN(tope,B62)</f>
        <v/>
      </c>
      <c r="D62">
        <f>IF(B62&gt;tope,B62,NA())</f>
        <v/>
      </c>
      <c r="E62">
        <f>MIN(DEGREES(ATAN(TAN(RADIANS(Parametros!$E$12-omega*e_base))*(A62/sref)^(Parametros!$B$12-1))),DEGREES(ATAN(TAN(RADIANS(Parametros!$E$13-omega*e_base))*(A62/sref)^(Parametros!$B$13-1))),DEGREES(ATAN(TAN(RADIANS(Parametros!$E$14-omega*e_base))*(A62/sref)^(Parametros!$B$14-1))),DEGREES(ATAN(TAN(RADIANS(Parametros!$E$15-omega*e_base))*(A62/sref)^(Parametros!$B$15-1))),DEGREES(ATAN(TAN(RADIANS(Parametros!$E$16-omega*e_base))*(A62/sref)^(Parametros!$B$16-1))))</f>
        <v/>
      </c>
      <c r="F62">
        <f>MAX(DEGREES(ATAN(TAN(RADIANS(Parametros!$F$12-omega*e_base))*(A62/sref)^(Parametros!$B$12-1))),DEGREES(ATAN(TAN(RADIANS(Parametros!$F$13-omega*e_base))*(A62/sref)^(Parametros!$B$13-1))),DEGREES(ATAN(TAN(RADIANS(Parametros!$F$14-omega*e_base))*(A62/sref)^(Parametros!$B$14-1))),DEGREES(ATAN(TAN(RADIANS(Parametros!$F$15-omega*e_base))*(A62/sref)^(Parametros!$B$15-1))),DEGREES(ATAN(TAN(RADIANS(Parametros!$F$16-omega*e_base))*(A62/sref)^(Parametros!$B$16-1))))</f>
        <v/>
      </c>
      <c r="G62">
        <f>DEGREES(ATAN(TAN(RADIANS(46.0))*(A62/sref)^(0.9-1)))</f>
        <v/>
      </c>
      <c r="H62">
        <f>DEGREES(ATAN(TAN(RADIANS(41.0))*(A62/sref)^(0.9-1)))</f>
        <v/>
      </c>
      <c r="I62">
        <f>DEGREES(ATAN(TAN(RADIANS(36.0))*(A62/sref)^(0.9-1)))</f>
        <v/>
      </c>
      <c r="J62">
        <f>DEGREES(ATAN(TAN(RADIANS(33.0))*(A62/sref)^(0.9-1)))</f>
        <v/>
      </c>
      <c r="K62">
        <f>A62*TAN(RADIANS(C62))</f>
        <v/>
      </c>
      <c r="L62">
        <f>A62*TAN(RADIANS(G62))</f>
        <v/>
      </c>
      <c r="M62">
        <f>A62*TAN(RADIANS(H62))</f>
        <v/>
      </c>
      <c r="N62">
        <f>A62*TAN(RADIANS(I62))</f>
        <v/>
      </c>
      <c r="O62">
        <f>A62*TAN(RADIANS(J62))</f>
        <v/>
      </c>
      <c r="BE62">
        <f>Base_mundial!C61</f>
        <v/>
      </c>
      <c r="BF62">
        <f>Base_mundial!E61-omega*(e_base-Base_mundial!B61)</f>
        <v/>
      </c>
      <c r="BG62">
        <f>BE62*TAN(RADIANS(BF62))</f>
        <v/>
      </c>
      <c r="BZ62" t="n">
        <v>590</v>
      </c>
      <c r="CA62" t="n">
        <v>0.2246548393622155</v>
      </c>
      <c r="CB62" t="n">
        <v>0.1176200066136409</v>
      </c>
      <c r="CG62" t="n">
        <v>2.770622466441416</v>
      </c>
      <c r="CH62">
        <f>IF(MAX(CG62,sv_piso)&lt;=1,e_base-cc_bajo*LOG10(MAX(CG62,sv_piso)/sv_piso),e_base-cc_bajo*LOG10(1/sv_piso)-cc_alto*LOG10(CG62))</f>
        <v/>
      </c>
      <c r="CI62" t="n">
        <v>0.31799</v>
      </c>
      <c r="CJ62">
        <f>DEGREES(ATAN(TAN(RADIANS(pe0-omega*(e_base)))*(CG62/sref)^(m_-1)))</f>
        <v/>
      </c>
      <c r="CK62">
        <f>DEGREES(ATAN(TAN(RADIANS(pe0-omega*(CH62)))*(CG62/sref)^(m_-1)))</f>
        <v/>
      </c>
      <c r="CL62">
        <f>IF(ISNUMBER(CI62),DEGREES(ATAN(TAN(RADIANS(pe0-omega*(CI62)))*(CG62/sref)^(m_-1))),NA())</f>
        <v/>
      </c>
    </row>
    <row r="63">
      <c r="A63" t="n">
        <v>0.5238</v>
      </c>
      <c r="B63">
        <f>DEGREES(ATAN(TAN(RADIANS(pe0-omega*e_base))*(A63/sref)^(m_-1)))</f>
        <v/>
      </c>
      <c r="C63">
        <f>MIN(tope,B63)</f>
        <v/>
      </c>
      <c r="D63">
        <f>IF(B63&gt;tope,B63,NA())</f>
        <v/>
      </c>
      <c r="E63">
        <f>MIN(DEGREES(ATAN(TAN(RADIANS(Parametros!$E$12-omega*e_base))*(A63/sref)^(Parametros!$B$12-1))),DEGREES(ATAN(TAN(RADIANS(Parametros!$E$13-omega*e_base))*(A63/sref)^(Parametros!$B$13-1))),DEGREES(ATAN(TAN(RADIANS(Parametros!$E$14-omega*e_base))*(A63/sref)^(Parametros!$B$14-1))),DEGREES(ATAN(TAN(RADIANS(Parametros!$E$15-omega*e_base))*(A63/sref)^(Parametros!$B$15-1))),DEGREES(ATAN(TAN(RADIANS(Parametros!$E$16-omega*e_base))*(A63/sref)^(Parametros!$B$16-1))))</f>
        <v/>
      </c>
      <c r="F63">
        <f>MAX(DEGREES(ATAN(TAN(RADIANS(Parametros!$F$12-omega*e_base))*(A63/sref)^(Parametros!$B$12-1))),DEGREES(ATAN(TAN(RADIANS(Parametros!$F$13-omega*e_base))*(A63/sref)^(Parametros!$B$13-1))),DEGREES(ATAN(TAN(RADIANS(Parametros!$F$14-omega*e_base))*(A63/sref)^(Parametros!$B$14-1))),DEGREES(ATAN(TAN(RADIANS(Parametros!$F$15-omega*e_base))*(A63/sref)^(Parametros!$B$15-1))),DEGREES(ATAN(TAN(RADIANS(Parametros!$F$16-omega*e_base))*(A63/sref)^(Parametros!$B$16-1))))</f>
        <v/>
      </c>
      <c r="G63">
        <f>DEGREES(ATAN(TAN(RADIANS(46.0))*(A63/sref)^(0.9-1)))</f>
        <v/>
      </c>
      <c r="H63">
        <f>DEGREES(ATAN(TAN(RADIANS(41.0))*(A63/sref)^(0.9-1)))</f>
        <v/>
      </c>
      <c r="I63">
        <f>DEGREES(ATAN(TAN(RADIANS(36.0))*(A63/sref)^(0.9-1)))</f>
        <v/>
      </c>
      <c r="J63">
        <f>DEGREES(ATAN(TAN(RADIANS(33.0))*(A63/sref)^(0.9-1)))</f>
        <v/>
      </c>
      <c r="K63">
        <f>A63*TAN(RADIANS(C63))</f>
        <v/>
      </c>
      <c r="L63">
        <f>A63*TAN(RADIANS(G63))</f>
        <v/>
      </c>
      <c r="M63">
        <f>A63*TAN(RADIANS(H63))</f>
        <v/>
      </c>
      <c r="N63">
        <f>A63*TAN(RADIANS(I63))</f>
        <v/>
      </c>
      <c r="O63">
        <f>A63*TAN(RADIANS(J63))</f>
        <v/>
      </c>
      <c r="Q63" t="n">
        <v>0.2174595523968281</v>
      </c>
      <c r="R63">
        <f>MIN(DEGREES(ATAN(TAN(RADIANS(Parametros!$E$12-omega*e_base))*(Q63/sref)^(Parametros!$B$12-1))),DEGREES(ATAN(TAN(RADIANS(Parametros!$E$13-omega*e_base))*(Q63/sref)^(Parametros!$B$13-1))),DEGREES(ATAN(TAN(RADIANS(Parametros!$E$14-omega*e_base))*(Q63/sref)^(Parametros!$B$14-1))),DEGREES(ATAN(TAN(RADIANS(Parametros!$E$15-omega*e_base))*(Q63/sref)^(Parametros!$B$15-1))),DEGREES(ATAN(TAN(RADIANS(Parametros!$E$16-omega*e_base))*(Q63/sref)^(Parametros!$B$16-1))))</f>
        <v/>
      </c>
      <c r="T63" t="n">
        <v>1.792781065088757</v>
      </c>
      <c r="U63">
        <f>T63*TAN(RADIANS(MIN(DEGREES(ATAN(TAN(RADIANS(Parametros!$E$12-omega*e_base))*(T63/sref)^(Parametros!$B$12-1))),DEGREES(ATAN(TAN(RADIANS(Parametros!$E$13-omega*e_base))*(T63/sref)^(Parametros!$B$13-1))),DEGREES(ATAN(TAN(RADIANS(Parametros!$E$14-omega*e_base))*(T63/sref)^(Parametros!$B$14-1))),DEGREES(ATAN(TAN(RADIANS(Parametros!$E$15-omega*e_base))*(T63/sref)^(Parametros!$B$15-1))),DEGREES(ATAN(TAN(RADIANS(Parametros!$E$16-omega*e_base))*(T63/sref)^(Parametros!$B$16-1))))))</f>
        <v/>
      </c>
      <c r="W63" t="n">
        <v>7.068783202724643</v>
      </c>
      <c r="X63" t="n">
        <v>22</v>
      </c>
      <c r="AB63" t="n">
        <v>7.21305829058159</v>
      </c>
      <c r="AC63" t="n">
        <v>0</v>
      </c>
      <c r="AG63" t="n">
        <v>7.068783202724643</v>
      </c>
      <c r="AH63" t="n">
        <v>22</v>
      </c>
      <c r="BE63">
        <f>Base_mundial!C62</f>
        <v/>
      </c>
      <c r="BF63">
        <f>Base_mundial!E62-omega*(e_base-Base_mundial!B62)</f>
        <v/>
      </c>
      <c r="BG63">
        <f>BE63*TAN(RADIANS(BF63))</f>
        <v/>
      </c>
      <c r="BZ63" t="n">
        <v>600</v>
      </c>
      <c r="CA63" t="n">
        <v>0.2237855743381313</v>
      </c>
      <c r="CB63" t="n">
        <v>0.1157723353513119</v>
      </c>
      <c r="CG63" t="n">
        <v>2.93108096506806</v>
      </c>
      <c r="CH63">
        <f>IF(MAX(CG63,sv_piso)&lt;=1,e_base-cc_bajo*LOG10(MAX(CG63,sv_piso)/sv_piso),e_base-cc_bajo*LOG10(1/sv_piso)-cc_alto*LOG10(CG63))</f>
        <v/>
      </c>
      <c r="CI63" t="n">
        <v>0.31174</v>
      </c>
      <c r="CJ63">
        <f>DEGREES(ATAN(TAN(RADIANS(pe0-omega*(e_base)))*(CG63/sref)^(m_-1)))</f>
        <v/>
      </c>
      <c r="CK63">
        <f>DEGREES(ATAN(TAN(RADIANS(pe0-omega*(CH63)))*(CG63/sref)^(m_-1)))</f>
        <v/>
      </c>
      <c r="CL63">
        <f>IF(ISNUMBER(CI63),DEGREES(ATAN(TAN(RADIANS(pe0-omega*(CI63)))*(CG63/sref)^(m_-1))),NA())</f>
        <v/>
      </c>
    </row>
    <row r="64">
      <c r="A64" t="n">
        <v>0.55849</v>
      </c>
      <c r="B64">
        <f>DEGREES(ATAN(TAN(RADIANS(pe0-omega*e_base))*(A64/sref)^(m_-1)))</f>
        <v/>
      </c>
      <c r="C64">
        <f>MIN(tope,B64)</f>
        <v/>
      </c>
      <c r="D64">
        <f>IF(B64&gt;tope,B64,NA())</f>
        <v/>
      </c>
      <c r="E64">
        <f>MIN(DEGREES(ATAN(TAN(RADIANS(Parametros!$E$12-omega*e_base))*(A64/sref)^(Parametros!$B$12-1))),DEGREES(ATAN(TAN(RADIANS(Parametros!$E$13-omega*e_base))*(A64/sref)^(Parametros!$B$13-1))),DEGREES(ATAN(TAN(RADIANS(Parametros!$E$14-omega*e_base))*(A64/sref)^(Parametros!$B$14-1))),DEGREES(ATAN(TAN(RADIANS(Parametros!$E$15-omega*e_base))*(A64/sref)^(Parametros!$B$15-1))),DEGREES(ATAN(TAN(RADIANS(Parametros!$E$16-omega*e_base))*(A64/sref)^(Parametros!$B$16-1))))</f>
        <v/>
      </c>
      <c r="F64">
        <f>MAX(DEGREES(ATAN(TAN(RADIANS(Parametros!$F$12-omega*e_base))*(A64/sref)^(Parametros!$B$12-1))),DEGREES(ATAN(TAN(RADIANS(Parametros!$F$13-omega*e_base))*(A64/sref)^(Parametros!$B$13-1))),DEGREES(ATAN(TAN(RADIANS(Parametros!$F$14-omega*e_base))*(A64/sref)^(Parametros!$B$14-1))),DEGREES(ATAN(TAN(RADIANS(Parametros!$F$15-omega*e_base))*(A64/sref)^(Parametros!$B$15-1))),DEGREES(ATAN(TAN(RADIANS(Parametros!$F$16-omega*e_base))*(A64/sref)^(Parametros!$B$16-1))))</f>
        <v/>
      </c>
      <c r="G64">
        <f>DEGREES(ATAN(TAN(RADIANS(46.0))*(A64/sref)^(0.9-1)))</f>
        <v/>
      </c>
      <c r="H64">
        <f>DEGREES(ATAN(TAN(RADIANS(41.0))*(A64/sref)^(0.9-1)))</f>
        <v/>
      </c>
      <c r="I64">
        <f>DEGREES(ATAN(TAN(RADIANS(36.0))*(A64/sref)^(0.9-1)))</f>
        <v/>
      </c>
      <c r="J64">
        <f>DEGREES(ATAN(TAN(RADIANS(33.0))*(A64/sref)^(0.9-1)))</f>
        <v/>
      </c>
      <c r="K64">
        <f>A64*TAN(RADIANS(C64))</f>
        <v/>
      </c>
      <c r="L64">
        <f>A64*TAN(RADIANS(G64))</f>
        <v/>
      </c>
      <c r="M64">
        <f>A64*TAN(RADIANS(H64))</f>
        <v/>
      </c>
      <c r="N64">
        <f>A64*TAN(RADIANS(I64))</f>
        <v/>
      </c>
      <c r="O64">
        <f>A64*TAN(RADIANS(J64))</f>
        <v/>
      </c>
      <c r="Q64" t="n">
        <v>0.2174595523968281</v>
      </c>
      <c r="R64">
        <f>MAX(DEGREES(ATAN(TAN(RADIANS(Parametros!$F$12-omega*e_base))*(Q64/sref)^(Parametros!$B$12-1))),DEGREES(ATAN(TAN(RADIANS(Parametros!$F$13-omega*e_base))*(Q64/sref)^(Parametros!$B$13-1))),DEGREES(ATAN(TAN(RADIANS(Parametros!$F$14-omega*e_base))*(Q64/sref)^(Parametros!$B$14-1))),DEGREES(ATAN(TAN(RADIANS(Parametros!$F$15-omega*e_base))*(Q64/sref)^(Parametros!$B$15-1))),DEGREES(ATAN(TAN(RADIANS(Parametros!$F$16-omega*e_base))*(Q64/sref)^(Parametros!$B$16-1))))</f>
        <v/>
      </c>
      <c r="T64" t="n">
        <v>1.792781065088757</v>
      </c>
      <c r="U64">
        <f>T64*TAN(RADIANS(MAX(DEGREES(ATAN(TAN(RADIANS(Parametros!$F$12-omega*e_base))*(T64/sref)^(Parametros!$B$12-1))),DEGREES(ATAN(TAN(RADIANS(Parametros!$F$13-omega*e_base))*(T64/sref)^(Parametros!$B$13-1))),DEGREES(ATAN(TAN(RADIANS(Parametros!$F$14-omega*e_base))*(T64/sref)^(Parametros!$B$14-1))),DEGREES(ATAN(TAN(RADIANS(Parametros!$F$15-omega*e_base))*(T64/sref)^(Parametros!$B$15-1))),DEGREES(ATAN(TAN(RADIANS(Parametros!$F$16-omega*e_base))*(T64/sref)^(Parametros!$B$16-1))))))</f>
        <v/>
      </c>
      <c r="W64" t="n">
        <v>7.068783202724643</v>
      </c>
      <c r="X64" t="n">
        <v>56</v>
      </c>
      <c r="AB64" t="n">
        <v>7.21305829058159</v>
      </c>
      <c r="AC64" t="n">
        <v>10.5</v>
      </c>
      <c r="AG64" t="n">
        <v>7.068783202724643</v>
      </c>
      <c r="AH64" t="n">
        <v>58</v>
      </c>
      <c r="BE64">
        <f>Base_mundial!C63</f>
        <v/>
      </c>
      <c r="BF64">
        <f>Base_mundial!E63-omega*(e_base-Base_mundial!B63)</f>
        <v/>
      </c>
      <c r="BG64">
        <f>BE64*TAN(RADIANS(BF64))</f>
        <v/>
      </c>
      <c r="BZ64" t="n">
        <v>610</v>
      </c>
      <c r="CA64" t="n">
        <v>0.2229306391350849</v>
      </c>
      <c r="CG64" t="n">
        <v>3.100832295934884</v>
      </c>
      <c r="CH64">
        <f>IF(MAX(CG64,sv_piso)&lt;=1,e_base-cc_bajo*LOG10(MAX(CG64,sv_piso)/sv_piso),e_base-cc_bajo*LOG10(1/sv_piso)-cc_alto*LOG10(CG64))</f>
        <v/>
      </c>
      <c r="CI64" t="n">
        <v>0.30517</v>
      </c>
      <c r="CJ64">
        <f>DEGREES(ATAN(TAN(RADIANS(pe0-omega*(e_base)))*(CG64/sref)^(m_-1)))</f>
        <v/>
      </c>
      <c r="CK64">
        <f>DEGREES(ATAN(TAN(RADIANS(pe0-omega*(CH64)))*(CG64/sref)^(m_-1)))</f>
        <v/>
      </c>
      <c r="CL64">
        <f>IF(ISNUMBER(CI64),DEGREES(ATAN(TAN(RADIANS(pe0-omega*(CI64)))*(CG64/sref)^(m_-1))),NA())</f>
        <v/>
      </c>
    </row>
    <row r="65">
      <c r="A65" t="n">
        <v>0.56015</v>
      </c>
      <c r="B65">
        <f>DEGREES(ATAN(TAN(RADIANS(pe0-omega*e_base))*(A65/sref)^(m_-1)))</f>
        <v/>
      </c>
      <c r="C65">
        <f>MIN(tope,B65)</f>
        <v/>
      </c>
      <c r="D65">
        <f>IF(B65&gt;tope,B65,NA())</f>
        <v/>
      </c>
      <c r="E65">
        <f>MIN(DEGREES(ATAN(TAN(RADIANS(Parametros!$E$12-omega*e_base))*(A65/sref)^(Parametros!$B$12-1))),DEGREES(ATAN(TAN(RADIANS(Parametros!$E$13-omega*e_base))*(A65/sref)^(Parametros!$B$13-1))),DEGREES(ATAN(TAN(RADIANS(Parametros!$E$14-omega*e_base))*(A65/sref)^(Parametros!$B$14-1))),DEGREES(ATAN(TAN(RADIANS(Parametros!$E$15-omega*e_base))*(A65/sref)^(Parametros!$B$15-1))),DEGREES(ATAN(TAN(RADIANS(Parametros!$E$16-omega*e_base))*(A65/sref)^(Parametros!$B$16-1))))</f>
        <v/>
      </c>
      <c r="F65">
        <f>MAX(DEGREES(ATAN(TAN(RADIANS(Parametros!$F$12-omega*e_base))*(A65/sref)^(Parametros!$B$12-1))),DEGREES(ATAN(TAN(RADIANS(Parametros!$F$13-omega*e_base))*(A65/sref)^(Parametros!$B$13-1))),DEGREES(ATAN(TAN(RADIANS(Parametros!$F$14-omega*e_base))*(A65/sref)^(Parametros!$B$14-1))),DEGREES(ATAN(TAN(RADIANS(Parametros!$F$15-omega*e_base))*(A65/sref)^(Parametros!$B$15-1))),DEGREES(ATAN(TAN(RADIANS(Parametros!$F$16-omega*e_base))*(A65/sref)^(Parametros!$B$16-1))))</f>
        <v/>
      </c>
      <c r="G65">
        <f>DEGREES(ATAN(TAN(RADIANS(46.0))*(A65/sref)^(0.9-1)))</f>
        <v/>
      </c>
      <c r="H65">
        <f>DEGREES(ATAN(TAN(RADIANS(41.0))*(A65/sref)^(0.9-1)))</f>
        <v/>
      </c>
      <c r="I65">
        <f>DEGREES(ATAN(TAN(RADIANS(36.0))*(A65/sref)^(0.9-1)))</f>
        <v/>
      </c>
      <c r="J65">
        <f>DEGREES(ATAN(TAN(RADIANS(33.0))*(A65/sref)^(0.9-1)))</f>
        <v/>
      </c>
      <c r="K65">
        <f>A65*TAN(RADIANS(C65))</f>
        <v/>
      </c>
      <c r="L65">
        <f>A65*TAN(RADIANS(G65))</f>
        <v/>
      </c>
      <c r="M65">
        <f>A65*TAN(RADIANS(H65))</f>
        <v/>
      </c>
      <c r="N65">
        <f>A65*TAN(RADIANS(I65))</f>
        <v/>
      </c>
      <c r="O65">
        <f>A65*TAN(RADIANS(J65))</f>
        <v/>
      </c>
      <c r="BE65">
        <f>Base_mundial!C64</f>
        <v/>
      </c>
      <c r="BF65">
        <f>Base_mundial!E64-omega*(e_base-Base_mundial!B64)</f>
        <v/>
      </c>
      <c r="BG65">
        <f>BE65*TAN(RADIANS(BF65))</f>
        <v/>
      </c>
      <c r="BZ65" t="n">
        <v>620</v>
      </c>
      <c r="CA65" t="n">
        <v>0.222089568550639</v>
      </c>
      <c r="CG65" t="n">
        <v>3.280414646372466</v>
      </c>
      <c r="CH65">
        <f>IF(MAX(CG65,sv_piso)&lt;=1,e_base-cc_bajo*LOG10(MAX(CG65,sv_piso)/sv_piso),e_base-cc_bajo*LOG10(1/sv_piso)-cc_alto*LOG10(CG65))</f>
        <v/>
      </c>
      <c r="CI65" t="n">
        <v>0.29825</v>
      </c>
      <c r="CJ65">
        <f>DEGREES(ATAN(TAN(RADIANS(pe0-omega*(e_base)))*(CG65/sref)^(m_-1)))</f>
        <v/>
      </c>
      <c r="CK65">
        <f>DEGREES(ATAN(TAN(RADIANS(pe0-omega*(CH65)))*(CG65/sref)^(m_-1)))</f>
        <v/>
      </c>
      <c r="CL65">
        <f>IF(ISNUMBER(CI65),DEGREES(ATAN(TAN(RADIANS(pe0-omega*(CI65)))*(CG65/sref)^(m_-1))),NA())</f>
        <v/>
      </c>
    </row>
    <row r="66">
      <c r="A66" t="n">
        <v>0.59903</v>
      </c>
      <c r="B66">
        <f>DEGREES(ATAN(TAN(RADIANS(pe0-omega*e_base))*(A66/sref)^(m_-1)))</f>
        <v/>
      </c>
      <c r="C66">
        <f>MIN(tope,B66)</f>
        <v/>
      </c>
      <c r="D66">
        <f>IF(B66&gt;tope,B66,NA())</f>
        <v/>
      </c>
      <c r="E66">
        <f>MIN(DEGREES(ATAN(TAN(RADIANS(Parametros!$E$12-omega*e_base))*(A66/sref)^(Parametros!$B$12-1))),DEGREES(ATAN(TAN(RADIANS(Parametros!$E$13-omega*e_base))*(A66/sref)^(Parametros!$B$13-1))),DEGREES(ATAN(TAN(RADIANS(Parametros!$E$14-omega*e_base))*(A66/sref)^(Parametros!$B$14-1))),DEGREES(ATAN(TAN(RADIANS(Parametros!$E$15-omega*e_base))*(A66/sref)^(Parametros!$B$15-1))),DEGREES(ATAN(TAN(RADIANS(Parametros!$E$16-omega*e_base))*(A66/sref)^(Parametros!$B$16-1))))</f>
        <v/>
      </c>
      <c r="F66">
        <f>MAX(DEGREES(ATAN(TAN(RADIANS(Parametros!$F$12-omega*e_base))*(A66/sref)^(Parametros!$B$12-1))),DEGREES(ATAN(TAN(RADIANS(Parametros!$F$13-omega*e_base))*(A66/sref)^(Parametros!$B$13-1))),DEGREES(ATAN(TAN(RADIANS(Parametros!$F$14-omega*e_base))*(A66/sref)^(Parametros!$B$14-1))),DEGREES(ATAN(TAN(RADIANS(Parametros!$F$15-omega*e_base))*(A66/sref)^(Parametros!$B$15-1))),DEGREES(ATAN(TAN(RADIANS(Parametros!$F$16-omega*e_base))*(A66/sref)^(Parametros!$B$16-1))))</f>
        <v/>
      </c>
      <c r="G66">
        <f>DEGREES(ATAN(TAN(RADIANS(46.0))*(A66/sref)^(0.9-1)))</f>
        <v/>
      </c>
      <c r="H66">
        <f>DEGREES(ATAN(TAN(RADIANS(41.0))*(A66/sref)^(0.9-1)))</f>
        <v/>
      </c>
      <c r="I66">
        <f>DEGREES(ATAN(TAN(RADIANS(36.0))*(A66/sref)^(0.9-1)))</f>
        <v/>
      </c>
      <c r="J66">
        <f>DEGREES(ATAN(TAN(RADIANS(33.0))*(A66/sref)^(0.9-1)))</f>
        <v/>
      </c>
      <c r="K66">
        <f>A66*TAN(RADIANS(C66))</f>
        <v/>
      </c>
      <c r="L66">
        <f>A66*TAN(RADIANS(G66))</f>
        <v/>
      </c>
      <c r="M66">
        <f>A66*TAN(RADIANS(H66))</f>
        <v/>
      </c>
      <c r="N66">
        <f>A66*TAN(RADIANS(I66))</f>
        <v/>
      </c>
      <c r="O66">
        <f>A66*TAN(RADIANS(J66))</f>
        <v/>
      </c>
      <c r="Q66" t="n">
        <v>0.2260723320322204</v>
      </c>
      <c r="R66">
        <f>MIN(DEGREES(ATAN(TAN(RADIANS(Parametros!$E$12-omega*e_base))*(Q66/sref)^(Parametros!$B$12-1))),DEGREES(ATAN(TAN(RADIANS(Parametros!$E$13-omega*e_base))*(Q66/sref)^(Parametros!$B$13-1))),DEGREES(ATAN(TAN(RADIANS(Parametros!$E$14-omega*e_base))*(Q66/sref)^(Parametros!$B$14-1))),DEGREES(ATAN(TAN(RADIANS(Parametros!$E$15-omega*e_base))*(Q66/sref)^(Parametros!$B$15-1))),DEGREES(ATAN(TAN(RADIANS(Parametros!$E$16-omega*e_base))*(Q66/sref)^(Parametros!$B$16-1))))</f>
        <v/>
      </c>
      <c r="T66" t="n">
        <v>1.881420118343195</v>
      </c>
      <c r="U66">
        <f>T66*TAN(RADIANS(MIN(DEGREES(ATAN(TAN(RADIANS(Parametros!$E$12-omega*e_base))*(T66/sref)^(Parametros!$B$12-1))),DEGREES(ATAN(TAN(RADIANS(Parametros!$E$13-omega*e_base))*(T66/sref)^(Parametros!$B$13-1))),DEGREES(ATAN(TAN(RADIANS(Parametros!$E$14-omega*e_base))*(T66/sref)^(Parametros!$B$14-1))),DEGREES(ATAN(TAN(RADIANS(Parametros!$E$15-omega*e_base))*(T66/sref)^(Parametros!$B$15-1))),DEGREES(ATAN(TAN(RADIANS(Parametros!$E$16-omega*e_base))*(T66/sref)^(Parametros!$B$16-1))))))</f>
        <v/>
      </c>
      <c r="W66" t="n">
        <v>7.220508931418109</v>
      </c>
      <c r="X66" t="n">
        <v>22</v>
      </c>
      <c r="AB66" t="n">
        <v>7.342583652857159</v>
      </c>
      <c r="AC66" t="n">
        <v>0</v>
      </c>
      <c r="AG66" t="n">
        <v>7.220508931418109</v>
      </c>
      <c r="AH66" t="n">
        <v>22</v>
      </c>
      <c r="BE66">
        <f>Base_mundial!C65</f>
        <v/>
      </c>
      <c r="BF66">
        <f>Base_mundial!E65-omega*(e_base-Base_mundial!B65)</f>
        <v/>
      </c>
      <c r="BG66">
        <f>BE66*TAN(RADIANS(BF66))</f>
        <v/>
      </c>
      <c r="BZ66" t="n">
        <v>630</v>
      </c>
      <c r="CA66" t="n">
        <v>0.221261919680134</v>
      </c>
      <c r="CG66" t="n">
        <v>3.470397372422417</v>
      </c>
      <c r="CH66">
        <f>IF(MAX(CG66,sv_piso)&lt;=1,e_base-cc_bajo*LOG10(MAX(CG66,sv_piso)/sv_piso),e_base-cc_bajo*LOG10(1/sv_piso)-cc_alto*LOG10(CG66))</f>
        <v/>
      </c>
      <c r="CI66" t="n">
        <v>0.29125</v>
      </c>
      <c r="CJ66">
        <f>DEGREES(ATAN(TAN(RADIANS(pe0-omega*(e_base)))*(CG66/sref)^(m_-1)))</f>
        <v/>
      </c>
      <c r="CK66">
        <f>DEGREES(ATAN(TAN(RADIANS(pe0-omega*(CH66)))*(CG66/sref)^(m_-1)))</f>
        <v/>
      </c>
      <c r="CL66">
        <f>IF(ISNUMBER(CI66),DEGREES(ATAN(TAN(RADIANS(pe0-omega*(CI66)))*(CG66/sref)^(m_-1))),NA())</f>
        <v/>
      </c>
    </row>
    <row r="67">
      <c r="A67" t="n">
        <v>0.6405999999999999</v>
      </c>
      <c r="B67">
        <f>DEGREES(ATAN(TAN(RADIANS(pe0-omega*e_base))*(A67/sref)^(m_-1)))</f>
        <v/>
      </c>
      <c r="C67">
        <f>MIN(tope,B67)</f>
        <v/>
      </c>
      <c r="D67">
        <f>IF(B67&gt;tope,B67,NA())</f>
        <v/>
      </c>
      <c r="E67">
        <f>MIN(DEGREES(ATAN(TAN(RADIANS(Parametros!$E$12-omega*e_base))*(A67/sref)^(Parametros!$B$12-1))),DEGREES(ATAN(TAN(RADIANS(Parametros!$E$13-omega*e_base))*(A67/sref)^(Parametros!$B$13-1))),DEGREES(ATAN(TAN(RADIANS(Parametros!$E$14-omega*e_base))*(A67/sref)^(Parametros!$B$14-1))),DEGREES(ATAN(TAN(RADIANS(Parametros!$E$15-omega*e_base))*(A67/sref)^(Parametros!$B$15-1))),DEGREES(ATAN(TAN(RADIANS(Parametros!$E$16-omega*e_base))*(A67/sref)^(Parametros!$B$16-1))))</f>
        <v/>
      </c>
      <c r="F67">
        <f>MAX(DEGREES(ATAN(TAN(RADIANS(Parametros!$F$12-omega*e_base))*(A67/sref)^(Parametros!$B$12-1))),DEGREES(ATAN(TAN(RADIANS(Parametros!$F$13-omega*e_base))*(A67/sref)^(Parametros!$B$13-1))),DEGREES(ATAN(TAN(RADIANS(Parametros!$F$14-omega*e_base))*(A67/sref)^(Parametros!$B$14-1))),DEGREES(ATAN(TAN(RADIANS(Parametros!$F$15-omega*e_base))*(A67/sref)^(Parametros!$B$15-1))),DEGREES(ATAN(TAN(RADIANS(Parametros!$F$16-omega*e_base))*(A67/sref)^(Parametros!$B$16-1))))</f>
        <v/>
      </c>
      <c r="G67">
        <f>DEGREES(ATAN(TAN(RADIANS(46.0))*(A67/sref)^(0.9-1)))</f>
        <v/>
      </c>
      <c r="H67">
        <f>DEGREES(ATAN(TAN(RADIANS(41.0))*(A67/sref)^(0.9-1)))</f>
        <v/>
      </c>
      <c r="I67">
        <f>DEGREES(ATAN(TAN(RADIANS(36.0))*(A67/sref)^(0.9-1)))</f>
        <v/>
      </c>
      <c r="J67">
        <f>DEGREES(ATAN(TAN(RADIANS(33.0))*(A67/sref)^(0.9-1)))</f>
        <v/>
      </c>
      <c r="K67">
        <f>A67*TAN(RADIANS(C67))</f>
        <v/>
      </c>
      <c r="L67">
        <f>A67*TAN(RADIANS(G67))</f>
        <v/>
      </c>
      <c r="M67">
        <f>A67*TAN(RADIANS(H67))</f>
        <v/>
      </c>
      <c r="N67">
        <f>A67*TAN(RADIANS(I67))</f>
        <v/>
      </c>
      <c r="O67">
        <f>A67*TAN(RADIANS(J67))</f>
        <v/>
      </c>
      <c r="Q67" t="n">
        <v>0.2260723320322204</v>
      </c>
      <c r="R67">
        <f>MAX(DEGREES(ATAN(TAN(RADIANS(Parametros!$F$12-omega*e_base))*(Q67/sref)^(Parametros!$B$12-1))),DEGREES(ATAN(TAN(RADIANS(Parametros!$F$13-omega*e_base))*(Q67/sref)^(Parametros!$B$13-1))),DEGREES(ATAN(TAN(RADIANS(Parametros!$F$14-omega*e_base))*(Q67/sref)^(Parametros!$B$14-1))),DEGREES(ATAN(TAN(RADIANS(Parametros!$F$15-omega*e_base))*(Q67/sref)^(Parametros!$B$15-1))),DEGREES(ATAN(TAN(RADIANS(Parametros!$F$16-omega*e_base))*(Q67/sref)^(Parametros!$B$16-1))))</f>
        <v/>
      </c>
      <c r="T67" t="n">
        <v>1.881420118343195</v>
      </c>
      <c r="U67">
        <f>T67*TAN(RADIANS(MAX(DEGREES(ATAN(TAN(RADIANS(Parametros!$F$12-omega*e_base))*(T67/sref)^(Parametros!$B$12-1))),DEGREES(ATAN(TAN(RADIANS(Parametros!$F$13-omega*e_base))*(T67/sref)^(Parametros!$B$13-1))),DEGREES(ATAN(TAN(RADIANS(Parametros!$F$14-omega*e_base))*(T67/sref)^(Parametros!$B$14-1))),DEGREES(ATAN(TAN(RADIANS(Parametros!$F$15-omega*e_base))*(T67/sref)^(Parametros!$B$15-1))),DEGREES(ATAN(TAN(RADIANS(Parametros!$F$16-omega*e_base))*(T67/sref)^(Parametros!$B$16-1))))))</f>
        <v/>
      </c>
      <c r="W67" t="n">
        <v>7.220508931418109</v>
      </c>
      <c r="X67" t="n">
        <v>56</v>
      </c>
      <c r="AB67" t="n">
        <v>7.342583652857159</v>
      </c>
      <c r="AC67" t="n">
        <v>10.5</v>
      </c>
      <c r="AG67" t="n">
        <v>7.220508931418109</v>
      </c>
      <c r="AH67" t="n">
        <v>58</v>
      </c>
      <c r="BE67">
        <f>Base_mundial!C66</f>
        <v/>
      </c>
      <c r="BF67">
        <f>Base_mundial!E66-omega*(e_base-Base_mundial!B66)</f>
        <v/>
      </c>
      <c r="BG67">
        <f>BE67*TAN(RADIANS(BF67))</f>
        <v/>
      </c>
      <c r="BZ67" t="n">
        <v>640</v>
      </c>
      <c r="CA67" t="n">
        <v>0.220447270513886</v>
      </c>
      <c r="CG67" t="n">
        <v>3.671382803949641</v>
      </c>
      <c r="CH67">
        <f>IF(MAX(CG67,sv_piso)&lt;=1,e_base-cc_bajo*LOG10(MAX(CG67,sv_piso)/sv_piso),e_base-cc_bajo*LOG10(1/sv_piso)-cc_alto*LOG10(CG67))</f>
        <v/>
      </c>
      <c r="CI67" t="n">
        <v>0.28395</v>
      </c>
      <c r="CJ67">
        <f>DEGREES(ATAN(TAN(RADIANS(pe0-omega*(e_base)))*(CG67/sref)^(m_-1)))</f>
        <v/>
      </c>
      <c r="CK67">
        <f>DEGREES(ATAN(TAN(RADIANS(pe0-omega*(CH67)))*(CG67/sref)^(m_-1)))</f>
        <v/>
      </c>
      <c r="CL67">
        <f>IF(ISNUMBER(CI67),DEGREES(ATAN(TAN(RADIANS(pe0-omega*(CI67)))*(CG67/sref)^(m_-1))),NA())</f>
        <v/>
      </c>
    </row>
    <row r="68">
      <c r="A68" t="n">
        <v>0.68505</v>
      </c>
      <c r="B68">
        <f>DEGREES(ATAN(TAN(RADIANS(pe0-omega*e_base))*(A68/sref)^(m_-1)))</f>
        <v/>
      </c>
      <c r="C68">
        <f>MIN(tope,B68)</f>
        <v/>
      </c>
      <c r="D68">
        <f>IF(B68&gt;tope,B68,NA())</f>
        <v/>
      </c>
      <c r="E68">
        <f>MIN(DEGREES(ATAN(TAN(RADIANS(Parametros!$E$12-omega*e_base))*(A68/sref)^(Parametros!$B$12-1))),DEGREES(ATAN(TAN(RADIANS(Parametros!$E$13-omega*e_base))*(A68/sref)^(Parametros!$B$13-1))),DEGREES(ATAN(TAN(RADIANS(Parametros!$E$14-omega*e_base))*(A68/sref)^(Parametros!$B$14-1))),DEGREES(ATAN(TAN(RADIANS(Parametros!$E$15-omega*e_base))*(A68/sref)^(Parametros!$B$15-1))),DEGREES(ATAN(TAN(RADIANS(Parametros!$E$16-omega*e_base))*(A68/sref)^(Parametros!$B$16-1))))</f>
        <v/>
      </c>
      <c r="F68">
        <f>MAX(DEGREES(ATAN(TAN(RADIANS(Parametros!$F$12-omega*e_base))*(A68/sref)^(Parametros!$B$12-1))),DEGREES(ATAN(TAN(RADIANS(Parametros!$F$13-omega*e_base))*(A68/sref)^(Parametros!$B$13-1))),DEGREES(ATAN(TAN(RADIANS(Parametros!$F$14-omega*e_base))*(A68/sref)^(Parametros!$B$14-1))),DEGREES(ATAN(TAN(RADIANS(Parametros!$F$15-omega*e_base))*(A68/sref)^(Parametros!$B$15-1))),DEGREES(ATAN(TAN(RADIANS(Parametros!$F$16-omega*e_base))*(A68/sref)^(Parametros!$B$16-1))))</f>
        <v/>
      </c>
      <c r="G68">
        <f>DEGREES(ATAN(TAN(RADIANS(46.0))*(A68/sref)^(0.9-1)))</f>
        <v/>
      </c>
      <c r="H68">
        <f>DEGREES(ATAN(TAN(RADIANS(41.0))*(A68/sref)^(0.9-1)))</f>
        <v/>
      </c>
      <c r="I68">
        <f>DEGREES(ATAN(TAN(RADIANS(36.0))*(A68/sref)^(0.9-1)))</f>
        <v/>
      </c>
      <c r="J68">
        <f>DEGREES(ATAN(TAN(RADIANS(33.0))*(A68/sref)^(0.9-1)))</f>
        <v/>
      </c>
      <c r="K68">
        <f>A68*TAN(RADIANS(C68))</f>
        <v/>
      </c>
      <c r="L68">
        <f>A68*TAN(RADIANS(G68))</f>
        <v/>
      </c>
      <c r="M68">
        <f>A68*TAN(RADIANS(H68))</f>
        <v/>
      </c>
      <c r="N68">
        <f>A68*TAN(RADIANS(I68))</f>
        <v/>
      </c>
      <c r="O68">
        <f>A68*TAN(RADIANS(J68))</f>
        <v/>
      </c>
      <c r="BE68">
        <f>Base_mundial!C67</f>
        <v/>
      </c>
      <c r="BF68">
        <f>Base_mundial!E67-omega*(e_base-Base_mundial!B67)</f>
        <v/>
      </c>
      <c r="BG68">
        <f>BE68*TAN(RADIANS(BF68))</f>
        <v/>
      </c>
      <c r="BZ68" t="n">
        <v>650</v>
      </c>
      <c r="CA68" t="n">
        <v>0.2196452186430015</v>
      </c>
      <c r="CG68" t="n">
        <v>3.884008154296301</v>
      </c>
      <c r="CH68">
        <f>IF(MAX(CG68,sv_piso)&lt;=1,e_base-cc_bajo*LOG10(MAX(CG68,sv_piso)/sv_piso),e_base-cc_bajo*LOG10(1/sv_piso)-cc_alto*LOG10(CG68))</f>
        <v/>
      </c>
      <c r="CI68" t="n">
        <v>0.27628</v>
      </c>
      <c r="CJ68">
        <f>DEGREES(ATAN(TAN(RADIANS(pe0-omega*(e_base)))*(CG68/sref)^(m_-1)))</f>
        <v/>
      </c>
      <c r="CK68">
        <f>DEGREES(ATAN(TAN(RADIANS(pe0-omega*(CH68)))*(CG68/sref)^(m_-1)))</f>
        <v/>
      </c>
      <c r="CL68">
        <f>IF(ISNUMBER(CI68),DEGREES(ATAN(TAN(RADIANS(pe0-omega*(CI68)))*(CG68/sref)^(m_-1))),NA())</f>
        <v/>
      </c>
    </row>
    <row r="69">
      <c r="A69" t="n">
        <v>0.73259</v>
      </c>
      <c r="B69">
        <f>DEGREES(ATAN(TAN(RADIANS(pe0-omega*e_base))*(A69/sref)^(m_-1)))</f>
        <v/>
      </c>
      <c r="C69">
        <f>MIN(tope,B69)</f>
        <v/>
      </c>
      <c r="D69">
        <f>IF(B69&gt;tope,B69,NA())</f>
        <v/>
      </c>
      <c r="E69">
        <f>MIN(DEGREES(ATAN(TAN(RADIANS(Parametros!$E$12-omega*e_base))*(A69/sref)^(Parametros!$B$12-1))),DEGREES(ATAN(TAN(RADIANS(Parametros!$E$13-omega*e_base))*(A69/sref)^(Parametros!$B$13-1))),DEGREES(ATAN(TAN(RADIANS(Parametros!$E$14-omega*e_base))*(A69/sref)^(Parametros!$B$14-1))),DEGREES(ATAN(TAN(RADIANS(Parametros!$E$15-omega*e_base))*(A69/sref)^(Parametros!$B$15-1))),DEGREES(ATAN(TAN(RADIANS(Parametros!$E$16-omega*e_base))*(A69/sref)^(Parametros!$B$16-1))))</f>
        <v/>
      </c>
      <c r="F69">
        <f>MAX(DEGREES(ATAN(TAN(RADIANS(Parametros!$F$12-omega*e_base))*(A69/sref)^(Parametros!$B$12-1))),DEGREES(ATAN(TAN(RADIANS(Parametros!$F$13-omega*e_base))*(A69/sref)^(Parametros!$B$13-1))),DEGREES(ATAN(TAN(RADIANS(Parametros!$F$14-omega*e_base))*(A69/sref)^(Parametros!$B$14-1))),DEGREES(ATAN(TAN(RADIANS(Parametros!$F$15-omega*e_base))*(A69/sref)^(Parametros!$B$15-1))),DEGREES(ATAN(TAN(RADIANS(Parametros!$F$16-omega*e_base))*(A69/sref)^(Parametros!$B$16-1))))</f>
        <v/>
      </c>
      <c r="G69">
        <f>DEGREES(ATAN(TAN(RADIANS(46.0))*(A69/sref)^(0.9-1)))</f>
        <v/>
      </c>
      <c r="H69">
        <f>DEGREES(ATAN(TAN(RADIANS(41.0))*(A69/sref)^(0.9-1)))</f>
        <v/>
      </c>
      <c r="I69">
        <f>DEGREES(ATAN(TAN(RADIANS(36.0))*(A69/sref)^(0.9-1)))</f>
        <v/>
      </c>
      <c r="J69">
        <f>DEGREES(ATAN(TAN(RADIANS(33.0))*(A69/sref)^(0.9-1)))</f>
        <v/>
      </c>
      <c r="K69">
        <f>A69*TAN(RADIANS(C69))</f>
        <v/>
      </c>
      <c r="L69">
        <f>A69*TAN(RADIANS(G69))</f>
        <v/>
      </c>
      <c r="M69">
        <f>A69*TAN(RADIANS(H69))</f>
        <v/>
      </c>
      <c r="N69">
        <f>A69*TAN(RADIANS(I69))</f>
        <v/>
      </c>
      <c r="O69">
        <f>A69*TAN(RADIANS(J69))</f>
        <v/>
      </c>
      <c r="Q69" t="n">
        <v>0.2350262324518239</v>
      </c>
      <c r="R69">
        <f>MIN(DEGREES(ATAN(TAN(RADIANS(Parametros!$E$12-omega*e_base))*(Q69/sref)^(Parametros!$B$12-1))),DEGREES(ATAN(TAN(RADIANS(Parametros!$E$13-omega*e_base))*(Q69/sref)^(Parametros!$B$13-1))),DEGREES(ATAN(TAN(RADIANS(Parametros!$E$14-omega*e_base))*(Q69/sref)^(Parametros!$B$14-1))),DEGREES(ATAN(TAN(RADIANS(Parametros!$E$15-omega*e_base))*(Q69/sref)^(Parametros!$B$15-1))),DEGREES(ATAN(TAN(RADIANS(Parametros!$E$16-omega*e_base))*(Q69/sref)^(Parametros!$B$16-1))))</f>
        <v/>
      </c>
      <c r="T69" t="n">
        <v>1.970059171597633</v>
      </c>
      <c r="U69">
        <f>T69*TAN(RADIANS(MIN(DEGREES(ATAN(TAN(RADIANS(Parametros!$E$12-omega*e_base))*(T69/sref)^(Parametros!$B$12-1))),DEGREES(ATAN(TAN(RADIANS(Parametros!$E$13-omega*e_base))*(T69/sref)^(Parametros!$B$13-1))),DEGREES(ATAN(TAN(RADIANS(Parametros!$E$14-omega*e_base))*(T69/sref)^(Parametros!$B$14-1))),DEGREES(ATAN(TAN(RADIANS(Parametros!$E$15-omega*e_base))*(T69/sref)^(Parametros!$B$15-1))),DEGREES(ATAN(TAN(RADIANS(Parametros!$E$16-omega*e_base))*(T69/sref)^(Parametros!$B$16-1))))))</f>
        <v/>
      </c>
      <c r="W69" t="n">
        <v>7.375491330472989</v>
      </c>
      <c r="X69" t="n">
        <v>22</v>
      </c>
      <c r="AB69" t="n">
        <v>7.472109015132727</v>
      </c>
      <c r="AC69" t="n">
        <v>0</v>
      </c>
      <c r="AG69" t="n">
        <v>7.375491330472989</v>
      </c>
      <c r="AH69" t="n">
        <v>22</v>
      </c>
      <c r="BE69">
        <f>Base_mundial!C68</f>
        <v/>
      </c>
      <c r="BF69">
        <f>Base_mundial!E68-omega*(e_base-Base_mundial!B68)</f>
        <v/>
      </c>
      <c r="BG69">
        <f>BE69*TAN(RADIANS(BF69))</f>
        <v/>
      </c>
      <c r="BZ69" t="n">
        <v>660</v>
      </c>
      <c r="CA69" t="n">
        <v>0.2188553800638714</v>
      </c>
      <c r="CG69" t="n">
        <v>4.108947540531949</v>
      </c>
      <c r="CH69">
        <f>IF(MAX(CG69,sv_piso)&lt;=1,e_base-cc_bajo*LOG10(MAX(CG69,sv_piso)/sv_piso),e_base-cc_bajo*LOG10(1/sv_piso)-cc_alto*LOG10(CG69))</f>
        <v/>
      </c>
      <c r="CI69" t="n">
        <v>0.26821</v>
      </c>
      <c r="CJ69">
        <f>DEGREES(ATAN(TAN(RADIANS(pe0-omega*(e_base)))*(CG69/sref)^(m_-1)))</f>
        <v/>
      </c>
      <c r="CK69">
        <f>DEGREES(ATAN(TAN(RADIANS(pe0-omega*(CH69)))*(CG69/sref)^(m_-1)))</f>
        <v/>
      </c>
      <c r="CL69">
        <f>IF(ISNUMBER(CI69),DEGREES(ATAN(TAN(RADIANS(pe0-omega*(CI69)))*(CG69/sref)^(m_-1))),NA())</f>
        <v/>
      </c>
    </row>
    <row r="70">
      <c r="A70" t="n">
        <v>0.78343</v>
      </c>
      <c r="B70">
        <f>DEGREES(ATAN(TAN(RADIANS(pe0-omega*e_base))*(A70/sref)^(m_-1)))</f>
        <v/>
      </c>
      <c r="C70">
        <f>MIN(tope,B70)</f>
        <v/>
      </c>
      <c r="D70">
        <f>IF(B70&gt;tope,B70,NA())</f>
        <v/>
      </c>
      <c r="E70">
        <f>MIN(DEGREES(ATAN(TAN(RADIANS(Parametros!$E$12-omega*e_base))*(A70/sref)^(Parametros!$B$12-1))),DEGREES(ATAN(TAN(RADIANS(Parametros!$E$13-omega*e_base))*(A70/sref)^(Parametros!$B$13-1))),DEGREES(ATAN(TAN(RADIANS(Parametros!$E$14-omega*e_base))*(A70/sref)^(Parametros!$B$14-1))),DEGREES(ATAN(TAN(RADIANS(Parametros!$E$15-omega*e_base))*(A70/sref)^(Parametros!$B$15-1))),DEGREES(ATAN(TAN(RADIANS(Parametros!$E$16-omega*e_base))*(A70/sref)^(Parametros!$B$16-1))))</f>
        <v/>
      </c>
      <c r="F70">
        <f>MAX(DEGREES(ATAN(TAN(RADIANS(Parametros!$F$12-omega*e_base))*(A70/sref)^(Parametros!$B$12-1))),DEGREES(ATAN(TAN(RADIANS(Parametros!$F$13-omega*e_base))*(A70/sref)^(Parametros!$B$13-1))),DEGREES(ATAN(TAN(RADIANS(Parametros!$F$14-omega*e_base))*(A70/sref)^(Parametros!$B$14-1))),DEGREES(ATAN(TAN(RADIANS(Parametros!$F$15-omega*e_base))*(A70/sref)^(Parametros!$B$15-1))),DEGREES(ATAN(TAN(RADIANS(Parametros!$F$16-omega*e_base))*(A70/sref)^(Parametros!$B$16-1))))</f>
        <v/>
      </c>
      <c r="G70">
        <f>DEGREES(ATAN(TAN(RADIANS(46.0))*(A70/sref)^(0.9-1)))</f>
        <v/>
      </c>
      <c r="H70">
        <f>DEGREES(ATAN(TAN(RADIANS(41.0))*(A70/sref)^(0.9-1)))</f>
        <v/>
      </c>
      <c r="I70">
        <f>DEGREES(ATAN(TAN(RADIANS(36.0))*(A70/sref)^(0.9-1)))</f>
        <v/>
      </c>
      <c r="J70">
        <f>DEGREES(ATAN(TAN(RADIANS(33.0))*(A70/sref)^(0.9-1)))</f>
        <v/>
      </c>
      <c r="K70">
        <f>A70*TAN(RADIANS(C70))</f>
        <v/>
      </c>
      <c r="L70">
        <f>A70*TAN(RADIANS(G70))</f>
        <v/>
      </c>
      <c r="M70">
        <f>A70*TAN(RADIANS(H70))</f>
        <v/>
      </c>
      <c r="N70">
        <f>A70*TAN(RADIANS(I70))</f>
        <v/>
      </c>
      <c r="O70">
        <f>A70*TAN(RADIANS(J70))</f>
        <v/>
      </c>
      <c r="Q70" t="n">
        <v>0.2350262324518239</v>
      </c>
      <c r="R70">
        <f>MAX(DEGREES(ATAN(TAN(RADIANS(Parametros!$F$12-omega*e_base))*(Q70/sref)^(Parametros!$B$12-1))),DEGREES(ATAN(TAN(RADIANS(Parametros!$F$13-omega*e_base))*(Q70/sref)^(Parametros!$B$13-1))),DEGREES(ATAN(TAN(RADIANS(Parametros!$F$14-omega*e_base))*(Q70/sref)^(Parametros!$B$14-1))),DEGREES(ATAN(TAN(RADIANS(Parametros!$F$15-omega*e_base))*(Q70/sref)^(Parametros!$B$15-1))),DEGREES(ATAN(TAN(RADIANS(Parametros!$F$16-omega*e_base))*(Q70/sref)^(Parametros!$B$16-1))))</f>
        <v/>
      </c>
      <c r="T70" t="n">
        <v>1.970059171597633</v>
      </c>
      <c r="U70">
        <f>T70*TAN(RADIANS(MAX(DEGREES(ATAN(TAN(RADIANS(Parametros!$F$12-omega*e_base))*(T70/sref)^(Parametros!$B$12-1))),DEGREES(ATAN(TAN(RADIANS(Parametros!$F$13-omega*e_base))*(T70/sref)^(Parametros!$B$13-1))),DEGREES(ATAN(TAN(RADIANS(Parametros!$F$14-omega*e_base))*(T70/sref)^(Parametros!$B$14-1))),DEGREES(ATAN(TAN(RADIANS(Parametros!$F$15-omega*e_base))*(T70/sref)^(Parametros!$B$15-1))),DEGREES(ATAN(TAN(RADIANS(Parametros!$F$16-omega*e_base))*(T70/sref)^(Parametros!$B$16-1))))))</f>
        <v/>
      </c>
      <c r="W70" t="n">
        <v>7.375491330472989</v>
      </c>
      <c r="X70" t="n">
        <v>56</v>
      </c>
      <c r="AB70" t="n">
        <v>7.472109015132727</v>
      </c>
      <c r="AC70" t="n">
        <v>10.5</v>
      </c>
      <c r="AG70" t="n">
        <v>7.375491330472989</v>
      </c>
      <c r="AH70" t="n">
        <v>58</v>
      </c>
      <c r="BE70">
        <f>Base_mundial!C69</f>
        <v/>
      </c>
      <c r="BF70">
        <f>Base_mundial!E69-omega*(e_base-Base_mundial!B69)</f>
        <v/>
      </c>
      <c r="BG70">
        <f>BE70*TAN(RADIANS(BF70))</f>
        <v/>
      </c>
      <c r="BZ70" t="n">
        <v>670</v>
      </c>
      <c r="CA70" t="n">
        <v>0.2180773880724514</v>
      </c>
      <c r="CG70" t="n">
        <v>4.346914120704893</v>
      </c>
      <c r="CH70">
        <f>IF(MAX(CG70,sv_piso)&lt;=1,e_base-cc_bajo*LOG10(MAX(CG70,sv_piso)/sv_piso),e_base-cc_bajo*LOG10(1/sv_piso)-cc_alto*LOG10(CG70))</f>
        <v/>
      </c>
      <c r="CI70" t="n">
        <v>0.26095</v>
      </c>
      <c r="CJ70">
        <f>DEGREES(ATAN(TAN(RADIANS(pe0-omega*(e_base)))*(CG70/sref)^(m_-1)))</f>
        <v/>
      </c>
      <c r="CK70">
        <f>DEGREES(ATAN(TAN(RADIANS(pe0-omega*(CH70)))*(CG70/sref)^(m_-1)))</f>
        <v/>
      </c>
      <c r="CL70">
        <f>IF(ISNUMBER(CI70),DEGREES(ATAN(TAN(RADIANS(pe0-omega*(CI70)))*(CG70/sref)^(m_-1))),NA())</f>
        <v/>
      </c>
    </row>
    <row r="71">
      <c r="A71" t="n">
        <v>0.8378</v>
      </c>
      <c r="B71">
        <f>DEGREES(ATAN(TAN(RADIANS(pe0-omega*e_base))*(A71/sref)^(m_-1)))</f>
        <v/>
      </c>
      <c r="C71">
        <f>MIN(tope,B71)</f>
        <v/>
      </c>
      <c r="D71">
        <f>IF(B71&gt;tope,B71,NA())</f>
        <v/>
      </c>
      <c r="E71">
        <f>MIN(DEGREES(ATAN(TAN(RADIANS(Parametros!$E$12-omega*e_base))*(A71/sref)^(Parametros!$B$12-1))),DEGREES(ATAN(TAN(RADIANS(Parametros!$E$13-omega*e_base))*(A71/sref)^(Parametros!$B$13-1))),DEGREES(ATAN(TAN(RADIANS(Parametros!$E$14-omega*e_base))*(A71/sref)^(Parametros!$B$14-1))),DEGREES(ATAN(TAN(RADIANS(Parametros!$E$15-omega*e_base))*(A71/sref)^(Parametros!$B$15-1))),DEGREES(ATAN(TAN(RADIANS(Parametros!$E$16-omega*e_base))*(A71/sref)^(Parametros!$B$16-1))))</f>
        <v/>
      </c>
      <c r="F71">
        <f>MAX(DEGREES(ATAN(TAN(RADIANS(Parametros!$F$12-omega*e_base))*(A71/sref)^(Parametros!$B$12-1))),DEGREES(ATAN(TAN(RADIANS(Parametros!$F$13-omega*e_base))*(A71/sref)^(Parametros!$B$13-1))),DEGREES(ATAN(TAN(RADIANS(Parametros!$F$14-omega*e_base))*(A71/sref)^(Parametros!$B$14-1))),DEGREES(ATAN(TAN(RADIANS(Parametros!$F$15-omega*e_base))*(A71/sref)^(Parametros!$B$15-1))),DEGREES(ATAN(TAN(RADIANS(Parametros!$F$16-omega*e_base))*(A71/sref)^(Parametros!$B$16-1))))</f>
        <v/>
      </c>
      <c r="G71">
        <f>DEGREES(ATAN(TAN(RADIANS(46.0))*(A71/sref)^(0.9-1)))</f>
        <v/>
      </c>
      <c r="H71">
        <f>DEGREES(ATAN(TAN(RADIANS(41.0))*(A71/sref)^(0.9-1)))</f>
        <v/>
      </c>
      <c r="I71">
        <f>DEGREES(ATAN(TAN(RADIANS(36.0))*(A71/sref)^(0.9-1)))</f>
        <v/>
      </c>
      <c r="J71">
        <f>DEGREES(ATAN(TAN(RADIANS(33.0))*(A71/sref)^(0.9-1)))</f>
        <v/>
      </c>
      <c r="K71">
        <f>A71*TAN(RADIANS(C71))</f>
        <v/>
      </c>
      <c r="L71">
        <f>A71*TAN(RADIANS(G71))</f>
        <v/>
      </c>
      <c r="M71">
        <f>A71*TAN(RADIANS(H71))</f>
        <v/>
      </c>
      <c r="N71">
        <f>A71*TAN(RADIANS(I71))</f>
        <v/>
      </c>
      <c r="O71">
        <f>A71*TAN(RADIANS(J71))</f>
        <v/>
      </c>
      <c r="BE71">
        <f>Base_mundial!C70</f>
        <v/>
      </c>
      <c r="BF71">
        <f>Base_mundial!E70-omega*(e_base-Base_mundial!B70)</f>
        <v/>
      </c>
      <c r="BG71">
        <f>BE71*TAN(RADIANS(BF71))</f>
        <v/>
      </c>
      <c r="BZ71" t="n">
        <v>680</v>
      </c>
      <c r="CA71" t="n">
        <v>0.2173108922403541</v>
      </c>
      <c r="CG71" t="n">
        <v>4.598662354870888</v>
      </c>
      <c r="CH71">
        <f>IF(MAX(CG71,sv_piso)&lt;=1,e_base-cc_bajo*LOG10(MAX(CG71,sv_piso)/sv_piso),e_base-cc_bajo*LOG10(1/sv_piso)-cc_alto*LOG10(CG71))</f>
        <v/>
      </c>
      <c r="CI71" t="n">
        <v>0.25411</v>
      </c>
      <c r="CJ71">
        <f>DEGREES(ATAN(TAN(RADIANS(pe0-omega*(e_base)))*(CG71/sref)^(m_-1)))</f>
        <v/>
      </c>
      <c r="CK71">
        <f>DEGREES(ATAN(TAN(RADIANS(pe0-omega*(CH71)))*(CG71/sref)^(m_-1)))</f>
        <v/>
      </c>
      <c r="CL71">
        <f>IF(ISNUMBER(CI71),DEGREES(ATAN(TAN(RADIANS(pe0-omega*(CI71)))*(CG71/sref)^(m_-1))),NA())</f>
        <v/>
      </c>
    </row>
    <row r="72">
      <c r="A72" t="n">
        <v>0.89593</v>
      </c>
      <c r="B72">
        <f>DEGREES(ATAN(TAN(RADIANS(pe0-omega*e_base))*(A72/sref)^(m_-1)))</f>
        <v/>
      </c>
      <c r="C72">
        <f>MIN(tope,B72)</f>
        <v/>
      </c>
      <c r="D72">
        <f>IF(B72&gt;tope,B72,NA())</f>
        <v/>
      </c>
      <c r="E72">
        <f>MIN(DEGREES(ATAN(TAN(RADIANS(Parametros!$E$12-omega*e_base))*(A72/sref)^(Parametros!$B$12-1))),DEGREES(ATAN(TAN(RADIANS(Parametros!$E$13-omega*e_base))*(A72/sref)^(Parametros!$B$13-1))),DEGREES(ATAN(TAN(RADIANS(Parametros!$E$14-omega*e_base))*(A72/sref)^(Parametros!$B$14-1))),DEGREES(ATAN(TAN(RADIANS(Parametros!$E$15-omega*e_base))*(A72/sref)^(Parametros!$B$15-1))),DEGREES(ATAN(TAN(RADIANS(Parametros!$E$16-omega*e_base))*(A72/sref)^(Parametros!$B$16-1))))</f>
        <v/>
      </c>
      <c r="F72">
        <f>MAX(DEGREES(ATAN(TAN(RADIANS(Parametros!$F$12-omega*e_base))*(A72/sref)^(Parametros!$B$12-1))),DEGREES(ATAN(TAN(RADIANS(Parametros!$F$13-omega*e_base))*(A72/sref)^(Parametros!$B$13-1))),DEGREES(ATAN(TAN(RADIANS(Parametros!$F$14-omega*e_base))*(A72/sref)^(Parametros!$B$14-1))),DEGREES(ATAN(TAN(RADIANS(Parametros!$F$15-omega*e_base))*(A72/sref)^(Parametros!$B$15-1))),DEGREES(ATAN(TAN(RADIANS(Parametros!$F$16-omega*e_base))*(A72/sref)^(Parametros!$B$16-1))))</f>
        <v/>
      </c>
      <c r="G72">
        <f>DEGREES(ATAN(TAN(RADIANS(46.0))*(A72/sref)^(0.9-1)))</f>
        <v/>
      </c>
      <c r="H72">
        <f>DEGREES(ATAN(TAN(RADIANS(41.0))*(A72/sref)^(0.9-1)))</f>
        <v/>
      </c>
      <c r="I72">
        <f>DEGREES(ATAN(TAN(RADIANS(36.0))*(A72/sref)^(0.9-1)))</f>
        <v/>
      </c>
      <c r="J72">
        <f>DEGREES(ATAN(TAN(RADIANS(33.0))*(A72/sref)^(0.9-1)))</f>
        <v/>
      </c>
      <c r="K72">
        <f>A72*TAN(RADIANS(C72))</f>
        <v/>
      </c>
      <c r="L72">
        <f>A72*TAN(RADIANS(G72))</f>
        <v/>
      </c>
      <c r="M72">
        <f>A72*TAN(RADIANS(H72))</f>
        <v/>
      </c>
      <c r="N72">
        <f>A72*TAN(RADIANS(I72))</f>
        <v/>
      </c>
      <c r="O72">
        <f>A72*TAN(RADIANS(J72))</f>
        <v/>
      </c>
      <c r="Q72" t="n">
        <v>0.2443347642055827</v>
      </c>
      <c r="R72">
        <f>MIN(DEGREES(ATAN(TAN(RADIANS(Parametros!$E$12-omega*e_base))*(Q72/sref)^(Parametros!$B$12-1))),DEGREES(ATAN(TAN(RADIANS(Parametros!$E$13-omega*e_base))*(Q72/sref)^(Parametros!$B$13-1))),DEGREES(ATAN(TAN(RADIANS(Parametros!$E$14-omega*e_base))*(Q72/sref)^(Parametros!$B$14-1))),DEGREES(ATAN(TAN(RADIANS(Parametros!$E$15-omega*e_base))*(Q72/sref)^(Parametros!$B$15-1))),DEGREES(ATAN(TAN(RADIANS(Parametros!$E$16-omega*e_base))*(Q72/sref)^(Parametros!$B$16-1))))</f>
        <v/>
      </c>
      <c r="T72" t="n">
        <v>2.058698224852071</v>
      </c>
      <c r="U72">
        <f>T72*TAN(RADIANS(MIN(DEGREES(ATAN(TAN(RADIANS(Parametros!$E$12-omega*e_base))*(T72/sref)^(Parametros!$B$12-1))),DEGREES(ATAN(TAN(RADIANS(Parametros!$E$13-omega*e_base))*(T72/sref)^(Parametros!$B$13-1))),DEGREES(ATAN(TAN(RADIANS(Parametros!$E$14-omega*e_base))*(T72/sref)^(Parametros!$B$14-1))),DEGREES(ATAN(TAN(RADIANS(Parametros!$E$15-omega*e_base))*(T72/sref)^(Parametros!$B$15-1))),DEGREES(ATAN(TAN(RADIANS(Parametros!$E$16-omega*e_base))*(T72/sref)^(Parametros!$B$16-1))))))</f>
        <v/>
      </c>
      <c r="W72" t="n">
        <v>7.533800301691262</v>
      </c>
      <c r="X72" t="n">
        <v>22</v>
      </c>
      <c r="AB72" t="n">
        <v>7.601634377408296</v>
      </c>
      <c r="AC72" t="n">
        <v>0</v>
      </c>
      <c r="AG72" t="n">
        <v>7.533800301691262</v>
      </c>
      <c r="AH72" t="n">
        <v>22</v>
      </c>
      <c r="BE72">
        <f>Base_mundial!C71</f>
        <v/>
      </c>
      <c r="BF72">
        <f>Base_mundial!E71-omega*(e_base-Base_mundial!B71)</f>
        <v/>
      </c>
      <c r="BG72">
        <f>BE72*TAN(RADIANS(BF72))</f>
        <v/>
      </c>
      <c r="BZ72" t="n">
        <v>690</v>
      </c>
      <c r="CA72" t="n">
        <v>0.2165555574655956</v>
      </c>
      <c r="CG72" t="n">
        <v>4.864990397067559</v>
      </c>
      <c r="CH72">
        <f>IF(MAX(CG72,sv_piso)&lt;=1,e_base-cc_bajo*LOG10(MAX(CG72,sv_piso)/sv_piso),e_base-cc_bajo*LOG10(1/sv_piso)-cc_alto*LOG10(CG72))</f>
        <v/>
      </c>
      <c r="CI72" t="n">
        <v>0.24691</v>
      </c>
      <c r="CJ72">
        <f>DEGREES(ATAN(TAN(RADIANS(pe0-omega*(e_base)))*(CG72/sref)^(m_-1)))</f>
        <v/>
      </c>
      <c r="CK72">
        <f>DEGREES(ATAN(TAN(RADIANS(pe0-omega*(CH72)))*(CG72/sref)^(m_-1)))</f>
        <v/>
      </c>
      <c r="CL72">
        <f>IF(ISNUMBER(CI72),DEGREES(ATAN(TAN(RADIANS(pe0-omega*(CI72)))*(CG72/sref)^(m_-1))),NA())</f>
        <v/>
      </c>
    </row>
    <row r="73">
      <c r="A73" t="n">
        <v>0.95811</v>
      </c>
      <c r="B73">
        <f>DEGREES(ATAN(TAN(RADIANS(pe0-omega*e_base))*(A73/sref)^(m_-1)))</f>
        <v/>
      </c>
      <c r="C73">
        <f>MIN(tope,B73)</f>
        <v/>
      </c>
      <c r="D73">
        <f>IF(B73&gt;tope,B73,NA())</f>
        <v/>
      </c>
      <c r="E73">
        <f>MIN(DEGREES(ATAN(TAN(RADIANS(Parametros!$E$12-omega*e_base))*(A73/sref)^(Parametros!$B$12-1))),DEGREES(ATAN(TAN(RADIANS(Parametros!$E$13-omega*e_base))*(A73/sref)^(Parametros!$B$13-1))),DEGREES(ATAN(TAN(RADIANS(Parametros!$E$14-omega*e_base))*(A73/sref)^(Parametros!$B$14-1))),DEGREES(ATAN(TAN(RADIANS(Parametros!$E$15-omega*e_base))*(A73/sref)^(Parametros!$B$15-1))),DEGREES(ATAN(TAN(RADIANS(Parametros!$E$16-omega*e_base))*(A73/sref)^(Parametros!$B$16-1))))</f>
        <v/>
      </c>
      <c r="F73">
        <f>MAX(DEGREES(ATAN(TAN(RADIANS(Parametros!$F$12-omega*e_base))*(A73/sref)^(Parametros!$B$12-1))),DEGREES(ATAN(TAN(RADIANS(Parametros!$F$13-omega*e_base))*(A73/sref)^(Parametros!$B$13-1))),DEGREES(ATAN(TAN(RADIANS(Parametros!$F$14-omega*e_base))*(A73/sref)^(Parametros!$B$14-1))),DEGREES(ATAN(TAN(RADIANS(Parametros!$F$15-omega*e_base))*(A73/sref)^(Parametros!$B$15-1))),DEGREES(ATAN(TAN(RADIANS(Parametros!$F$16-omega*e_base))*(A73/sref)^(Parametros!$B$16-1))))</f>
        <v/>
      </c>
      <c r="G73">
        <f>DEGREES(ATAN(TAN(RADIANS(46.0))*(A73/sref)^(0.9-1)))</f>
        <v/>
      </c>
      <c r="H73">
        <f>DEGREES(ATAN(TAN(RADIANS(41.0))*(A73/sref)^(0.9-1)))</f>
        <v/>
      </c>
      <c r="I73">
        <f>DEGREES(ATAN(TAN(RADIANS(36.0))*(A73/sref)^(0.9-1)))</f>
        <v/>
      </c>
      <c r="J73">
        <f>DEGREES(ATAN(TAN(RADIANS(33.0))*(A73/sref)^(0.9-1)))</f>
        <v/>
      </c>
      <c r="K73">
        <f>A73*TAN(RADIANS(C73))</f>
        <v/>
      </c>
      <c r="L73">
        <f>A73*TAN(RADIANS(G73))</f>
        <v/>
      </c>
      <c r="M73">
        <f>A73*TAN(RADIANS(H73))</f>
        <v/>
      </c>
      <c r="N73">
        <f>A73*TAN(RADIANS(I73))</f>
        <v/>
      </c>
      <c r="O73">
        <f>A73*TAN(RADIANS(J73))</f>
        <v/>
      </c>
      <c r="Q73" t="n">
        <v>0.2443347642055827</v>
      </c>
      <c r="R73">
        <f>MAX(DEGREES(ATAN(TAN(RADIANS(Parametros!$F$12-omega*e_base))*(Q73/sref)^(Parametros!$B$12-1))),DEGREES(ATAN(TAN(RADIANS(Parametros!$F$13-omega*e_base))*(Q73/sref)^(Parametros!$B$13-1))),DEGREES(ATAN(TAN(RADIANS(Parametros!$F$14-omega*e_base))*(Q73/sref)^(Parametros!$B$14-1))),DEGREES(ATAN(TAN(RADIANS(Parametros!$F$15-omega*e_base))*(Q73/sref)^(Parametros!$B$15-1))),DEGREES(ATAN(TAN(RADIANS(Parametros!$F$16-omega*e_base))*(Q73/sref)^(Parametros!$B$16-1))))</f>
        <v/>
      </c>
      <c r="T73" t="n">
        <v>2.058698224852071</v>
      </c>
      <c r="U73">
        <f>T73*TAN(RADIANS(MAX(DEGREES(ATAN(TAN(RADIANS(Parametros!$F$12-omega*e_base))*(T73/sref)^(Parametros!$B$12-1))),DEGREES(ATAN(TAN(RADIANS(Parametros!$F$13-omega*e_base))*(T73/sref)^(Parametros!$B$13-1))),DEGREES(ATAN(TAN(RADIANS(Parametros!$F$14-omega*e_base))*(T73/sref)^(Parametros!$B$14-1))),DEGREES(ATAN(TAN(RADIANS(Parametros!$F$15-omega*e_base))*(T73/sref)^(Parametros!$B$15-1))),DEGREES(ATAN(TAN(RADIANS(Parametros!$F$16-omega*e_base))*(T73/sref)^(Parametros!$B$16-1))))))</f>
        <v/>
      </c>
      <c r="W73" t="n">
        <v>7.533800301691262</v>
      </c>
      <c r="X73" t="n">
        <v>56</v>
      </c>
      <c r="AB73" t="n">
        <v>7.601634377408296</v>
      </c>
      <c r="AC73" t="n">
        <v>10.5</v>
      </c>
      <c r="AG73" t="n">
        <v>7.533800301691262</v>
      </c>
      <c r="AH73" t="n">
        <v>58</v>
      </c>
      <c r="BE73">
        <f>Base_mundial!C72</f>
        <v/>
      </c>
      <c r="BF73">
        <f>Base_mundial!E72-omega*(e_base-Base_mundial!B72)</f>
        <v/>
      </c>
      <c r="BG73">
        <f>BE73*TAN(RADIANS(BF73))</f>
        <v/>
      </c>
      <c r="BZ73" t="n">
        <v>700</v>
      </c>
      <c r="CA73" t="n">
        <v>0.2158110630915586</v>
      </c>
      <c r="CG73" t="n">
        <v>5.14674262581821</v>
      </c>
      <c r="CH73">
        <f>IF(MAX(CG73,sv_piso)&lt;=1,e_base-cc_bajo*LOG10(MAX(CG73,sv_piso)/sv_piso),e_base-cc_bajo*LOG10(1/sv_piso)-cc_alto*LOG10(CG73))</f>
        <v/>
      </c>
      <c r="CI73" t="n">
        <v>0.23939</v>
      </c>
      <c r="CJ73">
        <f>DEGREES(ATAN(TAN(RADIANS(pe0-omega*(e_base)))*(CG73/sref)^(m_-1)))</f>
        <v/>
      </c>
      <c r="CK73">
        <f>DEGREES(ATAN(TAN(RADIANS(pe0-omega*(CH73)))*(CG73/sref)^(m_-1)))</f>
        <v/>
      </c>
      <c r="CL73">
        <f>IF(ISNUMBER(CI73),DEGREES(ATAN(TAN(RADIANS(pe0-omega*(CI73)))*(CG73/sref)^(m_-1))),NA())</f>
        <v/>
      </c>
    </row>
    <row r="74">
      <c r="A74" t="n">
        <v>1</v>
      </c>
      <c r="B74">
        <f>DEGREES(ATAN(TAN(RADIANS(pe0-omega*e_base))*(A74/sref)^(m_-1)))</f>
        <v/>
      </c>
      <c r="C74">
        <f>MIN(tope,B74)</f>
        <v/>
      </c>
      <c r="D74">
        <f>IF(B74&gt;tope,B74,NA())</f>
        <v/>
      </c>
      <c r="E74">
        <f>MIN(DEGREES(ATAN(TAN(RADIANS(Parametros!$E$12-omega*e_base))*(A74/sref)^(Parametros!$B$12-1))),DEGREES(ATAN(TAN(RADIANS(Parametros!$E$13-omega*e_base))*(A74/sref)^(Parametros!$B$13-1))),DEGREES(ATAN(TAN(RADIANS(Parametros!$E$14-omega*e_base))*(A74/sref)^(Parametros!$B$14-1))),DEGREES(ATAN(TAN(RADIANS(Parametros!$E$15-omega*e_base))*(A74/sref)^(Parametros!$B$15-1))),DEGREES(ATAN(TAN(RADIANS(Parametros!$E$16-omega*e_base))*(A74/sref)^(Parametros!$B$16-1))))</f>
        <v/>
      </c>
      <c r="F74">
        <f>MAX(DEGREES(ATAN(TAN(RADIANS(Parametros!$F$12-omega*e_base))*(A74/sref)^(Parametros!$B$12-1))),DEGREES(ATAN(TAN(RADIANS(Parametros!$F$13-omega*e_base))*(A74/sref)^(Parametros!$B$13-1))),DEGREES(ATAN(TAN(RADIANS(Parametros!$F$14-omega*e_base))*(A74/sref)^(Parametros!$B$14-1))),DEGREES(ATAN(TAN(RADIANS(Parametros!$F$15-omega*e_base))*(A74/sref)^(Parametros!$B$15-1))),DEGREES(ATAN(TAN(RADIANS(Parametros!$F$16-omega*e_base))*(A74/sref)^(Parametros!$B$16-1))))</f>
        <v/>
      </c>
      <c r="G74">
        <f>DEGREES(ATAN(TAN(RADIANS(46.0))*(A74/sref)^(0.9-1)))</f>
        <v/>
      </c>
      <c r="H74">
        <f>DEGREES(ATAN(TAN(RADIANS(41.0))*(A74/sref)^(0.9-1)))</f>
        <v/>
      </c>
      <c r="I74">
        <f>DEGREES(ATAN(TAN(RADIANS(36.0))*(A74/sref)^(0.9-1)))</f>
        <v/>
      </c>
      <c r="J74">
        <f>DEGREES(ATAN(TAN(RADIANS(33.0))*(A74/sref)^(0.9-1)))</f>
        <v/>
      </c>
      <c r="K74">
        <f>A74*TAN(RADIANS(C74))</f>
        <v/>
      </c>
      <c r="L74">
        <f>A74*TAN(RADIANS(G74))</f>
        <v/>
      </c>
      <c r="M74">
        <f>A74*TAN(RADIANS(H74))</f>
        <v/>
      </c>
      <c r="N74">
        <f>A74*TAN(RADIANS(I74))</f>
        <v/>
      </c>
      <c r="O74">
        <f>A74*TAN(RADIANS(J74))</f>
        <v/>
      </c>
      <c r="BE74">
        <f>Base_mundial!C73</f>
        <v/>
      </c>
      <c r="BF74">
        <f>Base_mundial!E73-omega*(e_base-Base_mundial!B73)</f>
        <v/>
      </c>
      <c r="BG74">
        <f>BE74*TAN(RADIANS(BF74))</f>
        <v/>
      </c>
      <c r="CG74" t="n">
        <v>5.444812321187873</v>
      </c>
      <c r="CH74">
        <f>IF(MAX(CG74,sv_piso)&lt;=1,e_base-cc_bajo*LOG10(MAX(CG74,sv_piso)/sv_piso),e_base-cc_bajo*LOG10(1/sv_piso)-cc_alto*LOG10(CG74))</f>
        <v/>
      </c>
      <c r="CI74" t="n">
        <v>0.23172</v>
      </c>
      <c r="CJ74">
        <f>DEGREES(ATAN(TAN(RADIANS(pe0-omega*(e_base)))*(CG74/sref)^(m_-1)))</f>
        <v/>
      </c>
      <c r="CK74">
        <f>DEGREES(ATAN(TAN(RADIANS(pe0-omega*(CH74)))*(CG74/sref)^(m_-1)))</f>
        <v/>
      </c>
      <c r="CL74">
        <f>IF(ISNUMBER(CI74),DEGREES(ATAN(TAN(RADIANS(pe0-omega*(CI74)))*(CG74/sref)^(m_-1))),NA())</f>
        <v/>
      </c>
    </row>
    <row r="75">
      <c r="A75" t="n">
        <v>1.0246</v>
      </c>
      <c r="B75">
        <f>DEGREES(ATAN(TAN(RADIANS(pe0-omega*e_base))*(A75/sref)^(m_-1)))</f>
        <v/>
      </c>
      <c r="C75">
        <f>MIN(tope,B75)</f>
        <v/>
      </c>
      <c r="D75">
        <f>IF(B75&gt;tope,B75,NA())</f>
        <v/>
      </c>
      <c r="E75">
        <f>MIN(DEGREES(ATAN(TAN(RADIANS(Parametros!$E$12-omega*e_base))*(A75/sref)^(Parametros!$B$12-1))),DEGREES(ATAN(TAN(RADIANS(Parametros!$E$13-omega*e_base))*(A75/sref)^(Parametros!$B$13-1))),DEGREES(ATAN(TAN(RADIANS(Parametros!$E$14-omega*e_base))*(A75/sref)^(Parametros!$B$14-1))),DEGREES(ATAN(TAN(RADIANS(Parametros!$E$15-omega*e_base))*(A75/sref)^(Parametros!$B$15-1))),DEGREES(ATAN(TAN(RADIANS(Parametros!$E$16-omega*e_base))*(A75/sref)^(Parametros!$B$16-1))))</f>
        <v/>
      </c>
      <c r="F75">
        <f>MAX(DEGREES(ATAN(TAN(RADIANS(Parametros!$F$12-omega*e_base))*(A75/sref)^(Parametros!$B$12-1))),DEGREES(ATAN(TAN(RADIANS(Parametros!$F$13-omega*e_base))*(A75/sref)^(Parametros!$B$13-1))),DEGREES(ATAN(TAN(RADIANS(Parametros!$F$14-omega*e_base))*(A75/sref)^(Parametros!$B$14-1))),DEGREES(ATAN(TAN(RADIANS(Parametros!$F$15-omega*e_base))*(A75/sref)^(Parametros!$B$15-1))),DEGREES(ATAN(TAN(RADIANS(Parametros!$F$16-omega*e_base))*(A75/sref)^(Parametros!$B$16-1))))</f>
        <v/>
      </c>
      <c r="G75">
        <f>DEGREES(ATAN(TAN(RADIANS(46.0))*(A75/sref)^(0.9-1)))</f>
        <v/>
      </c>
      <c r="H75">
        <f>DEGREES(ATAN(TAN(RADIANS(41.0))*(A75/sref)^(0.9-1)))</f>
        <v/>
      </c>
      <c r="I75">
        <f>DEGREES(ATAN(TAN(RADIANS(36.0))*(A75/sref)^(0.9-1)))</f>
        <v/>
      </c>
      <c r="J75">
        <f>DEGREES(ATAN(TAN(RADIANS(33.0))*(A75/sref)^(0.9-1)))</f>
        <v/>
      </c>
      <c r="K75">
        <f>A75*TAN(RADIANS(C75))</f>
        <v/>
      </c>
      <c r="L75">
        <f>A75*TAN(RADIANS(G75))</f>
        <v/>
      </c>
      <c r="M75">
        <f>A75*TAN(RADIANS(H75))</f>
        <v/>
      </c>
      <c r="N75">
        <f>A75*TAN(RADIANS(I75))</f>
        <v/>
      </c>
      <c r="O75">
        <f>A75*TAN(RADIANS(J75))</f>
        <v/>
      </c>
      <c r="Q75" t="n">
        <v>0.2540119729470411</v>
      </c>
      <c r="R75">
        <f>MIN(DEGREES(ATAN(TAN(RADIANS(Parametros!$E$12-omega*e_base))*(Q75/sref)^(Parametros!$B$12-1))),DEGREES(ATAN(TAN(RADIANS(Parametros!$E$13-omega*e_base))*(Q75/sref)^(Parametros!$B$13-1))),DEGREES(ATAN(TAN(RADIANS(Parametros!$E$14-omega*e_base))*(Q75/sref)^(Parametros!$B$14-1))),DEGREES(ATAN(TAN(RADIANS(Parametros!$E$15-omega*e_base))*(Q75/sref)^(Parametros!$B$15-1))),DEGREES(ATAN(TAN(RADIANS(Parametros!$E$16-omega*e_base))*(Q75/sref)^(Parametros!$B$16-1))))</f>
        <v/>
      </c>
      <c r="T75" t="n">
        <v>2.147337278106509</v>
      </c>
      <c r="U75">
        <f>T75*TAN(RADIANS(MIN(DEGREES(ATAN(TAN(RADIANS(Parametros!$E$12-omega*e_base))*(T75/sref)^(Parametros!$B$12-1))),DEGREES(ATAN(TAN(RADIANS(Parametros!$E$13-omega*e_base))*(T75/sref)^(Parametros!$B$13-1))),DEGREES(ATAN(TAN(RADIANS(Parametros!$E$14-omega*e_base))*(T75/sref)^(Parametros!$B$14-1))),DEGREES(ATAN(TAN(RADIANS(Parametros!$E$15-omega*e_base))*(T75/sref)^(Parametros!$B$15-1))),DEGREES(ATAN(TAN(RADIANS(Parametros!$E$16-omega*e_base))*(T75/sref)^(Parametros!$B$16-1))))))</f>
        <v/>
      </c>
      <c r="W75" t="n">
        <v>7.695507247260703</v>
      </c>
      <c r="X75" t="n">
        <v>22</v>
      </c>
      <c r="AB75" t="n">
        <v>7.731159739683864</v>
      </c>
      <c r="AC75" t="n">
        <v>0</v>
      </c>
      <c r="AG75" t="n">
        <v>7.695507247260703</v>
      </c>
      <c r="AH75" t="n">
        <v>22</v>
      </c>
      <c r="BE75">
        <f>Base_mundial!C74</f>
        <v/>
      </c>
      <c r="BF75">
        <f>Base_mundial!E74-omega*(e_base-Base_mundial!B74)</f>
        <v/>
      </c>
      <c r="BG75">
        <f>BE75*TAN(RADIANS(BF75))</f>
        <v/>
      </c>
      <c r="CG75" t="n">
        <v>5.76014449687899</v>
      </c>
      <c r="CH75">
        <f>IF(MAX(CG75,sv_piso)&lt;=1,e_base-cc_bajo*LOG10(MAX(CG75,sv_piso)/sv_piso),e_base-cc_bajo*LOG10(1/sv_piso)-cc_alto*LOG10(CG75))</f>
        <v/>
      </c>
      <c r="CI75" t="n">
        <v>0.22367</v>
      </c>
      <c r="CJ75">
        <f>DEGREES(ATAN(TAN(RADIANS(pe0-omega*(e_base)))*(CG75/sref)^(m_-1)))</f>
        <v/>
      </c>
      <c r="CK75">
        <f>DEGREES(ATAN(TAN(RADIANS(pe0-omega*(CH75)))*(CG75/sref)^(m_-1)))</f>
        <v/>
      </c>
      <c r="CL75">
        <f>IF(ISNUMBER(CI75),DEGREES(ATAN(TAN(RADIANS(pe0-omega*(CI75)))*(CG75/sref)^(m_-1))),NA())</f>
        <v/>
      </c>
    </row>
    <row r="76">
      <c r="A76" t="n">
        <v>1.0957</v>
      </c>
      <c r="B76">
        <f>DEGREES(ATAN(TAN(RADIANS(pe0-omega*e_base))*(A76/sref)^(m_-1)))</f>
        <v/>
      </c>
      <c r="C76">
        <f>MIN(tope,B76)</f>
        <v/>
      </c>
      <c r="D76">
        <f>IF(B76&gt;tope,B76,NA())</f>
        <v/>
      </c>
      <c r="E76">
        <f>MIN(DEGREES(ATAN(TAN(RADIANS(Parametros!$E$12-omega*e_base))*(A76/sref)^(Parametros!$B$12-1))),DEGREES(ATAN(TAN(RADIANS(Parametros!$E$13-omega*e_base))*(A76/sref)^(Parametros!$B$13-1))),DEGREES(ATAN(TAN(RADIANS(Parametros!$E$14-omega*e_base))*(A76/sref)^(Parametros!$B$14-1))),DEGREES(ATAN(TAN(RADIANS(Parametros!$E$15-omega*e_base))*(A76/sref)^(Parametros!$B$15-1))),DEGREES(ATAN(TAN(RADIANS(Parametros!$E$16-omega*e_base))*(A76/sref)^(Parametros!$B$16-1))))</f>
        <v/>
      </c>
      <c r="F76">
        <f>MAX(DEGREES(ATAN(TAN(RADIANS(Parametros!$F$12-omega*e_base))*(A76/sref)^(Parametros!$B$12-1))),DEGREES(ATAN(TAN(RADIANS(Parametros!$F$13-omega*e_base))*(A76/sref)^(Parametros!$B$13-1))),DEGREES(ATAN(TAN(RADIANS(Parametros!$F$14-omega*e_base))*(A76/sref)^(Parametros!$B$14-1))),DEGREES(ATAN(TAN(RADIANS(Parametros!$F$15-omega*e_base))*(A76/sref)^(Parametros!$B$15-1))),DEGREES(ATAN(TAN(RADIANS(Parametros!$F$16-omega*e_base))*(A76/sref)^(Parametros!$B$16-1))))</f>
        <v/>
      </c>
      <c r="G76">
        <f>DEGREES(ATAN(TAN(RADIANS(46.0))*(A76/sref)^(0.9-1)))</f>
        <v/>
      </c>
      <c r="H76">
        <f>DEGREES(ATAN(TAN(RADIANS(41.0))*(A76/sref)^(0.9-1)))</f>
        <v/>
      </c>
      <c r="I76">
        <f>DEGREES(ATAN(TAN(RADIANS(36.0))*(A76/sref)^(0.9-1)))</f>
        <v/>
      </c>
      <c r="J76">
        <f>DEGREES(ATAN(TAN(RADIANS(33.0))*(A76/sref)^(0.9-1)))</f>
        <v/>
      </c>
      <c r="K76">
        <f>A76*TAN(RADIANS(C76))</f>
        <v/>
      </c>
      <c r="L76">
        <f>A76*TAN(RADIANS(G76))</f>
        <v/>
      </c>
      <c r="M76">
        <f>A76*TAN(RADIANS(H76))</f>
        <v/>
      </c>
      <c r="N76">
        <f>A76*TAN(RADIANS(I76))</f>
        <v/>
      </c>
      <c r="O76">
        <f>A76*TAN(RADIANS(J76))</f>
        <v/>
      </c>
      <c r="Q76" t="n">
        <v>0.2540119729470411</v>
      </c>
      <c r="R76">
        <f>MAX(DEGREES(ATAN(TAN(RADIANS(Parametros!$F$12-omega*e_base))*(Q76/sref)^(Parametros!$B$12-1))),DEGREES(ATAN(TAN(RADIANS(Parametros!$F$13-omega*e_base))*(Q76/sref)^(Parametros!$B$13-1))),DEGREES(ATAN(TAN(RADIANS(Parametros!$F$14-omega*e_base))*(Q76/sref)^(Parametros!$B$14-1))),DEGREES(ATAN(TAN(RADIANS(Parametros!$F$15-omega*e_base))*(Q76/sref)^(Parametros!$B$15-1))),DEGREES(ATAN(TAN(RADIANS(Parametros!$F$16-omega*e_base))*(Q76/sref)^(Parametros!$B$16-1))))</f>
        <v/>
      </c>
      <c r="T76" t="n">
        <v>2.147337278106509</v>
      </c>
      <c r="U76">
        <f>T76*TAN(RADIANS(MAX(DEGREES(ATAN(TAN(RADIANS(Parametros!$F$12-omega*e_base))*(T76/sref)^(Parametros!$B$12-1))),DEGREES(ATAN(TAN(RADIANS(Parametros!$F$13-omega*e_base))*(T76/sref)^(Parametros!$B$13-1))),DEGREES(ATAN(TAN(RADIANS(Parametros!$F$14-omega*e_base))*(T76/sref)^(Parametros!$B$14-1))),DEGREES(ATAN(TAN(RADIANS(Parametros!$F$15-omega*e_base))*(T76/sref)^(Parametros!$B$15-1))),DEGREES(ATAN(TAN(RADIANS(Parametros!$F$16-omega*e_base))*(T76/sref)^(Parametros!$B$16-1))))))</f>
        <v/>
      </c>
      <c r="W76" t="n">
        <v>7.695507247260703</v>
      </c>
      <c r="X76" t="n">
        <v>56</v>
      </c>
      <c r="AB76" t="n">
        <v>7.731159739683864</v>
      </c>
      <c r="AC76" t="n">
        <v>10.5</v>
      </c>
      <c r="AG76" t="n">
        <v>7.695507247260703</v>
      </c>
      <c r="AH76" t="n">
        <v>58</v>
      </c>
      <c r="BE76">
        <f>Base_mundial!C75</f>
        <v/>
      </c>
      <c r="BF76">
        <f>Base_mundial!E75-omega*(e_base-Base_mundial!B75)</f>
        <v/>
      </c>
      <c r="BG76">
        <f>BE76*TAN(RADIANS(BF76))</f>
        <v/>
      </c>
      <c r="CG76" t="n">
        <v>6.093738896345781</v>
      </c>
      <c r="CH76">
        <f>IF(MAX(CG76,sv_piso)&lt;=1,e_base-cc_bajo*LOG10(MAX(CG76,sv_piso)/sv_piso),e_base-cc_bajo*LOG10(1/sv_piso)-cc_alto*LOG10(CG76))</f>
        <v/>
      </c>
      <c r="CI76" t="n">
        <v>0.21567</v>
      </c>
      <c r="CJ76">
        <f>DEGREES(ATAN(TAN(RADIANS(pe0-omega*(e_base)))*(CG76/sref)^(m_-1)))</f>
        <v/>
      </c>
      <c r="CK76">
        <f>DEGREES(ATAN(TAN(RADIANS(pe0-omega*(CH76)))*(CG76/sref)^(m_-1)))</f>
        <v/>
      </c>
      <c r="CL76">
        <f>IF(ISNUMBER(CI76),DEGREES(ATAN(TAN(RADIANS(pe0-omega*(CI76)))*(CG76/sref)^(m_-1))),NA())</f>
        <v/>
      </c>
    </row>
    <row r="77">
      <c r="A77" t="n">
        <v>1.17174</v>
      </c>
      <c r="B77">
        <f>DEGREES(ATAN(TAN(RADIANS(pe0-omega*e_base))*(A77/sref)^(m_-1)))</f>
        <v/>
      </c>
      <c r="C77">
        <f>MIN(tope,B77)</f>
        <v/>
      </c>
      <c r="D77">
        <f>IF(B77&gt;tope,B77,NA())</f>
        <v/>
      </c>
      <c r="E77">
        <f>MIN(DEGREES(ATAN(TAN(RADIANS(Parametros!$E$12-omega*e_base))*(A77/sref)^(Parametros!$B$12-1))),DEGREES(ATAN(TAN(RADIANS(Parametros!$E$13-omega*e_base))*(A77/sref)^(Parametros!$B$13-1))),DEGREES(ATAN(TAN(RADIANS(Parametros!$E$14-omega*e_base))*(A77/sref)^(Parametros!$B$14-1))),DEGREES(ATAN(TAN(RADIANS(Parametros!$E$15-omega*e_base))*(A77/sref)^(Parametros!$B$15-1))),DEGREES(ATAN(TAN(RADIANS(Parametros!$E$16-omega*e_base))*(A77/sref)^(Parametros!$B$16-1))))</f>
        <v/>
      </c>
      <c r="F77">
        <f>MAX(DEGREES(ATAN(TAN(RADIANS(Parametros!$F$12-omega*e_base))*(A77/sref)^(Parametros!$B$12-1))),DEGREES(ATAN(TAN(RADIANS(Parametros!$F$13-omega*e_base))*(A77/sref)^(Parametros!$B$13-1))),DEGREES(ATAN(TAN(RADIANS(Parametros!$F$14-omega*e_base))*(A77/sref)^(Parametros!$B$14-1))),DEGREES(ATAN(TAN(RADIANS(Parametros!$F$15-omega*e_base))*(A77/sref)^(Parametros!$B$15-1))),DEGREES(ATAN(TAN(RADIANS(Parametros!$F$16-omega*e_base))*(A77/sref)^(Parametros!$B$16-1))))</f>
        <v/>
      </c>
      <c r="G77">
        <f>DEGREES(ATAN(TAN(RADIANS(46.0))*(A77/sref)^(0.9-1)))</f>
        <v/>
      </c>
      <c r="H77">
        <f>DEGREES(ATAN(TAN(RADIANS(41.0))*(A77/sref)^(0.9-1)))</f>
        <v/>
      </c>
      <c r="I77">
        <f>DEGREES(ATAN(TAN(RADIANS(36.0))*(A77/sref)^(0.9-1)))</f>
        <v/>
      </c>
      <c r="J77">
        <f>DEGREES(ATAN(TAN(RADIANS(33.0))*(A77/sref)^(0.9-1)))</f>
        <v/>
      </c>
      <c r="K77">
        <f>A77*TAN(RADIANS(C77))</f>
        <v/>
      </c>
      <c r="L77">
        <f>A77*TAN(RADIANS(G77))</f>
        <v/>
      </c>
      <c r="M77">
        <f>A77*TAN(RADIANS(H77))</f>
        <v/>
      </c>
      <c r="N77">
        <f>A77*TAN(RADIANS(I77))</f>
        <v/>
      </c>
      <c r="O77">
        <f>A77*TAN(RADIANS(J77))</f>
        <v/>
      </c>
      <c r="BE77">
        <f>Base_mundial!C76</f>
        <v/>
      </c>
      <c r="BF77">
        <f>Base_mundial!E76-omega*(e_base-Base_mundial!B76)</f>
        <v/>
      </c>
      <c r="BG77">
        <f>BE77*TAN(RADIANS(BF77))</f>
        <v/>
      </c>
      <c r="CG77" t="n">
        <v>6.446653162426318</v>
      </c>
      <c r="CH77">
        <f>IF(MAX(CG77,sv_piso)&lt;=1,e_base-cc_bajo*LOG10(MAX(CG77,sv_piso)/sv_piso),e_base-cc_bajo*LOG10(1/sv_piso)-cc_alto*LOG10(CG77))</f>
        <v/>
      </c>
      <c r="CI77" t="n">
        <v>0.2092</v>
      </c>
      <c r="CJ77">
        <f>DEGREES(ATAN(TAN(RADIANS(pe0-omega*(e_base)))*(CG77/sref)^(m_-1)))</f>
        <v/>
      </c>
      <c r="CK77">
        <f>DEGREES(ATAN(TAN(RADIANS(pe0-omega*(CH77)))*(CG77/sref)^(m_-1)))</f>
        <v/>
      </c>
      <c r="CL77">
        <f>IF(ISNUMBER(CI77),DEGREES(ATAN(TAN(RADIANS(pe0-omega*(CI77)))*(CG77/sref)^(m_-1))),NA())</f>
        <v/>
      </c>
    </row>
    <row r="78">
      <c r="A78" t="n">
        <v>1.25305</v>
      </c>
      <c r="B78">
        <f>DEGREES(ATAN(TAN(RADIANS(pe0-omega*e_base))*(A78/sref)^(m_-1)))</f>
        <v/>
      </c>
      <c r="C78">
        <f>MIN(tope,B78)</f>
        <v/>
      </c>
      <c r="D78">
        <f>IF(B78&gt;tope,B78,NA())</f>
        <v/>
      </c>
      <c r="E78">
        <f>MIN(DEGREES(ATAN(TAN(RADIANS(Parametros!$E$12-omega*e_base))*(A78/sref)^(Parametros!$B$12-1))),DEGREES(ATAN(TAN(RADIANS(Parametros!$E$13-omega*e_base))*(A78/sref)^(Parametros!$B$13-1))),DEGREES(ATAN(TAN(RADIANS(Parametros!$E$14-omega*e_base))*(A78/sref)^(Parametros!$B$14-1))),DEGREES(ATAN(TAN(RADIANS(Parametros!$E$15-omega*e_base))*(A78/sref)^(Parametros!$B$15-1))),DEGREES(ATAN(TAN(RADIANS(Parametros!$E$16-omega*e_base))*(A78/sref)^(Parametros!$B$16-1))))</f>
        <v/>
      </c>
      <c r="F78">
        <f>MAX(DEGREES(ATAN(TAN(RADIANS(Parametros!$F$12-omega*e_base))*(A78/sref)^(Parametros!$B$12-1))),DEGREES(ATAN(TAN(RADIANS(Parametros!$F$13-omega*e_base))*(A78/sref)^(Parametros!$B$13-1))),DEGREES(ATAN(TAN(RADIANS(Parametros!$F$14-omega*e_base))*(A78/sref)^(Parametros!$B$14-1))),DEGREES(ATAN(TAN(RADIANS(Parametros!$F$15-omega*e_base))*(A78/sref)^(Parametros!$B$15-1))),DEGREES(ATAN(TAN(RADIANS(Parametros!$F$16-omega*e_base))*(A78/sref)^(Parametros!$B$16-1))))</f>
        <v/>
      </c>
      <c r="G78">
        <f>DEGREES(ATAN(TAN(RADIANS(46.0))*(A78/sref)^(0.9-1)))</f>
        <v/>
      </c>
      <c r="H78">
        <f>DEGREES(ATAN(TAN(RADIANS(41.0))*(A78/sref)^(0.9-1)))</f>
        <v/>
      </c>
      <c r="I78">
        <f>DEGREES(ATAN(TAN(RADIANS(36.0))*(A78/sref)^(0.9-1)))</f>
        <v/>
      </c>
      <c r="J78">
        <f>DEGREES(ATAN(TAN(RADIANS(33.0))*(A78/sref)^(0.9-1)))</f>
        <v/>
      </c>
      <c r="K78">
        <f>A78*TAN(RADIANS(C78))</f>
        <v/>
      </c>
      <c r="L78">
        <f>A78*TAN(RADIANS(G78))</f>
        <v/>
      </c>
      <c r="M78">
        <f>A78*TAN(RADIANS(H78))</f>
        <v/>
      </c>
      <c r="N78">
        <f>A78*TAN(RADIANS(I78))</f>
        <v/>
      </c>
      <c r="O78">
        <f>A78*TAN(RADIANS(J78))</f>
        <v/>
      </c>
      <c r="Q78" t="n">
        <v>0.2640724606268456</v>
      </c>
      <c r="R78">
        <f>MIN(DEGREES(ATAN(TAN(RADIANS(Parametros!$E$12-omega*e_base))*(Q78/sref)^(Parametros!$B$12-1))),DEGREES(ATAN(TAN(RADIANS(Parametros!$E$13-omega*e_base))*(Q78/sref)^(Parametros!$B$13-1))),DEGREES(ATAN(TAN(RADIANS(Parametros!$E$14-omega*e_base))*(Q78/sref)^(Parametros!$B$14-1))),DEGREES(ATAN(TAN(RADIANS(Parametros!$E$15-omega*e_base))*(Q78/sref)^(Parametros!$B$15-1))),DEGREES(ATAN(TAN(RADIANS(Parametros!$E$16-omega*e_base))*(Q78/sref)^(Parametros!$B$16-1))))</f>
        <v/>
      </c>
      <c r="T78" t="n">
        <v>2.235976331360947</v>
      </c>
      <c r="U78">
        <f>T78*TAN(RADIANS(MIN(DEGREES(ATAN(TAN(RADIANS(Parametros!$E$12-omega*e_base))*(T78/sref)^(Parametros!$B$12-1))),DEGREES(ATAN(TAN(RADIANS(Parametros!$E$13-omega*e_base))*(T78/sref)^(Parametros!$B$13-1))),DEGREES(ATAN(TAN(RADIANS(Parametros!$E$14-omega*e_base))*(T78/sref)^(Parametros!$B$14-1))),DEGREES(ATAN(TAN(RADIANS(Parametros!$E$15-omega*e_base))*(T78/sref)^(Parametros!$B$15-1))),DEGREES(ATAN(TAN(RADIANS(Parametros!$E$16-omega*e_base))*(T78/sref)^(Parametros!$B$16-1))))))</f>
        <v/>
      </c>
      <c r="W78" t="n">
        <v>7.860685101959433</v>
      </c>
      <c r="X78" t="n">
        <v>22</v>
      </c>
      <c r="AB78" t="n">
        <v>7.860685101959433</v>
      </c>
      <c r="AC78" t="n">
        <v>0</v>
      </c>
      <c r="AG78" t="n">
        <v>7.860685101959433</v>
      </c>
      <c r="AH78" t="n">
        <v>22</v>
      </c>
      <c r="BE78">
        <f>Base_mundial!C77</f>
        <v/>
      </c>
      <c r="BF78">
        <f>Base_mundial!E77-omega*(e_base-Base_mundial!B77)</f>
        <v/>
      </c>
      <c r="BG78">
        <f>BE78*TAN(RADIANS(BF78))</f>
        <v/>
      </c>
      <c r="CG78" t="n">
        <v>6.82000619054142</v>
      </c>
      <c r="CH78">
        <f>IF(MAX(CG78,sv_piso)&lt;=1,e_base-cc_bajo*LOG10(MAX(CG78,sv_piso)/sv_piso),e_base-cc_bajo*LOG10(1/sv_piso)-cc_alto*LOG10(CG78))</f>
        <v/>
      </c>
      <c r="CI78" t="n">
        <v>0.20239</v>
      </c>
      <c r="CJ78">
        <f>DEGREES(ATAN(TAN(RADIANS(pe0-omega*(e_base)))*(CG78/sref)^(m_-1)))</f>
        <v/>
      </c>
      <c r="CK78">
        <f>DEGREES(ATAN(TAN(RADIANS(pe0-omega*(CH78)))*(CG78/sref)^(m_-1)))</f>
        <v/>
      </c>
      <c r="CL78">
        <f>IF(ISNUMBER(CI78),DEGREES(ATAN(TAN(RADIANS(pe0-omega*(CI78)))*(CG78/sref)^(m_-1))),NA())</f>
        <v/>
      </c>
    </row>
    <row r="79">
      <c r="A79" t="n">
        <v>1.34001</v>
      </c>
      <c r="B79">
        <f>DEGREES(ATAN(TAN(RADIANS(pe0-omega*e_base))*(A79/sref)^(m_-1)))</f>
        <v/>
      </c>
      <c r="C79">
        <f>MIN(tope,B79)</f>
        <v/>
      </c>
      <c r="D79">
        <f>IF(B79&gt;tope,B79,NA())</f>
        <v/>
      </c>
      <c r="E79">
        <f>MIN(DEGREES(ATAN(TAN(RADIANS(Parametros!$E$12-omega*e_base))*(A79/sref)^(Parametros!$B$12-1))),DEGREES(ATAN(TAN(RADIANS(Parametros!$E$13-omega*e_base))*(A79/sref)^(Parametros!$B$13-1))),DEGREES(ATAN(TAN(RADIANS(Parametros!$E$14-omega*e_base))*(A79/sref)^(Parametros!$B$14-1))),DEGREES(ATAN(TAN(RADIANS(Parametros!$E$15-omega*e_base))*(A79/sref)^(Parametros!$B$15-1))),DEGREES(ATAN(TAN(RADIANS(Parametros!$E$16-omega*e_base))*(A79/sref)^(Parametros!$B$16-1))))</f>
        <v/>
      </c>
      <c r="F79">
        <f>MAX(DEGREES(ATAN(TAN(RADIANS(Parametros!$F$12-omega*e_base))*(A79/sref)^(Parametros!$B$12-1))),DEGREES(ATAN(TAN(RADIANS(Parametros!$F$13-omega*e_base))*(A79/sref)^(Parametros!$B$13-1))),DEGREES(ATAN(TAN(RADIANS(Parametros!$F$14-omega*e_base))*(A79/sref)^(Parametros!$B$14-1))),DEGREES(ATAN(TAN(RADIANS(Parametros!$F$15-omega*e_base))*(A79/sref)^(Parametros!$B$15-1))),DEGREES(ATAN(TAN(RADIANS(Parametros!$F$16-omega*e_base))*(A79/sref)^(Parametros!$B$16-1))))</f>
        <v/>
      </c>
      <c r="G79">
        <f>DEGREES(ATAN(TAN(RADIANS(46.0))*(A79/sref)^(0.9-1)))</f>
        <v/>
      </c>
      <c r="H79">
        <f>DEGREES(ATAN(TAN(RADIANS(41.0))*(A79/sref)^(0.9-1)))</f>
        <v/>
      </c>
      <c r="I79">
        <f>DEGREES(ATAN(TAN(RADIANS(36.0))*(A79/sref)^(0.9-1)))</f>
        <v/>
      </c>
      <c r="J79">
        <f>DEGREES(ATAN(TAN(RADIANS(33.0))*(A79/sref)^(0.9-1)))</f>
        <v/>
      </c>
      <c r="K79">
        <f>A79*TAN(RADIANS(C79))</f>
        <v/>
      </c>
      <c r="L79">
        <f>A79*TAN(RADIANS(G79))</f>
        <v/>
      </c>
      <c r="M79">
        <f>A79*TAN(RADIANS(H79))</f>
        <v/>
      </c>
      <c r="N79">
        <f>A79*TAN(RADIANS(I79))</f>
        <v/>
      </c>
      <c r="O79">
        <f>A79*TAN(RADIANS(J79))</f>
        <v/>
      </c>
      <c r="Q79" t="n">
        <v>0.2640724606268456</v>
      </c>
      <c r="R79">
        <f>MAX(DEGREES(ATAN(TAN(RADIANS(Parametros!$F$12-omega*e_base))*(Q79/sref)^(Parametros!$B$12-1))),DEGREES(ATAN(TAN(RADIANS(Parametros!$F$13-omega*e_base))*(Q79/sref)^(Parametros!$B$13-1))),DEGREES(ATAN(TAN(RADIANS(Parametros!$F$14-omega*e_base))*(Q79/sref)^(Parametros!$B$14-1))),DEGREES(ATAN(TAN(RADIANS(Parametros!$F$15-omega*e_base))*(Q79/sref)^(Parametros!$B$15-1))),DEGREES(ATAN(TAN(RADIANS(Parametros!$F$16-omega*e_base))*(Q79/sref)^(Parametros!$B$16-1))))</f>
        <v/>
      </c>
      <c r="T79" t="n">
        <v>2.235976331360947</v>
      </c>
      <c r="U79">
        <f>T79*TAN(RADIANS(MAX(DEGREES(ATAN(TAN(RADIANS(Parametros!$F$12-omega*e_base))*(T79/sref)^(Parametros!$B$12-1))),DEGREES(ATAN(TAN(RADIANS(Parametros!$F$13-omega*e_base))*(T79/sref)^(Parametros!$B$13-1))),DEGREES(ATAN(TAN(RADIANS(Parametros!$F$14-omega*e_base))*(T79/sref)^(Parametros!$B$14-1))),DEGREES(ATAN(TAN(RADIANS(Parametros!$F$15-omega*e_base))*(T79/sref)^(Parametros!$B$15-1))),DEGREES(ATAN(TAN(RADIANS(Parametros!$F$16-omega*e_base))*(T79/sref)^(Parametros!$B$16-1))))))</f>
        <v/>
      </c>
      <c r="W79" t="n">
        <v>7.860685101959433</v>
      </c>
      <c r="X79" t="n">
        <v>56</v>
      </c>
      <c r="AB79" t="n">
        <v>7.860685101959433</v>
      </c>
      <c r="AC79" t="n">
        <v>10.5</v>
      </c>
      <c r="AG79" t="n">
        <v>7.860685101959433</v>
      </c>
      <c r="AH79" t="n">
        <v>58</v>
      </c>
      <c r="BE79">
        <f>Base_mundial!C78</f>
        <v/>
      </c>
      <c r="BF79">
        <f>Base_mundial!E78-omega*(e_base-Base_mundial!B78)</f>
        <v/>
      </c>
      <c r="BG79">
        <f>BE79*TAN(RADIANS(BF79))</f>
        <v/>
      </c>
      <c r="CG79" t="n">
        <v>7.214981676091511</v>
      </c>
      <c r="CH79">
        <f>IF(MAX(CG79,sv_piso)&lt;=1,e_base-cc_bajo*LOG10(MAX(CG79,sv_piso)/sv_piso),e_base-cc_bajo*LOG10(1/sv_piso)-cc_alto*LOG10(CG79))</f>
        <v/>
      </c>
      <c r="CI79" t="n">
        <v>0.19536</v>
      </c>
      <c r="CJ79">
        <f>DEGREES(ATAN(TAN(RADIANS(pe0-omega*(e_base)))*(CG79/sref)^(m_-1)))</f>
        <v/>
      </c>
      <c r="CK79">
        <f>DEGREES(ATAN(TAN(RADIANS(pe0-omega*(CH79)))*(CG79/sref)^(m_-1)))</f>
        <v/>
      </c>
      <c r="CL79">
        <f>IF(ISNUMBER(CI79),DEGREES(ATAN(TAN(RADIANS(pe0-omega*(CI79)))*(CG79/sref)^(m_-1))),NA())</f>
        <v/>
      </c>
    </row>
    <row r="80">
      <c r="A80" t="n">
        <v>1.433</v>
      </c>
      <c r="B80">
        <f>DEGREES(ATAN(TAN(RADIANS(pe0-omega*e_base))*(A80/sref)^(m_-1)))</f>
        <v/>
      </c>
      <c r="C80">
        <f>MIN(tope,B80)</f>
        <v/>
      </c>
      <c r="D80">
        <f>IF(B80&gt;tope,B80,NA())</f>
        <v/>
      </c>
      <c r="E80">
        <f>MIN(DEGREES(ATAN(TAN(RADIANS(Parametros!$E$12-omega*e_base))*(A80/sref)^(Parametros!$B$12-1))),DEGREES(ATAN(TAN(RADIANS(Parametros!$E$13-omega*e_base))*(A80/sref)^(Parametros!$B$13-1))),DEGREES(ATAN(TAN(RADIANS(Parametros!$E$14-omega*e_base))*(A80/sref)^(Parametros!$B$14-1))),DEGREES(ATAN(TAN(RADIANS(Parametros!$E$15-omega*e_base))*(A80/sref)^(Parametros!$B$15-1))),DEGREES(ATAN(TAN(RADIANS(Parametros!$E$16-omega*e_base))*(A80/sref)^(Parametros!$B$16-1))))</f>
        <v/>
      </c>
      <c r="F80">
        <f>MAX(DEGREES(ATAN(TAN(RADIANS(Parametros!$F$12-omega*e_base))*(A80/sref)^(Parametros!$B$12-1))),DEGREES(ATAN(TAN(RADIANS(Parametros!$F$13-omega*e_base))*(A80/sref)^(Parametros!$B$13-1))),DEGREES(ATAN(TAN(RADIANS(Parametros!$F$14-omega*e_base))*(A80/sref)^(Parametros!$B$14-1))),DEGREES(ATAN(TAN(RADIANS(Parametros!$F$15-omega*e_base))*(A80/sref)^(Parametros!$B$15-1))),DEGREES(ATAN(TAN(RADIANS(Parametros!$F$16-omega*e_base))*(A80/sref)^(Parametros!$B$16-1))))</f>
        <v/>
      </c>
      <c r="G80">
        <f>DEGREES(ATAN(TAN(RADIANS(46.0))*(A80/sref)^(0.9-1)))</f>
        <v/>
      </c>
      <c r="H80">
        <f>DEGREES(ATAN(TAN(RADIANS(41.0))*(A80/sref)^(0.9-1)))</f>
        <v/>
      </c>
      <c r="I80">
        <f>DEGREES(ATAN(TAN(RADIANS(36.0))*(A80/sref)^(0.9-1)))</f>
        <v/>
      </c>
      <c r="J80">
        <f>DEGREES(ATAN(TAN(RADIANS(33.0))*(A80/sref)^(0.9-1)))</f>
        <v/>
      </c>
      <c r="K80">
        <f>A80*TAN(RADIANS(C80))</f>
        <v/>
      </c>
      <c r="L80">
        <f>A80*TAN(RADIANS(G80))</f>
        <v/>
      </c>
      <c r="M80">
        <f>A80*TAN(RADIANS(H80))</f>
        <v/>
      </c>
      <c r="N80">
        <f>A80*TAN(RADIANS(I80))</f>
        <v/>
      </c>
      <c r="O80">
        <f>A80*TAN(RADIANS(J80))</f>
        <v/>
      </c>
      <c r="BE80">
        <f>Base_mundial!C79</f>
        <v/>
      </c>
      <c r="BF80">
        <f>Base_mundial!E79-omega*(e_base-Base_mundial!B79)</f>
        <v/>
      </c>
      <c r="BG80">
        <f>BE80*TAN(RADIANS(BF80))</f>
        <v/>
      </c>
      <c r="CG80" t="n">
        <v>7.632831867298305</v>
      </c>
      <c r="CH80">
        <f>IF(MAX(CG80,sv_piso)&lt;=1,e_base-cc_bajo*LOG10(MAX(CG80,sv_piso)/sv_piso),e_base-cc_bajo*LOG10(1/sv_piso)-cc_alto*LOG10(CG80))</f>
        <v/>
      </c>
      <c r="CI80" t="n">
        <v>0.18803</v>
      </c>
      <c r="CJ80">
        <f>DEGREES(ATAN(TAN(RADIANS(pe0-omega*(e_base)))*(CG80/sref)^(m_-1)))</f>
        <v/>
      </c>
      <c r="CK80">
        <f>DEGREES(ATAN(TAN(RADIANS(pe0-omega*(CH80)))*(CG80/sref)^(m_-1)))</f>
        <v/>
      </c>
      <c r="CL80">
        <f>IF(ISNUMBER(CI80),DEGREES(ATAN(TAN(RADIANS(pe0-omega*(CI80)))*(CG80/sref)^(m_-1))),NA())</f>
        <v/>
      </c>
    </row>
    <row r="81">
      <c r="A81" t="n">
        <v>1.53244</v>
      </c>
      <c r="B81">
        <f>DEGREES(ATAN(TAN(RADIANS(pe0-omega*e_base))*(A81/sref)^(m_-1)))</f>
        <v/>
      </c>
      <c r="C81">
        <f>MIN(tope,B81)</f>
        <v/>
      </c>
      <c r="D81">
        <f>IF(B81&gt;tope,B81,NA())</f>
        <v/>
      </c>
      <c r="E81">
        <f>MIN(DEGREES(ATAN(TAN(RADIANS(Parametros!$E$12-omega*e_base))*(A81/sref)^(Parametros!$B$12-1))),DEGREES(ATAN(TAN(RADIANS(Parametros!$E$13-omega*e_base))*(A81/sref)^(Parametros!$B$13-1))),DEGREES(ATAN(TAN(RADIANS(Parametros!$E$14-omega*e_base))*(A81/sref)^(Parametros!$B$14-1))),DEGREES(ATAN(TAN(RADIANS(Parametros!$E$15-omega*e_base))*(A81/sref)^(Parametros!$B$15-1))),DEGREES(ATAN(TAN(RADIANS(Parametros!$E$16-omega*e_base))*(A81/sref)^(Parametros!$B$16-1))))</f>
        <v/>
      </c>
      <c r="F81">
        <f>MAX(DEGREES(ATAN(TAN(RADIANS(Parametros!$F$12-omega*e_base))*(A81/sref)^(Parametros!$B$12-1))),DEGREES(ATAN(TAN(RADIANS(Parametros!$F$13-omega*e_base))*(A81/sref)^(Parametros!$B$13-1))),DEGREES(ATAN(TAN(RADIANS(Parametros!$F$14-omega*e_base))*(A81/sref)^(Parametros!$B$14-1))),DEGREES(ATAN(TAN(RADIANS(Parametros!$F$15-omega*e_base))*(A81/sref)^(Parametros!$B$15-1))),DEGREES(ATAN(TAN(RADIANS(Parametros!$F$16-omega*e_base))*(A81/sref)^(Parametros!$B$16-1))))</f>
        <v/>
      </c>
      <c r="G81">
        <f>DEGREES(ATAN(TAN(RADIANS(46.0))*(A81/sref)^(0.9-1)))</f>
        <v/>
      </c>
      <c r="H81">
        <f>DEGREES(ATAN(TAN(RADIANS(41.0))*(A81/sref)^(0.9-1)))</f>
        <v/>
      </c>
      <c r="I81">
        <f>DEGREES(ATAN(TAN(RADIANS(36.0))*(A81/sref)^(0.9-1)))</f>
        <v/>
      </c>
      <c r="J81">
        <f>DEGREES(ATAN(TAN(RADIANS(33.0))*(A81/sref)^(0.9-1)))</f>
        <v/>
      </c>
      <c r="K81">
        <f>A81*TAN(RADIANS(C81))</f>
        <v/>
      </c>
      <c r="L81">
        <f>A81*TAN(RADIANS(G81))</f>
        <v/>
      </c>
      <c r="M81">
        <f>A81*TAN(RADIANS(H81))</f>
        <v/>
      </c>
      <c r="N81">
        <f>A81*TAN(RADIANS(I81))</f>
        <v/>
      </c>
      <c r="O81">
        <f>A81*TAN(RADIANS(J81))</f>
        <v/>
      </c>
      <c r="Q81" t="n">
        <v>0.2745314075256438</v>
      </c>
      <c r="R81">
        <f>MIN(DEGREES(ATAN(TAN(RADIANS(Parametros!$E$12-omega*e_base))*(Q81/sref)^(Parametros!$B$12-1))),DEGREES(ATAN(TAN(RADIANS(Parametros!$E$13-omega*e_base))*(Q81/sref)^(Parametros!$B$13-1))),DEGREES(ATAN(TAN(RADIANS(Parametros!$E$14-omega*e_base))*(Q81/sref)^(Parametros!$B$14-1))),DEGREES(ATAN(TAN(RADIANS(Parametros!$E$15-omega*e_base))*(Q81/sref)^(Parametros!$B$15-1))),DEGREES(ATAN(TAN(RADIANS(Parametros!$E$16-omega*e_base))*(Q81/sref)^(Parametros!$B$16-1))))</f>
        <v/>
      </c>
      <c r="T81" t="n">
        <v>2.324615384615385</v>
      </c>
      <c r="U81">
        <f>T81*TAN(RADIANS(MIN(DEGREES(ATAN(TAN(RADIANS(Parametros!$E$12-omega*e_base))*(T81/sref)^(Parametros!$B$12-1))),DEGREES(ATAN(TAN(RADIANS(Parametros!$E$13-omega*e_base))*(T81/sref)^(Parametros!$B$13-1))),DEGREES(ATAN(TAN(RADIANS(Parametros!$E$14-omega*e_base))*(T81/sref)^(Parametros!$B$14-1))),DEGREES(ATAN(TAN(RADIANS(Parametros!$E$15-omega*e_base))*(T81/sref)^(Parametros!$B$15-1))),DEGREES(ATAN(TAN(RADIANS(Parametros!$E$16-omega*e_base))*(T81/sref)^(Parametros!$B$16-1))))))</f>
        <v/>
      </c>
      <c r="BE81">
        <f>Base_mundial!C80</f>
        <v/>
      </c>
      <c r="BF81">
        <f>Base_mundial!E80-omega*(e_base-Base_mundial!B80)</f>
        <v/>
      </c>
      <c r="BG81">
        <f>BE81*TAN(RADIANS(BF81))</f>
        <v/>
      </c>
      <c r="CG81" t="n">
        <v>8.074881535389448</v>
      </c>
      <c r="CH81">
        <f>IF(MAX(CG81,sv_piso)&lt;=1,e_base-cc_bajo*LOG10(MAX(CG81,sv_piso)/sv_piso),e_base-cc_bajo*LOG10(1/sv_piso)-cc_alto*LOG10(CG81))</f>
        <v/>
      </c>
      <c r="CI81" t="n">
        <v>0.18041</v>
      </c>
      <c r="CJ81">
        <f>DEGREES(ATAN(TAN(RADIANS(pe0-omega*(e_base)))*(CG81/sref)^(m_-1)))</f>
        <v/>
      </c>
      <c r="CK81">
        <f>DEGREES(ATAN(TAN(RADIANS(pe0-omega*(CH81)))*(CG81/sref)^(m_-1)))</f>
        <v/>
      </c>
      <c r="CL81">
        <f>IF(ISNUMBER(CI81),DEGREES(ATAN(TAN(RADIANS(pe0-omega*(CI81)))*(CG81/sref)^(m_-1))),NA())</f>
        <v/>
      </c>
    </row>
    <row r="82">
      <c r="A82" t="n">
        <v>1.63879</v>
      </c>
      <c r="B82">
        <f>DEGREES(ATAN(TAN(RADIANS(pe0-omega*e_base))*(A82/sref)^(m_-1)))</f>
        <v/>
      </c>
      <c r="C82">
        <f>MIN(tope,B82)</f>
        <v/>
      </c>
      <c r="D82">
        <f>IF(B82&gt;tope,B82,NA())</f>
        <v/>
      </c>
      <c r="E82">
        <f>MIN(DEGREES(ATAN(TAN(RADIANS(Parametros!$E$12-omega*e_base))*(A82/sref)^(Parametros!$B$12-1))),DEGREES(ATAN(TAN(RADIANS(Parametros!$E$13-omega*e_base))*(A82/sref)^(Parametros!$B$13-1))),DEGREES(ATAN(TAN(RADIANS(Parametros!$E$14-omega*e_base))*(A82/sref)^(Parametros!$B$14-1))),DEGREES(ATAN(TAN(RADIANS(Parametros!$E$15-omega*e_base))*(A82/sref)^(Parametros!$B$15-1))),DEGREES(ATAN(TAN(RADIANS(Parametros!$E$16-omega*e_base))*(A82/sref)^(Parametros!$B$16-1))))</f>
        <v/>
      </c>
      <c r="F82">
        <f>MAX(DEGREES(ATAN(TAN(RADIANS(Parametros!$F$12-omega*e_base))*(A82/sref)^(Parametros!$B$12-1))),DEGREES(ATAN(TAN(RADIANS(Parametros!$F$13-omega*e_base))*(A82/sref)^(Parametros!$B$13-1))),DEGREES(ATAN(TAN(RADIANS(Parametros!$F$14-omega*e_base))*(A82/sref)^(Parametros!$B$14-1))),DEGREES(ATAN(TAN(RADIANS(Parametros!$F$15-omega*e_base))*(A82/sref)^(Parametros!$B$15-1))),DEGREES(ATAN(TAN(RADIANS(Parametros!$F$16-omega*e_base))*(A82/sref)^(Parametros!$B$16-1))))</f>
        <v/>
      </c>
      <c r="G82">
        <f>DEGREES(ATAN(TAN(RADIANS(46.0))*(A82/sref)^(0.9-1)))</f>
        <v/>
      </c>
      <c r="H82">
        <f>DEGREES(ATAN(TAN(RADIANS(41.0))*(A82/sref)^(0.9-1)))</f>
        <v/>
      </c>
      <c r="I82">
        <f>DEGREES(ATAN(TAN(RADIANS(36.0))*(A82/sref)^(0.9-1)))</f>
        <v/>
      </c>
      <c r="J82">
        <f>DEGREES(ATAN(TAN(RADIANS(33.0))*(A82/sref)^(0.9-1)))</f>
        <v/>
      </c>
      <c r="K82">
        <f>A82*TAN(RADIANS(C82))</f>
        <v/>
      </c>
      <c r="L82">
        <f>A82*TAN(RADIANS(G82))</f>
        <v/>
      </c>
      <c r="M82">
        <f>A82*TAN(RADIANS(H82))</f>
        <v/>
      </c>
      <c r="N82">
        <f>A82*TAN(RADIANS(I82))</f>
        <v/>
      </c>
      <c r="O82">
        <f>A82*TAN(RADIANS(J82))</f>
        <v/>
      </c>
      <c r="Q82" t="n">
        <v>0.2745314075256438</v>
      </c>
      <c r="R82">
        <f>MAX(DEGREES(ATAN(TAN(RADIANS(Parametros!$F$12-omega*e_base))*(Q82/sref)^(Parametros!$B$12-1))),DEGREES(ATAN(TAN(RADIANS(Parametros!$F$13-omega*e_base))*(Q82/sref)^(Parametros!$B$13-1))),DEGREES(ATAN(TAN(RADIANS(Parametros!$F$14-omega*e_base))*(Q82/sref)^(Parametros!$B$14-1))),DEGREES(ATAN(TAN(RADIANS(Parametros!$F$15-omega*e_base))*(Q82/sref)^(Parametros!$B$15-1))),DEGREES(ATAN(TAN(RADIANS(Parametros!$F$16-omega*e_base))*(Q82/sref)^(Parametros!$B$16-1))))</f>
        <v/>
      </c>
      <c r="T82" t="n">
        <v>2.324615384615385</v>
      </c>
      <c r="U82">
        <f>T82*TAN(RADIANS(MAX(DEGREES(ATAN(TAN(RADIANS(Parametros!$F$12-omega*e_base))*(T82/sref)^(Parametros!$B$12-1))),DEGREES(ATAN(TAN(RADIANS(Parametros!$F$13-omega*e_base))*(T82/sref)^(Parametros!$B$13-1))),DEGREES(ATAN(TAN(RADIANS(Parametros!$F$14-omega*e_base))*(T82/sref)^(Parametros!$B$14-1))),DEGREES(ATAN(TAN(RADIANS(Parametros!$F$15-omega*e_base))*(T82/sref)^(Parametros!$B$15-1))),DEGREES(ATAN(TAN(RADIANS(Parametros!$F$16-omega*e_base))*(T82/sref)^(Parametros!$B$16-1))))))</f>
        <v/>
      </c>
      <c r="BE82">
        <f>Base_mundial!C81</f>
        <v/>
      </c>
      <c r="BF82">
        <f>Base_mundial!E81-omega*(e_base-Base_mundial!B81)</f>
        <v/>
      </c>
      <c r="BG82">
        <f>BE82*TAN(RADIANS(BF82))</f>
        <v/>
      </c>
      <c r="CG82" t="n">
        <v>8.542532174713385</v>
      </c>
      <c r="CH82">
        <f>IF(MAX(CG82,sv_piso)&lt;=1,e_base-cc_bajo*LOG10(MAX(CG82,sv_piso)/sv_piso),e_base-cc_bajo*LOG10(1/sv_piso)-cc_alto*LOG10(CG82))</f>
        <v/>
      </c>
      <c r="CI82" t="n">
        <v>0.17253</v>
      </c>
      <c r="CJ82">
        <f>DEGREES(ATAN(TAN(RADIANS(pe0-omega*(e_base)))*(CG82/sref)^(m_-1)))</f>
        <v/>
      </c>
      <c r="CK82">
        <f>DEGREES(ATAN(TAN(RADIANS(pe0-omega*(CH82)))*(CG82/sref)^(m_-1)))</f>
        <v/>
      </c>
      <c r="CL82">
        <f>IF(ISNUMBER(CI82),DEGREES(ATAN(TAN(RADIANS(pe0-omega*(CI82)))*(CG82/sref)^(m_-1))),NA())</f>
        <v/>
      </c>
    </row>
    <row r="83">
      <c r="A83" t="n">
        <v>1.75251</v>
      </c>
      <c r="B83">
        <f>DEGREES(ATAN(TAN(RADIANS(pe0-omega*e_base))*(A83/sref)^(m_-1)))</f>
        <v/>
      </c>
      <c r="C83">
        <f>MIN(tope,B83)</f>
        <v/>
      </c>
      <c r="D83">
        <f>IF(B83&gt;tope,B83,NA())</f>
        <v/>
      </c>
      <c r="E83">
        <f>MIN(DEGREES(ATAN(TAN(RADIANS(Parametros!$E$12-omega*e_base))*(A83/sref)^(Parametros!$B$12-1))),DEGREES(ATAN(TAN(RADIANS(Parametros!$E$13-omega*e_base))*(A83/sref)^(Parametros!$B$13-1))),DEGREES(ATAN(TAN(RADIANS(Parametros!$E$14-omega*e_base))*(A83/sref)^(Parametros!$B$14-1))),DEGREES(ATAN(TAN(RADIANS(Parametros!$E$15-omega*e_base))*(A83/sref)^(Parametros!$B$15-1))),DEGREES(ATAN(TAN(RADIANS(Parametros!$E$16-omega*e_base))*(A83/sref)^(Parametros!$B$16-1))))</f>
        <v/>
      </c>
      <c r="F83">
        <f>MAX(DEGREES(ATAN(TAN(RADIANS(Parametros!$F$12-omega*e_base))*(A83/sref)^(Parametros!$B$12-1))),DEGREES(ATAN(TAN(RADIANS(Parametros!$F$13-omega*e_base))*(A83/sref)^(Parametros!$B$13-1))),DEGREES(ATAN(TAN(RADIANS(Parametros!$F$14-omega*e_base))*(A83/sref)^(Parametros!$B$14-1))),DEGREES(ATAN(TAN(RADIANS(Parametros!$F$15-omega*e_base))*(A83/sref)^(Parametros!$B$15-1))),DEGREES(ATAN(TAN(RADIANS(Parametros!$F$16-omega*e_base))*(A83/sref)^(Parametros!$B$16-1))))</f>
        <v/>
      </c>
      <c r="G83">
        <f>DEGREES(ATAN(TAN(RADIANS(46.0))*(A83/sref)^(0.9-1)))</f>
        <v/>
      </c>
      <c r="H83">
        <f>DEGREES(ATAN(TAN(RADIANS(41.0))*(A83/sref)^(0.9-1)))</f>
        <v/>
      </c>
      <c r="I83">
        <f>DEGREES(ATAN(TAN(RADIANS(36.0))*(A83/sref)^(0.9-1)))</f>
        <v/>
      </c>
      <c r="J83">
        <f>DEGREES(ATAN(TAN(RADIANS(33.0))*(A83/sref)^(0.9-1)))</f>
        <v/>
      </c>
      <c r="K83">
        <f>A83*TAN(RADIANS(C83))</f>
        <v/>
      </c>
      <c r="L83">
        <f>A83*TAN(RADIANS(G83))</f>
        <v/>
      </c>
      <c r="M83">
        <f>A83*TAN(RADIANS(H83))</f>
        <v/>
      </c>
      <c r="N83">
        <f>A83*TAN(RADIANS(I83))</f>
        <v/>
      </c>
      <c r="O83">
        <f>A83*TAN(RADIANS(J83))</f>
        <v/>
      </c>
      <c r="BE83">
        <f>Base_mundial!C82</f>
        <v/>
      </c>
      <c r="BF83">
        <f>Base_mundial!E82-omega*(e_base-Base_mundial!B82)</f>
        <v/>
      </c>
      <c r="BG83">
        <f>BE83*TAN(RADIANS(BF83))</f>
        <v/>
      </c>
      <c r="CG83" t="n">
        <v>9.037266446100734</v>
      </c>
      <c r="CH83">
        <f>IF(MAX(CG83,sv_piso)&lt;=1,e_base-cc_bajo*LOG10(MAX(CG83,sv_piso)/sv_piso),e_base-cc_bajo*LOG10(1/sv_piso)-cc_alto*LOG10(CG83))</f>
        <v/>
      </c>
      <c r="CI83" t="n">
        <v>0.16432</v>
      </c>
      <c r="CJ83">
        <f>DEGREES(ATAN(TAN(RADIANS(pe0-omega*(e_base)))*(CG83/sref)^(m_-1)))</f>
        <v/>
      </c>
      <c r="CK83">
        <f>DEGREES(ATAN(TAN(RADIANS(pe0-omega*(CH83)))*(CG83/sref)^(m_-1)))</f>
        <v/>
      </c>
      <c r="CL83">
        <f>IF(ISNUMBER(CI83),DEGREES(ATAN(TAN(RADIANS(pe0-omega*(CI83)))*(CG83/sref)^(m_-1))),NA())</f>
        <v/>
      </c>
    </row>
    <row r="84">
      <c r="A84" t="n">
        <v>1.87413</v>
      </c>
      <c r="B84">
        <f>DEGREES(ATAN(TAN(RADIANS(pe0-omega*e_base))*(A84/sref)^(m_-1)))</f>
        <v/>
      </c>
      <c r="C84">
        <f>MIN(tope,B84)</f>
        <v/>
      </c>
      <c r="D84">
        <f>IF(B84&gt;tope,B84,NA())</f>
        <v/>
      </c>
      <c r="E84">
        <f>MIN(DEGREES(ATAN(TAN(RADIANS(Parametros!$E$12-omega*e_base))*(A84/sref)^(Parametros!$B$12-1))),DEGREES(ATAN(TAN(RADIANS(Parametros!$E$13-omega*e_base))*(A84/sref)^(Parametros!$B$13-1))),DEGREES(ATAN(TAN(RADIANS(Parametros!$E$14-omega*e_base))*(A84/sref)^(Parametros!$B$14-1))),DEGREES(ATAN(TAN(RADIANS(Parametros!$E$15-omega*e_base))*(A84/sref)^(Parametros!$B$15-1))),DEGREES(ATAN(TAN(RADIANS(Parametros!$E$16-omega*e_base))*(A84/sref)^(Parametros!$B$16-1))))</f>
        <v/>
      </c>
      <c r="F84">
        <f>MAX(DEGREES(ATAN(TAN(RADIANS(Parametros!$F$12-omega*e_base))*(A84/sref)^(Parametros!$B$12-1))),DEGREES(ATAN(TAN(RADIANS(Parametros!$F$13-omega*e_base))*(A84/sref)^(Parametros!$B$13-1))),DEGREES(ATAN(TAN(RADIANS(Parametros!$F$14-omega*e_base))*(A84/sref)^(Parametros!$B$14-1))),DEGREES(ATAN(TAN(RADIANS(Parametros!$F$15-omega*e_base))*(A84/sref)^(Parametros!$B$15-1))),DEGREES(ATAN(TAN(RADIANS(Parametros!$F$16-omega*e_base))*(A84/sref)^(Parametros!$B$16-1))))</f>
        <v/>
      </c>
      <c r="G84">
        <f>DEGREES(ATAN(TAN(RADIANS(46.0))*(A84/sref)^(0.9-1)))</f>
        <v/>
      </c>
      <c r="H84">
        <f>DEGREES(ATAN(TAN(RADIANS(41.0))*(A84/sref)^(0.9-1)))</f>
        <v/>
      </c>
      <c r="I84">
        <f>DEGREES(ATAN(TAN(RADIANS(36.0))*(A84/sref)^(0.9-1)))</f>
        <v/>
      </c>
      <c r="J84">
        <f>DEGREES(ATAN(TAN(RADIANS(33.0))*(A84/sref)^(0.9-1)))</f>
        <v/>
      </c>
      <c r="K84">
        <f>A84*TAN(RADIANS(C84))</f>
        <v/>
      </c>
      <c r="L84">
        <f>A84*TAN(RADIANS(G84))</f>
        <v/>
      </c>
      <c r="M84">
        <f>A84*TAN(RADIANS(H84))</f>
        <v/>
      </c>
      <c r="N84">
        <f>A84*TAN(RADIANS(I84))</f>
        <v/>
      </c>
      <c r="O84">
        <f>A84*TAN(RADIANS(J84))</f>
        <v/>
      </c>
      <c r="Q84" t="n">
        <v>0.2854045951596257</v>
      </c>
      <c r="R84">
        <f>MIN(DEGREES(ATAN(TAN(RADIANS(Parametros!$E$12-omega*e_base))*(Q84/sref)^(Parametros!$B$12-1))),DEGREES(ATAN(TAN(RADIANS(Parametros!$E$13-omega*e_base))*(Q84/sref)^(Parametros!$B$13-1))),DEGREES(ATAN(TAN(RADIANS(Parametros!$E$14-omega*e_base))*(Q84/sref)^(Parametros!$B$14-1))),DEGREES(ATAN(TAN(RADIANS(Parametros!$E$15-omega*e_base))*(Q84/sref)^(Parametros!$B$15-1))),DEGREES(ATAN(TAN(RADIANS(Parametros!$E$16-omega*e_base))*(Q84/sref)^(Parametros!$B$16-1))))</f>
        <v/>
      </c>
      <c r="T84" t="n">
        <v>2.413254437869822</v>
      </c>
      <c r="U84">
        <f>T84*TAN(RADIANS(MIN(DEGREES(ATAN(TAN(RADIANS(Parametros!$E$12-omega*e_base))*(T84/sref)^(Parametros!$B$12-1))),DEGREES(ATAN(TAN(RADIANS(Parametros!$E$13-omega*e_base))*(T84/sref)^(Parametros!$B$13-1))),DEGREES(ATAN(TAN(RADIANS(Parametros!$E$14-omega*e_base))*(T84/sref)^(Parametros!$B$14-1))),DEGREES(ATAN(TAN(RADIANS(Parametros!$E$15-omega*e_base))*(T84/sref)^(Parametros!$B$15-1))),DEGREES(ATAN(TAN(RADIANS(Parametros!$E$16-omega*e_base))*(T84/sref)^(Parametros!$B$16-1))))))</f>
        <v/>
      </c>
      <c r="BE84">
        <f>Base_mundial!C83</f>
        <v/>
      </c>
      <c r="BF84">
        <f>Base_mundial!E83-omega*(e_base-Base_mundial!B83)</f>
        <v/>
      </c>
      <c r="BG84">
        <f>BE84*TAN(RADIANS(BF84))</f>
        <v/>
      </c>
      <c r="CG84" t="n">
        <v>9.560652877559502</v>
      </c>
      <c r="CH84">
        <f>IF(MAX(CG84,sv_piso)&lt;=1,e_base-cc_bajo*LOG10(MAX(CG84,sv_piso)/sv_piso),e_base-cc_bajo*LOG10(1/sv_piso)-cc_alto*LOG10(CG84))</f>
        <v/>
      </c>
      <c r="CI84" t="n">
        <v>0.15585</v>
      </c>
      <c r="CJ84">
        <f>DEGREES(ATAN(TAN(RADIANS(pe0-omega*(e_base)))*(CG84/sref)^(m_-1)))</f>
        <v/>
      </c>
      <c r="CK84">
        <f>DEGREES(ATAN(TAN(RADIANS(pe0-omega*(CH84)))*(CG84/sref)^(m_-1)))</f>
        <v/>
      </c>
      <c r="CL84">
        <f>IF(ISNUMBER(CI84),DEGREES(ATAN(TAN(RADIANS(pe0-omega*(CI84)))*(CG84/sref)^(m_-1))),NA())</f>
        <v/>
      </c>
    </row>
    <row r="85">
      <c r="A85" t="n">
        <v>2.00418</v>
      </c>
      <c r="B85">
        <f>DEGREES(ATAN(TAN(RADIANS(pe0-omega*e_base))*(A85/sref)^(m_-1)))</f>
        <v/>
      </c>
      <c r="C85">
        <f>MIN(tope,B85)</f>
        <v/>
      </c>
      <c r="D85">
        <f>IF(B85&gt;tope,B85,NA())</f>
        <v/>
      </c>
      <c r="E85">
        <f>MIN(DEGREES(ATAN(TAN(RADIANS(Parametros!$E$12-omega*e_base))*(A85/sref)^(Parametros!$B$12-1))),DEGREES(ATAN(TAN(RADIANS(Parametros!$E$13-omega*e_base))*(A85/sref)^(Parametros!$B$13-1))),DEGREES(ATAN(TAN(RADIANS(Parametros!$E$14-omega*e_base))*(A85/sref)^(Parametros!$B$14-1))),DEGREES(ATAN(TAN(RADIANS(Parametros!$E$15-omega*e_base))*(A85/sref)^(Parametros!$B$15-1))),DEGREES(ATAN(TAN(RADIANS(Parametros!$E$16-omega*e_base))*(A85/sref)^(Parametros!$B$16-1))))</f>
        <v/>
      </c>
      <c r="F85">
        <f>MAX(DEGREES(ATAN(TAN(RADIANS(Parametros!$F$12-omega*e_base))*(A85/sref)^(Parametros!$B$12-1))),DEGREES(ATAN(TAN(RADIANS(Parametros!$F$13-omega*e_base))*(A85/sref)^(Parametros!$B$13-1))),DEGREES(ATAN(TAN(RADIANS(Parametros!$F$14-omega*e_base))*(A85/sref)^(Parametros!$B$14-1))),DEGREES(ATAN(TAN(RADIANS(Parametros!$F$15-omega*e_base))*(A85/sref)^(Parametros!$B$15-1))),DEGREES(ATAN(TAN(RADIANS(Parametros!$F$16-omega*e_base))*(A85/sref)^(Parametros!$B$16-1))))</f>
        <v/>
      </c>
      <c r="G85">
        <f>DEGREES(ATAN(TAN(RADIANS(46.0))*(A85/sref)^(0.9-1)))</f>
        <v/>
      </c>
      <c r="H85">
        <f>DEGREES(ATAN(TAN(RADIANS(41.0))*(A85/sref)^(0.9-1)))</f>
        <v/>
      </c>
      <c r="I85">
        <f>DEGREES(ATAN(TAN(RADIANS(36.0))*(A85/sref)^(0.9-1)))</f>
        <v/>
      </c>
      <c r="J85">
        <f>DEGREES(ATAN(TAN(RADIANS(33.0))*(A85/sref)^(0.9-1)))</f>
        <v/>
      </c>
      <c r="K85">
        <f>A85*TAN(RADIANS(C85))</f>
        <v/>
      </c>
      <c r="L85">
        <f>A85*TAN(RADIANS(G85))</f>
        <v/>
      </c>
      <c r="M85">
        <f>A85*TAN(RADIANS(H85))</f>
        <v/>
      </c>
      <c r="N85">
        <f>A85*TAN(RADIANS(I85))</f>
        <v/>
      </c>
      <c r="O85">
        <f>A85*TAN(RADIANS(J85))</f>
        <v/>
      </c>
      <c r="Q85" t="n">
        <v>0.2854045951596257</v>
      </c>
      <c r="R85">
        <f>MAX(DEGREES(ATAN(TAN(RADIANS(Parametros!$F$12-omega*e_base))*(Q85/sref)^(Parametros!$B$12-1))),DEGREES(ATAN(TAN(RADIANS(Parametros!$F$13-omega*e_base))*(Q85/sref)^(Parametros!$B$13-1))),DEGREES(ATAN(TAN(RADIANS(Parametros!$F$14-omega*e_base))*(Q85/sref)^(Parametros!$B$14-1))),DEGREES(ATAN(TAN(RADIANS(Parametros!$F$15-omega*e_base))*(Q85/sref)^(Parametros!$B$15-1))),DEGREES(ATAN(TAN(RADIANS(Parametros!$F$16-omega*e_base))*(Q85/sref)^(Parametros!$B$16-1))))</f>
        <v/>
      </c>
      <c r="T85" t="n">
        <v>2.413254437869822</v>
      </c>
      <c r="U85">
        <f>T85*TAN(RADIANS(MAX(DEGREES(ATAN(TAN(RADIANS(Parametros!$F$12-omega*e_base))*(T85/sref)^(Parametros!$B$12-1))),DEGREES(ATAN(TAN(RADIANS(Parametros!$F$13-omega*e_base))*(T85/sref)^(Parametros!$B$13-1))),DEGREES(ATAN(TAN(RADIANS(Parametros!$F$14-omega*e_base))*(T85/sref)^(Parametros!$B$14-1))),DEGREES(ATAN(TAN(RADIANS(Parametros!$F$15-omega*e_base))*(T85/sref)^(Parametros!$B$15-1))),DEGREES(ATAN(TAN(RADIANS(Parametros!$F$16-omega*e_base))*(T85/sref)^(Parametros!$B$16-1))))))</f>
        <v/>
      </c>
      <c r="BE85">
        <f>Base_mundial!C84</f>
        <v/>
      </c>
      <c r="BF85">
        <f>Base_mundial!E84-omega*(e_base-Base_mundial!B84)</f>
        <v/>
      </c>
      <c r="BG85">
        <f>BE85*TAN(RADIANS(BF85))</f>
        <v/>
      </c>
      <c r="CG85" t="n">
        <v>10.11435083720756</v>
      </c>
      <c r="CH85">
        <f>IF(MAX(CG85,sv_piso)&lt;=1,e_base-cc_bajo*LOG10(MAX(CG85,sv_piso)/sv_piso),e_base-cc_bajo*LOG10(1/sv_piso)-cc_alto*LOG10(CG85))</f>
        <v/>
      </c>
      <c r="CI85" t="n">
        <v>0.14839</v>
      </c>
      <c r="CJ85">
        <f>DEGREES(ATAN(TAN(RADIANS(pe0-omega*(e_base)))*(CG85/sref)^(m_-1)))</f>
        <v/>
      </c>
      <c r="CK85">
        <f>DEGREES(ATAN(TAN(RADIANS(pe0-omega*(CH85)))*(CG85/sref)^(m_-1)))</f>
        <v/>
      </c>
      <c r="CL85">
        <f>IF(ISNUMBER(CI85),DEGREES(ATAN(TAN(RADIANS(pe0-omega*(CI85)))*(CG85/sref)^(m_-1))),NA())</f>
        <v/>
      </c>
    </row>
    <row r="86">
      <c r="A86" t="n">
        <v>2.14327</v>
      </c>
      <c r="B86">
        <f>DEGREES(ATAN(TAN(RADIANS(pe0-omega*e_base))*(A86/sref)^(m_-1)))</f>
        <v/>
      </c>
      <c r="C86">
        <f>MIN(tope,B86)</f>
        <v/>
      </c>
      <c r="D86">
        <f>IF(B86&gt;tope,B86,NA())</f>
        <v/>
      </c>
      <c r="E86">
        <f>MIN(DEGREES(ATAN(TAN(RADIANS(Parametros!$E$12-omega*e_base))*(A86/sref)^(Parametros!$B$12-1))),DEGREES(ATAN(TAN(RADIANS(Parametros!$E$13-omega*e_base))*(A86/sref)^(Parametros!$B$13-1))),DEGREES(ATAN(TAN(RADIANS(Parametros!$E$14-omega*e_base))*(A86/sref)^(Parametros!$B$14-1))),DEGREES(ATAN(TAN(RADIANS(Parametros!$E$15-omega*e_base))*(A86/sref)^(Parametros!$B$15-1))),DEGREES(ATAN(TAN(RADIANS(Parametros!$E$16-omega*e_base))*(A86/sref)^(Parametros!$B$16-1))))</f>
        <v/>
      </c>
      <c r="F86">
        <f>MAX(DEGREES(ATAN(TAN(RADIANS(Parametros!$F$12-omega*e_base))*(A86/sref)^(Parametros!$B$12-1))),DEGREES(ATAN(TAN(RADIANS(Parametros!$F$13-omega*e_base))*(A86/sref)^(Parametros!$B$13-1))),DEGREES(ATAN(TAN(RADIANS(Parametros!$F$14-omega*e_base))*(A86/sref)^(Parametros!$B$14-1))),DEGREES(ATAN(TAN(RADIANS(Parametros!$F$15-omega*e_base))*(A86/sref)^(Parametros!$B$15-1))),DEGREES(ATAN(TAN(RADIANS(Parametros!$F$16-omega*e_base))*(A86/sref)^(Parametros!$B$16-1))))</f>
        <v/>
      </c>
      <c r="G86">
        <f>DEGREES(ATAN(TAN(RADIANS(46.0))*(A86/sref)^(0.9-1)))</f>
        <v/>
      </c>
      <c r="H86">
        <f>DEGREES(ATAN(TAN(RADIANS(41.0))*(A86/sref)^(0.9-1)))</f>
        <v/>
      </c>
      <c r="I86">
        <f>DEGREES(ATAN(TAN(RADIANS(36.0))*(A86/sref)^(0.9-1)))</f>
        <v/>
      </c>
      <c r="J86">
        <f>DEGREES(ATAN(TAN(RADIANS(33.0))*(A86/sref)^(0.9-1)))</f>
        <v/>
      </c>
      <c r="K86">
        <f>A86*TAN(RADIANS(C86))</f>
        <v/>
      </c>
      <c r="L86">
        <f>A86*TAN(RADIANS(G86))</f>
        <v/>
      </c>
      <c r="M86">
        <f>A86*TAN(RADIANS(H86))</f>
        <v/>
      </c>
      <c r="N86">
        <f>A86*TAN(RADIANS(I86))</f>
        <v/>
      </c>
      <c r="O86">
        <f>A86*TAN(RADIANS(J86))</f>
        <v/>
      </c>
      <c r="BE86">
        <f>Base_mundial!C85</f>
        <v/>
      </c>
      <c r="BF86">
        <f>Base_mundial!E85-omega*(e_base-Base_mundial!B85)</f>
        <v/>
      </c>
      <c r="BG86">
        <f>BE86*TAN(RADIANS(BF86))</f>
        <v/>
      </c>
      <c r="CG86" t="n">
        <v>10.70011579420871</v>
      </c>
      <c r="CH86">
        <f>IF(MAX(CG86,sv_piso)&lt;=1,e_base-cc_bajo*LOG10(MAX(CG86,sv_piso)/sv_piso),e_base-cc_bajo*LOG10(1/sv_piso)-cc_alto*LOG10(CG86))</f>
        <v/>
      </c>
      <c r="CI86" t="n">
        <v>0.14229</v>
      </c>
      <c r="CJ86">
        <f>DEGREES(ATAN(TAN(RADIANS(pe0-omega*(e_base)))*(CG86/sref)^(m_-1)))</f>
        <v/>
      </c>
      <c r="CK86">
        <f>DEGREES(ATAN(TAN(RADIANS(pe0-omega*(CH86)))*(CG86/sref)^(m_-1)))</f>
        <v/>
      </c>
      <c r="CL86">
        <f>IF(ISNUMBER(CI86),DEGREES(ATAN(TAN(RADIANS(pe0-omega*(CI86)))*(CG86/sref)^(m_-1))),NA())</f>
        <v/>
      </c>
    </row>
    <row r="87">
      <c r="A87" t="n">
        <v>2.292</v>
      </c>
      <c r="B87">
        <f>DEGREES(ATAN(TAN(RADIANS(pe0-omega*e_base))*(A87/sref)^(m_-1)))</f>
        <v/>
      </c>
      <c r="C87">
        <f>MIN(tope,B87)</f>
        <v/>
      </c>
      <c r="D87">
        <f>IF(B87&gt;tope,B87,NA())</f>
        <v/>
      </c>
      <c r="E87">
        <f>MIN(DEGREES(ATAN(TAN(RADIANS(Parametros!$E$12-omega*e_base))*(A87/sref)^(Parametros!$B$12-1))),DEGREES(ATAN(TAN(RADIANS(Parametros!$E$13-omega*e_base))*(A87/sref)^(Parametros!$B$13-1))),DEGREES(ATAN(TAN(RADIANS(Parametros!$E$14-omega*e_base))*(A87/sref)^(Parametros!$B$14-1))),DEGREES(ATAN(TAN(RADIANS(Parametros!$E$15-omega*e_base))*(A87/sref)^(Parametros!$B$15-1))),DEGREES(ATAN(TAN(RADIANS(Parametros!$E$16-omega*e_base))*(A87/sref)^(Parametros!$B$16-1))))</f>
        <v/>
      </c>
      <c r="F87">
        <f>MAX(DEGREES(ATAN(TAN(RADIANS(Parametros!$F$12-omega*e_base))*(A87/sref)^(Parametros!$B$12-1))),DEGREES(ATAN(TAN(RADIANS(Parametros!$F$13-omega*e_base))*(A87/sref)^(Parametros!$B$13-1))),DEGREES(ATAN(TAN(RADIANS(Parametros!$F$14-omega*e_base))*(A87/sref)^(Parametros!$B$14-1))),DEGREES(ATAN(TAN(RADIANS(Parametros!$F$15-omega*e_base))*(A87/sref)^(Parametros!$B$15-1))),DEGREES(ATAN(TAN(RADIANS(Parametros!$F$16-omega*e_base))*(A87/sref)^(Parametros!$B$16-1))))</f>
        <v/>
      </c>
      <c r="G87">
        <f>DEGREES(ATAN(TAN(RADIANS(46.0))*(A87/sref)^(0.9-1)))</f>
        <v/>
      </c>
      <c r="H87">
        <f>DEGREES(ATAN(TAN(RADIANS(41.0))*(A87/sref)^(0.9-1)))</f>
        <v/>
      </c>
      <c r="I87">
        <f>DEGREES(ATAN(TAN(RADIANS(36.0))*(A87/sref)^(0.9-1)))</f>
        <v/>
      </c>
      <c r="J87">
        <f>DEGREES(ATAN(TAN(RADIANS(33.0))*(A87/sref)^(0.9-1)))</f>
        <v/>
      </c>
      <c r="K87">
        <f>A87*TAN(RADIANS(C87))</f>
        <v/>
      </c>
      <c r="L87">
        <f>A87*TAN(RADIANS(G87))</f>
        <v/>
      </c>
      <c r="M87">
        <f>A87*TAN(RADIANS(H87))</f>
        <v/>
      </c>
      <c r="N87">
        <f>A87*TAN(RADIANS(I87))</f>
        <v/>
      </c>
      <c r="O87">
        <f>A87*TAN(RADIANS(J87))</f>
        <v/>
      </c>
      <c r="Q87" t="n">
        <v>0.2967084300932714</v>
      </c>
      <c r="R87">
        <f>MIN(DEGREES(ATAN(TAN(RADIANS(Parametros!$E$12-omega*e_base))*(Q87/sref)^(Parametros!$B$12-1))),DEGREES(ATAN(TAN(RADIANS(Parametros!$E$13-omega*e_base))*(Q87/sref)^(Parametros!$B$13-1))),DEGREES(ATAN(TAN(RADIANS(Parametros!$E$14-omega*e_base))*(Q87/sref)^(Parametros!$B$14-1))),DEGREES(ATAN(TAN(RADIANS(Parametros!$E$15-omega*e_base))*(Q87/sref)^(Parametros!$B$15-1))),DEGREES(ATAN(TAN(RADIANS(Parametros!$E$16-omega*e_base))*(Q87/sref)^(Parametros!$B$16-1))))</f>
        <v/>
      </c>
      <c r="T87" t="n">
        <v>2.50189349112426</v>
      </c>
      <c r="U87">
        <f>T87*TAN(RADIANS(MIN(DEGREES(ATAN(TAN(RADIANS(Parametros!$E$12-omega*e_base))*(T87/sref)^(Parametros!$B$12-1))),DEGREES(ATAN(TAN(RADIANS(Parametros!$E$13-omega*e_base))*(T87/sref)^(Parametros!$B$13-1))),DEGREES(ATAN(TAN(RADIANS(Parametros!$E$14-omega*e_base))*(T87/sref)^(Parametros!$B$14-1))),DEGREES(ATAN(TAN(RADIANS(Parametros!$E$15-omega*e_base))*(T87/sref)^(Parametros!$B$15-1))),DEGREES(ATAN(TAN(RADIANS(Parametros!$E$16-omega*e_base))*(T87/sref)^(Parametros!$B$16-1))))))</f>
        <v/>
      </c>
      <c r="BE87">
        <f>Base_mundial!C86</f>
        <v/>
      </c>
      <c r="BF87">
        <f>Base_mundial!E86-omega*(e_base-Base_mundial!B86)</f>
        <v/>
      </c>
      <c r="BG87">
        <f>BE87*TAN(RADIANS(BF87))</f>
        <v/>
      </c>
      <c r="CG87" t="n">
        <v>11.31980488439181</v>
      </c>
      <c r="CH87">
        <f>IF(MAX(CG87,sv_piso)&lt;=1,e_base-cc_bajo*LOG10(MAX(CG87,sv_piso)/sv_piso),e_base-cc_bajo*LOG10(1/sv_piso)-cc_alto*LOG10(CG87))</f>
        <v/>
      </c>
      <c r="CI87" t="n">
        <v>0.13595</v>
      </c>
      <c r="CJ87">
        <f>DEGREES(ATAN(TAN(RADIANS(pe0-omega*(e_base)))*(CG87/sref)^(m_-1)))</f>
        <v/>
      </c>
      <c r="CK87">
        <f>DEGREES(ATAN(TAN(RADIANS(pe0-omega*(CH87)))*(CG87/sref)^(m_-1)))</f>
        <v/>
      </c>
      <c r="CL87">
        <f>IF(ISNUMBER(CI87),DEGREES(ATAN(TAN(RADIANS(pe0-omega*(CI87)))*(CG87/sref)^(m_-1))),NA())</f>
        <v/>
      </c>
    </row>
    <row r="88">
      <c r="A88" t="n">
        <v>2.45106</v>
      </c>
      <c r="B88">
        <f>DEGREES(ATAN(TAN(RADIANS(pe0-omega*e_base))*(A88/sref)^(m_-1)))</f>
        <v/>
      </c>
      <c r="C88">
        <f>MIN(tope,B88)</f>
        <v/>
      </c>
      <c r="D88">
        <f>IF(B88&gt;tope,B88,NA())</f>
        <v/>
      </c>
      <c r="E88">
        <f>MIN(DEGREES(ATAN(TAN(RADIANS(Parametros!$E$12-omega*e_base))*(A88/sref)^(Parametros!$B$12-1))),DEGREES(ATAN(TAN(RADIANS(Parametros!$E$13-omega*e_base))*(A88/sref)^(Parametros!$B$13-1))),DEGREES(ATAN(TAN(RADIANS(Parametros!$E$14-omega*e_base))*(A88/sref)^(Parametros!$B$14-1))),DEGREES(ATAN(TAN(RADIANS(Parametros!$E$15-omega*e_base))*(A88/sref)^(Parametros!$B$15-1))),DEGREES(ATAN(TAN(RADIANS(Parametros!$E$16-omega*e_base))*(A88/sref)^(Parametros!$B$16-1))))</f>
        <v/>
      </c>
      <c r="F88">
        <f>MAX(DEGREES(ATAN(TAN(RADIANS(Parametros!$F$12-omega*e_base))*(A88/sref)^(Parametros!$B$12-1))),DEGREES(ATAN(TAN(RADIANS(Parametros!$F$13-omega*e_base))*(A88/sref)^(Parametros!$B$13-1))),DEGREES(ATAN(TAN(RADIANS(Parametros!$F$14-omega*e_base))*(A88/sref)^(Parametros!$B$14-1))),DEGREES(ATAN(TAN(RADIANS(Parametros!$F$15-omega*e_base))*(A88/sref)^(Parametros!$B$15-1))),DEGREES(ATAN(TAN(RADIANS(Parametros!$F$16-omega*e_base))*(A88/sref)^(Parametros!$B$16-1))))</f>
        <v/>
      </c>
      <c r="G88">
        <f>DEGREES(ATAN(TAN(RADIANS(46.0))*(A88/sref)^(0.9-1)))</f>
        <v/>
      </c>
      <c r="H88">
        <f>DEGREES(ATAN(TAN(RADIANS(41.0))*(A88/sref)^(0.9-1)))</f>
        <v/>
      </c>
      <c r="I88">
        <f>DEGREES(ATAN(TAN(RADIANS(36.0))*(A88/sref)^(0.9-1)))</f>
        <v/>
      </c>
      <c r="J88">
        <f>DEGREES(ATAN(TAN(RADIANS(33.0))*(A88/sref)^(0.9-1)))</f>
        <v/>
      </c>
      <c r="K88">
        <f>A88*TAN(RADIANS(C88))</f>
        <v/>
      </c>
      <c r="L88">
        <f>A88*TAN(RADIANS(G88))</f>
        <v/>
      </c>
      <c r="M88">
        <f>A88*TAN(RADIANS(H88))</f>
        <v/>
      </c>
      <c r="N88">
        <f>A88*TAN(RADIANS(I88))</f>
        <v/>
      </c>
      <c r="O88">
        <f>A88*TAN(RADIANS(J88))</f>
        <v/>
      </c>
      <c r="Q88" t="n">
        <v>0.2967084300932714</v>
      </c>
      <c r="R88">
        <f>MAX(DEGREES(ATAN(TAN(RADIANS(Parametros!$F$12-omega*e_base))*(Q88/sref)^(Parametros!$B$12-1))),DEGREES(ATAN(TAN(RADIANS(Parametros!$F$13-omega*e_base))*(Q88/sref)^(Parametros!$B$13-1))),DEGREES(ATAN(TAN(RADIANS(Parametros!$F$14-omega*e_base))*(Q88/sref)^(Parametros!$B$14-1))),DEGREES(ATAN(TAN(RADIANS(Parametros!$F$15-omega*e_base))*(Q88/sref)^(Parametros!$B$15-1))),DEGREES(ATAN(TAN(RADIANS(Parametros!$F$16-omega*e_base))*(Q88/sref)^(Parametros!$B$16-1))))</f>
        <v/>
      </c>
      <c r="T88" t="n">
        <v>2.50189349112426</v>
      </c>
      <c r="U88">
        <f>T88*TAN(RADIANS(MAX(DEGREES(ATAN(TAN(RADIANS(Parametros!$F$12-omega*e_base))*(T88/sref)^(Parametros!$B$12-1))),DEGREES(ATAN(TAN(RADIANS(Parametros!$F$13-omega*e_base))*(T88/sref)^(Parametros!$B$13-1))),DEGREES(ATAN(TAN(RADIANS(Parametros!$F$14-omega*e_base))*(T88/sref)^(Parametros!$B$14-1))),DEGREES(ATAN(TAN(RADIANS(Parametros!$F$15-omega*e_base))*(T88/sref)^(Parametros!$B$15-1))),DEGREES(ATAN(TAN(RADIANS(Parametros!$F$16-omega*e_base))*(T88/sref)^(Parametros!$B$16-1))))))</f>
        <v/>
      </c>
      <c r="BE88">
        <f>Base_mundial!C87</f>
        <v/>
      </c>
      <c r="BF88">
        <f>Base_mundial!E87-omega*(e_base-Base_mundial!B87)</f>
        <v/>
      </c>
      <c r="BG88">
        <f>BE88*TAN(RADIANS(BF88))</f>
        <v/>
      </c>
      <c r="CG88" t="n">
        <v>11.97538279819867</v>
      </c>
      <c r="CH88">
        <f>IF(MAX(CG88,sv_piso)&lt;=1,e_base-cc_bajo*LOG10(MAX(CG88,sv_piso)/sv_piso),e_base-cc_bajo*LOG10(1/sv_piso)-cc_alto*LOG10(CG88))</f>
        <v/>
      </c>
      <c r="CI88" t="n">
        <v>0.12966</v>
      </c>
      <c r="CJ88">
        <f>DEGREES(ATAN(TAN(RADIANS(pe0-omega*(e_base)))*(CG88/sref)^(m_-1)))</f>
        <v/>
      </c>
      <c r="CK88">
        <f>DEGREES(ATAN(TAN(RADIANS(pe0-omega*(CH88)))*(CG88/sref)^(m_-1)))</f>
        <v/>
      </c>
      <c r="CL88">
        <f>IF(ISNUMBER(CI88),DEGREES(ATAN(TAN(RADIANS(pe0-omega*(CI88)))*(CG88/sref)^(m_-1))),NA())</f>
        <v/>
      </c>
    </row>
    <row r="89">
      <c r="A89" t="n">
        <v>2.62115</v>
      </c>
      <c r="B89">
        <f>DEGREES(ATAN(TAN(RADIANS(pe0-omega*e_base))*(A89/sref)^(m_-1)))</f>
        <v/>
      </c>
      <c r="C89">
        <f>MIN(tope,B89)</f>
        <v/>
      </c>
      <c r="D89">
        <f>IF(B89&gt;tope,B89,NA())</f>
        <v/>
      </c>
      <c r="E89">
        <f>MIN(DEGREES(ATAN(TAN(RADIANS(Parametros!$E$12-omega*e_base))*(A89/sref)^(Parametros!$B$12-1))),DEGREES(ATAN(TAN(RADIANS(Parametros!$E$13-omega*e_base))*(A89/sref)^(Parametros!$B$13-1))),DEGREES(ATAN(TAN(RADIANS(Parametros!$E$14-omega*e_base))*(A89/sref)^(Parametros!$B$14-1))),DEGREES(ATAN(TAN(RADIANS(Parametros!$E$15-omega*e_base))*(A89/sref)^(Parametros!$B$15-1))),DEGREES(ATAN(TAN(RADIANS(Parametros!$E$16-omega*e_base))*(A89/sref)^(Parametros!$B$16-1))))</f>
        <v/>
      </c>
      <c r="F89">
        <f>MAX(DEGREES(ATAN(TAN(RADIANS(Parametros!$F$12-omega*e_base))*(A89/sref)^(Parametros!$B$12-1))),DEGREES(ATAN(TAN(RADIANS(Parametros!$F$13-omega*e_base))*(A89/sref)^(Parametros!$B$13-1))),DEGREES(ATAN(TAN(RADIANS(Parametros!$F$14-omega*e_base))*(A89/sref)^(Parametros!$B$14-1))),DEGREES(ATAN(TAN(RADIANS(Parametros!$F$15-omega*e_base))*(A89/sref)^(Parametros!$B$15-1))),DEGREES(ATAN(TAN(RADIANS(Parametros!$F$16-omega*e_base))*(A89/sref)^(Parametros!$B$16-1))))</f>
        <v/>
      </c>
      <c r="G89">
        <f>DEGREES(ATAN(TAN(RADIANS(46.0))*(A89/sref)^(0.9-1)))</f>
        <v/>
      </c>
      <c r="H89">
        <f>DEGREES(ATAN(TAN(RADIANS(41.0))*(A89/sref)^(0.9-1)))</f>
        <v/>
      </c>
      <c r="I89">
        <f>DEGREES(ATAN(TAN(RADIANS(36.0))*(A89/sref)^(0.9-1)))</f>
        <v/>
      </c>
      <c r="J89">
        <f>DEGREES(ATAN(TAN(RADIANS(33.0))*(A89/sref)^(0.9-1)))</f>
        <v/>
      </c>
      <c r="K89">
        <f>A89*TAN(RADIANS(C89))</f>
        <v/>
      </c>
      <c r="L89">
        <f>A89*TAN(RADIANS(G89))</f>
        <v/>
      </c>
      <c r="M89">
        <f>A89*TAN(RADIANS(H89))</f>
        <v/>
      </c>
      <c r="N89">
        <f>A89*TAN(RADIANS(I89))</f>
        <v/>
      </c>
      <c r="O89">
        <f>A89*TAN(RADIANS(J89))</f>
        <v/>
      </c>
      <c r="BE89">
        <f>Base_mundial!C88</f>
        <v/>
      </c>
      <c r="BF89">
        <f>Base_mundial!E88-omega*(e_base-Base_mundial!B88)</f>
        <v/>
      </c>
      <c r="BG89">
        <f>BE89*TAN(RADIANS(BF89))</f>
        <v/>
      </c>
      <c r="CG89" t="n">
        <v>12.66892800962776</v>
      </c>
      <c r="CH89">
        <f>IF(MAX(CG89,sv_piso)&lt;=1,e_base-cc_bajo*LOG10(MAX(CG89,sv_piso)/sv_piso),e_base-cc_bajo*LOG10(1/sv_piso)-cc_alto*LOG10(CG89))</f>
        <v/>
      </c>
      <c r="CI89" t="n">
        <v>0.1245</v>
      </c>
      <c r="CJ89">
        <f>DEGREES(ATAN(TAN(RADIANS(pe0-omega*(e_base)))*(CG89/sref)^(m_-1)))</f>
        <v/>
      </c>
      <c r="CK89">
        <f>DEGREES(ATAN(TAN(RADIANS(pe0-omega*(CH89)))*(CG89/sref)^(m_-1)))</f>
        <v/>
      </c>
      <c r="CL89">
        <f>IF(ISNUMBER(CI89),DEGREES(ATAN(TAN(RADIANS(pe0-omega*(CI89)))*(CG89/sref)^(m_-1))),NA())</f>
        <v/>
      </c>
    </row>
    <row r="90">
      <c r="A90" t="n">
        <v>2.80304</v>
      </c>
      <c r="B90">
        <f>DEGREES(ATAN(TAN(RADIANS(pe0-omega*e_base))*(A90/sref)^(m_-1)))</f>
        <v/>
      </c>
      <c r="C90">
        <f>MIN(tope,B90)</f>
        <v/>
      </c>
      <c r="D90">
        <f>IF(B90&gt;tope,B90,NA())</f>
        <v/>
      </c>
      <c r="E90">
        <f>MIN(DEGREES(ATAN(TAN(RADIANS(Parametros!$E$12-omega*e_base))*(A90/sref)^(Parametros!$B$12-1))),DEGREES(ATAN(TAN(RADIANS(Parametros!$E$13-omega*e_base))*(A90/sref)^(Parametros!$B$13-1))),DEGREES(ATAN(TAN(RADIANS(Parametros!$E$14-omega*e_base))*(A90/sref)^(Parametros!$B$14-1))),DEGREES(ATAN(TAN(RADIANS(Parametros!$E$15-omega*e_base))*(A90/sref)^(Parametros!$B$15-1))),DEGREES(ATAN(TAN(RADIANS(Parametros!$E$16-omega*e_base))*(A90/sref)^(Parametros!$B$16-1))))</f>
        <v/>
      </c>
      <c r="F90">
        <f>MAX(DEGREES(ATAN(TAN(RADIANS(Parametros!$F$12-omega*e_base))*(A90/sref)^(Parametros!$B$12-1))),DEGREES(ATAN(TAN(RADIANS(Parametros!$F$13-omega*e_base))*(A90/sref)^(Parametros!$B$13-1))),DEGREES(ATAN(TAN(RADIANS(Parametros!$F$14-omega*e_base))*(A90/sref)^(Parametros!$B$14-1))),DEGREES(ATAN(TAN(RADIANS(Parametros!$F$15-omega*e_base))*(A90/sref)^(Parametros!$B$15-1))),DEGREES(ATAN(TAN(RADIANS(Parametros!$F$16-omega*e_base))*(A90/sref)^(Parametros!$B$16-1))))</f>
        <v/>
      </c>
      <c r="G90">
        <f>DEGREES(ATAN(TAN(RADIANS(46.0))*(A90/sref)^(0.9-1)))</f>
        <v/>
      </c>
      <c r="H90">
        <f>DEGREES(ATAN(TAN(RADIANS(41.0))*(A90/sref)^(0.9-1)))</f>
        <v/>
      </c>
      <c r="I90">
        <f>DEGREES(ATAN(TAN(RADIANS(36.0))*(A90/sref)^(0.9-1)))</f>
        <v/>
      </c>
      <c r="J90">
        <f>DEGREES(ATAN(TAN(RADIANS(33.0))*(A90/sref)^(0.9-1)))</f>
        <v/>
      </c>
      <c r="K90">
        <f>A90*TAN(RADIANS(C90))</f>
        <v/>
      </c>
      <c r="L90">
        <f>A90*TAN(RADIANS(G90))</f>
        <v/>
      </c>
      <c r="M90">
        <f>A90*TAN(RADIANS(H90))</f>
        <v/>
      </c>
      <c r="N90">
        <f>A90*TAN(RADIANS(I90))</f>
        <v/>
      </c>
      <c r="O90">
        <f>A90*TAN(RADIANS(J90))</f>
        <v/>
      </c>
      <c r="Q90" t="n">
        <v>0.3084599686952326</v>
      </c>
      <c r="R90">
        <f>MIN(DEGREES(ATAN(TAN(RADIANS(Parametros!$E$12-omega*e_base))*(Q90/sref)^(Parametros!$B$12-1))),DEGREES(ATAN(TAN(RADIANS(Parametros!$E$13-omega*e_base))*(Q90/sref)^(Parametros!$B$13-1))),DEGREES(ATAN(TAN(RADIANS(Parametros!$E$14-omega*e_base))*(Q90/sref)^(Parametros!$B$14-1))),DEGREES(ATAN(TAN(RADIANS(Parametros!$E$15-omega*e_base))*(Q90/sref)^(Parametros!$B$15-1))),DEGREES(ATAN(TAN(RADIANS(Parametros!$E$16-omega*e_base))*(Q90/sref)^(Parametros!$B$16-1))))</f>
        <v/>
      </c>
      <c r="T90" t="n">
        <v>2.590532544378698</v>
      </c>
      <c r="U90">
        <f>T90*TAN(RADIANS(MIN(DEGREES(ATAN(TAN(RADIANS(Parametros!$E$12-omega*e_base))*(T90/sref)^(Parametros!$B$12-1))),DEGREES(ATAN(TAN(RADIANS(Parametros!$E$13-omega*e_base))*(T90/sref)^(Parametros!$B$13-1))),DEGREES(ATAN(TAN(RADIANS(Parametros!$E$14-omega*e_base))*(T90/sref)^(Parametros!$B$14-1))),DEGREES(ATAN(TAN(RADIANS(Parametros!$E$15-omega*e_base))*(T90/sref)^(Parametros!$B$15-1))),DEGREES(ATAN(TAN(RADIANS(Parametros!$E$16-omega*e_base))*(T90/sref)^(Parametros!$B$16-1))))))</f>
        <v/>
      </c>
      <c r="BE90">
        <f>Base_mundial!C89</f>
        <v/>
      </c>
      <c r="BF90">
        <f>Base_mundial!E89-omega*(e_base-Base_mundial!B89)</f>
        <v/>
      </c>
      <c r="BG90">
        <f>BE90*TAN(RADIANS(BF90))</f>
        <v/>
      </c>
      <c r="CG90" t="n">
        <v>13.40263936592267</v>
      </c>
      <c r="CH90">
        <f>IF(MAX(CG90,sv_piso)&lt;=1,e_base-cc_bajo*LOG10(MAX(CG90,sv_piso)/sv_piso),e_base-cc_bajo*LOG10(1/sv_piso)-cc_alto*LOG10(CG90))</f>
        <v/>
      </c>
      <c r="CI90" t="n">
        <v>0.11911</v>
      </c>
      <c r="CJ90">
        <f>DEGREES(ATAN(TAN(RADIANS(pe0-omega*(e_base)))*(CG90/sref)^(m_-1)))</f>
        <v/>
      </c>
      <c r="CK90">
        <f>DEGREES(ATAN(TAN(RADIANS(pe0-omega*(CH90)))*(CG90/sref)^(m_-1)))</f>
        <v/>
      </c>
      <c r="CL90">
        <f>IF(ISNUMBER(CI90),DEGREES(ATAN(TAN(RADIANS(pe0-omega*(CI90)))*(CG90/sref)^(m_-1))),NA())</f>
        <v/>
      </c>
    </row>
    <row r="91">
      <c r="A91" t="n">
        <v>2.99756</v>
      </c>
      <c r="B91">
        <f>DEGREES(ATAN(TAN(RADIANS(pe0-omega*e_base))*(A91/sref)^(m_-1)))</f>
        <v/>
      </c>
      <c r="C91">
        <f>MIN(tope,B91)</f>
        <v/>
      </c>
      <c r="D91">
        <f>IF(B91&gt;tope,B91,NA())</f>
        <v/>
      </c>
      <c r="E91">
        <f>MIN(DEGREES(ATAN(TAN(RADIANS(Parametros!$E$12-omega*e_base))*(A91/sref)^(Parametros!$B$12-1))),DEGREES(ATAN(TAN(RADIANS(Parametros!$E$13-omega*e_base))*(A91/sref)^(Parametros!$B$13-1))),DEGREES(ATAN(TAN(RADIANS(Parametros!$E$14-omega*e_base))*(A91/sref)^(Parametros!$B$14-1))),DEGREES(ATAN(TAN(RADIANS(Parametros!$E$15-omega*e_base))*(A91/sref)^(Parametros!$B$15-1))),DEGREES(ATAN(TAN(RADIANS(Parametros!$E$16-omega*e_base))*(A91/sref)^(Parametros!$B$16-1))))</f>
        <v/>
      </c>
      <c r="F91">
        <f>MAX(DEGREES(ATAN(TAN(RADIANS(Parametros!$F$12-omega*e_base))*(A91/sref)^(Parametros!$B$12-1))),DEGREES(ATAN(TAN(RADIANS(Parametros!$F$13-omega*e_base))*(A91/sref)^(Parametros!$B$13-1))),DEGREES(ATAN(TAN(RADIANS(Parametros!$F$14-omega*e_base))*(A91/sref)^(Parametros!$B$14-1))),DEGREES(ATAN(TAN(RADIANS(Parametros!$F$15-omega*e_base))*(A91/sref)^(Parametros!$B$15-1))),DEGREES(ATAN(TAN(RADIANS(Parametros!$F$16-omega*e_base))*(A91/sref)^(Parametros!$B$16-1))))</f>
        <v/>
      </c>
      <c r="G91">
        <f>DEGREES(ATAN(TAN(RADIANS(46.0))*(A91/sref)^(0.9-1)))</f>
        <v/>
      </c>
      <c r="H91">
        <f>DEGREES(ATAN(TAN(RADIANS(41.0))*(A91/sref)^(0.9-1)))</f>
        <v/>
      </c>
      <c r="I91">
        <f>DEGREES(ATAN(TAN(RADIANS(36.0))*(A91/sref)^(0.9-1)))</f>
        <v/>
      </c>
      <c r="J91">
        <f>DEGREES(ATAN(TAN(RADIANS(33.0))*(A91/sref)^(0.9-1)))</f>
        <v/>
      </c>
      <c r="K91">
        <f>A91*TAN(RADIANS(C91))</f>
        <v/>
      </c>
      <c r="L91">
        <f>A91*TAN(RADIANS(G91))</f>
        <v/>
      </c>
      <c r="M91">
        <f>A91*TAN(RADIANS(H91))</f>
        <v/>
      </c>
      <c r="N91">
        <f>A91*TAN(RADIANS(I91))</f>
        <v/>
      </c>
      <c r="O91">
        <f>A91*TAN(RADIANS(J91))</f>
        <v/>
      </c>
      <c r="Q91" t="n">
        <v>0.3084599686952326</v>
      </c>
      <c r="R91">
        <f>MAX(DEGREES(ATAN(TAN(RADIANS(Parametros!$F$12-omega*e_base))*(Q91/sref)^(Parametros!$B$12-1))),DEGREES(ATAN(TAN(RADIANS(Parametros!$F$13-omega*e_base))*(Q91/sref)^(Parametros!$B$13-1))),DEGREES(ATAN(TAN(RADIANS(Parametros!$F$14-omega*e_base))*(Q91/sref)^(Parametros!$B$14-1))),DEGREES(ATAN(TAN(RADIANS(Parametros!$F$15-omega*e_base))*(Q91/sref)^(Parametros!$B$15-1))),DEGREES(ATAN(TAN(RADIANS(Parametros!$F$16-omega*e_base))*(Q91/sref)^(Parametros!$B$16-1))))</f>
        <v/>
      </c>
      <c r="T91" t="n">
        <v>2.590532544378698</v>
      </c>
      <c r="U91">
        <f>T91*TAN(RADIANS(MAX(DEGREES(ATAN(TAN(RADIANS(Parametros!$F$12-omega*e_base))*(T91/sref)^(Parametros!$B$12-1))),DEGREES(ATAN(TAN(RADIANS(Parametros!$F$13-omega*e_base))*(T91/sref)^(Parametros!$B$13-1))),DEGREES(ATAN(TAN(RADIANS(Parametros!$F$14-omega*e_base))*(T91/sref)^(Parametros!$B$14-1))),DEGREES(ATAN(TAN(RADIANS(Parametros!$F$15-omega*e_base))*(T91/sref)^(Parametros!$B$15-1))),DEGREES(ATAN(TAN(RADIANS(Parametros!$F$16-omega*e_base))*(T91/sref)^(Parametros!$B$16-1))))))</f>
        <v/>
      </c>
      <c r="BE91">
        <f>Base_mundial!C90</f>
        <v/>
      </c>
      <c r="BF91">
        <f>Base_mundial!E90-omega*(e_base-Base_mundial!B90)</f>
        <v/>
      </c>
      <c r="BG91">
        <f>BE91*TAN(RADIANS(BF91))</f>
        <v/>
      </c>
      <c r="CG91" t="n">
        <v>14.1788430588973</v>
      </c>
      <c r="CH91">
        <f>IF(MAX(CG91,sv_piso)&lt;=1,e_base-cc_bajo*LOG10(MAX(CG91,sv_piso)/sv_piso),e_base-cc_bajo*LOG10(1/sv_piso)-cc_alto*LOG10(CG91))</f>
        <v/>
      </c>
      <c r="CJ91">
        <f>DEGREES(ATAN(TAN(RADIANS(pe0-omega*(e_base)))*(CG91/sref)^(m_-1)))</f>
        <v/>
      </c>
      <c r="CK91">
        <f>DEGREES(ATAN(TAN(RADIANS(pe0-omega*(CH91)))*(CG91/sref)^(m_-1)))</f>
        <v/>
      </c>
      <c r="CL91">
        <f>IF(ISNUMBER(CI91),DEGREES(ATAN(TAN(RADIANS(pe0-omega*(CI91)))*(CG91/sref)^(m_-1))),NA())</f>
        <v/>
      </c>
    </row>
    <row r="92">
      <c r="A92" t="n">
        <v>3.20558</v>
      </c>
      <c r="B92">
        <f>DEGREES(ATAN(TAN(RADIANS(pe0-omega*e_base))*(A92/sref)^(m_-1)))</f>
        <v/>
      </c>
      <c r="C92">
        <f>MIN(tope,B92)</f>
        <v/>
      </c>
      <c r="D92">
        <f>IF(B92&gt;tope,B92,NA())</f>
        <v/>
      </c>
      <c r="E92">
        <f>MIN(DEGREES(ATAN(TAN(RADIANS(Parametros!$E$12-omega*e_base))*(A92/sref)^(Parametros!$B$12-1))),DEGREES(ATAN(TAN(RADIANS(Parametros!$E$13-omega*e_base))*(A92/sref)^(Parametros!$B$13-1))),DEGREES(ATAN(TAN(RADIANS(Parametros!$E$14-omega*e_base))*(A92/sref)^(Parametros!$B$14-1))),DEGREES(ATAN(TAN(RADIANS(Parametros!$E$15-omega*e_base))*(A92/sref)^(Parametros!$B$15-1))),DEGREES(ATAN(TAN(RADIANS(Parametros!$E$16-omega*e_base))*(A92/sref)^(Parametros!$B$16-1))))</f>
        <v/>
      </c>
      <c r="F92">
        <f>MAX(DEGREES(ATAN(TAN(RADIANS(Parametros!$F$12-omega*e_base))*(A92/sref)^(Parametros!$B$12-1))),DEGREES(ATAN(TAN(RADIANS(Parametros!$F$13-omega*e_base))*(A92/sref)^(Parametros!$B$13-1))),DEGREES(ATAN(TAN(RADIANS(Parametros!$F$14-omega*e_base))*(A92/sref)^(Parametros!$B$14-1))),DEGREES(ATAN(TAN(RADIANS(Parametros!$F$15-omega*e_base))*(A92/sref)^(Parametros!$B$15-1))),DEGREES(ATAN(TAN(RADIANS(Parametros!$F$16-omega*e_base))*(A92/sref)^(Parametros!$B$16-1))))</f>
        <v/>
      </c>
      <c r="G92">
        <f>DEGREES(ATAN(TAN(RADIANS(46.0))*(A92/sref)^(0.9-1)))</f>
        <v/>
      </c>
      <c r="H92">
        <f>DEGREES(ATAN(TAN(RADIANS(41.0))*(A92/sref)^(0.9-1)))</f>
        <v/>
      </c>
      <c r="I92">
        <f>DEGREES(ATAN(TAN(RADIANS(36.0))*(A92/sref)^(0.9-1)))</f>
        <v/>
      </c>
      <c r="J92">
        <f>DEGREES(ATAN(TAN(RADIANS(33.0))*(A92/sref)^(0.9-1)))</f>
        <v/>
      </c>
      <c r="K92">
        <f>A92*TAN(RADIANS(C92))</f>
        <v/>
      </c>
      <c r="L92">
        <f>A92*TAN(RADIANS(G92))</f>
        <v/>
      </c>
      <c r="M92">
        <f>A92*TAN(RADIANS(H92))</f>
        <v/>
      </c>
      <c r="N92">
        <f>A92*TAN(RADIANS(I92))</f>
        <v/>
      </c>
      <c r="O92">
        <f>A92*TAN(RADIANS(J92))</f>
        <v/>
      </c>
      <c r="BE92">
        <f>Base_mundial!C91</f>
        <v/>
      </c>
      <c r="BF92">
        <f>Base_mundial!E91-omega*(e_base-Base_mundial!B91)</f>
        <v/>
      </c>
      <c r="BG92">
        <f>BE92*TAN(RADIANS(BF92))</f>
        <v/>
      </c>
      <c r="CG92" t="n">
        <v>15</v>
      </c>
      <c r="CH92">
        <f>IF(MAX(CG92,sv_piso)&lt;=1,e_base-cc_bajo*LOG10(MAX(CG92,sv_piso)/sv_piso),e_base-cc_bajo*LOG10(1/sv_piso)-cc_alto*LOG10(CG92))</f>
        <v/>
      </c>
      <c r="CJ92">
        <f>DEGREES(ATAN(TAN(RADIANS(pe0-omega*(e_base)))*(CG92/sref)^(m_-1)))</f>
        <v/>
      </c>
      <c r="CK92">
        <f>DEGREES(ATAN(TAN(RADIANS(pe0-omega*(CH92)))*(CG92/sref)^(m_-1)))</f>
        <v/>
      </c>
      <c r="CL92">
        <f>IF(ISNUMBER(CI92),DEGREES(ATAN(TAN(RADIANS(pe0-omega*(CI92)))*(CG92/sref)^(m_-1))),NA())</f>
        <v/>
      </c>
    </row>
    <row r="93">
      <c r="A93" t="n">
        <v>3.42804</v>
      </c>
      <c r="B93">
        <f>DEGREES(ATAN(TAN(RADIANS(pe0-omega*e_base))*(A93/sref)^(m_-1)))</f>
        <v/>
      </c>
      <c r="C93">
        <f>MIN(tope,B93)</f>
        <v/>
      </c>
      <c r="D93">
        <f>IF(B93&gt;tope,B93,NA())</f>
        <v/>
      </c>
      <c r="E93">
        <f>MIN(DEGREES(ATAN(TAN(RADIANS(Parametros!$E$12-omega*e_base))*(A93/sref)^(Parametros!$B$12-1))),DEGREES(ATAN(TAN(RADIANS(Parametros!$E$13-omega*e_base))*(A93/sref)^(Parametros!$B$13-1))),DEGREES(ATAN(TAN(RADIANS(Parametros!$E$14-omega*e_base))*(A93/sref)^(Parametros!$B$14-1))),DEGREES(ATAN(TAN(RADIANS(Parametros!$E$15-omega*e_base))*(A93/sref)^(Parametros!$B$15-1))),DEGREES(ATAN(TAN(RADIANS(Parametros!$E$16-omega*e_base))*(A93/sref)^(Parametros!$B$16-1))))</f>
        <v/>
      </c>
      <c r="F93">
        <f>MAX(DEGREES(ATAN(TAN(RADIANS(Parametros!$F$12-omega*e_base))*(A93/sref)^(Parametros!$B$12-1))),DEGREES(ATAN(TAN(RADIANS(Parametros!$F$13-omega*e_base))*(A93/sref)^(Parametros!$B$13-1))),DEGREES(ATAN(TAN(RADIANS(Parametros!$F$14-omega*e_base))*(A93/sref)^(Parametros!$B$14-1))),DEGREES(ATAN(TAN(RADIANS(Parametros!$F$15-omega*e_base))*(A93/sref)^(Parametros!$B$15-1))),DEGREES(ATAN(TAN(RADIANS(Parametros!$F$16-omega*e_base))*(A93/sref)^(Parametros!$B$16-1))))</f>
        <v/>
      </c>
      <c r="G93">
        <f>DEGREES(ATAN(TAN(RADIANS(46.0))*(A93/sref)^(0.9-1)))</f>
        <v/>
      </c>
      <c r="H93">
        <f>DEGREES(ATAN(TAN(RADIANS(41.0))*(A93/sref)^(0.9-1)))</f>
        <v/>
      </c>
      <c r="I93">
        <f>DEGREES(ATAN(TAN(RADIANS(36.0))*(A93/sref)^(0.9-1)))</f>
        <v/>
      </c>
      <c r="J93">
        <f>DEGREES(ATAN(TAN(RADIANS(33.0))*(A93/sref)^(0.9-1)))</f>
        <v/>
      </c>
      <c r="K93">
        <f>A93*TAN(RADIANS(C93))</f>
        <v/>
      </c>
      <c r="L93">
        <f>A93*TAN(RADIANS(G93))</f>
        <v/>
      </c>
      <c r="M93">
        <f>A93*TAN(RADIANS(H93))</f>
        <v/>
      </c>
      <c r="N93">
        <f>A93*TAN(RADIANS(I93))</f>
        <v/>
      </c>
      <c r="O93">
        <f>A93*TAN(RADIANS(J93))</f>
        <v/>
      </c>
      <c r="Q93" t="n">
        <v>0.3206769428747067</v>
      </c>
      <c r="R93">
        <f>MIN(DEGREES(ATAN(TAN(RADIANS(Parametros!$E$12-omega*e_base))*(Q93/sref)^(Parametros!$B$12-1))),DEGREES(ATAN(TAN(RADIANS(Parametros!$E$13-omega*e_base))*(Q93/sref)^(Parametros!$B$13-1))),DEGREES(ATAN(TAN(RADIANS(Parametros!$E$14-omega*e_base))*(Q93/sref)^(Parametros!$B$14-1))),DEGREES(ATAN(TAN(RADIANS(Parametros!$E$15-omega*e_base))*(Q93/sref)^(Parametros!$B$15-1))),DEGREES(ATAN(TAN(RADIANS(Parametros!$E$16-omega*e_base))*(Q93/sref)^(Parametros!$B$16-1))))</f>
        <v/>
      </c>
      <c r="T93" t="n">
        <v>2.679171597633136</v>
      </c>
      <c r="U93">
        <f>T93*TAN(RADIANS(MIN(DEGREES(ATAN(TAN(RADIANS(Parametros!$E$12-omega*e_base))*(T93/sref)^(Parametros!$B$12-1))),DEGREES(ATAN(TAN(RADIANS(Parametros!$E$13-omega*e_base))*(T93/sref)^(Parametros!$B$13-1))),DEGREES(ATAN(TAN(RADIANS(Parametros!$E$14-omega*e_base))*(T93/sref)^(Parametros!$B$14-1))),DEGREES(ATAN(TAN(RADIANS(Parametros!$E$15-omega*e_base))*(T93/sref)^(Parametros!$B$15-1))),DEGREES(ATAN(TAN(RADIANS(Parametros!$E$16-omega*e_base))*(T93/sref)^(Parametros!$B$16-1))))))</f>
        <v/>
      </c>
      <c r="BE93">
        <f>Base_mundial!C92</f>
        <v/>
      </c>
      <c r="BF93">
        <f>Base_mundial!E92-omega*(e_base-Base_mundial!B92)</f>
        <v/>
      </c>
      <c r="BG93">
        <f>BE93*TAN(RADIANS(BF93))</f>
        <v/>
      </c>
    </row>
    <row r="94">
      <c r="A94" t="n">
        <v>3.66593</v>
      </c>
      <c r="B94">
        <f>DEGREES(ATAN(TAN(RADIANS(pe0-omega*e_base))*(A94/sref)^(m_-1)))</f>
        <v/>
      </c>
      <c r="C94">
        <f>MIN(tope,B94)</f>
        <v/>
      </c>
      <c r="D94">
        <f>IF(B94&gt;tope,B94,NA())</f>
        <v/>
      </c>
      <c r="E94">
        <f>MIN(DEGREES(ATAN(TAN(RADIANS(Parametros!$E$12-omega*e_base))*(A94/sref)^(Parametros!$B$12-1))),DEGREES(ATAN(TAN(RADIANS(Parametros!$E$13-omega*e_base))*(A94/sref)^(Parametros!$B$13-1))),DEGREES(ATAN(TAN(RADIANS(Parametros!$E$14-omega*e_base))*(A94/sref)^(Parametros!$B$14-1))),DEGREES(ATAN(TAN(RADIANS(Parametros!$E$15-omega*e_base))*(A94/sref)^(Parametros!$B$15-1))),DEGREES(ATAN(TAN(RADIANS(Parametros!$E$16-omega*e_base))*(A94/sref)^(Parametros!$B$16-1))))</f>
        <v/>
      </c>
      <c r="F94">
        <f>MAX(DEGREES(ATAN(TAN(RADIANS(Parametros!$F$12-omega*e_base))*(A94/sref)^(Parametros!$B$12-1))),DEGREES(ATAN(TAN(RADIANS(Parametros!$F$13-omega*e_base))*(A94/sref)^(Parametros!$B$13-1))),DEGREES(ATAN(TAN(RADIANS(Parametros!$F$14-omega*e_base))*(A94/sref)^(Parametros!$B$14-1))),DEGREES(ATAN(TAN(RADIANS(Parametros!$F$15-omega*e_base))*(A94/sref)^(Parametros!$B$15-1))),DEGREES(ATAN(TAN(RADIANS(Parametros!$F$16-omega*e_base))*(A94/sref)^(Parametros!$B$16-1))))</f>
        <v/>
      </c>
      <c r="G94">
        <f>DEGREES(ATAN(TAN(RADIANS(46.0))*(A94/sref)^(0.9-1)))</f>
        <v/>
      </c>
      <c r="H94">
        <f>DEGREES(ATAN(TAN(RADIANS(41.0))*(A94/sref)^(0.9-1)))</f>
        <v/>
      </c>
      <c r="I94">
        <f>DEGREES(ATAN(TAN(RADIANS(36.0))*(A94/sref)^(0.9-1)))</f>
        <v/>
      </c>
      <c r="J94">
        <f>DEGREES(ATAN(TAN(RADIANS(33.0))*(A94/sref)^(0.9-1)))</f>
        <v/>
      </c>
      <c r="K94">
        <f>A94*TAN(RADIANS(C94))</f>
        <v/>
      </c>
      <c r="L94">
        <f>A94*TAN(RADIANS(G94))</f>
        <v/>
      </c>
      <c r="M94">
        <f>A94*TAN(RADIANS(H94))</f>
        <v/>
      </c>
      <c r="N94">
        <f>A94*TAN(RADIANS(I94))</f>
        <v/>
      </c>
      <c r="O94">
        <f>A94*TAN(RADIANS(J94))</f>
        <v/>
      </c>
      <c r="Q94" t="n">
        <v>0.3206769428747067</v>
      </c>
      <c r="R94">
        <f>MAX(DEGREES(ATAN(TAN(RADIANS(Parametros!$F$12-omega*e_base))*(Q94/sref)^(Parametros!$B$12-1))),DEGREES(ATAN(TAN(RADIANS(Parametros!$F$13-omega*e_base))*(Q94/sref)^(Parametros!$B$13-1))),DEGREES(ATAN(TAN(RADIANS(Parametros!$F$14-omega*e_base))*(Q94/sref)^(Parametros!$B$14-1))),DEGREES(ATAN(TAN(RADIANS(Parametros!$F$15-omega*e_base))*(Q94/sref)^(Parametros!$B$15-1))),DEGREES(ATAN(TAN(RADIANS(Parametros!$F$16-omega*e_base))*(Q94/sref)^(Parametros!$B$16-1))))</f>
        <v/>
      </c>
      <c r="T94" t="n">
        <v>2.679171597633136</v>
      </c>
      <c r="U94">
        <f>T94*TAN(RADIANS(MAX(DEGREES(ATAN(TAN(RADIANS(Parametros!$F$12-omega*e_base))*(T94/sref)^(Parametros!$B$12-1))),DEGREES(ATAN(TAN(RADIANS(Parametros!$F$13-omega*e_base))*(T94/sref)^(Parametros!$B$13-1))),DEGREES(ATAN(TAN(RADIANS(Parametros!$F$14-omega*e_base))*(T94/sref)^(Parametros!$B$14-1))),DEGREES(ATAN(TAN(RADIANS(Parametros!$F$15-omega*e_base))*(T94/sref)^(Parametros!$B$15-1))),DEGREES(ATAN(TAN(RADIANS(Parametros!$F$16-omega*e_base))*(T94/sref)^(Parametros!$B$16-1))))))</f>
        <v/>
      </c>
      <c r="BE94">
        <f>Base_mundial!C93</f>
        <v/>
      </c>
      <c r="BF94">
        <f>Base_mundial!E93-omega*(e_base-Base_mundial!B93)</f>
        <v/>
      </c>
      <c r="BG94">
        <f>BE94*TAN(RADIANS(BF94))</f>
        <v/>
      </c>
    </row>
    <row r="95">
      <c r="A95" t="n">
        <v>3.92033</v>
      </c>
      <c r="B95">
        <f>DEGREES(ATAN(TAN(RADIANS(pe0-omega*e_base))*(A95/sref)^(m_-1)))</f>
        <v/>
      </c>
      <c r="C95">
        <f>MIN(tope,B95)</f>
        <v/>
      </c>
      <c r="D95">
        <f>IF(B95&gt;tope,B95,NA())</f>
        <v/>
      </c>
      <c r="E95">
        <f>MIN(DEGREES(ATAN(TAN(RADIANS(Parametros!$E$12-omega*e_base))*(A95/sref)^(Parametros!$B$12-1))),DEGREES(ATAN(TAN(RADIANS(Parametros!$E$13-omega*e_base))*(A95/sref)^(Parametros!$B$13-1))),DEGREES(ATAN(TAN(RADIANS(Parametros!$E$14-omega*e_base))*(A95/sref)^(Parametros!$B$14-1))),DEGREES(ATAN(TAN(RADIANS(Parametros!$E$15-omega*e_base))*(A95/sref)^(Parametros!$B$15-1))),DEGREES(ATAN(TAN(RADIANS(Parametros!$E$16-omega*e_base))*(A95/sref)^(Parametros!$B$16-1))))</f>
        <v/>
      </c>
      <c r="F95">
        <f>MAX(DEGREES(ATAN(TAN(RADIANS(Parametros!$F$12-omega*e_base))*(A95/sref)^(Parametros!$B$12-1))),DEGREES(ATAN(TAN(RADIANS(Parametros!$F$13-omega*e_base))*(A95/sref)^(Parametros!$B$13-1))),DEGREES(ATAN(TAN(RADIANS(Parametros!$F$14-omega*e_base))*(A95/sref)^(Parametros!$B$14-1))),DEGREES(ATAN(TAN(RADIANS(Parametros!$F$15-omega*e_base))*(A95/sref)^(Parametros!$B$15-1))),DEGREES(ATAN(TAN(RADIANS(Parametros!$F$16-omega*e_base))*(A95/sref)^(Parametros!$B$16-1))))</f>
        <v/>
      </c>
      <c r="G95">
        <f>DEGREES(ATAN(TAN(RADIANS(46.0))*(A95/sref)^(0.9-1)))</f>
        <v/>
      </c>
      <c r="H95">
        <f>DEGREES(ATAN(TAN(RADIANS(41.0))*(A95/sref)^(0.9-1)))</f>
        <v/>
      </c>
      <c r="I95">
        <f>DEGREES(ATAN(TAN(RADIANS(36.0))*(A95/sref)^(0.9-1)))</f>
        <v/>
      </c>
      <c r="J95">
        <f>DEGREES(ATAN(TAN(RADIANS(33.0))*(A95/sref)^(0.9-1)))</f>
        <v/>
      </c>
      <c r="K95">
        <f>A95*TAN(RADIANS(C95))</f>
        <v/>
      </c>
      <c r="L95">
        <f>A95*TAN(RADIANS(G95))</f>
        <v/>
      </c>
      <c r="M95">
        <f>A95*TAN(RADIANS(H95))</f>
        <v/>
      </c>
      <c r="N95">
        <f>A95*TAN(RADIANS(I95))</f>
        <v/>
      </c>
      <c r="O95">
        <f>A95*TAN(RADIANS(J95))</f>
        <v/>
      </c>
      <c r="BE95">
        <f>Base_mundial!C94</f>
        <v/>
      </c>
      <c r="BF95">
        <f>Base_mundial!E94-omega*(e_base-Base_mundial!B94)</f>
        <v/>
      </c>
      <c r="BG95">
        <f>BE95*TAN(RADIANS(BF95))</f>
        <v/>
      </c>
    </row>
    <row r="96">
      <c r="A96" t="n">
        <v>4.19238</v>
      </c>
      <c r="B96">
        <f>DEGREES(ATAN(TAN(RADIANS(pe0-omega*e_base))*(A96/sref)^(m_-1)))</f>
        <v/>
      </c>
      <c r="C96">
        <f>MIN(tope,B96)</f>
        <v/>
      </c>
      <c r="D96">
        <f>IF(B96&gt;tope,B96,NA())</f>
        <v/>
      </c>
      <c r="E96">
        <f>MIN(DEGREES(ATAN(TAN(RADIANS(Parametros!$E$12-omega*e_base))*(A96/sref)^(Parametros!$B$12-1))),DEGREES(ATAN(TAN(RADIANS(Parametros!$E$13-omega*e_base))*(A96/sref)^(Parametros!$B$13-1))),DEGREES(ATAN(TAN(RADIANS(Parametros!$E$14-omega*e_base))*(A96/sref)^(Parametros!$B$14-1))),DEGREES(ATAN(TAN(RADIANS(Parametros!$E$15-omega*e_base))*(A96/sref)^(Parametros!$B$15-1))),DEGREES(ATAN(TAN(RADIANS(Parametros!$E$16-omega*e_base))*(A96/sref)^(Parametros!$B$16-1))))</f>
        <v/>
      </c>
      <c r="F96">
        <f>MAX(DEGREES(ATAN(TAN(RADIANS(Parametros!$F$12-omega*e_base))*(A96/sref)^(Parametros!$B$12-1))),DEGREES(ATAN(TAN(RADIANS(Parametros!$F$13-omega*e_base))*(A96/sref)^(Parametros!$B$13-1))),DEGREES(ATAN(TAN(RADIANS(Parametros!$F$14-omega*e_base))*(A96/sref)^(Parametros!$B$14-1))),DEGREES(ATAN(TAN(RADIANS(Parametros!$F$15-omega*e_base))*(A96/sref)^(Parametros!$B$15-1))),DEGREES(ATAN(TAN(RADIANS(Parametros!$F$16-omega*e_base))*(A96/sref)^(Parametros!$B$16-1))))</f>
        <v/>
      </c>
      <c r="G96">
        <f>DEGREES(ATAN(TAN(RADIANS(46.0))*(A96/sref)^(0.9-1)))</f>
        <v/>
      </c>
      <c r="H96">
        <f>DEGREES(ATAN(TAN(RADIANS(41.0))*(A96/sref)^(0.9-1)))</f>
        <v/>
      </c>
      <c r="I96">
        <f>DEGREES(ATAN(TAN(RADIANS(36.0))*(A96/sref)^(0.9-1)))</f>
        <v/>
      </c>
      <c r="J96">
        <f>DEGREES(ATAN(TAN(RADIANS(33.0))*(A96/sref)^(0.9-1)))</f>
        <v/>
      </c>
      <c r="K96">
        <f>A96*TAN(RADIANS(C96))</f>
        <v/>
      </c>
      <c r="L96">
        <f>A96*TAN(RADIANS(G96))</f>
        <v/>
      </c>
      <c r="M96">
        <f>A96*TAN(RADIANS(H96))</f>
        <v/>
      </c>
      <c r="N96">
        <f>A96*TAN(RADIANS(I96))</f>
        <v/>
      </c>
      <c r="O96">
        <f>A96*TAN(RADIANS(J96))</f>
        <v/>
      </c>
      <c r="Q96" t="n">
        <v>0.3333777868371328</v>
      </c>
      <c r="R96">
        <f>MIN(DEGREES(ATAN(TAN(RADIANS(Parametros!$E$12-omega*e_base))*(Q96/sref)^(Parametros!$B$12-1))),DEGREES(ATAN(TAN(RADIANS(Parametros!$E$13-omega*e_base))*(Q96/sref)^(Parametros!$B$13-1))),DEGREES(ATAN(TAN(RADIANS(Parametros!$E$14-omega*e_base))*(Q96/sref)^(Parametros!$B$14-1))),DEGREES(ATAN(TAN(RADIANS(Parametros!$E$15-omega*e_base))*(Q96/sref)^(Parametros!$B$15-1))),DEGREES(ATAN(TAN(RADIANS(Parametros!$E$16-omega*e_base))*(Q96/sref)^(Parametros!$B$16-1))))</f>
        <v/>
      </c>
      <c r="T96" t="n">
        <v>2.767810650887574</v>
      </c>
      <c r="U96">
        <f>T96*TAN(RADIANS(MIN(DEGREES(ATAN(TAN(RADIANS(Parametros!$E$12-omega*e_base))*(T96/sref)^(Parametros!$B$12-1))),DEGREES(ATAN(TAN(RADIANS(Parametros!$E$13-omega*e_base))*(T96/sref)^(Parametros!$B$13-1))),DEGREES(ATAN(TAN(RADIANS(Parametros!$E$14-omega*e_base))*(T96/sref)^(Parametros!$B$14-1))),DEGREES(ATAN(TAN(RADIANS(Parametros!$E$15-omega*e_base))*(T96/sref)^(Parametros!$B$15-1))),DEGREES(ATAN(TAN(RADIANS(Parametros!$E$16-omega*e_base))*(T96/sref)^(Parametros!$B$16-1))))))</f>
        <v/>
      </c>
      <c r="BE96">
        <f>Base_mundial!C95</f>
        <v/>
      </c>
      <c r="BF96">
        <f>Base_mundial!E95-omega*(e_base-Base_mundial!B95)</f>
        <v/>
      </c>
      <c r="BG96">
        <f>BE96*TAN(RADIANS(BF96))</f>
        <v/>
      </c>
    </row>
    <row r="97">
      <c r="A97" t="n">
        <v>4.48331</v>
      </c>
      <c r="B97">
        <f>DEGREES(ATAN(TAN(RADIANS(pe0-omega*e_base))*(A97/sref)^(m_-1)))</f>
        <v/>
      </c>
      <c r="C97">
        <f>MIN(tope,B97)</f>
        <v/>
      </c>
      <c r="D97">
        <f>IF(B97&gt;tope,B97,NA())</f>
        <v/>
      </c>
      <c r="E97">
        <f>MIN(DEGREES(ATAN(TAN(RADIANS(Parametros!$E$12-omega*e_base))*(A97/sref)^(Parametros!$B$12-1))),DEGREES(ATAN(TAN(RADIANS(Parametros!$E$13-omega*e_base))*(A97/sref)^(Parametros!$B$13-1))),DEGREES(ATAN(TAN(RADIANS(Parametros!$E$14-omega*e_base))*(A97/sref)^(Parametros!$B$14-1))),DEGREES(ATAN(TAN(RADIANS(Parametros!$E$15-omega*e_base))*(A97/sref)^(Parametros!$B$15-1))),DEGREES(ATAN(TAN(RADIANS(Parametros!$E$16-omega*e_base))*(A97/sref)^(Parametros!$B$16-1))))</f>
        <v/>
      </c>
      <c r="F97">
        <f>MAX(DEGREES(ATAN(TAN(RADIANS(Parametros!$F$12-omega*e_base))*(A97/sref)^(Parametros!$B$12-1))),DEGREES(ATAN(TAN(RADIANS(Parametros!$F$13-omega*e_base))*(A97/sref)^(Parametros!$B$13-1))),DEGREES(ATAN(TAN(RADIANS(Parametros!$F$14-omega*e_base))*(A97/sref)^(Parametros!$B$14-1))),DEGREES(ATAN(TAN(RADIANS(Parametros!$F$15-omega*e_base))*(A97/sref)^(Parametros!$B$15-1))),DEGREES(ATAN(TAN(RADIANS(Parametros!$F$16-omega*e_base))*(A97/sref)^(Parametros!$B$16-1))))</f>
        <v/>
      </c>
      <c r="G97">
        <f>DEGREES(ATAN(TAN(RADIANS(46.0))*(A97/sref)^(0.9-1)))</f>
        <v/>
      </c>
      <c r="H97">
        <f>DEGREES(ATAN(TAN(RADIANS(41.0))*(A97/sref)^(0.9-1)))</f>
        <v/>
      </c>
      <c r="I97">
        <f>DEGREES(ATAN(TAN(RADIANS(36.0))*(A97/sref)^(0.9-1)))</f>
        <v/>
      </c>
      <c r="J97">
        <f>DEGREES(ATAN(TAN(RADIANS(33.0))*(A97/sref)^(0.9-1)))</f>
        <v/>
      </c>
      <c r="K97">
        <f>A97*TAN(RADIANS(C97))</f>
        <v/>
      </c>
      <c r="L97">
        <f>A97*TAN(RADIANS(G97))</f>
        <v/>
      </c>
      <c r="M97">
        <f>A97*TAN(RADIANS(H97))</f>
        <v/>
      </c>
      <c r="N97">
        <f>A97*TAN(RADIANS(I97))</f>
        <v/>
      </c>
      <c r="O97">
        <f>A97*TAN(RADIANS(J97))</f>
        <v/>
      </c>
      <c r="Q97" t="n">
        <v>0.3333777868371328</v>
      </c>
      <c r="R97">
        <f>MAX(DEGREES(ATAN(TAN(RADIANS(Parametros!$F$12-omega*e_base))*(Q97/sref)^(Parametros!$B$12-1))),DEGREES(ATAN(TAN(RADIANS(Parametros!$F$13-omega*e_base))*(Q97/sref)^(Parametros!$B$13-1))),DEGREES(ATAN(TAN(RADIANS(Parametros!$F$14-omega*e_base))*(Q97/sref)^(Parametros!$B$14-1))),DEGREES(ATAN(TAN(RADIANS(Parametros!$F$15-omega*e_base))*(Q97/sref)^(Parametros!$B$15-1))),DEGREES(ATAN(TAN(RADIANS(Parametros!$F$16-omega*e_base))*(Q97/sref)^(Parametros!$B$16-1))))</f>
        <v/>
      </c>
      <c r="T97" t="n">
        <v>2.767810650887574</v>
      </c>
      <c r="U97">
        <f>T97*TAN(RADIANS(MAX(DEGREES(ATAN(TAN(RADIANS(Parametros!$F$12-omega*e_base))*(T97/sref)^(Parametros!$B$12-1))),DEGREES(ATAN(TAN(RADIANS(Parametros!$F$13-omega*e_base))*(T97/sref)^(Parametros!$B$13-1))),DEGREES(ATAN(TAN(RADIANS(Parametros!$F$14-omega*e_base))*(T97/sref)^(Parametros!$B$14-1))),DEGREES(ATAN(TAN(RADIANS(Parametros!$F$15-omega*e_base))*(T97/sref)^(Parametros!$B$15-1))),DEGREES(ATAN(TAN(RADIANS(Parametros!$F$16-omega*e_base))*(T97/sref)^(Parametros!$B$16-1))))))</f>
        <v/>
      </c>
      <c r="BE97">
        <f>Base_mundial!C96</f>
        <v/>
      </c>
      <c r="BF97">
        <f>Base_mundial!E96-omega*(e_base-Base_mundial!B96)</f>
        <v/>
      </c>
      <c r="BG97">
        <f>BE97*TAN(RADIANS(BF97))</f>
        <v/>
      </c>
    </row>
    <row r="98">
      <c r="A98" t="n">
        <v>4.62255</v>
      </c>
      <c r="B98">
        <f>DEGREES(ATAN(TAN(RADIANS(pe0-omega*e_base))*(A98/sref)^(m_-1)))</f>
        <v/>
      </c>
      <c r="C98">
        <f>MIN(tope,B98)</f>
        <v/>
      </c>
      <c r="D98">
        <f>IF(B98&gt;tope,B98,NA())</f>
        <v/>
      </c>
      <c r="E98">
        <f>MIN(DEGREES(ATAN(TAN(RADIANS(Parametros!$E$12-omega*e_base))*(A98/sref)^(Parametros!$B$12-1))),DEGREES(ATAN(TAN(RADIANS(Parametros!$E$13-omega*e_base))*(A98/sref)^(Parametros!$B$13-1))),DEGREES(ATAN(TAN(RADIANS(Parametros!$E$14-omega*e_base))*(A98/sref)^(Parametros!$B$14-1))),DEGREES(ATAN(TAN(RADIANS(Parametros!$E$15-omega*e_base))*(A98/sref)^(Parametros!$B$15-1))),DEGREES(ATAN(TAN(RADIANS(Parametros!$E$16-omega*e_base))*(A98/sref)^(Parametros!$B$16-1))))</f>
        <v/>
      </c>
      <c r="F98">
        <f>MAX(DEGREES(ATAN(TAN(RADIANS(Parametros!$F$12-omega*e_base))*(A98/sref)^(Parametros!$B$12-1))),DEGREES(ATAN(TAN(RADIANS(Parametros!$F$13-omega*e_base))*(A98/sref)^(Parametros!$B$13-1))),DEGREES(ATAN(TAN(RADIANS(Parametros!$F$14-omega*e_base))*(A98/sref)^(Parametros!$B$14-1))),DEGREES(ATAN(TAN(RADIANS(Parametros!$F$15-omega*e_base))*(A98/sref)^(Parametros!$B$15-1))),DEGREES(ATAN(TAN(RADIANS(Parametros!$F$16-omega*e_base))*(A98/sref)^(Parametros!$B$16-1))))</f>
        <v/>
      </c>
      <c r="G98">
        <f>DEGREES(ATAN(TAN(RADIANS(46.0))*(A98/sref)^(0.9-1)))</f>
        <v/>
      </c>
      <c r="H98">
        <f>DEGREES(ATAN(TAN(RADIANS(41.0))*(A98/sref)^(0.9-1)))</f>
        <v/>
      </c>
      <c r="I98">
        <f>DEGREES(ATAN(TAN(RADIANS(36.0))*(A98/sref)^(0.9-1)))</f>
        <v/>
      </c>
      <c r="J98">
        <f>DEGREES(ATAN(TAN(RADIANS(33.0))*(A98/sref)^(0.9-1)))</f>
        <v/>
      </c>
      <c r="K98">
        <f>A98*TAN(RADIANS(C98))</f>
        <v/>
      </c>
      <c r="L98">
        <f>A98*TAN(RADIANS(G98))</f>
        <v/>
      </c>
      <c r="M98">
        <f>A98*TAN(RADIANS(H98))</f>
        <v/>
      </c>
      <c r="N98">
        <f>A98*TAN(RADIANS(I98))</f>
        <v/>
      </c>
      <c r="O98">
        <f>A98*TAN(RADIANS(J98))</f>
        <v/>
      </c>
      <c r="BE98">
        <f>Base_mundial!C97</f>
        <v/>
      </c>
      <c r="BF98">
        <f>Base_mundial!E97-omega*(e_base-Base_mundial!B97)</f>
        <v/>
      </c>
      <c r="BG98">
        <f>BE98*TAN(RADIANS(BF98))</f>
        <v/>
      </c>
    </row>
    <row r="99">
      <c r="A99" t="n">
        <v>4.79444</v>
      </c>
      <c r="B99">
        <f>DEGREES(ATAN(TAN(RADIANS(pe0-omega*e_base))*(A99/sref)^(m_-1)))</f>
        <v/>
      </c>
      <c r="C99">
        <f>MIN(tope,B99)</f>
        <v/>
      </c>
      <c r="D99">
        <f>IF(B99&gt;tope,B99,NA())</f>
        <v/>
      </c>
      <c r="E99">
        <f>MIN(DEGREES(ATAN(TAN(RADIANS(Parametros!$E$12-omega*e_base))*(A99/sref)^(Parametros!$B$12-1))),DEGREES(ATAN(TAN(RADIANS(Parametros!$E$13-omega*e_base))*(A99/sref)^(Parametros!$B$13-1))),DEGREES(ATAN(TAN(RADIANS(Parametros!$E$14-omega*e_base))*(A99/sref)^(Parametros!$B$14-1))),DEGREES(ATAN(TAN(RADIANS(Parametros!$E$15-omega*e_base))*(A99/sref)^(Parametros!$B$15-1))),DEGREES(ATAN(TAN(RADIANS(Parametros!$E$16-omega*e_base))*(A99/sref)^(Parametros!$B$16-1))))</f>
        <v/>
      </c>
      <c r="F99">
        <f>MAX(DEGREES(ATAN(TAN(RADIANS(Parametros!$F$12-omega*e_base))*(A99/sref)^(Parametros!$B$12-1))),DEGREES(ATAN(TAN(RADIANS(Parametros!$F$13-omega*e_base))*(A99/sref)^(Parametros!$B$13-1))),DEGREES(ATAN(TAN(RADIANS(Parametros!$F$14-omega*e_base))*(A99/sref)^(Parametros!$B$14-1))),DEGREES(ATAN(TAN(RADIANS(Parametros!$F$15-omega*e_base))*(A99/sref)^(Parametros!$B$15-1))),DEGREES(ATAN(TAN(RADIANS(Parametros!$F$16-omega*e_base))*(A99/sref)^(Parametros!$B$16-1))))</f>
        <v/>
      </c>
      <c r="G99">
        <f>DEGREES(ATAN(TAN(RADIANS(46.0))*(A99/sref)^(0.9-1)))</f>
        <v/>
      </c>
      <c r="H99">
        <f>DEGREES(ATAN(TAN(RADIANS(41.0))*(A99/sref)^(0.9-1)))</f>
        <v/>
      </c>
      <c r="I99">
        <f>DEGREES(ATAN(TAN(RADIANS(36.0))*(A99/sref)^(0.9-1)))</f>
        <v/>
      </c>
      <c r="J99">
        <f>DEGREES(ATAN(TAN(RADIANS(33.0))*(A99/sref)^(0.9-1)))</f>
        <v/>
      </c>
      <c r="K99">
        <f>A99*TAN(RADIANS(C99))</f>
        <v/>
      </c>
      <c r="L99">
        <f>A99*TAN(RADIANS(G99))</f>
        <v/>
      </c>
      <c r="M99">
        <f>A99*TAN(RADIANS(H99))</f>
        <v/>
      </c>
      <c r="N99">
        <f>A99*TAN(RADIANS(I99))</f>
        <v/>
      </c>
      <c r="O99">
        <f>A99*TAN(RADIANS(J99))</f>
        <v/>
      </c>
      <c r="Q99" t="n">
        <v>0.3465816648995843</v>
      </c>
      <c r="R99">
        <f>MIN(DEGREES(ATAN(TAN(RADIANS(Parametros!$E$12-omega*e_base))*(Q99/sref)^(Parametros!$B$12-1))),DEGREES(ATAN(TAN(RADIANS(Parametros!$E$13-omega*e_base))*(Q99/sref)^(Parametros!$B$13-1))),DEGREES(ATAN(TAN(RADIANS(Parametros!$E$14-omega*e_base))*(Q99/sref)^(Parametros!$B$14-1))),DEGREES(ATAN(TAN(RADIANS(Parametros!$E$15-omega*e_base))*(Q99/sref)^(Parametros!$B$15-1))),DEGREES(ATAN(TAN(RADIANS(Parametros!$E$16-omega*e_base))*(Q99/sref)^(Parametros!$B$16-1))))</f>
        <v/>
      </c>
      <c r="T99" t="n">
        <v>2.856449704142012</v>
      </c>
      <c r="U99">
        <f>T99*TAN(RADIANS(MIN(DEGREES(ATAN(TAN(RADIANS(Parametros!$E$12-omega*e_base))*(T99/sref)^(Parametros!$B$12-1))),DEGREES(ATAN(TAN(RADIANS(Parametros!$E$13-omega*e_base))*(T99/sref)^(Parametros!$B$13-1))),DEGREES(ATAN(TAN(RADIANS(Parametros!$E$14-omega*e_base))*(T99/sref)^(Parametros!$B$14-1))),DEGREES(ATAN(TAN(RADIANS(Parametros!$E$15-omega*e_base))*(T99/sref)^(Parametros!$B$15-1))),DEGREES(ATAN(TAN(RADIANS(Parametros!$E$16-omega*e_base))*(T99/sref)^(Parametros!$B$16-1))))))</f>
        <v/>
      </c>
      <c r="BE99">
        <f>Base_mundial!C98</f>
        <v/>
      </c>
      <c r="BF99">
        <f>Base_mundial!E98-omega*(e_base-Base_mundial!B98)</f>
        <v/>
      </c>
      <c r="BG99">
        <f>BE99*TAN(RADIANS(BF99))</f>
        <v/>
      </c>
    </row>
    <row r="100">
      <c r="A100" t="n">
        <v>5.12715</v>
      </c>
      <c r="B100">
        <f>DEGREES(ATAN(TAN(RADIANS(pe0-omega*e_base))*(A100/sref)^(m_-1)))</f>
        <v/>
      </c>
      <c r="C100">
        <f>MIN(tope,B100)</f>
        <v/>
      </c>
      <c r="D100">
        <f>IF(B100&gt;tope,B100,NA())</f>
        <v/>
      </c>
      <c r="E100">
        <f>MIN(DEGREES(ATAN(TAN(RADIANS(Parametros!$E$12-omega*e_base))*(A100/sref)^(Parametros!$B$12-1))),DEGREES(ATAN(TAN(RADIANS(Parametros!$E$13-omega*e_base))*(A100/sref)^(Parametros!$B$13-1))),DEGREES(ATAN(TAN(RADIANS(Parametros!$E$14-omega*e_base))*(A100/sref)^(Parametros!$B$14-1))),DEGREES(ATAN(TAN(RADIANS(Parametros!$E$15-omega*e_base))*(A100/sref)^(Parametros!$B$15-1))),DEGREES(ATAN(TAN(RADIANS(Parametros!$E$16-omega*e_base))*(A100/sref)^(Parametros!$B$16-1))))</f>
        <v/>
      </c>
      <c r="F100">
        <f>MAX(DEGREES(ATAN(TAN(RADIANS(Parametros!$F$12-omega*e_base))*(A100/sref)^(Parametros!$B$12-1))),DEGREES(ATAN(TAN(RADIANS(Parametros!$F$13-omega*e_base))*(A100/sref)^(Parametros!$B$13-1))),DEGREES(ATAN(TAN(RADIANS(Parametros!$F$14-omega*e_base))*(A100/sref)^(Parametros!$B$14-1))),DEGREES(ATAN(TAN(RADIANS(Parametros!$F$15-omega*e_base))*(A100/sref)^(Parametros!$B$15-1))),DEGREES(ATAN(TAN(RADIANS(Parametros!$F$16-omega*e_base))*(A100/sref)^(Parametros!$B$16-1))))</f>
        <v/>
      </c>
      <c r="G100">
        <f>DEGREES(ATAN(TAN(RADIANS(46.0))*(A100/sref)^(0.9-1)))</f>
        <v/>
      </c>
      <c r="H100">
        <f>DEGREES(ATAN(TAN(RADIANS(41.0))*(A100/sref)^(0.9-1)))</f>
        <v/>
      </c>
      <c r="I100">
        <f>DEGREES(ATAN(TAN(RADIANS(36.0))*(A100/sref)^(0.9-1)))</f>
        <v/>
      </c>
      <c r="J100">
        <f>DEGREES(ATAN(TAN(RADIANS(33.0))*(A100/sref)^(0.9-1)))</f>
        <v/>
      </c>
      <c r="K100">
        <f>A100*TAN(RADIANS(C100))</f>
        <v/>
      </c>
      <c r="L100">
        <f>A100*TAN(RADIANS(G100))</f>
        <v/>
      </c>
      <c r="M100">
        <f>A100*TAN(RADIANS(H100))</f>
        <v/>
      </c>
      <c r="N100">
        <f>A100*TAN(RADIANS(I100))</f>
        <v/>
      </c>
      <c r="O100">
        <f>A100*TAN(RADIANS(J100))</f>
        <v/>
      </c>
      <c r="Q100" t="n">
        <v>0.3465816648995843</v>
      </c>
      <c r="R100">
        <f>MAX(DEGREES(ATAN(TAN(RADIANS(Parametros!$F$12-omega*e_base))*(Q100/sref)^(Parametros!$B$12-1))),DEGREES(ATAN(TAN(RADIANS(Parametros!$F$13-omega*e_base))*(Q100/sref)^(Parametros!$B$13-1))),DEGREES(ATAN(TAN(RADIANS(Parametros!$F$14-omega*e_base))*(Q100/sref)^(Parametros!$B$14-1))),DEGREES(ATAN(TAN(RADIANS(Parametros!$F$15-omega*e_base))*(Q100/sref)^(Parametros!$B$15-1))),DEGREES(ATAN(TAN(RADIANS(Parametros!$F$16-omega*e_base))*(Q100/sref)^(Parametros!$B$16-1))))</f>
        <v/>
      </c>
      <c r="T100" t="n">
        <v>2.856449704142012</v>
      </c>
      <c r="U100">
        <f>T100*TAN(RADIANS(MAX(DEGREES(ATAN(TAN(RADIANS(Parametros!$F$12-omega*e_base))*(T100/sref)^(Parametros!$B$12-1))),DEGREES(ATAN(TAN(RADIANS(Parametros!$F$13-omega*e_base))*(T100/sref)^(Parametros!$B$13-1))),DEGREES(ATAN(TAN(RADIANS(Parametros!$F$14-omega*e_base))*(T100/sref)^(Parametros!$B$14-1))),DEGREES(ATAN(TAN(RADIANS(Parametros!$F$15-omega*e_base))*(T100/sref)^(Parametros!$B$15-1))),DEGREES(ATAN(TAN(RADIANS(Parametros!$F$16-omega*e_base))*(T100/sref)^(Parametros!$B$16-1))))))</f>
        <v/>
      </c>
      <c r="BE100">
        <f>Base_mundial!C99</f>
        <v/>
      </c>
      <c r="BF100">
        <f>Base_mundial!E99-omega*(e_base-Base_mundial!B99)</f>
        <v/>
      </c>
      <c r="BG100">
        <f>BE100*TAN(RADIANS(BF100))</f>
        <v/>
      </c>
    </row>
    <row r="101">
      <c r="A101" t="n">
        <v>5.48295</v>
      </c>
      <c r="B101">
        <f>DEGREES(ATAN(TAN(RADIANS(pe0-omega*e_base))*(A101/sref)^(m_-1)))</f>
        <v/>
      </c>
      <c r="C101">
        <f>MIN(tope,B101)</f>
        <v/>
      </c>
      <c r="D101">
        <f>IF(B101&gt;tope,B101,NA())</f>
        <v/>
      </c>
      <c r="E101">
        <f>MIN(DEGREES(ATAN(TAN(RADIANS(Parametros!$E$12-omega*e_base))*(A101/sref)^(Parametros!$B$12-1))),DEGREES(ATAN(TAN(RADIANS(Parametros!$E$13-omega*e_base))*(A101/sref)^(Parametros!$B$13-1))),DEGREES(ATAN(TAN(RADIANS(Parametros!$E$14-omega*e_base))*(A101/sref)^(Parametros!$B$14-1))),DEGREES(ATAN(TAN(RADIANS(Parametros!$E$15-omega*e_base))*(A101/sref)^(Parametros!$B$15-1))),DEGREES(ATAN(TAN(RADIANS(Parametros!$E$16-omega*e_base))*(A101/sref)^(Parametros!$B$16-1))))</f>
        <v/>
      </c>
      <c r="F101">
        <f>MAX(DEGREES(ATAN(TAN(RADIANS(Parametros!$F$12-omega*e_base))*(A101/sref)^(Parametros!$B$12-1))),DEGREES(ATAN(TAN(RADIANS(Parametros!$F$13-omega*e_base))*(A101/sref)^(Parametros!$B$13-1))),DEGREES(ATAN(TAN(RADIANS(Parametros!$F$14-omega*e_base))*(A101/sref)^(Parametros!$B$14-1))),DEGREES(ATAN(TAN(RADIANS(Parametros!$F$15-omega*e_base))*(A101/sref)^(Parametros!$B$15-1))),DEGREES(ATAN(TAN(RADIANS(Parametros!$F$16-omega*e_base))*(A101/sref)^(Parametros!$B$16-1))))</f>
        <v/>
      </c>
      <c r="G101">
        <f>DEGREES(ATAN(TAN(RADIANS(46.0))*(A101/sref)^(0.9-1)))</f>
        <v/>
      </c>
      <c r="H101">
        <f>DEGREES(ATAN(TAN(RADIANS(41.0))*(A101/sref)^(0.9-1)))</f>
        <v/>
      </c>
      <c r="I101">
        <f>DEGREES(ATAN(TAN(RADIANS(36.0))*(A101/sref)^(0.9-1)))</f>
        <v/>
      </c>
      <c r="J101">
        <f>DEGREES(ATAN(TAN(RADIANS(33.0))*(A101/sref)^(0.9-1)))</f>
        <v/>
      </c>
      <c r="K101">
        <f>A101*TAN(RADIANS(C101))</f>
        <v/>
      </c>
      <c r="L101">
        <f>A101*TAN(RADIANS(G101))</f>
        <v/>
      </c>
      <c r="M101">
        <f>A101*TAN(RADIANS(H101))</f>
        <v/>
      </c>
      <c r="N101">
        <f>A101*TAN(RADIANS(I101))</f>
        <v/>
      </c>
      <c r="O101">
        <f>A101*TAN(RADIANS(J101))</f>
        <v/>
      </c>
      <c r="BE101">
        <f>Base_mundial!C100</f>
        <v/>
      </c>
      <c r="BF101">
        <f>Base_mundial!E100-omega*(e_base-Base_mundial!B100)</f>
        <v/>
      </c>
      <c r="BG101">
        <f>BE101*TAN(RADIANS(BF101))</f>
        <v/>
      </c>
    </row>
    <row r="102">
      <c r="A102" t="n">
        <v>5.86345</v>
      </c>
      <c r="B102">
        <f>DEGREES(ATAN(TAN(RADIANS(pe0-omega*e_base))*(A102/sref)^(m_-1)))</f>
        <v/>
      </c>
      <c r="C102">
        <f>MIN(tope,B102)</f>
        <v/>
      </c>
      <c r="D102">
        <f>IF(B102&gt;tope,B102,NA())</f>
        <v/>
      </c>
      <c r="E102">
        <f>MIN(DEGREES(ATAN(TAN(RADIANS(Parametros!$E$12-omega*e_base))*(A102/sref)^(Parametros!$B$12-1))),DEGREES(ATAN(TAN(RADIANS(Parametros!$E$13-omega*e_base))*(A102/sref)^(Parametros!$B$13-1))),DEGREES(ATAN(TAN(RADIANS(Parametros!$E$14-omega*e_base))*(A102/sref)^(Parametros!$B$14-1))),DEGREES(ATAN(TAN(RADIANS(Parametros!$E$15-omega*e_base))*(A102/sref)^(Parametros!$B$15-1))),DEGREES(ATAN(TAN(RADIANS(Parametros!$E$16-omega*e_base))*(A102/sref)^(Parametros!$B$16-1))))</f>
        <v/>
      </c>
      <c r="F102">
        <f>MAX(DEGREES(ATAN(TAN(RADIANS(Parametros!$F$12-omega*e_base))*(A102/sref)^(Parametros!$B$12-1))),DEGREES(ATAN(TAN(RADIANS(Parametros!$F$13-omega*e_base))*(A102/sref)^(Parametros!$B$13-1))),DEGREES(ATAN(TAN(RADIANS(Parametros!$F$14-omega*e_base))*(A102/sref)^(Parametros!$B$14-1))),DEGREES(ATAN(TAN(RADIANS(Parametros!$F$15-omega*e_base))*(A102/sref)^(Parametros!$B$15-1))),DEGREES(ATAN(TAN(RADIANS(Parametros!$F$16-omega*e_base))*(A102/sref)^(Parametros!$B$16-1))))</f>
        <v/>
      </c>
      <c r="G102">
        <f>DEGREES(ATAN(TAN(RADIANS(46.0))*(A102/sref)^(0.9-1)))</f>
        <v/>
      </c>
      <c r="H102">
        <f>DEGREES(ATAN(TAN(RADIANS(41.0))*(A102/sref)^(0.9-1)))</f>
        <v/>
      </c>
      <c r="I102">
        <f>DEGREES(ATAN(TAN(RADIANS(36.0))*(A102/sref)^(0.9-1)))</f>
        <v/>
      </c>
      <c r="J102">
        <f>DEGREES(ATAN(TAN(RADIANS(33.0))*(A102/sref)^(0.9-1)))</f>
        <v/>
      </c>
      <c r="K102">
        <f>A102*TAN(RADIANS(C102))</f>
        <v/>
      </c>
      <c r="L102">
        <f>A102*TAN(RADIANS(G102))</f>
        <v/>
      </c>
      <c r="M102">
        <f>A102*TAN(RADIANS(H102))</f>
        <v/>
      </c>
      <c r="N102">
        <f>A102*TAN(RADIANS(I102))</f>
        <v/>
      </c>
      <c r="O102">
        <f>A102*TAN(RADIANS(J102))</f>
        <v/>
      </c>
      <c r="Q102" t="n">
        <v>0.3603085004078277</v>
      </c>
      <c r="R102">
        <f>MIN(DEGREES(ATAN(TAN(RADIANS(Parametros!$E$12-omega*e_base))*(Q102/sref)^(Parametros!$B$12-1))),DEGREES(ATAN(TAN(RADIANS(Parametros!$E$13-omega*e_base))*(Q102/sref)^(Parametros!$B$13-1))),DEGREES(ATAN(TAN(RADIANS(Parametros!$E$14-omega*e_base))*(Q102/sref)^(Parametros!$B$14-1))),DEGREES(ATAN(TAN(RADIANS(Parametros!$E$15-omega*e_base))*(Q102/sref)^(Parametros!$B$15-1))),DEGREES(ATAN(TAN(RADIANS(Parametros!$E$16-omega*e_base))*(Q102/sref)^(Parametros!$B$16-1))))</f>
        <v/>
      </c>
      <c r="T102" t="n">
        <v>2.94508875739645</v>
      </c>
      <c r="U102">
        <f>T102*TAN(RADIANS(MIN(DEGREES(ATAN(TAN(RADIANS(Parametros!$E$12-omega*e_base))*(T102/sref)^(Parametros!$B$12-1))),DEGREES(ATAN(TAN(RADIANS(Parametros!$E$13-omega*e_base))*(T102/sref)^(Parametros!$B$13-1))),DEGREES(ATAN(TAN(RADIANS(Parametros!$E$14-omega*e_base))*(T102/sref)^(Parametros!$B$14-1))),DEGREES(ATAN(TAN(RADIANS(Parametros!$E$15-omega*e_base))*(T102/sref)^(Parametros!$B$15-1))),DEGREES(ATAN(TAN(RADIANS(Parametros!$E$16-omega*e_base))*(T102/sref)^(Parametros!$B$16-1))))))</f>
        <v/>
      </c>
      <c r="BE102">
        <f>Base_mundial!C101</f>
        <v/>
      </c>
      <c r="BF102">
        <f>Base_mundial!E101-omega*(e_base-Base_mundial!B101)</f>
        <v/>
      </c>
      <c r="BG102">
        <f>BE102*TAN(RADIANS(BF102))</f>
        <v/>
      </c>
    </row>
    <row r="103">
      <c r="A103" t="n">
        <v>6.27034</v>
      </c>
      <c r="B103">
        <f>DEGREES(ATAN(TAN(RADIANS(pe0-omega*e_base))*(A103/sref)^(m_-1)))</f>
        <v/>
      </c>
      <c r="C103">
        <f>MIN(tope,B103)</f>
        <v/>
      </c>
      <c r="D103">
        <f>IF(B103&gt;tope,B103,NA())</f>
        <v/>
      </c>
      <c r="E103">
        <f>MIN(DEGREES(ATAN(TAN(RADIANS(Parametros!$E$12-omega*e_base))*(A103/sref)^(Parametros!$B$12-1))),DEGREES(ATAN(TAN(RADIANS(Parametros!$E$13-omega*e_base))*(A103/sref)^(Parametros!$B$13-1))),DEGREES(ATAN(TAN(RADIANS(Parametros!$E$14-omega*e_base))*(A103/sref)^(Parametros!$B$14-1))),DEGREES(ATAN(TAN(RADIANS(Parametros!$E$15-omega*e_base))*(A103/sref)^(Parametros!$B$15-1))),DEGREES(ATAN(TAN(RADIANS(Parametros!$E$16-omega*e_base))*(A103/sref)^(Parametros!$B$16-1))))</f>
        <v/>
      </c>
      <c r="F103">
        <f>MAX(DEGREES(ATAN(TAN(RADIANS(Parametros!$F$12-omega*e_base))*(A103/sref)^(Parametros!$B$12-1))),DEGREES(ATAN(TAN(RADIANS(Parametros!$F$13-omega*e_base))*(A103/sref)^(Parametros!$B$13-1))),DEGREES(ATAN(TAN(RADIANS(Parametros!$F$14-omega*e_base))*(A103/sref)^(Parametros!$B$14-1))),DEGREES(ATAN(TAN(RADIANS(Parametros!$F$15-omega*e_base))*(A103/sref)^(Parametros!$B$15-1))),DEGREES(ATAN(TAN(RADIANS(Parametros!$F$16-omega*e_base))*(A103/sref)^(Parametros!$B$16-1))))</f>
        <v/>
      </c>
      <c r="G103">
        <f>DEGREES(ATAN(TAN(RADIANS(46.0))*(A103/sref)^(0.9-1)))</f>
        <v/>
      </c>
      <c r="H103">
        <f>DEGREES(ATAN(TAN(RADIANS(41.0))*(A103/sref)^(0.9-1)))</f>
        <v/>
      </c>
      <c r="I103">
        <f>DEGREES(ATAN(TAN(RADIANS(36.0))*(A103/sref)^(0.9-1)))</f>
        <v/>
      </c>
      <c r="J103">
        <f>DEGREES(ATAN(TAN(RADIANS(33.0))*(A103/sref)^(0.9-1)))</f>
        <v/>
      </c>
      <c r="K103">
        <f>A103*TAN(RADIANS(C103))</f>
        <v/>
      </c>
      <c r="L103">
        <f>A103*TAN(RADIANS(G103))</f>
        <v/>
      </c>
      <c r="M103">
        <f>A103*TAN(RADIANS(H103))</f>
        <v/>
      </c>
      <c r="N103">
        <f>A103*TAN(RADIANS(I103))</f>
        <v/>
      </c>
      <c r="O103">
        <f>A103*TAN(RADIANS(J103))</f>
        <v/>
      </c>
      <c r="Q103" t="n">
        <v>0.3603085004078277</v>
      </c>
      <c r="R103">
        <f>MAX(DEGREES(ATAN(TAN(RADIANS(Parametros!$F$12-omega*e_base))*(Q103/sref)^(Parametros!$B$12-1))),DEGREES(ATAN(TAN(RADIANS(Parametros!$F$13-omega*e_base))*(Q103/sref)^(Parametros!$B$13-1))),DEGREES(ATAN(TAN(RADIANS(Parametros!$F$14-omega*e_base))*(Q103/sref)^(Parametros!$B$14-1))),DEGREES(ATAN(TAN(RADIANS(Parametros!$F$15-omega*e_base))*(Q103/sref)^(Parametros!$B$15-1))),DEGREES(ATAN(TAN(RADIANS(Parametros!$F$16-omega*e_base))*(Q103/sref)^(Parametros!$B$16-1))))</f>
        <v/>
      </c>
      <c r="T103" t="n">
        <v>2.94508875739645</v>
      </c>
      <c r="U103">
        <f>T103*TAN(RADIANS(MAX(DEGREES(ATAN(TAN(RADIANS(Parametros!$F$12-omega*e_base))*(T103/sref)^(Parametros!$B$12-1))),DEGREES(ATAN(TAN(RADIANS(Parametros!$F$13-omega*e_base))*(T103/sref)^(Parametros!$B$13-1))),DEGREES(ATAN(TAN(RADIANS(Parametros!$F$14-omega*e_base))*(T103/sref)^(Parametros!$B$14-1))),DEGREES(ATAN(TAN(RADIANS(Parametros!$F$15-omega*e_base))*(T103/sref)^(Parametros!$B$15-1))),DEGREES(ATAN(TAN(RADIANS(Parametros!$F$16-omega*e_base))*(T103/sref)^(Parametros!$B$16-1))))))</f>
        <v/>
      </c>
      <c r="BE103">
        <f>Base_mundial!C102</f>
        <v/>
      </c>
      <c r="BF103">
        <f>Base_mundial!E102-omega*(e_base-Base_mundial!B102)</f>
        <v/>
      </c>
      <c r="BG103">
        <f>BE103*TAN(RADIANS(BF103))</f>
        <v/>
      </c>
    </row>
    <row r="104">
      <c r="A104" t="n">
        <v>6.70548</v>
      </c>
      <c r="B104">
        <f>DEGREES(ATAN(TAN(RADIANS(pe0-omega*e_base))*(A104/sref)^(m_-1)))</f>
        <v/>
      </c>
      <c r="C104">
        <f>MIN(tope,B104)</f>
        <v/>
      </c>
      <c r="D104">
        <f>IF(B104&gt;tope,B104,NA())</f>
        <v/>
      </c>
      <c r="E104">
        <f>MIN(DEGREES(ATAN(TAN(RADIANS(Parametros!$E$12-omega*e_base))*(A104/sref)^(Parametros!$B$12-1))),DEGREES(ATAN(TAN(RADIANS(Parametros!$E$13-omega*e_base))*(A104/sref)^(Parametros!$B$13-1))),DEGREES(ATAN(TAN(RADIANS(Parametros!$E$14-omega*e_base))*(A104/sref)^(Parametros!$B$14-1))),DEGREES(ATAN(TAN(RADIANS(Parametros!$E$15-omega*e_base))*(A104/sref)^(Parametros!$B$15-1))),DEGREES(ATAN(TAN(RADIANS(Parametros!$E$16-omega*e_base))*(A104/sref)^(Parametros!$B$16-1))))</f>
        <v/>
      </c>
      <c r="F104">
        <f>MAX(DEGREES(ATAN(TAN(RADIANS(Parametros!$F$12-omega*e_base))*(A104/sref)^(Parametros!$B$12-1))),DEGREES(ATAN(TAN(RADIANS(Parametros!$F$13-omega*e_base))*(A104/sref)^(Parametros!$B$13-1))),DEGREES(ATAN(TAN(RADIANS(Parametros!$F$14-omega*e_base))*(A104/sref)^(Parametros!$B$14-1))),DEGREES(ATAN(TAN(RADIANS(Parametros!$F$15-omega*e_base))*(A104/sref)^(Parametros!$B$15-1))),DEGREES(ATAN(TAN(RADIANS(Parametros!$F$16-omega*e_base))*(A104/sref)^(Parametros!$B$16-1))))</f>
        <v/>
      </c>
      <c r="G104">
        <f>DEGREES(ATAN(TAN(RADIANS(46.0))*(A104/sref)^(0.9-1)))</f>
        <v/>
      </c>
      <c r="H104">
        <f>DEGREES(ATAN(TAN(RADIANS(41.0))*(A104/sref)^(0.9-1)))</f>
        <v/>
      </c>
      <c r="I104">
        <f>DEGREES(ATAN(TAN(RADIANS(36.0))*(A104/sref)^(0.9-1)))</f>
        <v/>
      </c>
      <c r="J104">
        <f>DEGREES(ATAN(TAN(RADIANS(33.0))*(A104/sref)^(0.9-1)))</f>
        <v/>
      </c>
      <c r="K104">
        <f>A104*TAN(RADIANS(C104))</f>
        <v/>
      </c>
      <c r="L104">
        <f>A104*TAN(RADIANS(G104))</f>
        <v/>
      </c>
      <c r="M104">
        <f>A104*TAN(RADIANS(H104))</f>
        <v/>
      </c>
      <c r="N104">
        <f>A104*TAN(RADIANS(I104))</f>
        <v/>
      </c>
      <c r="O104">
        <f>A104*TAN(RADIANS(J104))</f>
        <v/>
      </c>
      <c r="BE104">
        <f>Base_mundial!C103</f>
        <v/>
      </c>
      <c r="BF104">
        <f>Base_mundial!E103-omega*(e_base-Base_mundial!B103)</f>
        <v/>
      </c>
      <c r="BG104">
        <f>BE104*TAN(RADIANS(BF104))</f>
        <v/>
      </c>
    </row>
    <row r="105">
      <c r="A105" t="n">
        <v>7.17081</v>
      </c>
      <c r="B105">
        <f>DEGREES(ATAN(TAN(RADIANS(pe0-omega*e_base))*(A105/sref)^(m_-1)))</f>
        <v/>
      </c>
      <c r="C105">
        <f>MIN(tope,B105)</f>
        <v/>
      </c>
      <c r="D105">
        <f>IF(B105&gt;tope,B105,NA())</f>
        <v/>
      </c>
      <c r="E105">
        <f>MIN(DEGREES(ATAN(TAN(RADIANS(Parametros!$E$12-omega*e_base))*(A105/sref)^(Parametros!$B$12-1))),DEGREES(ATAN(TAN(RADIANS(Parametros!$E$13-omega*e_base))*(A105/sref)^(Parametros!$B$13-1))),DEGREES(ATAN(TAN(RADIANS(Parametros!$E$14-omega*e_base))*(A105/sref)^(Parametros!$B$14-1))),DEGREES(ATAN(TAN(RADIANS(Parametros!$E$15-omega*e_base))*(A105/sref)^(Parametros!$B$15-1))),DEGREES(ATAN(TAN(RADIANS(Parametros!$E$16-omega*e_base))*(A105/sref)^(Parametros!$B$16-1))))</f>
        <v/>
      </c>
      <c r="F105">
        <f>MAX(DEGREES(ATAN(TAN(RADIANS(Parametros!$F$12-omega*e_base))*(A105/sref)^(Parametros!$B$12-1))),DEGREES(ATAN(TAN(RADIANS(Parametros!$F$13-omega*e_base))*(A105/sref)^(Parametros!$B$13-1))),DEGREES(ATAN(TAN(RADIANS(Parametros!$F$14-omega*e_base))*(A105/sref)^(Parametros!$B$14-1))),DEGREES(ATAN(TAN(RADIANS(Parametros!$F$15-omega*e_base))*(A105/sref)^(Parametros!$B$15-1))),DEGREES(ATAN(TAN(RADIANS(Parametros!$F$16-omega*e_base))*(A105/sref)^(Parametros!$B$16-1))))</f>
        <v/>
      </c>
      <c r="G105">
        <f>DEGREES(ATAN(TAN(RADIANS(46.0))*(A105/sref)^(0.9-1)))</f>
        <v/>
      </c>
      <c r="H105">
        <f>DEGREES(ATAN(TAN(RADIANS(41.0))*(A105/sref)^(0.9-1)))</f>
        <v/>
      </c>
      <c r="I105">
        <f>DEGREES(ATAN(TAN(RADIANS(36.0))*(A105/sref)^(0.9-1)))</f>
        <v/>
      </c>
      <c r="J105">
        <f>DEGREES(ATAN(TAN(RADIANS(33.0))*(A105/sref)^(0.9-1)))</f>
        <v/>
      </c>
      <c r="K105">
        <f>A105*TAN(RADIANS(C105))</f>
        <v/>
      </c>
      <c r="L105">
        <f>A105*TAN(RADIANS(G105))</f>
        <v/>
      </c>
      <c r="M105">
        <f>A105*TAN(RADIANS(H105))</f>
        <v/>
      </c>
      <c r="N105">
        <f>A105*TAN(RADIANS(I105))</f>
        <v/>
      </c>
      <c r="O105">
        <f>A105*TAN(RADIANS(J105))</f>
        <v/>
      </c>
      <c r="Q105" t="n">
        <v>0.37457900579868</v>
      </c>
      <c r="R105">
        <f>MIN(DEGREES(ATAN(TAN(RADIANS(Parametros!$E$12-omega*e_base))*(Q105/sref)^(Parametros!$B$12-1))),DEGREES(ATAN(TAN(RADIANS(Parametros!$E$13-omega*e_base))*(Q105/sref)^(Parametros!$B$13-1))),DEGREES(ATAN(TAN(RADIANS(Parametros!$E$14-omega*e_base))*(Q105/sref)^(Parametros!$B$14-1))),DEGREES(ATAN(TAN(RADIANS(Parametros!$E$15-omega*e_base))*(Q105/sref)^(Parametros!$B$15-1))),DEGREES(ATAN(TAN(RADIANS(Parametros!$E$16-omega*e_base))*(Q105/sref)^(Parametros!$B$16-1))))</f>
        <v/>
      </c>
      <c r="T105" t="n">
        <v>3.033727810650888</v>
      </c>
      <c r="U105">
        <f>T105*TAN(RADIANS(MIN(DEGREES(ATAN(TAN(RADIANS(Parametros!$E$12-omega*e_base))*(T105/sref)^(Parametros!$B$12-1))),DEGREES(ATAN(TAN(RADIANS(Parametros!$E$13-omega*e_base))*(T105/sref)^(Parametros!$B$13-1))),DEGREES(ATAN(TAN(RADIANS(Parametros!$E$14-omega*e_base))*(T105/sref)^(Parametros!$B$14-1))),DEGREES(ATAN(TAN(RADIANS(Parametros!$E$15-omega*e_base))*(T105/sref)^(Parametros!$B$15-1))),DEGREES(ATAN(TAN(RADIANS(Parametros!$E$16-omega*e_base))*(T105/sref)^(Parametros!$B$16-1))))))</f>
        <v/>
      </c>
      <c r="BE105">
        <f>Base_mundial!C104</f>
        <v/>
      </c>
      <c r="BF105">
        <f>Base_mundial!E104-omega*(e_base-Base_mundial!B104)</f>
        <v/>
      </c>
      <c r="BG105">
        <f>BE105*TAN(RADIANS(BF105))</f>
        <v/>
      </c>
    </row>
    <row r="106">
      <c r="A106" t="n">
        <v>7.66843</v>
      </c>
      <c r="B106">
        <f>DEGREES(ATAN(TAN(RADIANS(pe0-omega*e_base))*(A106/sref)^(m_-1)))</f>
        <v/>
      </c>
      <c r="C106">
        <f>MIN(tope,B106)</f>
        <v/>
      </c>
      <c r="D106">
        <f>IF(B106&gt;tope,B106,NA())</f>
        <v/>
      </c>
      <c r="E106">
        <f>MIN(DEGREES(ATAN(TAN(RADIANS(Parametros!$E$12-omega*e_base))*(A106/sref)^(Parametros!$B$12-1))),DEGREES(ATAN(TAN(RADIANS(Parametros!$E$13-omega*e_base))*(A106/sref)^(Parametros!$B$13-1))),DEGREES(ATAN(TAN(RADIANS(Parametros!$E$14-omega*e_base))*(A106/sref)^(Parametros!$B$14-1))),DEGREES(ATAN(TAN(RADIANS(Parametros!$E$15-omega*e_base))*(A106/sref)^(Parametros!$B$15-1))),DEGREES(ATAN(TAN(RADIANS(Parametros!$E$16-omega*e_base))*(A106/sref)^(Parametros!$B$16-1))))</f>
        <v/>
      </c>
      <c r="F106">
        <f>MAX(DEGREES(ATAN(TAN(RADIANS(Parametros!$F$12-omega*e_base))*(A106/sref)^(Parametros!$B$12-1))),DEGREES(ATAN(TAN(RADIANS(Parametros!$F$13-omega*e_base))*(A106/sref)^(Parametros!$B$13-1))),DEGREES(ATAN(TAN(RADIANS(Parametros!$F$14-omega*e_base))*(A106/sref)^(Parametros!$B$14-1))),DEGREES(ATAN(TAN(RADIANS(Parametros!$F$15-omega*e_base))*(A106/sref)^(Parametros!$B$15-1))),DEGREES(ATAN(TAN(RADIANS(Parametros!$F$16-omega*e_base))*(A106/sref)^(Parametros!$B$16-1))))</f>
        <v/>
      </c>
      <c r="G106">
        <f>DEGREES(ATAN(TAN(RADIANS(46.0))*(A106/sref)^(0.9-1)))</f>
        <v/>
      </c>
      <c r="H106">
        <f>DEGREES(ATAN(TAN(RADIANS(41.0))*(A106/sref)^(0.9-1)))</f>
        <v/>
      </c>
      <c r="I106">
        <f>DEGREES(ATAN(TAN(RADIANS(36.0))*(A106/sref)^(0.9-1)))</f>
        <v/>
      </c>
      <c r="J106">
        <f>DEGREES(ATAN(TAN(RADIANS(33.0))*(A106/sref)^(0.9-1)))</f>
        <v/>
      </c>
      <c r="K106">
        <f>A106*TAN(RADIANS(C106))</f>
        <v/>
      </c>
      <c r="L106">
        <f>A106*TAN(RADIANS(G106))</f>
        <v/>
      </c>
      <c r="M106">
        <f>A106*TAN(RADIANS(H106))</f>
        <v/>
      </c>
      <c r="N106">
        <f>A106*TAN(RADIANS(I106))</f>
        <v/>
      </c>
      <c r="O106">
        <f>A106*TAN(RADIANS(J106))</f>
        <v/>
      </c>
      <c r="Q106" t="n">
        <v>0.37457900579868</v>
      </c>
      <c r="R106">
        <f>MAX(DEGREES(ATAN(TAN(RADIANS(Parametros!$F$12-omega*e_base))*(Q106/sref)^(Parametros!$B$12-1))),DEGREES(ATAN(TAN(RADIANS(Parametros!$F$13-omega*e_base))*(Q106/sref)^(Parametros!$B$13-1))),DEGREES(ATAN(TAN(RADIANS(Parametros!$F$14-omega*e_base))*(Q106/sref)^(Parametros!$B$14-1))),DEGREES(ATAN(TAN(RADIANS(Parametros!$F$15-omega*e_base))*(Q106/sref)^(Parametros!$B$15-1))),DEGREES(ATAN(TAN(RADIANS(Parametros!$F$16-omega*e_base))*(Q106/sref)^(Parametros!$B$16-1))))</f>
        <v/>
      </c>
      <c r="T106" t="n">
        <v>3.033727810650888</v>
      </c>
      <c r="U106">
        <f>T106*TAN(RADIANS(MAX(DEGREES(ATAN(TAN(RADIANS(Parametros!$F$12-omega*e_base))*(T106/sref)^(Parametros!$B$12-1))),DEGREES(ATAN(TAN(RADIANS(Parametros!$F$13-omega*e_base))*(T106/sref)^(Parametros!$B$13-1))),DEGREES(ATAN(TAN(RADIANS(Parametros!$F$14-omega*e_base))*(T106/sref)^(Parametros!$B$14-1))),DEGREES(ATAN(TAN(RADIANS(Parametros!$F$15-omega*e_base))*(T106/sref)^(Parametros!$B$15-1))),DEGREES(ATAN(TAN(RADIANS(Parametros!$F$16-omega*e_base))*(T106/sref)^(Parametros!$B$16-1))))))</f>
        <v/>
      </c>
      <c r="BE106">
        <f>Base_mundial!C105</f>
        <v/>
      </c>
      <c r="BF106">
        <f>Base_mundial!E105-omega*(e_base-Base_mundial!B105)</f>
        <v/>
      </c>
      <c r="BG106">
        <f>BE106*TAN(RADIANS(BF106))</f>
        <v/>
      </c>
    </row>
    <row r="107">
      <c r="A107" t="n">
        <v>7.86069</v>
      </c>
      <c r="B107">
        <f>DEGREES(ATAN(TAN(RADIANS(pe0-omega*e_base))*(A107/sref)^(m_-1)))</f>
        <v/>
      </c>
      <c r="C107">
        <f>MIN(tope,B107)</f>
        <v/>
      </c>
      <c r="D107">
        <f>IF(B107&gt;tope,B107,NA())</f>
        <v/>
      </c>
      <c r="E107">
        <f>MIN(DEGREES(ATAN(TAN(RADIANS(Parametros!$E$12-omega*e_base))*(A107/sref)^(Parametros!$B$12-1))),DEGREES(ATAN(TAN(RADIANS(Parametros!$E$13-omega*e_base))*(A107/sref)^(Parametros!$B$13-1))),DEGREES(ATAN(TAN(RADIANS(Parametros!$E$14-omega*e_base))*(A107/sref)^(Parametros!$B$14-1))),DEGREES(ATAN(TAN(RADIANS(Parametros!$E$15-omega*e_base))*(A107/sref)^(Parametros!$B$15-1))),DEGREES(ATAN(TAN(RADIANS(Parametros!$E$16-omega*e_base))*(A107/sref)^(Parametros!$B$16-1))))</f>
        <v/>
      </c>
      <c r="F107">
        <f>MAX(DEGREES(ATAN(TAN(RADIANS(Parametros!$F$12-omega*e_base))*(A107/sref)^(Parametros!$B$12-1))),DEGREES(ATAN(TAN(RADIANS(Parametros!$F$13-omega*e_base))*(A107/sref)^(Parametros!$B$13-1))),DEGREES(ATAN(TAN(RADIANS(Parametros!$F$14-omega*e_base))*(A107/sref)^(Parametros!$B$14-1))),DEGREES(ATAN(TAN(RADIANS(Parametros!$F$15-omega*e_base))*(A107/sref)^(Parametros!$B$15-1))),DEGREES(ATAN(TAN(RADIANS(Parametros!$F$16-omega*e_base))*(A107/sref)^(Parametros!$B$16-1))))</f>
        <v/>
      </c>
      <c r="G107">
        <f>DEGREES(ATAN(TAN(RADIANS(46.0))*(A107/sref)^(0.9-1)))</f>
        <v/>
      </c>
      <c r="H107">
        <f>DEGREES(ATAN(TAN(RADIANS(41.0))*(A107/sref)^(0.9-1)))</f>
        <v/>
      </c>
      <c r="I107">
        <f>DEGREES(ATAN(TAN(RADIANS(36.0))*(A107/sref)^(0.9-1)))</f>
        <v/>
      </c>
      <c r="J107">
        <f>DEGREES(ATAN(TAN(RADIANS(33.0))*(A107/sref)^(0.9-1)))</f>
        <v/>
      </c>
      <c r="K107">
        <f>A107*TAN(RADIANS(C107))</f>
        <v/>
      </c>
      <c r="L107">
        <f>A107*TAN(RADIANS(G107))</f>
        <v/>
      </c>
      <c r="M107">
        <f>A107*TAN(RADIANS(H107))</f>
        <v/>
      </c>
      <c r="N107">
        <f>A107*TAN(RADIANS(I107))</f>
        <v/>
      </c>
      <c r="O107">
        <f>A107*TAN(RADIANS(J107))</f>
        <v/>
      </c>
      <c r="BE107">
        <f>Base_mundial!C106</f>
        <v/>
      </c>
      <c r="BF107">
        <f>Base_mundial!E106-omega*(e_base-Base_mundial!B106)</f>
        <v/>
      </c>
      <c r="BG107">
        <f>BE107*TAN(RADIANS(BF107))</f>
        <v/>
      </c>
    </row>
    <row r="108">
      <c r="A108" t="n">
        <v>8</v>
      </c>
      <c r="B108">
        <f>DEGREES(ATAN(TAN(RADIANS(pe0-omega*e_base))*(A108/sref)^(m_-1)))</f>
        <v/>
      </c>
      <c r="C108">
        <f>MIN(tope,B108)</f>
        <v/>
      </c>
      <c r="D108">
        <f>IF(B108&gt;tope,B108,NA())</f>
        <v/>
      </c>
      <c r="E108">
        <f>MIN(DEGREES(ATAN(TAN(RADIANS(Parametros!$E$12-omega*e_base))*(A108/sref)^(Parametros!$B$12-1))),DEGREES(ATAN(TAN(RADIANS(Parametros!$E$13-omega*e_base))*(A108/sref)^(Parametros!$B$13-1))),DEGREES(ATAN(TAN(RADIANS(Parametros!$E$14-omega*e_base))*(A108/sref)^(Parametros!$B$14-1))),DEGREES(ATAN(TAN(RADIANS(Parametros!$E$15-omega*e_base))*(A108/sref)^(Parametros!$B$15-1))),DEGREES(ATAN(TAN(RADIANS(Parametros!$E$16-omega*e_base))*(A108/sref)^(Parametros!$B$16-1))))</f>
        <v/>
      </c>
      <c r="F108">
        <f>MAX(DEGREES(ATAN(TAN(RADIANS(Parametros!$F$12-omega*e_base))*(A108/sref)^(Parametros!$B$12-1))),DEGREES(ATAN(TAN(RADIANS(Parametros!$F$13-omega*e_base))*(A108/sref)^(Parametros!$B$13-1))),DEGREES(ATAN(TAN(RADIANS(Parametros!$F$14-omega*e_base))*(A108/sref)^(Parametros!$B$14-1))),DEGREES(ATAN(TAN(RADIANS(Parametros!$F$15-omega*e_base))*(A108/sref)^(Parametros!$B$15-1))),DEGREES(ATAN(TAN(RADIANS(Parametros!$F$16-omega*e_base))*(A108/sref)^(Parametros!$B$16-1))))</f>
        <v/>
      </c>
      <c r="G108">
        <f>DEGREES(ATAN(TAN(RADIANS(46.0))*(A108/sref)^(0.9-1)))</f>
        <v/>
      </c>
      <c r="H108">
        <f>DEGREES(ATAN(TAN(RADIANS(41.0))*(A108/sref)^(0.9-1)))</f>
        <v/>
      </c>
      <c r="I108">
        <f>DEGREES(ATAN(TAN(RADIANS(36.0))*(A108/sref)^(0.9-1)))</f>
        <v/>
      </c>
      <c r="J108">
        <f>DEGREES(ATAN(TAN(RADIANS(33.0))*(A108/sref)^(0.9-1)))</f>
        <v/>
      </c>
      <c r="K108">
        <f>A108*TAN(RADIANS(C108))</f>
        <v/>
      </c>
      <c r="L108">
        <f>A108*TAN(RADIANS(G108))</f>
        <v/>
      </c>
      <c r="M108">
        <f>A108*TAN(RADIANS(H108))</f>
        <v/>
      </c>
      <c r="N108">
        <f>A108*TAN(RADIANS(I108))</f>
        <v/>
      </c>
      <c r="O108">
        <f>A108*TAN(RADIANS(J108))</f>
        <v/>
      </c>
      <c r="Q108" t="n">
        <v>0.3894147138530273</v>
      </c>
      <c r="R108">
        <f>MIN(DEGREES(ATAN(TAN(RADIANS(Parametros!$E$12-omega*e_base))*(Q108/sref)^(Parametros!$B$12-1))),DEGREES(ATAN(TAN(RADIANS(Parametros!$E$13-omega*e_base))*(Q108/sref)^(Parametros!$B$13-1))),DEGREES(ATAN(TAN(RADIANS(Parametros!$E$14-omega*e_base))*(Q108/sref)^(Parametros!$B$14-1))),DEGREES(ATAN(TAN(RADIANS(Parametros!$E$15-omega*e_base))*(Q108/sref)^(Parametros!$B$15-1))),DEGREES(ATAN(TAN(RADIANS(Parametros!$E$16-omega*e_base))*(Q108/sref)^(Parametros!$B$16-1))))</f>
        <v/>
      </c>
      <c r="T108" t="n">
        <v>3.122366863905325</v>
      </c>
      <c r="U108">
        <f>T108*TAN(RADIANS(MIN(DEGREES(ATAN(TAN(RADIANS(Parametros!$E$12-omega*e_base))*(T108/sref)^(Parametros!$B$12-1))),DEGREES(ATAN(TAN(RADIANS(Parametros!$E$13-omega*e_base))*(T108/sref)^(Parametros!$B$13-1))),DEGREES(ATAN(TAN(RADIANS(Parametros!$E$14-omega*e_base))*(T108/sref)^(Parametros!$B$14-1))),DEGREES(ATAN(TAN(RADIANS(Parametros!$E$15-omega*e_base))*(T108/sref)^(Parametros!$B$15-1))),DEGREES(ATAN(TAN(RADIANS(Parametros!$E$16-omega*e_base))*(T108/sref)^(Parametros!$B$16-1))))))</f>
        <v/>
      </c>
      <c r="BE108">
        <f>Base_mundial!C107</f>
        <v/>
      </c>
      <c r="BF108">
        <f>Base_mundial!E107-omega*(e_base-Base_mundial!B107)</f>
        <v/>
      </c>
      <c r="BG108">
        <f>BE108*TAN(RADIANS(BF108))</f>
        <v/>
      </c>
    </row>
    <row r="109">
      <c r="A109" t="n">
        <v>8.20059</v>
      </c>
      <c r="B109">
        <f>DEGREES(ATAN(TAN(RADIANS(pe0-omega*e_base))*(A109/sref)^(m_-1)))</f>
        <v/>
      </c>
      <c r="C109">
        <f>MIN(tope,B109)</f>
        <v/>
      </c>
      <c r="D109">
        <f>IF(B109&gt;tope,B109,NA())</f>
        <v/>
      </c>
      <c r="E109">
        <f>MIN(DEGREES(ATAN(TAN(RADIANS(Parametros!$E$12-omega*e_base))*(A109/sref)^(Parametros!$B$12-1))),DEGREES(ATAN(TAN(RADIANS(Parametros!$E$13-omega*e_base))*(A109/sref)^(Parametros!$B$13-1))),DEGREES(ATAN(TAN(RADIANS(Parametros!$E$14-omega*e_base))*(A109/sref)^(Parametros!$B$14-1))),DEGREES(ATAN(TAN(RADIANS(Parametros!$E$15-omega*e_base))*(A109/sref)^(Parametros!$B$15-1))),DEGREES(ATAN(TAN(RADIANS(Parametros!$E$16-omega*e_base))*(A109/sref)^(Parametros!$B$16-1))))</f>
        <v/>
      </c>
      <c r="F109">
        <f>MAX(DEGREES(ATAN(TAN(RADIANS(Parametros!$F$12-omega*e_base))*(A109/sref)^(Parametros!$B$12-1))),DEGREES(ATAN(TAN(RADIANS(Parametros!$F$13-omega*e_base))*(A109/sref)^(Parametros!$B$13-1))),DEGREES(ATAN(TAN(RADIANS(Parametros!$F$14-omega*e_base))*(A109/sref)^(Parametros!$B$14-1))),DEGREES(ATAN(TAN(RADIANS(Parametros!$F$15-omega*e_base))*(A109/sref)^(Parametros!$B$15-1))),DEGREES(ATAN(TAN(RADIANS(Parametros!$F$16-omega*e_base))*(A109/sref)^(Parametros!$B$16-1))))</f>
        <v/>
      </c>
      <c r="G109">
        <f>DEGREES(ATAN(TAN(RADIANS(46.0))*(A109/sref)^(0.9-1)))</f>
        <v/>
      </c>
      <c r="H109">
        <f>DEGREES(ATAN(TAN(RADIANS(41.0))*(A109/sref)^(0.9-1)))</f>
        <v/>
      </c>
      <c r="I109">
        <f>DEGREES(ATAN(TAN(RADIANS(36.0))*(A109/sref)^(0.9-1)))</f>
        <v/>
      </c>
      <c r="J109">
        <f>DEGREES(ATAN(TAN(RADIANS(33.0))*(A109/sref)^(0.9-1)))</f>
        <v/>
      </c>
      <c r="K109">
        <f>A109*TAN(RADIANS(C109))</f>
        <v/>
      </c>
      <c r="L109">
        <f>A109*TAN(RADIANS(G109))</f>
        <v/>
      </c>
      <c r="M109">
        <f>A109*TAN(RADIANS(H109))</f>
        <v/>
      </c>
      <c r="N109">
        <f>A109*TAN(RADIANS(I109))</f>
        <v/>
      </c>
      <c r="O109">
        <f>A109*TAN(RADIANS(J109))</f>
        <v/>
      </c>
      <c r="Q109" t="n">
        <v>0.3894147138530273</v>
      </c>
      <c r="R109">
        <f>MAX(DEGREES(ATAN(TAN(RADIANS(Parametros!$F$12-omega*e_base))*(Q109/sref)^(Parametros!$B$12-1))),DEGREES(ATAN(TAN(RADIANS(Parametros!$F$13-omega*e_base))*(Q109/sref)^(Parametros!$B$13-1))),DEGREES(ATAN(TAN(RADIANS(Parametros!$F$14-omega*e_base))*(Q109/sref)^(Parametros!$B$14-1))),DEGREES(ATAN(TAN(RADIANS(Parametros!$F$15-omega*e_base))*(Q109/sref)^(Parametros!$B$15-1))),DEGREES(ATAN(TAN(RADIANS(Parametros!$F$16-omega*e_base))*(Q109/sref)^(Parametros!$B$16-1))))</f>
        <v/>
      </c>
      <c r="T109" t="n">
        <v>3.122366863905325</v>
      </c>
      <c r="U109">
        <f>T109*TAN(RADIANS(MAX(DEGREES(ATAN(TAN(RADIANS(Parametros!$F$12-omega*e_base))*(T109/sref)^(Parametros!$B$12-1))),DEGREES(ATAN(TAN(RADIANS(Parametros!$F$13-omega*e_base))*(T109/sref)^(Parametros!$B$13-1))),DEGREES(ATAN(TAN(RADIANS(Parametros!$F$14-omega*e_base))*(T109/sref)^(Parametros!$B$14-1))),DEGREES(ATAN(TAN(RADIANS(Parametros!$F$15-omega*e_base))*(T109/sref)^(Parametros!$B$15-1))),DEGREES(ATAN(TAN(RADIANS(Parametros!$F$16-omega*e_base))*(T109/sref)^(Parametros!$B$16-1))))))</f>
        <v/>
      </c>
      <c r="BE109">
        <f>Base_mundial!C108</f>
        <v/>
      </c>
      <c r="BF109">
        <f>Base_mundial!E108-omega*(e_base-Base_mundial!B108)</f>
        <v/>
      </c>
      <c r="BG109">
        <f>BE109*TAN(RADIANS(BF109))</f>
        <v/>
      </c>
    </row>
    <row r="110">
      <c r="A110" t="n">
        <v>8.769679999999999</v>
      </c>
      <c r="B110">
        <f>DEGREES(ATAN(TAN(RADIANS(pe0-omega*e_base))*(A110/sref)^(m_-1)))</f>
        <v/>
      </c>
      <c r="C110">
        <f>MIN(tope,B110)</f>
        <v/>
      </c>
      <c r="D110">
        <f>IF(B110&gt;tope,B110,NA())</f>
        <v/>
      </c>
      <c r="E110">
        <f>MIN(DEGREES(ATAN(TAN(RADIANS(Parametros!$E$12-omega*e_base))*(A110/sref)^(Parametros!$B$12-1))),DEGREES(ATAN(TAN(RADIANS(Parametros!$E$13-omega*e_base))*(A110/sref)^(Parametros!$B$13-1))),DEGREES(ATAN(TAN(RADIANS(Parametros!$E$14-omega*e_base))*(A110/sref)^(Parametros!$B$14-1))),DEGREES(ATAN(TAN(RADIANS(Parametros!$E$15-omega*e_base))*(A110/sref)^(Parametros!$B$15-1))),DEGREES(ATAN(TAN(RADIANS(Parametros!$E$16-omega*e_base))*(A110/sref)^(Parametros!$B$16-1))))</f>
        <v/>
      </c>
      <c r="F110">
        <f>MAX(DEGREES(ATAN(TAN(RADIANS(Parametros!$F$12-omega*e_base))*(A110/sref)^(Parametros!$B$12-1))),DEGREES(ATAN(TAN(RADIANS(Parametros!$F$13-omega*e_base))*(A110/sref)^(Parametros!$B$13-1))),DEGREES(ATAN(TAN(RADIANS(Parametros!$F$14-omega*e_base))*(A110/sref)^(Parametros!$B$14-1))),DEGREES(ATAN(TAN(RADIANS(Parametros!$F$15-omega*e_base))*(A110/sref)^(Parametros!$B$15-1))),DEGREES(ATAN(TAN(RADIANS(Parametros!$F$16-omega*e_base))*(A110/sref)^(Parametros!$B$16-1))))</f>
        <v/>
      </c>
      <c r="G110">
        <f>DEGREES(ATAN(TAN(RADIANS(46.0))*(A110/sref)^(0.9-1)))</f>
        <v/>
      </c>
      <c r="H110">
        <f>DEGREES(ATAN(TAN(RADIANS(41.0))*(A110/sref)^(0.9-1)))</f>
        <v/>
      </c>
      <c r="I110">
        <f>DEGREES(ATAN(TAN(RADIANS(36.0))*(A110/sref)^(0.9-1)))</f>
        <v/>
      </c>
      <c r="J110">
        <f>DEGREES(ATAN(TAN(RADIANS(33.0))*(A110/sref)^(0.9-1)))</f>
        <v/>
      </c>
      <c r="K110">
        <f>A110*TAN(RADIANS(C110))</f>
        <v/>
      </c>
      <c r="L110">
        <f>A110*TAN(RADIANS(G110))</f>
        <v/>
      </c>
      <c r="M110">
        <f>A110*TAN(RADIANS(H110))</f>
        <v/>
      </c>
      <c r="N110">
        <f>A110*TAN(RADIANS(I110))</f>
        <v/>
      </c>
      <c r="O110">
        <f>A110*TAN(RADIANS(J110))</f>
        <v/>
      </c>
      <c r="BE110">
        <f>Base_mundial!C109</f>
        <v/>
      </c>
      <c r="BF110">
        <f>Base_mundial!E109-omega*(e_base-Base_mundial!B109)</f>
        <v/>
      </c>
      <c r="BG110">
        <f>BE110*TAN(RADIANS(BF110))</f>
        <v/>
      </c>
    </row>
    <row r="111">
      <c r="A111" t="n">
        <v>9.378259999999999</v>
      </c>
      <c r="B111">
        <f>DEGREES(ATAN(TAN(RADIANS(pe0-omega*e_base))*(A111/sref)^(m_-1)))</f>
        <v/>
      </c>
      <c r="C111">
        <f>MIN(tope,B111)</f>
        <v/>
      </c>
      <c r="D111">
        <f>IF(B111&gt;tope,B111,NA())</f>
        <v/>
      </c>
      <c r="E111">
        <f>MIN(DEGREES(ATAN(TAN(RADIANS(Parametros!$E$12-omega*e_base))*(A111/sref)^(Parametros!$B$12-1))),DEGREES(ATAN(TAN(RADIANS(Parametros!$E$13-omega*e_base))*(A111/sref)^(Parametros!$B$13-1))),DEGREES(ATAN(TAN(RADIANS(Parametros!$E$14-omega*e_base))*(A111/sref)^(Parametros!$B$14-1))),DEGREES(ATAN(TAN(RADIANS(Parametros!$E$15-omega*e_base))*(A111/sref)^(Parametros!$B$15-1))),DEGREES(ATAN(TAN(RADIANS(Parametros!$E$16-omega*e_base))*(A111/sref)^(Parametros!$B$16-1))))</f>
        <v/>
      </c>
      <c r="F111">
        <f>MAX(DEGREES(ATAN(TAN(RADIANS(Parametros!$F$12-omega*e_base))*(A111/sref)^(Parametros!$B$12-1))),DEGREES(ATAN(TAN(RADIANS(Parametros!$F$13-omega*e_base))*(A111/sref)^(Parametros!$B$13-1))),DEGREES(ATAN(TAN(RADIANS(Parametros!$F$14-omega*e_base))*(A111/sref)^(Parametros!$B$14-1))),DEGREES(ATAN(TAN(RADIANS(Parametros!$F$15-omega*e_base))*(A111/sref)^(Parametros!$B$15-1))),DEGREES(ATAN(TAN(RADIANS(Parametros!$F$16-omega*e_base))*(A111/sref)^(Parametros!$B$16-1))))</f>
        <v/>
      </c>
      <c r="G111">
        <f>DEGREES(ATAN(TAN(RADIANS(46.0))*(A111/sref)^(0.9-1)))</f>
        <v/>
      </c>
      <c r="H111">
        <f>DEGREES(ATAN(TAN(RADIANS(41.0))*(A111/sref)^(0.9-1)))</f>
        <v/>
      </c>
      <c r="I111">
        <f>DEGREES(ATAN(TAN(RADIANS(36.0))*(A111/sref)^(0.9-1)))</f>
        <v/>
      </c>
      <c r="J111">
        <f>DEGREES(ATAN(TAN(RADIANS(33.0))*(A111/sref)^(0.9-1)))</f>
        <v/>
      </c>
      <c r="K111">
        <f>A111*TAN(RADIANS(C111))</f>
        <v/>
      </c>
      <c r="L111">
        <f>A111*TAN(RADIANS(G111))</f>
        <v/>
      </c>
      <c r="M111">
        <f>A111*TAN(RADIANS(H111))</f>
        <v/>
      </c>
      <c r="N111">
        <f>A111*TAN(RADIANS(I111))</f>
        <v/>
      </c>
      <c r="O111">
        <f>A111*TAN(RADIANS(J111))</f>
        <v/>
      </c>
      <c r="Q111" t="n">
        <v>0.4048380101866603</v>
      </c>
      <c r="R111">
        <f>MIN(DEGREES(ATAN(TAN(RADIANS(Parametros!$E$12-omega*e_base))*(Q111/sref)^(Parametros!$B$12-1))),DEGREES(ATAN(TAN(RADIANS(Parametros!$E$13-omega*e_base))*(Q111/sref)^(Parametros!$B$13-1))),DEGREES(ATAN(TAN(RADIANS(Parametros!$E$14-omega*e_base))*(Q111/sref)^(Parametros!$B$14-1))),DEGREES(ATAN(TAN(RADIANS(Parametros!$E$15-omega*e_base))*(Q111/sref)^(Parametros!$B$15-1))),DEGREES(ATAN(TAN(RADIANS(Parametros!$E$16-omega*e_base))*(Q111/sref)^(Parametros!$B$16-1))))</f>
        <v/>
      </c>
      <c r="T111" t="n">
        <v>3.211005917159763</v>
      </c>
      <c r="U111">
        <f>T111*TAN(RADIANS(MIN(DEGREES(ATAN(TAN(RADIANS(Parametros!$E$12-omega*e_base))*(T111/sref)^(Parametros!$B$12-1))),DEGREES(ATAN(TAN(RADIANS(Parametros!$E$13-omega*e_base))*(T111/sref)^(Parametros!$B$13-1))),DEGREES(ATAN(TAN(RADIANS(Parametros!$E$14-omega*e_base))*(T111/sref)^(Parametros!$B$14-1))),DEGREES(ATAN(TAN(RADIANS(Parametros!$E$15-omega*e_base))*(T111/sref)^(Parametros!$B$15-1))),DEGREES(ATAN(TAN(RADIANS(Parametros!$E$16-omega*e_base))*(T111/sref)^(Parametros!$B$16-1))))))</f>
        <v/>
      </c>
      <c r="BE111">
        <f>Base_mundial!C110</f>
        <v/>
      </c>
      <c r="BF111">
        <f>Base_mundial!E110-omega*(e_base-Base_mundial!B110)</f>
        <v/>
      </c>
      <c r="BG111">
        <f>BE111*TAN(RADIANS(BF111))</f>
        <v/>
      </c>
    </row>
    <row r="112">
      <c r="A112" t="n">
        <v>10.02907</v>
      </c>
      <c r="B112">
        <f>DEGREES(ATAN(TAN(RADIANS(pe0-omega*e_base))*(A112/sref)^(m_-1)))</f>
        <v/>
      </c>
      <c r="C112">
        <f>MIN(tope,B112)</f>
        <v/>
      </c>
      <c r="D112">
        <f>IF(B112&gt;tope,B112,NA())</f>
        <v/>
      </c>
      <c r="E112">
        <f>MIN(DEGREES(ATAN(TAN(RADIANS(Parametros!$E$12-omega*e_base))*(A112/sref)^(Parametros!$B$12-1))),DEGREES(ATAN(TAN(RADIANS(Parametros!$E$13-omega*e_base))*(A112/sref)^(Parametros!$B$13-1))),DEGREES(ATAN(TAN(RADIANS(Parametros!$E$14-omega*e_base))*(A112/sref)^(Parametros!$B$14-1))),DEGREES(ATAN(TAN(RADIANS(Parametros!$E$15-omega*e_base))*(A112/sref)^(Parametros!$B$15-1))),DEGREES(ATAN(TAN(RADIANS(Parametros!$E$16-omega*e_base))*(A112/sref)^(Parametros!$B$16-1))))</f>
        <v/>
      </c>
      <c r="F112">
        <f>MAX(DEGREES(ATAN(TAN(RADIANS(Parametros!$F$12-omega*e_base))*(A112/sref)^(Parametros!$B$12-1))),DEGREES(ATAN(TAN(RADIANS(Parametros!$F$13-omega*e_base))*(A112/sref)^(Parametros!$B$13-1))),DEGREES(ATAN(TAN(RADIANS(Parametros!$F$14-omega*e_base))*(A112/sref)^(Parametros!$B$14-1))),DEGREES(ATAN(TAN(RADIANS(Parametros!$F$15-omega*e_base))*(A112/sref)^(Parametros!$B$15-1))),DEGREES(ATAN(TAN(RADIANS(Parametros!$F$16-omega*e_base))*(A112/sref)^(Parametros!$B$16-1))))</f>
        <v/>
      </c>
      <c r="G112">
        <f>DEGREES(ATAN(TAN(RADIANS(46.0))*(A112/sref)^(0.9-1)))</f>
        <v/>
      </c>
      <c r="H112">
        <f>DEGREES(ATAN(TAN(RADIANS(41.0))*(A112/sref)^(0.9-1)))</f>
        <v/>
      </c>
      <c r="I112">
        <f>DEGREES(ATAN(TAN(RADIANS(36.0))*(A112/sref)^(0.9-1)))</f>
        <v/>
      </c>
      <c r="J112">
        <f>DEGREES(ATAN(TAN(RADIANS(33.0))*(A112/sref)^(0.9-1)))</f>
        <v/>
      </c>
      <c r="K112">
        <f>A112*TAN(RADIANS(C112))</f>
        <v/>
      </c>
      <c r="L112">
        <f>A112*TAN(RADIANS(G112))</f>
        <v/>
      </c>
      <c r="M112">
        <f>A112*TAN(RADIANS(H112))</f>
        <v/>
      </c>
      <c r="N112">
        <f>A112*TAN(RADIANS(I112))</f>
        <v/>
      </c>
      <c r="O112">
        <f>A112*TAN(RADIANS(J112))</f>
        <v/>
      </c>
      <c r="Q112" t="n">
        <v>0.4048380101866603</v>
      </c>
      <c r="R112">
        <f>MAX(DEGREES(ATAN(TAN(RADIANS(Parametros!$F$12-omega*e_base))*(Q112/sref)^(Parametros!$B$12-1))),DEGREES(ATAN(TAN(RADIANS(Parametros!$F$13-omega*e_base))*(Q112/sref)^(Parametros!$B$13-1))),DEGREES(ATAN(TAN(RADIANS(Parametros!$F$14-omega*e_base))*(Q112/sref)^(Parametros!$B$14-1))),DEGREES(ATAN(TAN(RADIANS(Parametros!$F$15-omega*e_base))*(Q112/sref)^(Parametros!$B$15-1))),DEGREES(ATAN(TAN(RADIANS(Parametros!$F$16-omega*e_base))*(Q112/sref)^(Parametros!$B$16-1))))</f>
        <v/>
      </c>
      <c r="T112" t="n">
        <v>3.211005917159763</v>
      </c>
      <c r="U112">
        <f>T112*TAN(RADIANS(MAX(DEGREES(ATAN(TAN(RADIANS(Parametros!$F$12-omega*e_base))*(T112/sref)^(Parametros!$B$12-1))),DEGREES(ATAN(TAN(RADIANS(Parametros!$F$13-omega*e_base))*(T112/sref)^(Parametros!$B$13-1))),DEGREES(ATAN(TAN(RADIANS(Parametros!$F$14-omega*e_base))*(T112/sref)^(Parametros!$B$14-1))),DEGREES(ATAN(TAN(RADIANS(Parametros!$F$15-omega*e_base))*(T112/sref)^(Parametros!$B$15-1))),DEGREES(ATAN(TAN(RADIANS(Parametros!$F$16-omega*e_base))*(T112/sref)^(Parametros!$B$16-1))))))</f>
        <v/>
      </c>
      <c r="BE112">
        <f>Base_mundial!C111</f>
        <v/>
      </c>
      <c r="BF112">
        <f>Base_mundial!E111-omega*(e_base-Base_mundial!B111)</f>
        <v/>
      </c>
      <c r="BG112">
        <f>BE112*TAN(RADIANS(BF112))</f>
        <v/>
      </c>
    </row>
    <row r="113">
      <c r="A113" t="n">
        <v>10.72504</v>
      </c>
      <c r="B113">
        <f>DEGREES(ATAN(TAN(RADIANS(pe0-omega*e_base))*(A113/sref)^(m_-1)))</f>
        <v/>
      </c>
      <c r="C113">
        <f>MIN(tope,B113)</f>
        <v/>
      </c>
      <c r="D113">
        <f>IF(B113&gt;tope,B113,NA())</f>
        <v/>
      </c>
      <c r="E113">
        <f>MIN(DEGREES(ATAN(TAN(RADIANS(Parametros!$E$12-omega*e_base))*(A113/sref)^(Parametros!$B$12-1))),DEGREES(ATAN(TAN(RADIANS(Parametros!$E$13-omega*e_base))*(A113/sref)^(Parametros!$B$13-1))),DEGREES(ATAN(TAN(RADIANS(Parametros!$E$14-omega*e_base))*(A113/sref)^(Parametros!$B$14-1))),DEGREES(ATAN(TAN(RADIANS(Parametros!$E$15-omega*e_base))*(A113/sref)^(Parametros!$B$15-1))),DEGREES(ATAN(TAN(RADIANS(Parametros!$E$16-omega*e_base))*(A113/sref)^(Parametros!$B$16-1))))</f>
        <v/>
      </c>
      <c r="F113">
        <f>MAX(DEGREES(ATAN(TAN(RADIANS(Parametros!$F$12-omega*e_base))*(A113/sref)^(Parametros!$B$12-1))),DEGREES(ATAN(TAN(RADIANS(Parametros!$F$13-omega*e_base))*(A113/sref)^(Parametros!$B$13-1))),DEGREES(ATAN(TAN(RADIANS(Parametros!$F$14-omega*e_base))*(A113/sref)^(Parametros!$B$14-1))),DEGREES(ATAN(TAN(RADIANS(Parametros!$F$15-omega*e_base))*(A113/sref)^(Parametros!$B$15-1))),DEGREES(ATAN(TAN(RADIANS(Parametros!$F$16-omega*e_base))*(A113/sref)^(Parametros!$B$16-1))))</f>
        <v/>
      </c>
      <c r="G113">
        <f>DEGREES(ATAN(TAN(RADIANS(46.0))*(A113/sref)^(0.9-1)))</f>
        <v/>
      </c>
      <c r="H113">
        <f>DEGREES(ATAN(TAN(RADIANS(41.0))*(A113/sref)^(0.9-1)))</f>
        <v/>
      </c>
      <c r="I113">
        <f>DEGREES(ATAN(TAN(RADIANS(36.0))*(A113/sref)^(0.9-1)))</f>
        <v/>
      </c>
      <c r="J113">
        <f>DEGREES(ATAN(TAN(RADIANS(33.0))*(A113/sref)^(0.9-1)))</f>
        <v/>
      </c>
      <c r="K113">
        <f>A113*TAN(RADIANS(C113))</f>
        <v/>
      </c>
      <c r="L113">
        <f>A113*TAN(RADIANS(G113))</f>
        <v/>
      </c>
      <c r="M113">
        <f>A113*TAN(RADIANS(H113))</f>
        <v/>
      </c>
      <c r="N113">
        <f>A113*TAN(RADIANS(I113))</f>
        <v/>
      </c>
      <c r="O113">
        <f>A113*TAN(RADIANS(J113))</f>
        <v/>
      </c>
      <c r="BE113">
        <f>Base_mundial!C112</f>
        <v/>
      </c>
      <c r="BF113">
        <f>Base_mundial!E112-omega*(e_base-Base_mundial!B112)</f>
        <v/>
      </c>
      <c r="BG113">
        <f>BE113*TAN(RADIANS(BF113))</f>
        <v/>
      </c>
    </row>
    <row r="114">
      <c r="A114" t="n">
        <v>11.46931</v>
      </c>
      <c r="B114">
        <f>DEGREES(ATAN(TAN(RADIANS(pe0-omega*e_base))*(A114/sref)^(m_-1)))</f>
        <v/>
      </c>
      <c r="C114">
        <f>MIN(tope,B114)</f>
        <v/>
      </c>
      <c r="D114">
        <f>IF(B114&gt;tope,B114,NA())</f>
        <v/>
      </c>
      <c r="E114">
        <f>MIN(DEGREES(ATAN(TAN(RADIANS(Parametros!$E$12-omega*e_base))*(A114/sref)^(Parametros!$B$12-1))),DEGREES(ATAN(TAN(RADIANS(Parametros!$E$13-omega*e_base))*(A114/sref)^(Parametros!$B$13-1))),DEGREES(ATAN(TAN(RADIANS(Parametros!$E$14-omega*e_base))*(A114/sref)^(Parametros!$B$14-1))),DEGREES(ATAN(TAN(RADIANS(Parametros!$E$15-omega*e_base))*(A114/sref)^(Parametros!$B$15-1))),DEGREES(ATAN(TAN(RADIANS(Parametros!$E$16-omega*e_base))*(A114/sref)^(Parametros!$B$16-1))))</f>
        <v/>
      </c>
      <c r="F114">
        <f>MAX(DEGREES(ATAN(TAN(RADIANS(Parametros!$F$12-omega*e_base))*(A114/sref)^(Parametros!$B$12-1))),DEGREES(ATAN(TAN(RADIANS(Parametros!$F$13-omega*e_base))*(A114/sref)^(Parametros!$B$13-1))),DEGREES(ATAN(TAN(RADIANS(Parametros!$F$14-omega*e_base))*(A114/sref)^(Parametros!$B$14-1))),DEGREES(ATAN(TAN(RADIANS(Parametros!$F$15-omega*e_base))*(A114/sref)^(Parametros!$B$15-1))),DEGREES(ATAN(TAN(RADIANS(Parametros!$F$16-omega*e_base))*(A114/sref)^(Parametros!$B$16-1))))</f>
        <v/>
      </c>
      <c r="G114">
        <f>DEGREES(ATAN(TAN(RADIANS(46.0))*(A114/sref)^(0.9-1)))</f>
        <v/>
      </c>
      <c r="H114">
        <f>DEGREES(ATAN(TAN(RADIANS(41.0))*(A114/sref)^(0.9-1)))</f>
        <v/>
      </c>
      <c r="I114">
        <f>DEGREES(ATAN(TAN(RADIANS(36.0))*(A114/sref)^(0.9-1)))</f>
        <v/>
      </c>
      <c r="J114">
        <f>DEGREES(ATAN(TAN(RADIANS(33.0))*(A114/sref)^(0.9-1)))</f>
        <v/>
      </c>
      <c r="K114">
        <f>A114*TAN(RADIANS(C114))</f>
        <v/>
      </c>
      <c r="L114">
        <f>A114*TAN(RADIANS(G114))</f>
        <v/>
      </c>
      <c r="M114">
        <f>A114*TAN(RADIANS(H114))</f>
        <v/>
      </c>
      <c r="N114">
        <f>A114*TAN(RADIANS(I114))</f>
        <v/>
      </c>
      <c r="O114">
        <f>A114*TAN(RADIANS(J114))</f>
        <v/>
      </c>
      <c r="Q114" t="n">
        <v>0.4208721670279546</v>
      </c>
      <c r="R114">
        <f>MIN(DEGREES(ATAN(TAN(RADIANS(Parametros!$E$12-omega*e_base))*(Q114/sref)^(Parametros!$B$12-1))),DEGREES(ATAN(TAN(RADIANS(Parametros!$E$13-omega*e_base))*(Q114/sref)^(Parametros!$B$13-1))),DEGREES(ATAN(TAN(RADIANS(Parametros!$E$14-omega*e_base))*(Q114/sref)^(Parametros!$B$14-1))),DEGREES(ATAN(TAN(RADIANS(Parametros!$E$15-omega*e_base))*(Q114/sref)^(Parametros!$B$15-1))),DEGREES(ATAN(TAN(RADIANS(Parametros!$E$16-omega*e_base))*(Q114/sref)^(Parametros!$B$16-1))))</f>
        <v/>
      </c>
      <c r="T114" t="n">
        <v>3.299644970414201</v>
      </c>
      <c r="U114">
        <f>T114*TAN(RADIANS(MIN(DEGREES(ATAN(TAN(RADIANS(Parametros!$E$12-omega*e_base))*(T114/sref)^(Parametros!$B$12-1))),DEGREES(ATAN(TAN(RADIANS(Parametros!$E$13-omega*e_base))*(T114/sref)^(Parametros!$B$13-1))),DEGREES(ATAN(TAN(RADIANS(Parametros!$E$14-omega*e_base))*(T114/sref)^(Parametros!$B$14-1))),DEGREES(ATAN(TAN(RADIANS(Parametros!$E$15-omega*e_base))*(T114/sref)^(Parametros!$B$15-1))),DEGREES(ATAN(TAN(RADIANS(Parametros!$E$16-omega*e_base))*(T114/sref)^(Parametros!$B$16-1))))))</f>
        <v/>
      </c>
      <c r="BE114">
        <f>Base_mundial!C113</f>
        <v/>
      </c>
      <c r="BF114">
        <f>Base_mundial!E113-omega*(e_base-Base_mundial!B113)</f>
        <v/>
      </c>
      <c r="BG114">
        <f>BE114*TAN(RADIANS(BF114))</f>
        <v/>
      </c>
    </row>
    <row r="115">
      <c r="A115" t="n">
        <v>12.26524</v>
      </c>
      <c r="B115">
        <f>DEGREES(ATAN(TAN(RADIANS(pe0-omega*e_base))*(A115/sref)^(m_-1)))</f>
        <v/>
      </c>
      <c r="C115">
        <f>MIN(tope,B115)</f>
        <v/>
      </c>
      <c r="D115">
        <f>IF(B115&gt;tope,B115,NA())</f>
        <v/>
      </c>
      <c r="E115">
        <f>MIN(DEGREES(ATAN(TAN(RADIANS(Parametros!$E$12-omega*e_base))*(A115/sref)^(Parametros!$B$12-1))),DEGREES(ATAN(TAN(RADIANS(Parametros!$E$13-omega*e_base))*(A115/sref)^(Parametros!$B$13-1))),DEGREES(ATAN(TAN(RADIANS(Parametros!$E$14-omega*e_base))*(A115/sref)^(Parametros!$B$14-1))),DEGREES(ATAN(TAN(RADIANS(Parametros!$E$15-omega*e_base))*(A115/sref)^(Parametros!$B$15-1))),DEGREES(ATAN(TAN(RADIANS(Parametros!$E$16-omega*e_base))*(A115/sref)^(Parametros!$B$16-1))))</f>
        <v/>
      </c>
      <c r="F115">
        <f>MAX(DEGREES(ATAN(TAN(RADIANS(Parametros!$F$12-omega*e_base))*(A115/sref)^(Parametros!$B$12-1))),DEGREES(ATAN(TAN(RADIANS(Parametros!$F$13-omega*e_base))*(A115/sref)^(Parametros!$B$13-1))),DEGREES(ATAN(TAN(RADIANS(Parametros!$F$14-omega*e_base))*(A115/sref)^(Parametros!$B$14-1))),DEGREES(ATAN(TAN(RADIANS(Parametros!$F$15-omega*e_base))*(A115/sref)^(Parametros!$B$15-1))),DEGREES(ATAN(TAN(RADIANS(Parametros!$F$16-omega*e_base))*(A115/sref)^(Parametros!$B$16-1))))</f>
        <v/>
      </c>
      <c r="G115">
        <f>DEGREES(ATAN(TAN(RADIANS(46.0))*(A115/sref)^(0.9-1)))</f>
        <v/>
      </c>
      <c r="H115">
        <f>DEGREES(ATAN(TAN(RADIANS(41.0))*(A115/sref)^(0.9-1)))</f>
        <v/>
      </c>
      <c r="I115">
        <f>DEGREES(ATAN(TAN(RADIANS(36.0))*(A115/sref)^(0.9-1)))</f>
        <v/>
      </c>
      <c r="J115">
        <f>DEGREES(ATAN(TAN(RADIANS(33.0))*(A115/sref)^(0.9-1)))</f>
        <v/>
      </c>
      <c r="K115">
        <f>A115*TAN(RADIANS(C115))</f>
        <v/>
      </c>
      <c r="L115">
        <f>A115*TAN(RADIANS(G115))</f>
        <v/>
      </c>
      <c r="M115">
        <f>A115*TAN(RADIANS(H115))</f>
        <v/>
      </c>
      <c r="N115">
        <f>A115*TAN(RADIANS(I115))</f>
        <v/>
      </c>
      <c r="O115">
        <f>A115*TAN(RADIANS(J115))</f>
        <v/>
      </c>
      <c r="Q115" t="n">
        <v>0.4208721670279546</v>
      </c>
      <c r="R115">
        <f>MAX(DEGREES(ATAN(TAN(RADIANS(Parametros!$F$12-omega*e_base))*(Q115/sref)^(Parametros!$B$12-1))),DEGREES(ATAN(TAN(RADIANS(Parametros!$F$13-omega*e_base))*(Q115/sref)^(Parametros!$B$13-1))),DEGREES(ATAN(TAN(RADIANS(Parametros!$F$14-omega*e_base))*(Q115/sref)^(Parametros!$B$14-1))),DEGREES(ATAN(TAN(RADIANS(Parametros!$F$15-omega*e_base))*(Q115/sref)^(Parametros!$B$15-1))),DEGREES(ATAN(TAN(RADIANS(Parametros!$F$16-omega*e_base))*(Q115/sref)^(Parametros!$B$16-1))))</f>
        <v/>
      </c>
      <c r="T115" t="n">
        <v>3.299644970414201</v>
      </c>
      <c r="U115">
        <f>T115*TAN(RADIANS(MAX(DEGREES(ATAN(TAN(RADIANS(Parametros!$F$12-omega*e_base))*(T115/sref)^(Parametros!$B$12-1))),DEGREES(ATAN(TAN(RADIANS(Parametros!$F$13-omega*e_base))*(T115/sref)^(Parametros!$B$13-1))),DEGREES(ATAN(TAN(RADIANS(Parametros!$F$14-omega*e_base))*(T115/sref)^(Parametros!$B$14-1))),DEGREES(ATAN(TAN(RADIANS(Parametros!$F$15-omega*e_base))*(T115/sref)^(Parametros!$B$15-1))),DEGREES(ATAN(TAN(RADIANS(Parametros!$F$16-omega*e_base))*(T115/sref)^(Parametros!$B$16-1))))))</f>
        <v/>
      </c>
      <c r="BE115">
        <f>Base_mundial!C114</f>
        <v/>
      </c>
      <c r="BF115">
        <f>Base_mundial!E114-omega*(e_base-Base_mundial!B114)</f>
        <v/>
      </c>
      <c r="BG115">
        <f>BE115*TAN(RADIANS(BF115))</f>
        <v/>
      </c>
    </row>
    <row r="116">
      <c r="A116" t="n">
        <v>13.11639</v>
      </c>
      <c r="B116">
        <f>DEGREES(ATAN(TAN(RADIANS(pe0-omega*e_base))*(A116/sref)^(m_-1)))</f>
        <v/>
      </c>
      <c r="C116">
        <f>MIN(tope,B116)</f>
        <v/>
      </c>
      <c r="D116">
        <f>IF(B116&gt;tope,B116,NA())</f>
        <v/>
      </c>
      <c r="E116">
        <f>MIN(DEGREES(ATAN(TAN(RADIANS(Parametros!$E$12-omega*e_base))*(A116/sref)^(Parametros!$B$12-1))),DEGREES(ATAN(TAN(RADIANS(Parametros!$E$13-omega*e_base))*(A116/sref)^(Parametros!$B$13-1))),DEGREES(ATAN(TAN(RADIANS(Parametros!$E$14-omega*e_base))*(A116/sref)^(Parametros!$B$14-1))),DEGREES(ATAN(TAN(RADIANS(Parametros!$E$15-omega*e_base))*(A116/sref)^(Parametros!$B$15-1))),DEGREES(ATAN(TAN(RADIANS(Parametros!$E$16-omega*e_base))*(A116/sref)^(Parametros!$B$16-1))))</f>
        <v/>
      </c>
      <c r="F116">
        <f>MAX(DEGREES(ATAN(TAN(RADIANS(Parametros!$F$12-omega*e_base))*(A116/sref)^(Parametros!$B$12-1))),DEGREES(ATAN(TAN(RADIANS(Parametros!$F$13-omega*e_base))*(A116/sref)^(Parametros!$B$13-1))),DEGREES(ATAN(TAN(RADIANS(Parametros!$F$14-omega*e_base))*(A116/sref)^(Parametros!$B$14-1))),DEGREES(ATAN(TAN(RADIANS(Parametros!$F$15-omega*e_base))*(A116/sref)^(Parametros!$B$15-1))),DEGREES(ATAN(TAN(RADIANS(Parametros!$F$16-omega*e_base))*(A116/sref)^(Parametros!$B$16-1))))</f>
        <v/>
      </c>
      <c r="G116">
        <f>DEGREES(ATAN(TAN(RADIANS(46.0))*(A116/sref)^(0.9-1)))</f>
        <v/>
      </c>
      <c r="H116">
        <f>DEGREES(ATAN(TAN(RADIANS(41.0))*(A116/sref)^(0.9-1)))</f>
        <v/>
      </c>
      <c r="I116">
        <f>DEGREES(ATAN(TAN(RADIANS(36.0))*(A116/sref)^(0.9-1)))</f>
        <v/>
      </c>
      <c r="J116">
        <f>DEGREES(ATAN(TAN(RADIANS(33.0))*(A116/sref)^(0.9-1)))</f>
        <v/>
      </c>
      <c r="K116">
        <f>A116*TAN(RADIANS(C116))</f>
        <v/>
      </c>
      <c r="L116">
        <f>A116*TAN(RADIANS(G116))</f>
        <v/>
      </c>
      <c r="M116">
        <f>A116*TAN(RADIANS(H116))</f>
        <v/>
      </c>
      <c r="N116">
        <f>A116*TAN(RADIANS(I116))</f>
        <v/>
      </c>
      <c r="O116">
        <f>A116*TAN(RADIANS(J116))</f>
        <v/>
      </c>
      <c r="BE116">
        <f>Base_mundial!C115</f>
        <v/>
      </c>
      <c r="BF116">
        <f>Base_mundial!E115-omega*(e_base-Base_mundial!B115)</f>
        <v/>
      </c>
      <c r="BG116">
        <f>BE116*TAN(RADIANS(BF116))</f>
        <v/>
      </c>
    </row>
    <row r="117">
      <c r="A117" t="n">
        <v>14.02661</v>
      </c>
      <c r="B117">
        <f>DEGREES(ATAN(TAN(RADIANS(pe0-omega*e_base))*(A117/sref)^(m_-1)))</f>
        <v/>
      </c>
      <c r="C117">
        <f>MIN(tope,B117)</f>
        <v/>
      </c>
      <c r="D117">
        <f>IF(B117&gt;tope,B117,NA())</f>
        <v/>
      </c>
      <c r="E117">
        <f>MIN(DEGREES(ATAN(TAN(RADIANS(Parametros!$E$12-omega*e_base))*(A117/sref)^(Parametros!$B$12-1))),DEGREES(ATAN(TAN(RADIANS(Parametros!$E$13-omega*e_base))*(A117/sref)^(Parametros!$B$13-1))),DEGREES(ATAN(TAN(RADIANS(Parametros!$E$14-omega*e_base))*(A117/sref)^(Parametros!$B$14-1))),DEGREES(ATAN(TAN(RADIANS(Parametros!$E$15-omega*e_base))*(A117/sref)^(Parametros!$B$15-1))),DEGREES(ATAN(TAN(RADIANS(Parametros!$E$16-omega*e_base))*(A117/sref)^(Parametros!$B$16-1))))</f>
        <v/>
      </c>
      <c r="F117">
        <f>MAX(DEGREES(ATAN(TAN(RADIANS(Parametros!$F$12-omega*e_base))*(A117/sref)^(Parametros!$B$12-1))),DEGREES(ATAN(TAN(RADIANS(Parametros!$F$13-omega*e_base))*(A117/sref)^(Parametros!$B$13-1))),DEGREES(ATAN(TAN(RADIANS(Parametros!$F$14-omega*e_base))*(A117/sref)^(Parametros!$B$14-1))),DEGREES(ATAN(TAN(RADIANS(Parametros!$F$15-omega*e_base))*(A117/sref)^(Parametros!$B$15-1))),DEGREES(ATAN(TAN(RADIANS(Parametros!$F$16-omega*e_base))*(A117/sref)^(Parametros!$B$16-1))))</f>
        <v/>
      </c>
      <c r="G117">
        <f>DEGREES(ATAN(TAN(RADIANS(46.0))*(A117/sref)^(0.9-1)))</f>
        <v/>
      </c>
      <c r="H117">
        <f>DEGREES(ATAN(TAN(RADIANS(41.0))*(A117/sref)^(0.9-1)))</f>
        <v/>
      </c>
      <c r="I117">
        <f>DEGREES(ATAN(TAN(RADIANS(36.0))*(A117/sref)^(0.9-1)))</f>
        <v/>
      </c>
      <c r="J117">
        <f>DEGREES(ATAN(TAN(RADIANS(33.0))*(A117/sref)^(0.9-1)))</f>
        <v/>
      </c>
      <c r="K117">
        <f>A117*TAN(RADIANS(C117))</f>
        <v/>
      </c>
      <c r="L117">
        <f>A117*TAN(RADIANS(G117))</f>
        <v/>
      </c>
      <c r="M117">
        <f>A117*TAN(RADIANS(H117))</f>
        <v/>
      </c>
      <c r="N117">
        <f>A117*TAN(RADIANS(I117))</f>
        <v/>
      </c>
      <c r="O117">
        <f>A117*TAN(RADIANS(J117))</f>
        <v/>
      </c>
      <c r="Q117" t="n">
        <v>0.4375413783333608</v>
      </c>
      <c r="R117">
        <f>MIN(DEGREES(ATAN(TAN(RADIANS(Parametros!$E$12-omega*e_base))*(Q117/sref)^(Parametros!$B$12-1))),DEGREES(ATAN(TAN(RADIANS(Parametros!$E$13-omega*e_base))*(Q117/sref)^(Parametros!$B$13-1))),DEGREES(ATAN(TAN(RADIANS(Parametros!$E$14-omega*e_base))*(Q117/sref)^(Parametros!$B$14-1))),DEGREES(ATAN(TAN(RADIANS(Parametros!$E$15-omega*e_base))*(Q117/sref)^(Parametros!$B$15-1))),DEGREES(ATAN(TAN(RADIANS(Parametros!$E$16-omega*e_base))*(Q117/sref)^(Parametros!$B$16-1))))</f>
        <v/>
      </c>
      <c r="T117" t="n">
        <v>3.388284023668639</v>
      </c>
      <c r="U117">
        <f>T117*TAN(RADIANS(MIN(DEGREES(ATAN(TAN(RADIANS(Parametros!$E$12-omega*e_base))*(T117/sref)^(Parametros!$B$12-1))),DEGREES(ATAN(TAN(RADIANS(Parametros!$E$13-omega*e_base))*(T117/sref)^(Parametros!$B$13-1))),DEGREES(ATAN(TAN(RADIANS(Parametros!$E$14-omega*e_base))*(T117/sref)^(Parametros!$B$14-1))),DEGREES(ATAN(TAN(RADIANS(Parametros!$E$15-omega*e_base))*(T117/sref)^(Parametros!$B$15-1))),DEGREES(ATAN(TAN(RADIANS(Parametros!$E$16-omega*e_base))*(T117/sref)^(Parametros!$B$16-1))))))</f>
        <v/>
      </c>
      <c r="BE117">
        <f>Base_mundial!C116</f>
        <v/>
      </c>
      <c r="BF117">
        <f>Base_mundial!E116-omega*(e_base-Base_mundial!B116)</f>
        <v/>
      </c>
      <c r="BG117">
        <f>BE117*TAN(RADIANS(BF117))</f>
        <v/>
      </c>
    </row>
    <row r="118">
      <c r="A118" t="n">
        <v>15</v>
      </c>
      <c r="B118">
        <f>DEGREES(ATAN(TAN(RADIANS(pe0-omega*e_base))*(A118/sref)^(m_-1)))</f>
        <v/>
      </c>
      <c r="C118">
        <f>MIN(tope,B118)</f>
        <v/>
      </c>
      <c r="D118">
        <f>IF(B118&gt;tope,B118,NA())</f>
        <v/>
      </c>
      <c r="E118">
        <f>MIN(DEGREES(ATAN(TAN(RADIANS(Parametros!$E$12-omega*e_base))*(A118/sref)^(Parametros!$B$12-1))),DEGREES(ATAN(TAN(RADIANS(Parametros!$E$13-omega*e_base))*(A118/sref)^(Parametros!$B$13-1))),DEGREES(ATAN(TAN(RADIANS(Parametros!$E$14-omega*e_base))*(A118/sref)^(Parametros!$B$14-1))),DEGREES(ATAN(TAN(RADIANS(Parametros!$E$15-omega*e_base))*(A118/sref)^(Parametros!$B$15-1))),DEGREES(ATAN(TAN(RADIANS(Parametros!$E$16-omega*e_base))*(A118/sref)^(Parametros!$B$16-1))))</f>
        <v/>
      </c>
      <c r="F118">
        <f>MAX(DEGREES(ATAN(TAN(RADIANS(Parametros!$F$12-omega*e_base))*(A118/sref)^(Parametros!$B$12-1))),DEGREES(ATAN(TAN(RADIANS(Parametros!$F$13-omega*e_base))*(A118/sref)^(Parametros!$B$13-1))),DEGREES(ATAN(TAN(RADIANS(Parametros!$F$14-omega*e_base))*(A118/sref)^(Parametros!$B$14-1))),DEGREES(ATAN(TAN(RADIANS(Parametros!$F$15-omega*e_base))*(A118/sref)^(Parametros!$B$15-1))),DEGREES(ATAN(TAN(RADIANS(Parametros!$F$16-omega*e_base))*(A118/sref)^(Parametros!$B$16-1))))</f>
        <v/>
      </c>
      <c r="G118">
        <f>DEGREES(ATAN(TAN(RADIANS(46.0))*(A118/sref)^(0.9-1)))</f>
        <v/>
      </c>
      <c r="H118">
        <f>DEGREES(ATAN(TAN(RADIANS(41.0))*(A118/sref)^(0.9-1)))</f>
        <v/>
      </c>
      <c r="I118">
        <f>DEGREES(ATAN(TAN(RADIANS(36.0))*(A118/sref)^(0.9-1)))</f>
        <v/>
      </c>
      <c r="J118">
        <f>DEGREES(ATAN(TAN(RADIANS(33.0))*(A118/sref)^(0.9-1)))</f>
        <v/>
      </c>
      <c r="K118">
        <f>A118*TAN(RADIANS(C118))</f>
        <v/>
      </c>
      <c r="L118">
        <f>A118*TAN(RADIANS(G118))</f>
        <v/>
      </c>
      <c r="M118">
        <f>A118*TAN(RADIANS(H118))</f>
        <v/>
      </c>
      <c r="N118">
        <f>A118*TAN(RADIANS(I118))</f>
        <v/>
      </c>
      <c r="O118">
        <f>A118*TAN(RADIANS(J118))</f>
        <v/>
      </c>
      <c r="Q118" t="n">
        <v>0.4375413783333608</v>
      </c>
      <c r="R118">
        <f>MAX(DEGREES(ATAN(TAN(RADIANS(Parametros!$F$12-omega*e_base))*(Q118/sref)^(Parametros!$B$12-1))),DEGREES(ATAN(TAN(RADIANS(Parametros!$F$13-omega*e_base))*(Q118/sref)^(Parametros!$B$13-1))),DEGREES(ATAN(TAN(RADIANS(Parametros!$F$14-omega*e_base))*(Q118/sref)^(Parametros!$B$14-1))),DEGREES(ATAN(TAN(RADIANS(Parametros!$F$15-omega*e_base))*(Q118/sref)^(Parametros!$B$15-1))),DEGREES(ATAN(TAN(RADIANS(Parametros!$F$16-omega*e_base))*(Q118/sref)^(Parametros!$B$16-1))))</f>
        <v/>
      </c>
      <c r="T118" t="n">
        <v>3.388284023668639</v>
      </c>
      <c r="U118">
        <f>T118*TAN(RADIANS(MAX(DEGREES(ATAN(TAN(RADIANS(Parametros!$F$12-omega*e_base))*(T118/sref)^(Parametros!$B$12-1))),DEGREES(ATAN(TAN(RADIANS(Parametros!$F$13-omega*e_base))*(T118/sref)^(Parametros!$B$13-1))),DEGREES(ATAN(TAN(RADIANS(Parametros!$F$14-omega*e_base))*(T118/sref)^(Parametros!$B$14-1))),DEGREES(ATAN(TAN(RADIANS(Parametros!$F$15-omega*e_base))*(T118/sref)^(Parametros!$B$15-1))),DEGREES(ATAN(TAN(RADIANS(Parametros!$F$16-omega*e_base))*(T118/sref)^(Parametros!$B$16-1))))))</f>
        <v/>
      </c>
      <c r="BE118">
        <f>Base_mundial!C117</f>
        <v/>
      </c>
      <c r="BF118">
        <f>Base_mundial!E117-omega*(e_base-Base_mundial!B117)</f>
        <v/>
      </c>
      <c r="BG118">
        <f>BE118*TAN(RADIANS(BF118))</f>
        <v/>
      </c>
    </row>
    <row r="119">
      <c r="BE119">
        <f>Base_mundial!C118</f>
        <v/>
      </c>
      <c r="BF119">
        <f>Base_mundial!E118-omega*(e_base-Base_mundial!B118)</f>
        <v/>
      </c>
      <c r="BG119">
        <f>BE119*TAN(RADIANS(BF119))</f>
        <v/>
      </c>
    </row>
    <row r="120">
      <c r="Q120" t="n">
        <v>0.4548707962936914</v>
      </c>
      <c r="R120">
        <f>MIN(DEGREES(ATAN(TAN(RADIANS(Parametros!$E$12-omega*e_base))*(Q120/sref)^(Parametros!$B$12-1))),DEGREES(ATAN(TAN(RADIANS(Parametros!$E$13-omega*e_base))*(Q120/sref)^(Parametros!$B$13-1))),DEGREES(ATAN(TAN(RADIANS(Parametros!$E$14-omega*e_base))*(Q120/sref)^(Parametros!$B$14-1))),DEGREES(ATAN(TAN(RADIANS(Parametros!$E$15-omega*e_base))*(Q120/sref)^(Parametros!$B$15-1))),DEGREES(ATAN(TAN(RADIANS(Parametros!$E$16-omega*e_base))*(Q120/sref)^(Parametros!$B$16-1))))</f>
        <v/>
      </c>
      <c r="T120" t="n">
        <v>3.476923076923077</v>
      </c>
      <c r="U120">
        <f>T120*TAN(RADIANS(MIN(DEGREES(ATAN(TAN(RADIANS(Parametros!$E$12-omega*e_base))*(T120/sref)^(Parametros!$B$12-1))),DEGREES(ATAN(TAN(RADIANS(Parametros!$E$13-omega*e_base))*(T120/sref)^(Parametros!$B$13-1))),DEGREES(ATAN(TAN(RADIANS(Parametros!$E$14-omega*e_base))*(T120/sref)^(Parametros!$B$14-1))),DEGREES(ATAN(TAN(RADIANS(Parametros!$E$15-omega*e_base))*(T120/sref)^(Parametros!$B$15-1))),DEGREES(ATAN(TAN(RADIANS(Parametros!$E$16-omega*e_base))*(T120/sref)^(Parametros!$B$16-1))))))</f>
        <v/>
      </c>
      <c r="BE120">
        <f>Base_mundial!C119</f>
        <v/>
      </c>
      <c r="BF120">
        <f>Base_mundial!E119-omega*(e_base-Base_mundial!B119)</f>
        <v/>
      </c>
      <c r="BG120">
        <f>BE120*TAN(RADIANS(BF120))</f>
        <v/>
      </c>
    </row>
    <row r="121">
      <c r="Q121" t="n">
        <v>0.4548707962936914</v>
      </c>
      <c r="R121">
        <f>MAX(DEGREES(ATAN(TAN(RADIANS(Parametros!$F$12-omega*e_base))*(Q121/sref)^(Parametros!$B$12-1))),DEGREES(ATAN(TAN(RADIANS(Parametros!$F$13-omega*e_base))*(Q121/sref)^(Parametros!$B$13-1))),DEGREES(ATAN(TAN(RADIANS(Parametros!$F$14-omega*e_base))*(Q121/sref)^(Parametros!$B$14-1))),DEGREES(ATAN(TAN(RADIANS(Parametros!$F$15-omega*e_base))*(Q121/sref)^(Parametros!$B$15-1))),DEGREES(ATAN(TAN(RADIANS(Parametros!$F$16-omega*e_base))*(Q121/sref)^(Parametros!$B$16-1))))</f>
        <v/>
      </c>
      <c r="T121" t="n">
        <v>3.476923076923077</v>
      </c>
      <c r="U121">
        <f>T121*TAN(RADIANS(MAX(DEGREES(ATAN(TAN(RADIANS(Parametros!$F$12-omega*e_base))*(T121/sref)^(Parametros!$B$12-1))),DEGREES(ATAN(TAN(RADIANS(Parametros!$F$13-omega*e_base))*(T121/sref)^(Parametros!$B$13-1))),DEGREES(ATAN(TAN(RADIANS(Parametros!$F$14-omega*e_base))*(T121/sref)^(Parametros!$B$14-1))),DEGREES(ATAN(TAN(RADIANS(Parametros!$F$15-omega*e_base))*(T121/sref)^(Parametros!$B$15-1))),DEGREES(ATAN(TAN(RADIANS(Parametros!$F$16-omega*e_base))*(T121/sref)^(Parametros!$B$16-1))))))</f>
        <v/>
      </c>
      <c r="BE121">
        <f>Base_mundial!C120</f>
        <v/>
      </c>
      <c r="BF121">
        <f>Base_mundial!E120-omega*(e_base-Base_mundial!B120)</f>
        <v/>
      </c>
      <c r="BG121">
        <f>BE121*TAN(RADIANS(BF121))</f>
        <v/>
      </c>
    </row>
    <row r="122">
      <c r="BE122">
        <f>Base_mundial!C121</f>
        <v/>
      </c>
      <c r="BF122">
        <f>Base_mundial!E121-omega*(e_base-Base_mundial!B121)</f>
        <v/>
      </c>
      <c r="BG122">
        <f>BE122*TAN(RADIANS(BF122))</f>
        <v/>
      </c>
    </row>
    <row r="123">
      <c r="Q123" t="n">
        <v>0.4728865692862883</v>
      </c>
      <c r="R123">
        <f>MIN(DEGREES(ATAN(TAN(RADIANS(Parametros!$E$12-omega*e_base))*(Q123/sref)^(Parametros!$B$12-1))),DEGREES(ATAN(TAN(RADIANS(Parametros!$E$13-omega*e_base))*(Q123/sref)^(Parametros!$B$13-1))),DEGREES(ATAN(TAN(RADIANS(Parametros!$E$14-omega*e_base))*(Q123/sref)^(Parametros!$B$14-1))),DEGREES(ATAN(TAN(RADIANS(Parametros!$E$15-omega*e_base))*(Q123/sref)^(Parametros!$B$15-1))),DEGREES(ATAN(TAN(RADIANS(Parametros!$E$16-omega*e_base))*(Q123/sref)^(Parametros!$B$16-1))))</f>
        <v/>
      </c>
      <c r="T123" t="n">
        <v>3.565562130177515</v>
      </c>
      <c r="U123">
        <f>T123*TAN(RADIANS(MIN(DEGREES(ATAN(TAN(RADIANS(Parametros!$E$12-omega*e_base))*(T123/sref)^(Parametros!$B$12-1))),DEGREES(ATAN(TAN(RADIANS(Parametros!$E$13-omega*e_base))*(T123/sref)^(Parametros!$B$13-1))),DEGREES(ATAN(TAN(RADIANS(Parametros!$E$14-omega*e_base))*(T123/sref)^(Parametros!$B$14-1))),DEGREES(ATAN(TAN(RADIANS(Parametros!$E$15-omega*e_base))*(T123/sref)^(Parametros!$B$15-1))),DEGREES(ATAN(TAN(RADIANS(Parametros!$E$16-omega*e_base))*(T123/sref)^(Parametros!$B$16-1))))))</f>
        <v/>
      </c>
      <c r="BE123">
        <f>Base_mundial!C122</f>
        <v/>
      </c>
      <c r="BF123">
        <f>Base_mundial!E122-omega*(e_base-Base_mundial!B122)</f>
        <v/>
      </c>
      <c r="BG123">
        <f>BE123*TAN(RADIANS(BF123))</f>
        <v/>
      </c>
    </row>
    <row r="124">
      <c r="Q124" t="n">
        <v>0.4728865692862883</v>
      </c>
      <c r="R124">
        <f>MAX(DEGREES(ATAN(TAN(RADIANS(Parametros!$F$12-omega*e_base))*(Q124/sref)^(Parametros!$B$12-1))),DEGREES(ATAN(TAN(RADIANS(Parametros!$F$13-omega*e_base))*(Q124/sref)^(Parametros!$B$13-1))),DEGREES(ATAN(TAN(RADIANS(Parametros!$F$14-omega*e_base))*(Q124/sref)^(Parametros!$B$14-1))),DEGREES(ATAN(TAN(RADIANS(Parametros!$F$15-omega*e_base))*(Q124/sref)^(Parametros!$B$15-1))),DEGREES(ATAN(TAN(RADIANS(Parametros!$F$16-omega*e_base))*(Q124/sref)^(Parametros!$B$16-1))))</f>
        <v/>
      </c>
      <c r="T124" t="n">
        <v>3.565562130177515</v>
      </c>
      <c r="U124">
        <f>T124*TAN(RADIANS(MAX(DEGREES(ATAN(TAN(RADIANS(Parametros!$F$12-omega*e_base))*(T124/sref)^(Parametros!$B$12-1))),DEGREES(ATAN(TAN(RADIANS(Parametros!$F$13-omega*e_base))*(T124/sref)^(Parametros!$B$13-1))),DEGREES(ATAN(TAN(RADIANS(Parametros!$F$14-omega*e_base))*(T124/sref)^(Parametros!$B$14-1))),DEGREES(ATAN(TAN(RADIANS(Parametros!$F$15-omega*e_base))*(T124/sref)^(Parametros!$B$15-1))),DEGREES(ATAN(TAN(RADIANS(Parametros!$F$16-omega*e_base))*(T124/sref)^(Parametros!$B$16-1))))))</f>
        <v/>
      </c>
      <c r="BE124">
        <f>Base_mundial!C123</f>
        <v/>
      </c>
      <c r="BF124">
        <f>Base_mundial!E123-omega*(e_base-Base_mundial!B123)</f>
        <v/>
      </c>
      <c r="BG124">
        <f>BE124*TAN(RADIANS(BF124))</f>
        <v/>
      </c>
    </row>
    <row r="125">
      <c r="BE125">
        <f>Base_mundial!C124</f>
        <v/>
      </c>
      <c r="BF125">
        <f>Base_mundial!E124-omega*(e_base-Base_mundial!B124)</f>
        <v/>
      </c>
      <c r="BG125">
        <f>BE125*TAN(RADIANS(BF125))</f>
        <v/>
      </c>
    </row>
    <row r="126">
      <c r="Q126" t="n">
        <v>0.4916158813303375</v>
      </c>
      <c r="R126">
        <f>MIN(DEGREES(ATAN(TAN(RADIANS(Parametros!$E$12-omega*e_base))*(Q126/sref)^(Parametros!$B$12-1))),DEGREES(ATAN(TAN(RADIANS(Parametros!$E$13-omega*e_base))*(Q126/sref)^(Parametros!$B$13-1))),DEGREES(ATAN(TAN(RADIANS(Parametros!$E$14-omega*e_base))*(Q126/sref)^(Parametros!$B$14-1))),DEGREES(ATAN(TAN(RADIANS(Parametros!$E$15-omega*e_base))*(Q126/sref)^(Parametros!$B$15-1))),DEGREES(ATAN(TAN(RADIANS(Parametros!$E$16-omega*e_base))*(Q126/sref)^(Parametros!$B$16-1))))</f>
        <v/>
      </c>
      <c r="T126" t="n">
        <v>3.654201183431953</v>
      </c>
      <c r="U126">
        <f>T126*TAN(RADIANS(MIN(DEGREES(ATAN(TAN(RADIANS(Parametros!$E$12-omega*e_base))*(T126/sref)^(Parametros!$B$12-1))),DEGREES(ATAN(TAN(RADIANS(Parametros!$E$13-omega*e_base))*(T126/sref)^(Parametros!$B$13-1))),DEGREES(ATAN(TAN(RADIANS(Parametros!$E$14-omega*e_base))*(T126/sref)^(Parametros!$B$14-1))),DEGREES(ATAN(TAN(RADIANS(Parametros!$E$15-omega*e_base))*(T126/sref)^(Parametros!$B$15-1))),DEGREES(ATAN(TAN(RADIANS(Parametros!$E$16-omega*e_base))*(T126/sref)^(Parametros!$B$16-1))))))</f>
        <v/>
      </c>
      <c r="BE126">
        <f>Base_mundial!C125</f>
        <v/>
      </c>
      <c r="BF126">
        <f>Base_mundial!E125-omega*(e_base-Base_mundial!B125)</f>
        <v/>
      </c>
      <c r="BG126">
        <f>BE126*TAN(RADIANS(BF126))</f>
        <v/>
      </c>
    </row>
    <row r="127">
      <c r="Q127" t="n">
        <v>0.4916158813303375</v>
      </c>
      <c r="R127">
        <f>MAX(DEGREES(ATAN(TAN(RADIANS(Parametros!$F$12-omega*e_base))*(Q127/sref)^(Parametros!$B$12-1))),DEGREES(ATAN(TAN(RADIANS(Parametros!$F$13-omega*e_base))*(Q127/sref)^(Parametros!$B$13-1))),DEGREES(ATAN(TAN(RADIANS(Parametros!$F$14-omega*e_base))*(Q127/sref)^(Parametros!$B$14-1))),DEGREES(ATAN(TAN(RADIANS(Parametros!$F$15-omega*e_base))*(Q127/sref)^(Parametros!$B$15-1))),DEGREES(ATAN(TAN(RADIANS(Parametros!$F$16-omega*e_base))*(Q127/sref)^(Parametros!$B$16-1))))</f>
        <v/>
      </c>
      <c r="T127" t="n">
        <v>3.654201183431953</v>
      </c>
      <c r="U127">
        <f>T127*TAN(RADIANS(MAX(DEGREES(ATAN(TAN(RADIANS(Parametros!$F$12-omega*e_base))*(T127/sref)^(Parametros!$B$12-1))),DEGREES(ATAN(TAN(RADIANS(Parametros!$F$13-omega*e_base))*(T127/sref)^(Parametros!$B$13-1))),DEGREES(ATAN(TAN(RADIANS(Parametros!$F$14-omega*e_base))*(T127/sref)^(Parametros!$B$14-1))),DEGREES(ATAN(TAN(RADIANS(Parametros!$F$15-omega*e_base))*(T127/sref)^(Parametros!$B$15-1))),DEGREES(ATAN(TAN(RADIANS(Parametros!$F$16-omega*e_base))*(T127/sref)^(Parametros!$B$16-1))))))</f>
        <v/>
      </c>
      <c r="BE127">
        <f>Base_mundial!C126</f>
        <v/>
      </c>
      <c r="BF127">
        <f>Base_mundial!E126-omega*(e_base-Base_mundial!B126)</f>
        <v/>
      </c>
      <c r="BG127">
        <f>BE127*TAN(RADIANS(BF127))</f>
        <v/>
      </c>
    </row>
    <row r="128">
      <c r="BE128">
        <f>Base_mundial!C127</f>
        <v/>
      </c>
      <c r="BF128">
        <f>Base_mundial!E127-omega*(e_base-Base_mundial!B127)</f>
        <v/>
      </c>
      <c r="BG128">
        <f>BE128*TAN(RADIANS(BF128))</f>
        <v/>
      </c>
    </row>
    <row r="129">
      <c r="Q129" t="n">
        <v>0.5110869931048651</v>
      </c>
      <c r="R129">
        <f>MIN(DEGREES(ATAN(TAN(RADIANS(Parametros!$E$12-omega*e_base))*(Q129/sref)^(Parametros!$B$12-1))),DEGREES(ATAN(TAN(RADIANS(Parametros!$E$13-omega*e_base))*(Q129/sref)^(Parametros!$B$13-1))),DEGREES(ATAN(TAN(RADIANS(Parametros!$E$14-omega*e_base))*(Q129/sref)^(Parametros!$B$14-1))),DEGREES(ATAN(TAN(RADIANS(Parametros!$E$15-omega*e_base))*(Q129/sref)^(Parametros!$B$15-1))),DEGREES(ATAN(TAN(RADIANS(Parametros!$E$16-omega*e_base))*(Q129/sref)^(Parametros!$B$16-1))))</f>
        <v/>
      </c>
      <c r="T129" t="n">
        <v>3.742840236686391</v>
      </c>
      <c r="U129">
        <f>T129*TAN(RADIANS(MIN(DEGREES(ATAN(TAN(RADIANS(Parametros!$E$12-omega*e_base))*(T129/sref)^(Parametros!$B$12-1))),DEGREES(ATAN(TAN(RADIANS(Parametros!$E$13-omega*e_base))*(T129/sref)^(Parametros!$B$13-1))),DEGREES(ATAN(TAN(RADIANS(Parametros!$E$14-omega*e_base))*(T129/sref)^(Parametros!$B$14-1))),DEGREES(ATAN(TAN(RADIANS(Parametros!$E$15-omega*e_base))*(T129/sref)^(Parametros!$B$15-1))),DEGREES(ATAN(TAN(RADIANS(Parametros!$E$16-omega*e_base))*(T129/sref)^(Parametros!$B$16-1))))))</f>
        <v/>
      </c>
      <c r="BE129">
        <f>Base_mundial!C128</f>
        <v/>
      </c>
      <c r="BF129">
        <f>Base_mundial!E128-omega*(e_base-Base_mundial!B128)</f>
        <v/>
      </c>
      <c r="BG129">
        <f>BE129*TAN(RADIANS(BF129))</f>
        <v/>
      </c>
    </row>
    <row r="130">
      <c r="Q130" t="n">
        <v>0.5110869931048651</v>
      </c>
      <c r="R130">
        <f>MAX(DEGREES(ATAN(TAN(RADIANS(Parametros!$F$12-omega*e_base))*(Q130/sref)^(Parametros!$B$12-1))),DEGREES(ATAN(TAN(RADIANS(Parametros!$F$13-omega*e_base))*(Q130/sref)^(Parametros!$B$13-1))),DEGREES(ATAN(TAN(RADIANS(Parametros!$F$14-omega*e_base))*(Q130/sref)^(Parametros!$B$14-1))),DEGREES(ATAN(TAN(RADIANS(Parametros!$F$15-omega*e_base))*(Q130/sref)^(Parametros!$B$15-1))),DEGREES(ATAN(TAN(RADIANS(Parametros!$F$16-omega*e_base))*(Q130/sref)^(Parametros!$B$16-1))))</f>
        <v/>
      </c>
      <c r="T130" t="n">
        <v>3.742840236686391</v>
      </c>
      <c r="U130">
        <f>T130*TAN(RADIANS(MAX(DEGREES(ATAN(TAN(RADIANS(Parametros!$F$12-omega*e_base))*(T130/sref)^(Parametros!$B$12-1))),DEGREES(ATAN(TAN(RADIANS(Parametros!$F$13-omega*e_base))*(T130/sref)^(Parametros!$B$13-1))),DEGREES(ATAN(TAN(RADIANS(Parametros!$F$14-omega*e_base))*(T130/sref)^(Parametros!$B$14-1))),DEGREES(ATAN(TAN(RADIANS(Parametros!$F$15-omega*e_base))*(T130/sref)^(Parametros!$B$15-1))),DEGREES(ATAN(TAN(RADIANS(Parametros!$F$16-omega*e_base))*(T130/sref)^(Parametros!$B$16-1))))))</f>
        <v/>
      </c>
      <c r="BE130">
        <f>Base_mundial!C129</f>
        <v/>
      </c>
      <c r="BF130">
        <f>Base_mundial!E129-omega*(e_base-Base_mundial!B129)</f>
        <v/>
      </c>
      <c r="BG130">
        <f>BE130*TAN(RADIANS(BF130))</f>
        <v/>
      </c>
    </row>
    <row r="131">
      <c r="BE131">
        <f>Base_mundial!C130</f>
        <v/>
      </c>
      <c r="BF131">
        <f>Base_mundial!E130-omega*(e_base-Base_mundial!B130)</f>
        <v/>
      </c>
      <c r="BG131">
        <f>BE131*TAN(RADIANS(BF131))</f>
        <v/>
      </c>
    </row>
    <row r="132">
      <c r="Q132" t="n">
        <v>0.5313292845913055</v>
      </c>
      <c r="R132">
        <f>MIN(DEGREES(ATAN(TAN(RADIANS(Parametros!$E$12-omega*e_base))*(Q132/sref)^(Parametros!$B$12-1))),DEGREES(ATAN(TAN(RADIANS(Parametros!$E$13-omega*e_base))*(Q132/sref)^(Parametros!$B$13-1))),DEGREES(ATAN(TAN(RADIANS(Parametros!$E$14-omega*e_base))*(Q132/sref)^(Parametros!$B$14-1))),DEGREES(ATAN(TAN(RADIANS(Parametros!$E$15-omega*e_base))*(Q132/sref)^(Parametros!$B$15-1))),DEGREES(ATAN(TAN(RADIANS(Parametros!$E$16-omega*e_base))*(Q132/sref)^(Parametros!$B$16-1))))</f>
        <v/>
      </c>
      <c r="T132" t="n">
        <v>3.831479289940829</v>
      </c>
      <c r="U132">
        <f>T132*TAN(RADIANS(MIN(DEGREES(ATAN(TAN(RADIANS(Parametros!$E$12-omega*e_base))*(T132/sref)^(Parametros!$B$12-1))),DEGREES(ATAN(TAN(RADIANS(Parametros!$E$13-omega*e_base))*(T132/sref)^(Parametros!$B$13-1))),DEGREES(ATAN(TAN(RADIANS(Parametros!$E$14-omega*e_base))*(T132/sref)^(Parametros!$B$14-1))),DEGREES(ATAN(TAN(RADIANS(Parametros!$E$15-omega*e_base))*(T132/sref)^(Parametros!$B$15-1))),DEGREES(ATAN(TAN(RADIANS(Parametros!$E$16-omega*e_base))*(T132/sref)^(Parametros!$B$16-1))))))</f>
        <v/>
      </c>
      <c r="BE132">
        <f>Base_mundial!C131</f>
        <v/>
      </c>
      <c r="BF132">
        <f>Base_mundial!E131-omega*(e_base-Base_mundial!B131)</f>
        <v/>
      </c>
      <c r="BG132">
        <f>BE132*TAN(RADIANS(BF132))</f>
        <v/>
      </c>
    </row>
    <row r="133">
      <c r="Q133" t="n">
        <v>0.5313292845913055</v>
      </c>
      <c r="R133">
        <f>MAX(DEGREES(ATAN(TAN(RADIANS(Parametros!$F$12-omega*e_base))*(Q133/sref)^(Parametros!$B$12-1))),DEGREES(ATAN(TAN(RADIANS(Parametros!$F$13-omega*e_base))*(Q133/sref)^(Parametros!$B$13-1))),DEGREES(ATAN(TAN(RADIANS(Parametros!$F$14-omega*e_base))*(Q133/sref)^(Parametros!$B$14-1))),DEGREES(ATAN(TAN(RADIANS(Parametros!$F$15-omega*e_base))*(Q133/sref)^(Parametros!$B$15-1))),DEGREES(ATAN(TAN(RADIANS(Parametros!$F$16-omega*e_base))*(Q133/sref)^(Parametros!$B$16-1))))</f>
        <v/>
      </c>
      <c r="T133" t="n">
        <v>3.831479289940829</v>
      </c>
      <c r="U133">
        <f>T133*TAN(RADIANS(MAX(DEGREES(ATAN(TAN(RADIANS(Parametros!$F$12-omega*e_base))*(T133/sref)^(Parametros!$B$12-1))),DEGREES(ATAN(TAN(RADIANS(Parametros!$F$13-omega*e_base))*(T133/sref)^(Parametros!$B$13-1))),DEGREES(ATAN(TAN(RADIANS(Parametros!$F$14-omega*e_base))*(T133/sref)^(Parametros!$B$14-1))),DEGREES(ATAN(TAN(RADIANS(Parametros!$F$15-omega*e_base))*(T133/sref)^(Parametros!$B$15-1))),DEGREES(ATAN(TAN(RADIANS(Parametros!$F$16-omega*e_base))*(T133/sref)^(Parametros!$B$16-1))))))</f>
        <v/>
      </c>
      <c r="BE133">
        <f>Base_mundial!C132</f>
        <v/>
      </c>
      <c r="BF133">
        <f>Base_mundial!E132-omega*(e_base-Base_mundial!B132)</f>
        <v/>
      </c>
      <c r="BG133">
        <f>BE133*TAN(RADIANS(BF133))</f>
        <v/>
      </c>
    </row>
    <row r="134">
      <c r="BE134">
        <f>Base_mundial!C133</f>
        <v/>
      </c>
      <c r="BF134">
        <f>Base_mundial!E133-omega*(e_base-Base_mundial!B133)</f>
        <v/>
      </c>
      <c r="BG134">
        <f>BE134*TAN(RADIANS(BF134))</f>
        <v/>
      </c>
    </row>
    <row r="135">
      <c r="Q135" t="n">
        <v>0.5523732994049877</v>
      </c>
      <c r="R135">
        <f>MIN(DEGREES(ATAN(TAN(RADIANS(Parametros!$E$12-omega*e_base))*(Q135/sref)^(Parametros!$B$12-1))),DEGREES(ATAN(TAN(RADIANS(Parametros!$E$13-omega*e_base))*(Q135/sref)^(Parametros!$B$13-1))),DEGREES(ATAN(TAN(RADIANS(Parametros!$E$14-omega*e_base))*(Q135/sref)^(Parametros!$B$14-1))),DEGREES(ATAN(TAN(RADIANS(Parametros!$E$15-omega*e_base))*(Q135/sref)^(Parametros!$B$15-1))),DEGREES(ATAN(TAN(RADIANS(Parametros!$E$16-omega*e_base))*(Q135/sref)^(Parametros!$B$16-1))))</f>
        <v/>
      </c>
      <c r="T135" t="n">
        <v>3.920118343195266</v>
      </c>
      <c r="U135">
        <f>T135*TAN(RADIANS(MIN(DEGREES(ATAN(TAN(RADIANS(Parametros!$E$12-omega*e_base))*(T135/sref)^(Parametros!$B$12-1))),DEGREES(ATAN(TAN(RADIANS(Parametros!$E$13-omega*e_base))*(T135/sref)^(Parametros!$B$13-1))),DEGREES(ATAN(TAN(RADIANS(Parametros!$E$14-omega*e_base))*(T135/sref)^(Parametros!$B$14-1))),DEGREES(ATAN(TAN(RADIANS(Parametros!$E$15-omega*e_base))*(T135/sref)^(Parametros!$B$15-1))),DEGREES(ATAN(TAN(RADIANS(Parametros!$E$16-omega*e_base))*(T135/sref)^(Parametros!$B$16-1))))))</f>
        <v/>
      </c>
      <c r="BE135">
        <f>Base_mundial!C134</f>
        <v/>
      </c>
      <c r="BF135">
        <f>Base_mundial!E134-omega*(e_base-Base_mundial!B134)</f>
        <v/>
      </c>
      <c r="BG135">
        <f>BE135*TAN(RADIANS(BF135))</f>
        <v/>
      </c>
    </row>
    <row r="136">
      <c r="Q136" t="n">
        <v>0.5523732994049877</v>
      </c>
      <c r="R136">
        <f>MAX(DEGREES(ATAN(TAN(RADIANS(Parametros!$F$12-omega*e_base))*(Q136/sref)^(Parametros!$B$12-1))),DEGREES(ATAN(TAN(RADIANS(Parametros!$F$13-omega*e_base))*(Q136/sref)^(Parametros!$B$13-1))),DEGREES(ATAN(TAN(RADIANS(Parametros!$F$14-omega*e_base))*(Q136/sref)^(Parametros!$B$14-1))),DEGREES(ATAN(TAN(RADIANS(Parametros!$F$15-omega*e_base))*(Q136/sref)^(Parametros!$B$15-1))),DEGREES(ATAN(TAN(RADIANS(Parametros!$F$16-omega*e_base))*(Q136/sref)^(Parametros!$B$16-1))))</f>
        <v/>
      </c>
      <c r="T136" t="n">
        <v>3.920118343195266</v>
      </c>
      <c r="U136">
        <f>T136*TAN(RADIANS(MAX(DEGREES(ATAN(TAN(RADIANS(Parametros!$F$12-omega*e_base))*(T136/sref)^(Parametros!$B$12-1))),DEGREES(ATAN(TAN(RADIANS(Parametros!$F$13-omega*e_base))*(T136/sref)^(Parametros!$B$13-1))),DEGREES(ATAN(TAN(RADIANS(Parametros!$F$14-omega*e_base))*(T136/sref)^(Parametros!$B$14-1))),DEGREES(ATAN(TAN(RADIANS(Parametros!$F$15-omega*e_base))*(T136/sref)^(Parametros!$B$15-1))),DEGREES(ATAN(TAN(RADIANS(Parametros!$F$16-omega*e_base))*(T136/sref)^(Parametros!$B$16-1))))))</f>
        <v/>
      </c>
      <c r="BE136">
        <f>Base_mundial!C135</f>
        <v/>
      </c>
      <c r="BF136">
        <f>Base_mundial!E135-omega*(e_base-Base_mundial!B135)</f>
        <v/>
      </c>
      <c r="BG136">
        <f>BE136*TAN(RADIANS(BF136))</f>
        <v/>
      </c>
    </row>
    <row r="137">
      <c r="BE137">
        <f>Base_mundial!C136</f>
        <v/>
      </c>
      <c r="BF137">
        <f>Base_mundial!E136-omega*(e_base-Base_mundial!B136)</f>
        <v/>
      </c>
      <c r="BG137">
        <f>BE137*TAN(RADIANS(BF137))</f>
        <v/>
      </c>
    </row>
    <row r="138">
      <c r="Q138" t="n">
        <v>0.5742507908824286</v>
      </c>
      <c r="R138">
        <f>MIN(DEGREES(ATAN(TAN(RADIANS(Parametros!$E$12-omega*e_base))*(Q138/sref)^(Parametros!$B$12-1))),DEGREES(ATAN(TAN(RADIANS(Parametros!$E$13-omega*e_base))*(Q138/sref)^(Parametros!$B$13-1))),DEGREES(ATAN(TAN(RADIANS(Parametros!$E$14-omega*e_base))*(Q138/sref)^(Parametros!$B$14-1))),DEGREES(ATAN(TAN(RADIANS(Parametros!$E$15-omega*e_base))*(Q138/sref)^(Parametros!$B$15-1))),DEGREES(ATAN(TAN(RADIANS(Parametros!$E$16-omega*e_base))*(Q138/sref)^(Parametros!$B$16-1))))</f>
        <v/>
      </c>
      <c r="T138" t="n">
        <v>4.008757396449704</v>
      </c>
      <c r="U138">
        <f>T138*TAN(RADIANS(MIN(DEGREES(ATAN(TAN(RADIANS(Parametros!$E$12-omega*e_base))*(T138/sref)^(Parametros!$B$12-1))),DEGREES(ATAN(TAN(RADIANS(Parametros!$E$13-omega*e_base))*(T138/sref)^(Parametros!$B$13-1))),DEGREES(ATAN(TAN(RADIANS(Parametros!$E$14-omega*e_base))*(T138/sref)^(Parametros!$B$14-1))),DEGREES(ATAN(TAN(RADIANS(Parametros!$E$15-omega*e_base))*(T138/sref)^(Parametros!$B$15-1))),DEGREES(ATAN(TAN(RADIANS(Parametros!$E$16-omega*e_base))*(T138/sref)^(Parametros!$B$16-1))))))</f>
        <v/>
      </c>
      <c r="BE138">
        <f>Base_mundial!C137</f>
        <v/>
      </c>
      <c r="BF138">
        <f>Base_mundial!E137-omega*(e_base-Base_mundial!B137)</f>
        <v/>
      </c>
      <c r="BG138">
        <f>BE138*TAN(RADIANS(BF138))</f>
        <v/>
      </c>
    </row>
    <row r="139">
      <c r="Q139" t="n">
        <v>0.5742507908824286</v>
      </c>
      <c r="R139">
        <f>MAX(DEGREES(ATAN(TAN(RADIANS(Parametros!$F$12-omega*e_base))*(Q139/sref)^(Parametros!$B$12-1))),DEGREES(ATAN(TAN(RADIANS(Parametros!$F$13-omega*e_base))*(Q139/sref)^(Parametros!$B$13-1))),DEGREES(ATAN(TAN(RADIANS(Parametros!$F$14-omega*e_base))*(Q139/sref)^(Parametros!$B$14-1))),DEGREES(ATAN(TAN(RADIANS(Parametros!$F$15-omega*e_base))*(Q139/sref)^(Parametros!$B$15-1))),DEGREES(ATAN(TAN(RADIANS(Parametros!$F$16-omega*e_base))*(Q139/sref)^(Parametros!$B$16-1))))</f>
        <v/>
      </c>
      <c r="T139" t="n">
        <v>4.008757396449704</v>
      </c>
      <c r="U139">
        <f>T139*TAN(RADIANS(MAX(DEGREES(ATAN(TAN(RADIANS(Parametros!$F$12-omega*e_base))*(T139/sref)^(Parametros!$B$12-1))),DEGREES(ATAN(TAN(RADIANS(Parametros!$F$13-omega*e_base))*(T139/sref)^(Parametros!$B$13-1))),DEGREES(ATAN(TAN(RADIANS(Parametros!$F$14-omega*e_base))*(T139/sref)^(Parametros!$B$14-1))),DEGREES(ATAN(TAN(RADIANS(Parametros!$F$15-omega*e_base))*(T139/sref)^(Parametros!$B$15-1))),DEGREES(ATAN(TAN(RADIANS(Parametros!$F$16-omega*e_base))*(T139/sref)^(Parametros!$B$16-1))))))</f>
        <v/>
      </c>
      <c r="BE139">
        <f>Base_mundial!C138</f>
        <v/>
      </c>
      <c r="BF139">
        <f>Base_mundial!E138-omega*(e_base-Base_mundial!B138)</f>
        <v/>
      </c>
      <c r="BG139">
        <f>BE139*TAN(RADIANS(BF139))</f>
        <v/>
      </c>
    </row>
    <row r="140">
      <c r="BE140">
        <f>Base_mundial!C139</f>
        <v/>
      </c>
      <c r="BF140">
        <f>Base_mundial!E139-omega*(e_base-Base_mundial!B139)</f>
        <v/>
      </c>
      <c r="BG140">
        <f>BE140*TAN(RADIANS(BF140))</f>
        <v/>
      </c>
    </row>
    <row r="141">
      <c r="Q141" t="n">
        <v>0.5969947699939769</v>
      </c>
      <c r="R141">
        <f>MIN(DEGREES(ATAN(TAN(RADIANS(Parametros!$E$12-omega*e_base))*(Q141/sref)^(Parametros!$B$12-1))),DEGREES(ATAN(TAN(RADIANS(Parametros!$E$13-omega*e_base))*(Q141/sref)^(Parametros!$B$13-1))),DEGREES(ATAN(TAN(RADIANS(Parametros!$E$14-omega*e_base))*(Q141/sref)^(Parametros!$B$14-1))),DEGREES(ATAN(TAN(RADIANS(Parametros!$E$15-omega*e_base))*(Q141/sref)^(Parametros!$B$15-1))),DEGREES(ATAN(TAN(RADIANS(Parametros!$E$16-omega*e_base))*(Q141/sref)^(Parametros!$B$16-1))))</f>
        <v/>
      </c>
      <c r="T141" t="n">
        <v>4.097396449704141</v>
      </c>
      <c r="U141">
        <f>T141*TAN(RADIANS(MIN(DEGREES(ATAN(TAN(RADIANS(Parametros!$E$12-omega*e_base))*(T141/sref)^(Parametros!$B$12-1))),DEGREES(ATAN(TAN(RADIANS(Parametros!$E$13-omega*e_base))*(T141/sref)^(Parametros!$B$13-1))),DEGREES(ATAN(TAN(RADIANS(Parametros!$E$14-omega*e_base))*(T141/sref)^(Parametros!$B$14-1))),DEGREES(ATAN(TAN(RADIANS(Parametros!$E$15-omega*e_base))*(T141/sref)^(Parametros!$B$15-1))),DEGREES(ATAN(TAN(RADIANS(Parametros!$E$16-omega*e_base))*(T141/sref)^(Parametros!$B$16-1))))))</f>
        <v/>
      </c>
      <c r="BE141">
        <f>Base_mundial!C140</f>
        <v/>
      </c>
      <c r="BF141">
        <f>Base_mundial!E140-omega*(e_base-Base_mundial!B140)</f>
        <v/>
      </c>
      <c r="BG141">
        <f>BE141*TAN(RADIANS(BF141))</f>
        <v/>
      </c>
    </row>
    <row r="142">
      <c r="Q142" t="n">
        <v>0.5969947699939769</v>
      </c>
      <c r="R142">
        <f>MAX(DEGREES(ATAN(TAN(RADIANS(Parametros!$F$12-omega*e_base))*(Q142/sref)^(Parametros!$B$12-1))),DEGREES(ATAN(TAN(RADIANS(Parametros!$F$13-omega*e_base))*(Q142/sref)^(Parametros!$B$13-1))),DEGREES(ATAN(TAN(RADIANS(Parametros!$F$14-omega*e_base))*(Q142/sref)^(Parametros!$B$14-1))),DEGREES(ATAN(TAN(RADIANS(Parametros!$F$15-omega*e_base))*(Q142/sref)^(Parametros!$B$15-1))),DEGREES(ATAN(TAN(RADIANS(Parametros!$F$16-omega*e_base))*(Q142/sref)^(Parametros!$B$16-1))))</f>
        <v/>
      </c>
      <c r="T142" t="n">
        <v>4.097396449704141</v>
      </c>
      <c r="U142">
        <f>T142*TAN(RADIANS(MAX(DEGREES(ATAN(TAN(RADIANS(Parametros!$F$12-omega*e_base))*(T142/sref)^(Parametros!$B$12-1))),DEGREES(ATAN(TAN(RADIANS(Parametros!$F$13-omega*e_base))*(T142/sref)^(Parametros!$B$13-1))),DEGREES(ATAN(TAN(RADIANS(Parametros!$F$14-omega*e_base))*(T142/sref)^(Parametros!$B$14-1))),DEGREES(ATAN(TAN(RADIANS(Parametros!$F$15-omega*e_base))*(T142/sref)^(Parametros!$B$15-1))),DEGREES(ATAN(TAN(RADIANS(Parametros!$F$16-omega*e_base))*(T142/sref)^(Parametros!$B$16-1))))))</f>
        <v/>
      </c>
      <c r="BE142">
        <f>Base_mundial!C141</f>
        <v/>
      </c>
      <c r="BF142">
        <f>Base_mundial!E141-omega*(e_base-Base_mundial!B141)</f>
        <v/>
      </c>
      <c r="BG142">
        <f>BE142*TAN(RADIANS(BF142))</f>
        <v/>
      </c>
    </row>
    <row r="143">
      <c r="BE143">
        <f>Base_mundial!C142</f>
        <v/>
      </c>
      <c r="BF143">
        <f>Base_mundial!E142-omega*(e_base-Base_mundial!B142)</f>
        <v/>
      </c>
      <c r="BG143">
        <f>BE143*TAN(RADIANS(BF143))</f>
        <v/>
      </c>
    </row>
    <row r="144">
      <c r="Q144" t="n">
        <v>0.6206395551541013</v>
      </c>
      <c r="R144">
        <f>MIN(DEGREES(ATAN(TAN(RADIANS(Parametros!$E$12-omega*e_base))*(Q144/sref)^(Parametros!$B$12-1))),DEGREES(ATAN(TAN(RADIANS(Parametros!$E$13-omega*e_base))*(Q144/sref)^(Parametros!$B$13-1))),DEGREES(ATAN(TAN(RADIANS(Parametros!$E$14-omega*e_base))*(Q144/sref)^(Parametros!$B$14-1))),DEGREES(ATAN(TAN(RADIANS(Parametros!$E$15-omega*e_base))*(Q144/sref)^(Parametros!$B$15-1))),DEGREES(ATAN(TAN(RADIANS(Parametros!$E$16-omega*e_base))*(Q144/sref)^(Parametros!$B$16-1))))</f>
        <v/>
      </c>
      <c r="T144" t="n">
        <v>4.186035502958579</v>
      </c>
      <c r="U144">
        <f>T144*TAN(RADIANS(MIN(DEGREES(ATAN(TAN(RADIANS(Parametros!$E$12-omega*e_base))*(T144/sref)^(Parametros!$B$12-1))),DEGREES(ATAN(TAN(RADIANS(Parametros!$E$13-omega*e_base))*(T144/sref)^(Parametros!$B$13-1))),DEGREES(ATAN(TAN(RADIANS(Parametros!$E$14-omega*e_base))*(T144/sref)^(Parametros!$B$14-1))),DEGREES(ATAN(TAN(RADIANS(Parametros!$E$15-omega*e_base))*(T144/sref)^(Parametros!$B$15-1))),DEGREES(ATAN(TAN(RADIANS(Parametros!$E$16-omega*e_base))*(T144/sref)^(Parametros!$B$16-1))))))</f>
        <v/>
      </c>
      <c r="BE144">
        <f>Base_mundial!C143</f>
        <v/>
      </c>
      <c r="BF144">
        <f>Base_mundial!E143-omega*(e_base-Base_mundial!B143)</f>
        <v/>
      </c>
      <c r="BG144">
        <f>BE144*TAN(RADIANS(BF144))</f>
        <v/>
      </c>
    </row>
    <row r="145">
      <c r="Q145" t="n">
        <v>0.6206395551541013</v>
      </c>
      <c r="R145">
        <f>MAX(DEGREES(ATAN(TAN(RADIANS(Parametros!$F$12-omega*e_base))*(Q145/sref)^(Parametros!$B$12-1))),DEGREES(ATAN(TAN(RADIANS(Parametros!$F$13-omega*e_base))*(Q145/sref)^(Parametros!$B$13-1))),DEGREES(ATAN(TAN(RADIANS(Parametros!$F$14-omega*e_base))*(Q145/sref)^(Parametros!$B$14-1))),DEGREES(ATAN(TAN(RADIANS(Parametros!$F$15-omega*e_base))*(Q145/sref)^(Parametros!$B$15-1))),DEGREES(ATAN(TAN(RADIANS(Parametros!$F$16-omega*e_base))*(Q145/sref)^(Parametros!$B$16-1))))</f>
        <v/>
      </c>
      <c r="T145" t="n">
        <v>4.186035502958579</v>
      </c>
      <c r="U145">
        <f>T145*TAN(RADIANS(MAX(DEGREES(ATAN(TAN(RADIANS(Parametros!$F$12-omega*e_base))*(T145/sref)^(Parametros!$B$12-1))),DEGREES(ATAN(TAN(RADIANS(Parametros!$F$13-omega*e_base))*(T145/sref)^(Parametros!$B$13-1))),DEGREES(ATAN(TAN(RADIANS(Parametros!$F$14-omega*e_base))*(T145/sref)^(Parametros!$B$14-1))),DEGREES(ATAN(TAN(RADIANS(Parametros!$F$15-omega*e_base))*(T145/sref)^(Parametros!$B$15-1))),DEGREES(ATAN(TAN(RADIANS(Parametros!$F$16-omega*e_base))*(T145/sref)^(Parametros!$B$16-1))))))</f>
        <v/>
      </c>
      <c r="BE145">
        <f>Base_mundial!C144</f>
        <v/>
      </c>
      <c r="BF145">
        <f>Base_mundial!E144-omega*(e_base-Base_mundial!B144)</f>
        <v/>
      </c>
      <c r="BG145">
        <f>BE145*TAN(RADIANS(BF145))</f>
        <v/>
      </c>
    </row>
    <row r="146">
      <c r="BE146">
        <f>Base_mundial!C145</f>
        <v/>
      </c>
      <c r="BF146">
        <f>Base_mundial!E145-omega*(e_base-Base_mundial!B145)</f>
        <v/>
      </c>
      <c r="BG146">
        <f>BE146*TAN(RADIANS(BF146))</f>
        <v/>
      </c>
    </row>
    <row r="147">
      <c r="Q147" t="n">
        <v>0.6452208240044836</v>
      </c>
      <c r="R147">
        <f>MIN(DEGREES(ATAN(TAN(RADIANS(Parametros!$E$12-omega*e_base))*(Q147/sref)^(Parametros!$B$12-1))),DEGREES(ATAN(TAN(RADIANS(Parametros!$E$13-omega*e_base))*(Q147/sref)^(Parametros!$B$13-1))),DEGREES(ATAN(TAN(RADIANS(Parametros!$E$14-omega*e_base))*(Q147/sref)^(Parametros!$B$14-1))),DEGREES(ATAN(TAN(RADIANS(Parametros!$E$15-omega*e_base))*(Q147/sref)^(Parametros!$B$15-1))),DEGREES(ATAN(TAN(RADIANS(Parametros!$E$16-omega*e_base))*(Q147/sref)^(Parametros!$B$16-1))))</f>
        <v/>
      </c>
      <c r="T147" t="n">
        <v>4.274674556213017</v>
      </c>
      <c r="U147">
        <f>T147*TAN(RADIANS(MIN(DEGREES(ATAN(TAN(RADIANS(Parametros!$E$12-omega*e_base))*(T147/sref)^(Parametros!$B$12-1))),DEGREES(ATAN(TAN(RADIANS(Parametros!$E$13-omega*e_base))*(T147/sref)^(Parametros!$B$13-1))),DEGREES(ATAN(TAN(RADIANS(Parametros!$E$14-omega*e_base))*(T147/sref)^(Parametros!$B$14-1))),DEGREES(ATAN(TAN(RADIANS(Parametros!$E$15-omega*e_base))*(T147/sref)^(Parametros!$B$15-1))),DEGREES(ATAN(TAN(RADIANS(Parametros!$E$16-omega*e_base))*(T147/sref)^(Parametros!$B$16-1))))))</f>
        <v/>
      </c>
      <c r="BE147">
        <f>Base_mundial!C146</f>
        <v/>
      </c>
      <c r="BF147">
        <f>Base_mundial!E146-omega*(e_base-Base_mundial!B146)</f>
        <v/>
      </c>
      <c r="BG147">
        <f>BE147*TAN(RADIANS(BF147))</f>
        <v/>
      </c>
    </row>
    <row r="148">
      <c r="Q148" t="n">
        <v>0.6452208240044836</v>
      </c>
      <c r="R148">
        <f>MAX(DEGREES(ATAN(TAN(RADIANS(Parametros!$F$12-omega*e_base))*(Q148/sref)^(Parametros!$B$12-1))),DEGREES(ATAN(TAN(RADIANS(Parametros!$F$13-omega*e_base))*(Q148/sref)^(Parametros!$B$13-1))),DEGREES(ATAN(TAN(RADIANS(Parametros!$F$14-omega*e_base))*(Q148/sref)^(Parametros!$B$14-1))),DEGREES(ATAN(TAN(RADIANS(Parametros!$F$15-omega*e_base))*(Q148/sref)^(Parametros!$B$15-1))),DEGREES(ATAN(TAN(RADIANS(Parametros!$F$16-omega*e_base))*(Q148/sref)^(Parametros!$B$16-1))))</f>
        <v/>
      </c>
      <c r="T148" t="n">
        <v>4.274674556213017</v>
      </c>
      <c r="U148">
        <f>T148*TAN(RADIANS(MAX(DEGREES(ATAN(TAN(RADIANS(Parametros!$F$12-omega*e_base))*(T148/sref)^(Parametros!$B$12-1))),DEGREES(ATAN(TAN(RADIANS(Parametros!$F$13-omega*e_base))*(T148/sref)^(Parametros!$B$13-1))),DEGREES(ATAN(TAN(RADIANS(Parametros!$F$14-omega*e_base))*(T148/sref)^(Parametros!$B$14-1))),DEGREES(ATAN(TAN(RADIANS(Parametros!$F$15-omega*e_base))*(T148/sref)^(Parametros!$B$15-1))),DEGREES(ATAN(TAN(RADIANS(Parametros!$F$16-omega*e_base))*(T148/sref)^(Parametros!$B$16-1))))))</f>
        <v/>
      </c>
      <c r="BE148">
        <f>Base_mundial!C147</f>
        <v/>
      </c>
      <c r="BF148">
        <f>Base_mundial!E147-omega*(e_base-Base_mundial!B147)</f>
        <v/>
      </c>
      <c r="BG148">
        <f>BE148*TAN(RADIANS(BF148))</f>
        <v/>
      </c>
    </row>
    <row r="149">
      <c r="BE149">
        <f>Base_mundial!C148</f>
        <v/>
      </c>
      <c r="BF149">
        <f>Base_mundial!E148-omega*(e_base-Base_mundial!B148)</f>
        <v/>
      </c>
      <c r="BG149">
        <f>BE149*TAN(RADIANS(BF149))</f>
        <v/>
      </c>
    </row>
    <row r="150">
      <c r="Q150" t="n">
        <v>0.670775667248049</v>
      </c>
      <c r="R150">
        <f>MIN(DEGREES(ATAN(TAN(RADIANS(Parametros!$E$12-omega*e_base))*(Q150/sref)^(Parametros!$B$12-1))),DEGREES(ATAN(TAN(RADIANS(Parametros!$E$13-omega*e_base))*(Q150/sref)^(Parametros!$B$13-1))),DEGREES(ATAN(TAN(RADIANS(Parametros!$E$14-omega*e_base))*(Q150/sref)^(Parametros!$B$14-1))),DEGREES(ATAN(TAN(RADIANS(Parametros!$E$15-omega*e_base))*(Q150/sref)^(Parametros!$B$15-1))),DEGREES(ATAN(TAN(RADIANS(Parametros!$E$16-omega*e_base))*(Q150/sref)^(Parametros!$B$16-1))))</f>
        <v/>
      </c>
      <c r="T150" t="n">
        <v>4.363313609467455</v>
      </c>
      <c r="U150">
        <f>T150*TAN(RADIANS(MIN(DEGREES(ATAN(TAN(RADIANS(Parametros!$E$12-omega*e_base))*(T150/sref)^(Parametros!$B$12-1))),DEGREES(ATAN(TAN(RADIANS(Parametros!$E$13-omega*e_base))*(T150/sref)^(Parametros!$B$13-1))),DEGREES(ATAN(TAN(RADIANS(Parametros!$E$14-omega*e_base))*(T150/sref)^(Parametros!$B$14-1))),DEGREES(ATAN(TAN(RADIANS(Parametros!$E$15-omega*e_base))*(T150/sref)^(Parametros!$B$15-1))),DEGREES(ATAN(TAN(RADIANS(Parametros!$E$16-omega*e_base))*(T150/sref)^(Parametros!$B$16-1))))))</f>
        <v/>
      </c>
      <c r="BE150">
        <f>Base_mundial!C149</f>
        <v/>
      </c>
      <c r="BF150">
        <f>Base_mundial!E149-omega*(e_base-Base_mundial!B149)</f>
        <v/>
      </c>
      <c r="BG150">
        <f>BE150*TAN(RADIANS(BF150))</f>
        <v/>
      </c>
    </row>
    <row r="151">
      <c r="Q151" t="n">
        <v>0.670775667248049</v>
      </c>
      <c r="R151">
        <f>MAX(DEGREES(ATAN(TAN(RADIANS(Parametros!$F$12-omega*e_base))*(Q151/sref)^(Parametros!$B$12-1))),DEGREES(ATAN(TAN(RADIANS(Parametros!$F$13-omega*e_base))*(Q151/sref)^(Parametros!$B$13-1))),DEGREES(ATAN(TAN(RADIANS(Parametros!$F$14-omega*e_base))*(Q151/sref)^(Parametros!$B$14-1))),DEGREES(ATAN(TAN(RADIANS(Parametros!$F$15-omega*e_base))*(Q151/sref)^(Parametros!$B$15-1))),DEGREES(ATAN(TAN(RADIANS(Parametros!$F$16-omega*e_base))*(Q151/sref)^(Parametros!$B$16-1))))</f>
        <v/>
      </c>
      <c r="T151" t="n">
        <v>4.363313609467455</v>
      </c>
      <c r="U151">
        <f>T151*TAN(RADIANS(MAX(DEGREES(ATAN(TAN(RADIANS(Parametros!$F$12-omega*e_base))*(T151/sref)^(Parametros!$B$12-1))),DEGREES(ATAN(TAN(RADIANS(Parametros!$F$13-omega*e_base))*(T151/sref)^(Parametros!$B$13-1))),DEGREES(ATAN(TAN(RADIANS(Parametros!$F$14-omega*e_base))*(T151/sref)^(Parametros!$B$14-1))),DEGREES(ATAN(TAN(RADIANS(Parametros!$F$15-omega*e_base))*(T151/sref)^(Parametros!$B$15-1))),DEGREES(ATAN(TAN(RADIANS(Parametros!$F$16-omega*e_base))*(T151/sref)^(Parametros!$B$16-1))))))</f>
        <v/>
      </c>
      <c r="BE151">
        <f>Base_mundial!C150</f>
        <v/>
      </c>
      <c r="BF151">
        <f>Base_mundial!E150-omega*(e_base-Base_mundial!B150)</f>
        <v/>
      </c>
      <c r="BG151">
        <f>BE151*TAN(RADIANS(BF151))</f>
        <v/>
      </c>
    </row>
    <row r="152">
      <c r="BE152">
        <f>Base_mundial!C151</f>
        <v/>
      </c>
      <c r="BF152">
        <f>Base_mundial!E151-omega*(e_base-Base_mundial!B151)</f>
        <v/>
      </c>
      <c r="BG152">
        <f>BE152*TAN(RADIANS(BF152))</f>
        <v/>
      </c>
    </row>
    <row r="153">
      <c r="Q153" t="n">
        <v>0.6973426446151695</v>
      </c>
      <c r="R153">
        <f>MIN(DEGREES(ATAN(TAN(RADIANS(Parametros!$E$12-omega*e_base))*(Q153/sref)^(Parametros!$B$12-1))),DEGREES(ATAN(TAN(RADIANS(Parametros!$E$13-omega*e_base))*(Q153/sref)^(Parametros!$B$13-1))),DEGREES(ATAN(TAN(RADIANS(Parametros!$E$14-omega*e_base))*(Q153/sref)^(Parametros!$B$14-1))),DEGREES(ATAN(TAN(RADIANS(Parametros!$E$15-omega*e_base))*(Q153/sref)^(Parametros!$B$15-1))),DEGREES(ATAN(TAN(RADIANS(Parametros!$E$16-omega*e_base))*(Q153/sref)^(Parametros!$B$16-1))))</f>
        <v/>
      </c>
      <c r="T153" t="n">
        <v>4.451952662721893</v>
      </c>
      <c r="U153">
        <f>T153*TAN(RADIANS(MIN(DEGREES(ATAN(TAN(RADIANS(Parametros!$E$12-omega*e_base))*(T153/sref)^(Parametros!$B$12-1))),DEGREES(ATAN(TAN(RADIANS(Parametros!$E$13-omega*e_base))*(T153/sref)^(Parametros!$B$13-1))),DEGREES(ATAN(TAN(RADIANS(Parametros!$E$14-omega*e_base))*(T153/sref)^(Parametros!$B$14-1))),DEGREES(ATAN(TAN(RADIANS(Parametros!$E$15-omega*e_base))*(T153/sref)^(Parametros!$B$15-1))),DEGREES(ATAN(TAN(RADIANS(Parametros!$E$16-omega*e_base))*(T153/sref)^(Parametros!$B$16-1))))))</f>
        <v/>
      </c>
      <c r="BE153">
        <f>Base_mundial!C152</f>
        <v/>
      </c>
      <c r="BF153">
        <f>Base_mundial!E152-omega*(e_base-Base_mundial!B152)</f>
        <v/>
      </c>
      <c r="BG153">
        <f>BE153*TAN(RADIANS(BF153))</f>
        <v/>
      </c>
    </row>
    <row r="154">
      <c r="Q154" t="n">
        <v>0.6973426446151695</v>
      </c>
      <c r="R154">
        <f>MAX(DEGREES(ATAN(TAN(RADIANS(Parametros!$F$12-omega*e_base))*(Q154/sref)^(Parametros!$B$12-1))),DEGREES(ATAN(TAN(RADIANS(Parametros!$F$13-omega*e_base))*(Q154/sref)^(Parametros!$B$13-1))),DEGREES(ATAN(TAN(RADIANS(Parametros!$F$14-omega*e_base))*(Q154/sref)^(Parametros!$B$14-1))),DEGREES(ATAN(TAN(RADIANS(Parametros!$F$15-omega*e_base))*(Q154/sref)^(Parametros!$B$15-1))),DEGREES(ATAN(TAN(RADIANS(Parametros!$F$16-omega*e_base))*(Q154/sref)^(Parametros!$B$16-1))))</f>
        <v/>
      </c>
      <c r="T154" t="n">
        <v>4.451952662721893</v>
      </c>
      <c r="U154">
        <f>T154*TAN(RADIANS(MAX(DEGREES(ATAN(TAN(RADIANS(Parametros!$F$12-omega*e_base))*(T154/sref)^(Parametros!$B$12-1))),DEGREES(ATAN(TAN(RADIANS(Parametros!$F$13-omega*e_base))*(T154/sref)^(Parametros!$B$13-1))),DEGREES(ATAN(TAN(RADIANS(Parametros!$F$14-omega*e_base))*(T154/sref)^(Parametros!$B$14-1))),DEGREES(ATAN(TAN(RADIANS(Parametros!$F$15-omega*e_base))*(T154/sref)^(Parametros!$B$15-1))),DEGREES(ATAN(TAN(RADIANS(Parametros!$F$16-omega*e_base))*(T154/sref)^(Parametros!$B$16-1))))))</f>
        <v/>
      </c>
      <c r="BE154">
        <f>Base_mundial!C153</f>
        <v/>
      </c>
      <c r="BF154">
        <f>Base_mundial!E153-omega*(e_base-Base_mundial!B153)</f>
        <v/>
      </c>
      <c r="BG154">
        <f>BE154*TAN(RADIANS(BF154))</f>
        <v/>
      </c>
    </row>
    <row r="155">
      <c r="BE155">
        <f>Base_mundial!C154</f>
        <v/>
      </c>
      <c r="BF155">
        <f>Base_mundial!E154-omega*(e_base-Base_mundial!B154)</f>
        <v/>
      </c>
      <c r="BG155">
        <f>BE155*TAN(RADIANS(BF155))</f>
        <v/>
      </c>
    </row>
    <row r="156">
      <c r="Q156" t="n">
        <v>0.7249618430464808</v>
      </c>
      <c r="R156">
        <f>MIN(DEGREES(ATAN(TAN(RADIANS(Parametros!$E$12-omega*e_base))*(Q156/sref)^(Parametros!$B$12-1))),DEGREES(ATAN(TAN(RADIANS(Parametros!$E$13-omega*e_base))*(Q156/sref)^(Parametros!$B$13-1))),DEGREES(ATAN(TAN(RADIANS(Parametros!$E$14-omega*e_base))*(Q156/sref)^(Parametros!$B$14-1))),DEGREES(ATAN(TAN(RADIANS(Parametros!$E$15-omega*e_base))*(Q156/sref)^(Parametros!$B$15-1))),DEGREES(ATAN(TAN(RADIANS(Parametros!$E$16-omega*e_base))*(Q156/sref)^(Parametros!$B$16-1))))</f>
        <v/>
      </c>
      <c r="T156" t="n">
        <v>4.540591715976331</v>
      </c>
      <c r="U156">
        <f>T156*TAN(RADIANS(MIN(DEGREES(ATAN(TAN(RADIANS(Parametros!$E$12-omega*e_base))*(T156/sref)^(Parametros!$B$12-1))),DEGREES(ATAN(TAN(RADIANS(Parametros!$E$13-omega*e_base))*(T156/sref)^(Parametros!$B$13-1))),DEGREES(ATAN(TAN(RADIANS(Parametros!$E$14-omega*e_base))*(T156/sref)^(Parametros!$B$14-1))),DEGREES(ATAN(TAN(RADIANS(Parametros!$E$15-omega*e_base))*(T156/sref)^(Parametros!$B$15-1))),DEGREES(ATAN(TAN(RADIANS(Parametros!$E$16-omega*e_base))*(T156/sref)^(Parametros!$B$16-1))))))</f>
        <v/>
      </c>
      <c r="BE156">
        <f>Base_mundial!C155</f>
        <v/>
      </c>
      <c r="BF156">
        <f>Base_mundial!E155-omega*(e_base-Base_mundial!B155)</f>
        <v/>
      </c>
      <c r="BG156">
        <f>BE156*TAN(RADIANS(BF156))</f>
        <v/>
      </c>
    </row>
    <row r="157">
      <c r="Q157" t="n">
        <v>0.7249618430464808</v>
      </c>
      <c r="R157">
        <f>MAX(DEGREES(ATAN(TAN(RADIANS(Parametros!$F$12-omega*e_base))*(Q157/sref)^(Parametros!$B$12-1))),DEGREES(ATAN(TAN(RADIANS(Parametros!$F$13-omega*e_base))*(Q157/sref)^(Parametros!$B$13-1))),DEGREES(ATAN(TAN(RADIANS(Parametros!$F$14-omega*e_base))*(Q157/sref)^(Parametros!$B$14-1))),DEGREES(ATAN(TAN(RADIANS(Parametros!$F$15-omega*e_base))*(Q157/sref)^(Parametros!$B$15-1))),DEGREES(ATAN(TAN(RADIANS(Parametros!$F$16-omega*e_base))*(Q157/sref)^(Parametros!$B$16-1))))</f>
        <v/>
      </c>
      <c r="T157" t="n">
        <v>4.540591715976331</v>
      </c>
      <c r="U157">
        <f>T157*TAN(RADIANS(MAX(DEGREES(ATAN(TAN(RADIANS(Parametros!$F$12-omega*e_base))*(T157/sref)^(Parametros!$B$12-1))),DEGREES(ATAN(TAN(RADIANS(Parametros!$F$13-omega*e_base))*(T157/sref)^(Parametros!$B$13-1))),DEGREES(ATAN(TAN(RADIANS(Parametros!$F$14-omega*e_base))*(T157/sref)^(Parametros!$B$14-1))),DEGREES(ATAN(TAN(RADIANS(Parametros!$F$15-omega*e_base))*(T157/sref)^(Parametros!$B$15-1))),DEGREES(ATAN(TAN(RADIANS(Parametros!$F$16-omega*e_base))*(T157/sref)^(Parametros!$B$16-1))))))</f>
        <v/>
      </c>
      <c r="BE157">
        <f>Base_mundial!C156</f>
        <v/>
      </c>
      <c r="BF157">
        <f>Base_mundial!E156-omega*(e_base-Base_mundial!B156)</f>
        <v/>
      </c>
      <c r="BG157">
        <f>BE157*TAN(RADIANS(BF157))</f>
        <v/>
      </c>
    </row>
    <row r="158">
      <c r="BE158">
        <f>Base_mundial!C157</f>
        <v/>
      </c>
      <c r="BF158">
        <f>Base_mundial!E157-omega*(e_base-Base_mundial!B157)</f>
        <v/>
      </c>
      <c r="BG158">
        <f>BE158*TAN(RADIANS(BF158))</f>
        <v/>
      </c>
    </row>
    <row r="159">
      <c r="Q159" t="n">
        <v>0.7536749371801108</v>
      </c>
      <c r="R159">
        <f>MIN(DEGREES(ATAN(TAN(RADIANS(Parametros!$E$12-omega*e_base))*(Q159/sref)^(Parametros!$B$12-1))),DEGREES(ATAN(TAN(RADIANS(Parametros!$E$13-omega*e_base))*(Q159/sref)^(Parametros!$B$13-1))),DEGREES(ATAN(TAN(RADIANS(Parametros!$E$14-omega*e_base))*(Q159/sref)^(Parametros!$B$14-1))),DEGREES(ATAN(TAN(RADIANS(Parametros!$E$15-omega*e_base))*(Q159/sref)^(Parametros!$B$15-1))),DEGREES(ATAN(TAN(RADIANS(Parametros!$E$16-omega*e_base))*(Q159/sref)^(Parametros!$B$16-1))))</f>
        <v/>
      </c>
      <c r="T159" t="n">
        <v>4.629230769230769</v>
      </c>
      <c r="U159">
        <f>T159*TAN(RADIANS(MIN(DEGREES(ATAN(TAN(RADIANS(Parametros!$E$12-omega*e_base))*(T159/sref)^(Parametros!$B$12-1))),DEGREES(ATAN(TAN(RADIANS(Parametros!$E$13-omega*e_base))*(T159/sref)^(Parametros!$B$13-1))),DEGREES(ATAN(TAN(RADIANS(Parametros!$E$14-omega*e_base))*(T159/sref)^(Parametros!$B$14-1))),DEGREES(ATAN(TAN(RADIANS(Parametros!$E$15-omega*e_base))*(T159/sref)^(Parametros!$B$15-1))),DEGREES(ATAN(TAN(RADIANS(Parametros!$E$16-omega*e_base))*(T159/sref)^(Parametros!$B$16-1))))))</f>
        <v/>
      </c>
      <c r="BE159">
        <f>Base_mundial!C158</f>
        <v/>
      </c>
      <c r="BF159">
        <f>Base_mundial!E158-omega*(e_base-Base_mundial!B158)</f>
        <v/>
      </c>
      <c r="BG159">
        <f>BE159*TAN(RADIANS(BF159))</f>
        <v/>
      </c>
    </row>
    <row r="160">
      <c r="Q160" t="n">
        <v>0.7536749371801108</v>
      </c>
      <c r="R160">
        <f>MAX(DEGREES(ATAN(TAN(RADIANS(Parametros!$F$12-omega*e_base))*(Q160/sref)^(Parametros!$B$12-1))),DEGREES(ATAN(TAN(RADIANS(Parametros!$F$13-omega*e_base))*(Q160/sref)^(Parametros!$B$13-1))),DEGREES(ATAN(TAN(RADIANS(Parametros!$F$14-omega*e_base))*(Q160/sref)^(Parametros!$B$14-1))),DEGREES(ATAN(TAN(RADIANS(Parametros!$F$15-omega*e_base))*(Q160/sref)^(Parametros!$B$15-1))),DEGREES(ATAN(TAN(RADIANS(Parametros!$F$16-omega*e_base))*(Q160/sref)^(Parametros!$B$16-1))))</f>
        <v/>
      </c>
      <c r="T160" t="n">
        <v>4.629230769230769</v>
      </c>
      <c r="U160">
        <f>T160*TAN(RADIANS(MAX(DEGREES(ATAN(TAN(RADIANS(Parametros!$F$12-omega*e_base))*(T160/sref)^(Parametros!$B$12-1))),DEGREES(ATAN(TAN(RADIANS(Parametros!$F$13-omega*e_base))*(T160/sref)^(Parametros!$B$13-1))),DEGREES(ATAN(TAN(RADIANS(Parametros!$F$14-omega*e_base))*(T160/sref)^(Parametros!$B$14-1))),DEGREES(ATAN(TAN(RADIANS(Parametros!$F$15-omega*e_base))*(T160/sref)^(Parametros!$B$15-1))),DEGREES(ATAN(TAN(RADIANS(Parametros!$F$16-omega*e_base))*(T160/sref)^(Parametros!$B$16-1))))))</f>
        <v/>
      </c>
      <c r="BE160">
        <f>Base_mundial!C159</f>
        <v/>
      </c>
      <c r="BF160">
        <f>Base_mundial!E159-omega*(e_base-Base_mundial!B159)</f>
        <v/>
      </c>
      <c r="BG160">
        <f>BE160*TAN(RADIANS(BF160))</f>
        <v/>
      </c>
    </row>
    <row r="161">
      <c r="BE161">
        <f>Base_mundial!C160</f>
        <v/>
      </c>
      <c r="BF161">
        <f>Base_mundial!E160-omega*(e_base-Base_mundial!B160)</f>
        <v/>
      </c>
      <c r="BG161">
        <f>BE161*TAN(RADIANS(BF161))</f>
        <v/>
      </c>
    </row>
    <row r="162">
      <c r="Q162" t="n">
        <v>0.7835252522345858</v>
      </c>
      <c r="R162">
        <f>MIN(DEGREES(ATAN(TAN(RADIANS(Parametros!$E$12-omega*e_base))*(Q162/sref)^(Parametros!$B$12-1))),DEGREES(ATAN(TAN(RADIANS(Parametros!$E$13-omega*e_base))*(Q162/sref)^(Parametros!$B$13-1))),DEGREES(ATAN(TAN(RADIANS(Parametros!$E$14-omega*e_base))*(Q162/sref)^(Parametros!$B$14-1))),DEGREES(ATAN(TAN(RADIANS(Parametros!$E$15-omega*e_base))*(Q162/sref)^(Parametros!$B$15-1))),DEGREES(ATAN(TAN(RADIANS(Parametros!$E$16-omega*e_base))*(Q162/sref)^(Parametros!$B$16-1))))</f>
        <v/>
      </c>
      <c r="T162" t="n">
        <v>4.717869822485206</v>
      </c>
      <c r="U162">
        <f>T162*TAN(RADIANS(MIN(DEGREES(ATAN(TAN(RADIANS(Parametros!$E$12-omega*e_base))*(T162/sref)^(Parametros!$B$12-1))),DEGREES(ATAN(TAN(RADIANS(Parametros!$E$13-omega*e_base))*(T162/sref)^(Parametros!$B$13-1))),DEGREES(ATAN(TAN(RADIANS(Parametros!$E$14-omega*e_base))*(T162/sref)^(Parametros!$B$14-1))),DEGREES(ATAN(TAN(RADIANS(Parametros!$E$15-omega*e_base))*(T162/sref)^(Parametros!$B$15-1))),DEGREES(ATAN(TAN(RADIANS(Parametros!$E$16-omega*e_base))*(T162/sref)^(Parametros!$B$16-1))))))</f>
        <v/>
      </c>
      <c r="BE162">
        <f>Base_mundial!C161</f>
        <v/>
      </c>
      <c r="BF162">
        <f>Base_mundial!E161-omega*(e_base-Base_mundial!B161)</f>
        <v/>
      </c>
      <c r="BG162">
        <f>BE162*TAN(RADIANS(BF162))</f>
        <v/>
      </c>
    </row>
    <row r="163">
      <c r="Q163" t="n">
        <v>0.7835252522345858</v>
      </c>
      <c r="R163">
        <f>MAX(DEGREES(ATAN(TAN(RADIANS(Parametros!$F$12-omega*e_base))*(Q163/sref)^(Parametros!$B$12-1))),DEGREES(ATAN(TAN(RADIANS(Parametros!$F$13-omega*e_base))*(Q163/sref)^(Parametros!$B$13-1))),DEGREES(ATAN(TAN(RADIANS(Parametros!$F$14-omega*e_base))*(Q163/sref)^(Parametros!$B$14-1))),DEGREES(ATAN(TAN(RADIANS(Parametros!$F$15-omega*e_base))*(Q163/sref)^(Parametros!$B$15-1))),DEGREES(ATAN(TAN(RADIANS(Parametros!$F$16-omega*e_base))*(Q163/sref)^(Parametros!$B$16-1))))</f>
        <v/>
      </c>
      <c r="T163" t="n">
        <v>4.717869822485206</v>
      </c>
      <c r="U163">
        <f>T163*TAN(RADIANS(MAX(DEGREES(ATAN(TAN(RADIANS(Parametros!$F$12-omega*e_base))*(T163/sref)^(Parametros!$B$12-1))),DEGREES(ATAN(TAN(RADIANS(Parametros!$F$13-omega*e_base))*(T163/sref)^(Parametros!$B$13-1))),DEGREES(ATAN(TAN(RADIANS(Parametros!$F$14-omega*e_base))*(T163/sref)^(Parametros!$B$14-1))),DEGREES(ATAN(TAN(RADIANS(Parametros!$F$15-omega*e_base))*(T163/sref)^(Parametros!$B$15-1))),DEGREES(ATAN(TAN(RADIANS(Parametros!$F$16-omega*e_base))*(T163/sref)^(Parametros!$B$16-1))))))</f>
        <v/>
      </c>
      <c r="BE163">
        <f>Base_mundial!C162</f>
        <v/>
      </c>
      <c r="BF163">
        <f>Base_mundial!E162-omega*(e_base-Base_mundial!B162)</f>
        <v/>
      </c>
      <c r="BG163">
        <f>BE163*TAN(RADIANS(BF163))</f>
        <v/>
      </c>
    </row>
    <row r="164">
      <c r="BE164">
        <f>Base_mundial!C163</f>
        <v/>
      </c>
      <c r="BF164">
        <f>Base_mundial!E163-omega*(e_base-Base_mundial!B163)</f>
        <v/>
      </c>
      <c r="BG164">
        <f>BE164*TAN(RADIANS(BF164))</f>
        <v/>
      </c>
    </row>
    <row r="165">
      <c r="Q165" t="n">
        <v>0.8145578293822986</v>
      </c>
      <c r="R165">
        <f>MIN(DEGREES(ATAN(TAN(RADIANS(Parametros!$E$12-omega*e_base))*(Q165/sref)^(Parametros!$B$12-1))),DEGREES(ATAN(TAN(RADIANS(Parametros!$E$13-omega*e_base))*(Q165/sref)^(Parametros!$B$13-1))),DEGREES(ATAN(TAN(RADIANS(Parametros!$E$14-omega*e_base))*(Q165/sref)^(Parametros!$B$14-1))),DEGREES(ATAN(TAN(RADIANS(Parametros!$E$15-omega*e_base))*(Q165/sref)^(Parametros!$B$15-1))),DEGREES(ATAN(TAN(RADIANS(Parametros!$E$16-omega*e_base))*(Q165/sref)^(Parametros!$B$16-1))))</f>
        <v/>
      </c>
      <c r="T165" t="n">
        <v>4.806508875739644</v>
      </c>
      <c r="U165">
        <f>T165*TAN(RADIANS(MIN(DEGREES(ATAN(TAN(RADIANS(Parametros!$E$12-omega*e_base))*(T165/sref)^(Parametros!$B$12-1))),DEGREES(ATAN(TAN(RADIANS(Parametros!$E$13-omega*e_base))*(T165/sref)^(Parametros!$B$13-1))),DEGREES(ATAN(TAN(RADIANS(Parametros!$E$14-omega*e_base))*(T165/sref)^(Parametros!$B$14-1))),DEGREES(ATAN(TAN(RADIANS(Parametros!$E$15-omega*e_base))*(T165/sref)^(Parametros!$B$15-1))),DEGREES(ATAN(TAN(RADIANS(Parametros!$E$16-omega*e_base))*(T165/sref)^(Parametros!$B$16-1))))))</f>
        <v/>
      </c>
      <c r="BE165">
        <f>Base_mundial!C164</f>
        <v/>
      </c>
      <c r="BF165">
        <f>Base_mundial!E164-omega*(e_base-Base_mundial!B164)</f>
        <v/>
      </c>
      <c r="BG165">
        <f>BE165*TAN(RADIANS(BF165))</f>
        <v/>
      </c>
    </row>
    <row r="166">
      <c r="Q166" t="n">
        <v>0.8145578293822986</v>
      </c>
      <c r="R166">
        <f>MAX(DEGREES(ATAN(TAN(RADIANS(Parametros!$F$12-omega*e_base))*(Q166/sref)^(Parametros!$B$12-1))),DEGREES(ATAN(TAN(RADIANS(Parametros!$F$13-omega*e_base))*(Q166/sref)^(Parametros!$B$13-1))),DEGREES(ATAN(TAN(RADIANS(Parametros!$F$14-omega*e_base))*(Q166/sref)^(Parametros!$B$14-1))),DEGREES(ATAN(TAN(RADIANS(Parametros!$F$15-omega*e_base))*(Q166/sref)^(Parametros!$B$15-1))),DEGREES(ATAN(TAN(RADIANS(Parametros!$F$16-omega*e_base))*(Q166/sref)^(Parametros!$B$16-1))))</f>
        <v/>
      </c>
      <c r="T166" t="n">
        <v>4.806508875739644</v>
      </c>
      <c r="U166">
        <f>T166*TAN(RADIANS(MAX(DEGREES(ATAN(TAN(RADIANS(Parametros!$F$12-omega*e_base))*(T166/sref)^(Parametros!$B$12-1))),DEGREES(ATAN(TAN(RADIANS(Parametros!$F$13-omega*e_base))*(T166/sref)^(Parametros!$B$13-1))),DEGREES(ATAN(TAN(RADIANS(Parametros!$F$14-omega*e_base))*(T166/sref)^(Parametros!$B$14-1))),DEGREES(ATAN(TAN(RADIANS(Parametros!$F$15-omega*e_base))*(T166/sref)^(Parametros!$B$15-1))),DEGREES(ATAN(TAN(RADIANS(Parametros!$F$16-omega*e_base))*(T166/sref)^(Parametros!$B$16-1))))))</f>
        <v/>
      </c>
      <c r="BE166">
        <f>Base_mundial!C165</f>
        <v/>
      </c>
      <c r="BF166">
        <f>Base_mundial!E165-omega*(e_base-Base_mundial!B165)</f>
        <v/>
      </c>
      <c r="BG166">
        <f>BE166*TAN(RADIANS(BF166))</f>
        <v/>
      </c>
    </row>
    <row r="167">
      <c r="BE167">
        <f>Base_mundial!C166</f>
        <v/>
      </c>
      <c r="BF167">
        <f>Base_mundial!E166-omega*(e_base-Base_mundial!B166)</f>
        <v/>
      </c>
      <c r="BG167">
        <f>BE167*TAN(RADIANS(BF167))</f>
        <v/>
      </c>
    </row>
    <row r="168">
      <c r="Q168" t="n">
        <v>0.8468194937121821</v>
      </c>
      <c r="R168">
        <f>MIN(DEGREES(ATAN(TAN(RADIANS(Parametros!$E$12-omega*e_base))*(Q168/sref)^(Parametros!$B$12-1))),DEGREES(ATAN(TAN(RADIANS(Parametros!$E$13-omega*e_base))*(Q168/sref)^(Parametros!$B$13-1))),DEGREES(ATAN(TAN(RADIANS(Parametros!$E$14-omega*e_base))*(Q168/sref)^(Parametros!$B$14-1))),DEGREES(ATAN(TAN(RADIANS(Parametros!$E$15-omega*e_base))*(Q168/sref)^(Parametros!$B$15-1))),DEGREES(ATAN(TAN(RADIANS(Parametros!$E$16-omega*e_base))*(Q168/sref)^(Parametros!$B$16-1))))</f>
        <v/>
      </c>
      <c r="T168" t="n">
        <v>4.895147928994082</v>
      </c>
      <c r="U168">
        <f>T168*TAN(RADIANS(MIN(DEGREES(ATAN(TAN(RADIANS(Parametros!$E$12-omega*e_base))*(T168/sref)^(Parametros!$B$12-1))),DEGREES(ATAN(TAN(RADIANS(Parametros!$E$13-omega*e_base))*(T168/sref)^(Parametros!$B$13-1))),DEGREES(ATAN(TAN(RADIANS(Parametros!$E$14-omega*e_base))*(T168/sref)^(Parametros!$B$14-1))),DEGREES(ATAN(TAN(RADIANS(Parametros!$E$15-omega*e_base))*(T168/sref)^(Parametros!$B$15-1))),DEGREES(ATAN(TAN(RADIANS(Parametros!$E$16-omega*e_base))*(T168/sref)^(Parametros!$B$16-1))))))</f>
        <v/>
      </c>
      <c r="BE168">
        <f>Base_mundial!C167</f>
        <v/>
      </c>
      <c r="BF168">
        <f>Base_mundial!E167-omega*(e_base-Base_mundial!B167)</f>
        <v/>
      </c>
      <c r="BG168">
        <f>BE168*TAN(RADIANS(BF168))</f>
        <v/>
      </c>
    </row>
    <row r="169">
      <c r="Q169" t="n">
        <v>0.8468194937121821</v>
      </c>
      <c r="R169">
        <f>MAX(DEGREES(ATAN(TAN(RADIANS(Parametros!$F$12-omega*e_base))*(Q169/sref)^(Parametros!$B$12-1))),DEGREES(ATAN(TAN(RADIANS(Parametros!$F$13-omega*e_base))*(Q169/sref)^(Parametros!$B$13-1))),DEGREES(ATAN(TAN(RADIANS(Parametros!$F$14-omega*e_base))*(Q169/sref)^(Parametros!$B$14-1))),DEGREES(ATAN(TAN(RADIANS(Parametros!$F$15-omega*e_base))*(Q169/sref)^(Parametros!$B$15-1))),DEGREES(ATAN(TAN(RADIANS(Parametros!$F$16-omega*e_base))*(Q169/sref)^(Parametros!$B$16-1))))</f>
        <v/>
      </c>
      <c r="T169" t="n">
        <v>4.895147928994082</v>
      </c>
      <c r="U169">
        <f>T169*TAN(RADIANS(MAX(DEGREES(ATAN(TAN(RADIANS(Parametros!$F$12-omega*e_base))*(T169/sref)^(Parametros!$B$12-1))),DEGREES(ATAN(TAN(RADIANS(Parametros!$F$13-omega*e_base))*(T169/sref)^(Parametros!$B$13-1))),DEGREES(ATAN(TAN(RADIANS(Parametros!$F$14-omega*e_base))*(T169/sref)^(Parametros!$B$14-1))),DEGREES(ATAN(TAN(RADIANS(Parametros!$F$15-omega*e_base))*(T169/sref)^(Parametros!$B$15-1))),DEGREES(ATAN(TAN(RADIANS(Parametros!$F$16-omega*e_base))*(T169/sref)^(Parametros!$B$16-1))))))</f>
        <v/>
      </c>
      <c r="BE169">
        <f>Base_mundial!C168</f>
        <v/>
      </c>
      <c r="BF169">
        <f>Base_mundial!E168-omega*(e_base-Base_mundial!B168)</f>
        <v/>
      </c>
      <c r="BG169">
        <f>BE169*TAN(RADIANS(BF169))</f>
        <v/>
      </c>
    </row>
    <row r="170">
      <c r="BE170">
        <f>Base_mundial!C169</f>
        <v/>
      </c>
      <c r="BF170">
        <f>Base_mundial!E169-omega*(e_base-Base_mundial!B169)</f>
        <v/>
      </c>
      <c r="BG170">
        <f>BE170*TAN(RADIANS(BF170))</f>
        <v/>
      </c>
    </row>
    <row r="171">
      <c r="Q171" t="n">
        <v>0.8803589248841368</v>
      </c>
      <c r="R171">
        <f>MIN(DEGREES(ATAN(TAN(RADIANS(Parametros!$E$12-omega*e_base))*(Q171/sref)^(Parametros!$B$12-1))),DEGREES(ATAN(TAN(RADIANS(Parametros!$E$13-omega*e_base))*(Q171/sref)^(Parametros!$B$13-1))),DEGREES(ATAN(TAN(RADIANS(Parametros!$E$14-omega*e_base))*(Q171/sref)^(Parametros!$B$14-1))),DEGREES(ATAN(TAN(RADIANS(Parametros!$E$15-omega*e_base))*(Q171/sref)^(Parametros!$B$15-1))),DEGREES(ATAN(TAN(RADIANS(Parametros!$E$16-omega*e_base))*(Q171/sref)^(Parametros!$B$16-1))))</f>
        <v/>
      </c>
      <c r="T171" t="n">
        <v>4.98378698224852</v>
      </c>
      <c r="U171">
        <f>T171*TAN(RADIANS(MIN(DEGREES(ATAN(TAN(RADIANS(Parametros!$E$12-omega*e_base))*(T171/sref)^(Parametros!$B$12-1))),DEGREES(ATAN(TAN(RADIANS(Parametros!$E$13-omega*e_base))*(T171/sref)^(Parametros!$B$13-1))),DEGREES(ATAN(TAN(RADIANS(Parametros!$E$14-omega*e_base))*(T171/sref)^(Parametros!$B$14-1))),DEGREES(ATAN(TAN(RADIANS(Parametros!$E$15-omega*e_base))*(T171/sref)^(Parametros!$B$15-1))),DEGREES(ATAN(TAN(RADIANS(Parametros!$E$16-omega*e_base))*(T171/sref)^(Parametros!$B$16-1))))))</f>
        <v/>
      </c>
      <c r="BE171">
        <f>Base_mundial!C170</f>
        <v/>
      </c>
      <c r="BF171">
        <f>Base_mundial!E170-omega*(e_base-Base_mundial!B170)</f>
        <v/>
      </c>
      <c r="BG171">
        <f>BE171*TAN(RADIANS(BF171))</f>
        <v/>
      </c>
    </row>
    <row r="172">
      <c r="Q172" t="n">
        <v>0.8803589248841368</v>
      </c>
      <c r="R172">
        <f>MAX(DEGREES(ATAN(TAN(RADIANS(Parametros!$F$12-omega*e_base))*(Q172/sref)^(Parametros!$B$12-1))),DEGREES(ATAN(TAN(RADIANS(Parametros!$F$13-omega*e_base))*(Q172/sref)^(Parametros!$B$13-1))),DEGREES(ATAN(TAN(RADIANS(Parametros!$F$14-omega*e_base))*(Q172/sref)^(Parametros!$B$14-1))),DEGREES(ATAN(TAN(RADIANS(Parametros!$F$15-omega*e_base))*(Q172/sref)^(Parametros!$B$15-1))),DEGREES(ATAN(TAN(RADIANS(Parametros!$F$16-omega*e_base))*(Q172/sref)^(Parametros!$B$16-1))))</f>
        <v/>
      </c>
      <c r="T172" t="n">
        <v>4.98378698224852</v>
      </c>
      <c r="U172">
        <f>T172*TAN(RADIANS(MAX(DEGREES(ATAN(TAN(RADIANS(Parametros!$F$12-omega*e_base))*(T172/sref)^(Parametros!$B$12-1))),DEGREES(ATAN(TAN(RADIANS(Parametros!$F$13-omega*e_base))*(T172/sref)^(Parametros!$B$13-1))),DEGREES(ATAN(TAN(RADIANS(Parametros!$F$14-omega*e_base))*(T172/sref)^(Parametros!$B$14-1))),DEGREES(ATAN(TAN(RADIANS(Parametros!$F$15-omega*e_base))*(T172/sref)^(Parametros!$B$15-1))),DEGREES(ATAN(TAN(RADIANS(Parametros!$F$16-omega*e_base))*(T172/sref)^(Parametros!$B$16-1))))))</f>
        <v/>
      </c>
      <c r="BE172">
        <f>Base_mundial!C171</f>
        <v/>
      </c>
      <c r="BF172">
        <f>Base_mundial!E171-omega*(e_base-Base_mundial!B171)</f>
        <v/>
      </c>
      <c r="BG172">
        <f>BE172*TAN(RADIANS(BF172))</f>
        <v/>
      </c>
    </row>
    <row r="173">
      <c r="BE173">
        <f>Base_mundial!C172</f>
        <v/>
      </c>
      <c r="BF173">
        <f>Base_mundial!E172-omega*(e_base-Base_mundial!B172)</f>
        <v/>
      </c>
      <c r="BG173">
        <f>BE173*TAN(RADIANS(BF173))</f>
        <v/>
      </c>
    </row>
    <row r="174">
      <c r="Q174" t="n">
        <v>0.9152267305818209</v>
      </c>
      <c r="R174">
        <f>MIN(DEGREES(ATAN(TAN(RADIANS(Parametros!$E$12-omega*e_base))*(Q174/sref)^(Parametros!$B$12-1))),DEGREES(ATAN(TAN(RADIANS(Parametros!$E$13-omega*e_base))*(Q174/sref)^(Parametros!$B$13-1))),DEGREES(ATAN(TAN(RADIANS(Parametros!$E$14-omega*e_base))*(Q174/sref)^(Parametros!$B$14-1))),DEGREES(ATAN(TAN(RADIANS(Parametros!$E$15-omega*e_base))*(Q174/sref)^(Parametros!$B$15-1))),DEGREES(ATAN(TAN(RADIANS(Parametros!$E$16-omega*e_base))*(Q174/sref)^(Parametros!$B$16-1))))</f>
        <v/>
      </c>
      <c r="T174" t="n">
        <v>5.072426035502958</v>
      </c>
      <c r="U174">
        <f>T174*TAN(RADIANS(MIN(DEGREES(ATAN(TAN(RADIANS(Parametros!$E$12-omega*e_base))*(T174/sref)^(Parametros!$B$12-1))),DEGREES(ATAN(TAN(RADIANS(Parametros!$E$13-omega*e_base))*(T174/sref)^(Parametros!$B$13-1))),DEGREES(ATAN(TAN(RADIANS(Parametros!$E$14-omega*e_base))*(T174/sref)^(Parametros!$B$14-1))),DEGREES(ATAN(TAN(RADIANS(Parametros!$E$15-omega*e_base))*(T174/sref)^(Parametros!$B$15-1))),DEGREES(ATAN(TAN(RADIANS(Parametros!$E$16-omega*e_base))*(T174/sref)^(Parametros!$B$16-1))))))</f>
        <v/>
      </c>
      <c r="BE174">
        <f>Base_mundial!C173</f>
        <v/>
      </c>
      <c r="BF174">
        <f>Base_mundial!E173-omega*(e_base-Base_mundial!B173)</f>
        <v/>
      </c>
      <c r="BG174">
        <f>BE174*TAN(RADIANS(BF174))</f>
        <v/>
      </c>
    </row>
    <row r="175">
      <c r="Q175" t="n">
        <v>0.9152267305818209</v>
      </c>
      <c r="R175">
        <f>MAX(DEGREES(ATAN(TAN(RADIANS(Parametros!$F$12-omega*e_base))*(Q175/sref)^(Parametros!$B$12-1))),DEGREES(ATAN(TAN(RADIANS(Parametros!$F$13-omega*e_base))*(Q175/sref)^(Parametros!$B$13-1))),DEGREES(ATAN(TAN(RADIANS(Parametros!$F$14-omega*e_base))*(Q175/sref)^(Parametros!$B$14-1))),DEGREES(ATAN(TAN(RADIANS(Parametros!$F$15-omega*e_base))*(Q175/sref)^(Parametros!$B$15-1))),DEGREES(ATAN(TAN(RADIANS(Parametros!$F$16-omega*e_base))*(Q175/sref)^(Parametros!$B$16-1))))</f>
        <v/>
      </c>
      <c r="T175" t="n">
        <v>5.072426035502958</v>
      </c>
      <c r="U175">
        <f>T175*TAN(RADIANS(MAX(DEGREES(ATAN(TAN(RADIANS(Parametros!$F$12-omega*e_base))*(T175/sref)^(Parametros!$B$12-1))),DEGREES(ATAN(TAN(RADIANS(Parametros!$F$13-omega*e_base))*(T175/sref)^(Parametros!$B$13-1))),DEGREES(ATAN(TAN(RADIANS(Parametros!$F$14-omega*e_base))*(T175/sref)^(Parametros!$B$14-1))),DEGREES(ATAN(TAN(RADIANS(Parametros!$F$15-omega*e_base))*(T175/sref)^(Parametros!$B$15-1))),DEGREES(ATAN(TAN(RADIANS(Parametros!$F$16-omega*e_base))*(T175/sref)^(Parametros!$B$16-1))))))</f>
        <v/>
      </c>
      <c r="BE175">
        <f>Base_mundial!C174</f>
        <v/>
      </c>
      <c r="BF175">
        <f>Base_mundial!E174-omega*(e_base-Base_mundial!B174)</f>
        <v/>
      </c>
      <c r="BG175">
        <f>BE175*TAN(RADIANS(BF175))</f>
        <v/>
      </c>
    </row>
    <row r="176">
      <c r="BE176">
        <f>Base_mundial!C175</f>
        <v/>
      </c>
      <c r="BF176">
        <f>Base_mundial!E175-omega*(e_base-Base_mundial!B175)</f>
        <v/>
      </c>
      <c r="BG176">
        <f>BE176*TAN(RADIANS(BF176))</f>
        <v/>
      </c>
    </row>
    <row r="177">
      <c r="Q177" t="n">
        <v>0.9514755228746388</v>
      </c>
      <c r="R177">
        <f>MIN(DEGREES(ATAN(TAN(RADIANS(Parametros!$E$12-omega*e_base))*(Q177/sref)^(Parametros!$B$12-1))),DEGREES(ATAN(TAN(RADIANS(Parametros!$E$13-omega*e_base))*(Q177/sref)^(Parametros!$B$13-1))),DEGREES(ATAN(TAN(RADIANS(Parametros!$E$14-omega*e_base))*(Q177/sref)^(Parametros!$B$14-1))),DEGREES(ATAN(TAN(RADIANS(Parametros!$E$15-omega*e_base))*(Q177/sref)^(Parametros!$B$15-1))),DEGREES(ATAN(TAN(RADIANS(Parametros!$E$16-omega*e_base))*(Q177/sref)^(Parametros!$B$16-1))))</f>
        <v/>
      </c>
      <c r="T177" t="n">
        <v>5.161065088757396</v>
      </c>
      <c r="U177">
        <f>T177*TAN(RADIANS(MIN(DEGREES(ATAN(TAN(RADIANS(Parametros!$E$12-omega*e_base))*(T177/sref)^(Parametros!$B$12-1))),DEGREES(ATAN(TAN(RADIANS(Parametros!$E$13-omega*e_base))*(T177/sref)^(Parametros!$B$13-1))),DEGREES(ATAN(TAN(RADIANS(Parametros!$E$14-omega*e_base))*(T177/sref)^(Parametros!$B$14-1))),DEGREES(ATAN(TAN(RADIANS(Parametros!$E$15-omega*e_base))*(T177/sref)^(Parametros!$B$15-1))),DEGREES(ATAN(TAN(RADIANS(Parametros!$E$16-omega*e_base))*(T177/sref)^(Parametros!$B$16-1))))))</f>
        <v/>
      </c>
      <c r="BE177">
        <f>Base_mundial!C176</f>
        <v/>
      </c>
      <c r="BF177">
        <f>Base_mundial!E176-omega*(e_base-Base_mundial!B176)</f>
        <v/>
      </c>
      <c r="BG177">
        <f>BE177*TAN(RADIANS(BF177))</f>
        <v/>
      </c>
    </row>
    <row r="178">
      <c r="Q178" t="n">
        <v>0.9514755228746388</v>
      </c>
      <c r="R178">
        <f>MAX(DEGREES(ATAN(TAN(RADIANS(Parametros!$F$12-omega*e_base))*(Q178/sref)^(Parametros!$B$12-1))),DEGREES(ATAN(TAN(RADIANS(Parametros!$F$13-omega*e_base))*(Q178/sref)^(Parametros!$B$13-1))),DEGREES(ATAN(TAN(RADIANS(Parametros!$F$14-omega*e_base))*(Q178/sref)^(Parametros!$B$14-1))),DEGREES(ATAN(TAN(RADIANS(Parametros!$F$15-omega*e_base))*(Q178/sref)^(Parametros!$B$15-1))),DEGREES(ATAN(TAN(RADIANS(Parametros!$F$16-omega*e_base))*(Q178/sref)^(Parametros!$B$16-1))))</f>
        <v/>
      </c>
      <c r="T178" t="n">
        <v>5.161065088757396</v>
      </c>
      <c r="U178">
        <f>T178*TAN(RADIANS(MAX(DEGREES(ATAN(TAN(RADIANS(Parametros!$F$12-omega*e_base))*(T178/sref)^(Parametros!$B$12-1))),DEGREES(ATAN(TAN(RADIANS(Parametros!$F$13-omega*e_base))*(T178/sref)^(Parametros!$B$13-1))),DEGREES(ATAN(TAN(RADIANS(Parametros!$F$14-omega*e_base))*(T178/sref)^(Parametros!$B$14-1))),DEGREES(ATAN(TAN(RADIANS(Parametros!$F$15-omega*e_base))*(T178/sref)^(Parametros!$B$15-1))),DEGREES(ATAN(TAN(RADIANS(Parametros!$F$16-omega*e_base))*(T178/sref)^(Parametros!$B$16-1))))))</f>
        <v/>
      </c>
      <c r="BE178">
        <f>Base_mundial!C177</f>
        <v/>
      </c>
      <c r="BF178">
        <f>Base_mundial!E177-omega*(e_base-Base_mundial!B177)</f>
        <v/>
      </c>
      <c r="BG178">
        <f>BE178*TAN(RADIANS(BF178))</f>
        <v/>
      </c>
    </row>
    <row r="179">
      <c r="BE179">
        <f>Base_mundial!C178</f>
        <v/>
      </c>
      <c r="BF179">
        <f>Base_mundial!E178-omega*(e_base-Base_mundial!B178)</f>
        <v/>
      </c>
      <c r="BG179">
        <f>BE179*TAN(RADIANS(BF179))</f>
        <v/>
      </c>
    </row>
    <row r="180">
      <c r="Q180" t="n">
        <v>0.9891599976041493</v>
      </c>
      <c r="R180">
        <f>MIN(DEGREES(ATAN(TAN(RADIANS(Parametros!$E$12-omega*e_base))*(Q180/sref)^(Parametros!$B$12-1))),DEGREES(ATAN(TAN(RADIANS(Parametros!$E$13-omega*e_base))*(Q180/sref)^(Parametros!$B$13-1))),DEGREES(ATAN(TAN(RADIANS(Parametros!$E$14-omega*e_base))*(Q180/sref)^(Parametros!$B$14-1))),DEGREES(ATAN(TAN(RADIANS(Parametros!$E$15-omega*e_base))*(Q180/sref)^(Parametros!$B$15-1))),DEGREES(ATAN(TAN(RADIANS(Parametros!$E$16-omega*e_base))*(Q180/sref)^(Parametros!$B$16-1))))</f>
        <v/>
      </c>
      <c r="T180" t="n">
        <v>5.249704142011834</v>
      </c>
      <c r="U180">
        <f>T180*TAN(RADIANS(MIN(DEGREES(ATAN(TAN(RADIANS(Parametros!$E$12-omega*e_base))*(T180/sref)^(Parametros!$B$12-1))),DEGREES(ATAN(TAN(RADIANS(Parametros!$E$13-omega*e_base))*(T180/sref)^(Parametros!$B$13-1))),DEGREES(ATAN(TAN(RADIANS(Parametros!$E$14-omega*e_base))*(T180/sref)^(Parametros!$B$14-1))),DEGREES(ATAN(TAN(RADIANS(Parametros!$E$15-omega*e_base))*(T180/sref)^(Parametros!$B$15-1))),DEGREES(ATAN(TAN(RADIANS(Parametros!$E$16-omega*e_base))*(T180/sref)^(Parametros!$B$16-1))))))</f>
        <v/>
      </c>
      <c r="BE180">
        <f>Base_mundial!C179</f>
        <v/>
      </c>
      <c r="BF180">
        <f>Base_mundial!E179-omega*(e_base-Base_mundial!B179)</f>
        <v/>
      </c>
      <c r="BG180">
        <f>BE180*TAN(RADIANS(BF180))</f>
        <v/>
      </c>
    </row>
    <row r="181">
      <c r="Q181" t="n">
        <v>0.9891599976041493</v>
      </c>
      <c r="R181">
        <f>MAX(DEGREES(ATAN(TAN(RADIANS(Parametros!$F$12-omega*e_base))*(Q181/sref)^(Parametros!$B$12-1))),DEGREES(ATAN(TAN(RADIANS(Parametros!$F$13-omega*e_base))*(Q181/sref)^(Parametros!$B$13-1))),DEGREES(ATAN(TAN(RADIANS(Parametros!$F$14-omega*e_base))*(Q181/sref)^(Parametros!$B$14-1))),DEGREES(ATAN(TAN(RADIANS(Parametros!$F$15-omega*e_base))*(Q181/sref)^(Parametros!$B$15-1))),DEGREES(ATAN(TAN(RADIANS(Parametros!$F$16-omega*e_base))*(Q181/sref)^(Parametros!$B$16-1))))</f>
        <v/>
      </c>
      <c r="T181" t="n">
        <v>5.249704142011834</v>
      </c>
      <c r="U181">
        <f>T181*TAN(RADIANS(MAX(DEGREES(ATAN(TAN(RADIANS(Parametros!$F$12-omega*e_base))*(T181/sref)^(Parametros!$B$12-1))),DEGREES(ATAN(TAN(RADIANS(Parametros!$F$13-omega*e_base))*(T181/sref)^(Parametros!$B$13-1))),DEGREES(ATAN(TAN(RADIANS(Parametros!$F$14-omega*e_base))*(T181/sref)^(Parametros!$B$14-1))),DEGREES(ATAN(TAN(RADIANS(Parametros!$F$15-omega*e_base))*(T181/sref)^(Parametros!$B$15-1))),DEGREES(ATAN(TAN(RADIANS(Parametros!$F$16-omega*e_base))*(T181/sref)^(Parametros!$B$16-1))))))</f>
        <v/>
      </c>
      <c r="BE181">
        <f>Base_mundial!C180</f>
        <v/>
      </c>
      <c r="BF181">
        <f>Base_mundial!E180-omega*(e_base-Base_mundial!B180)</f>
        <v/>
      </c>
      <c r="BG181">
        <f>BE181*TAN(RADIANS(BF181))</f>
        <v/>
      </c>
    </row>
    <row r="182">
      <c r="BE182">
        <f>Base_mundial!C181</f>
        <v/>
      </c>
      <c r="BF182">
        <f>Base_mundial!E181-omega*(e_base-Base_mundial!B181)</f>
        <v/>
      </c>
      <c r="BG182">
        <f>BE182*TAN(RADIANS(BF182))</f>
        <v/>
      </c>
    </row>
    <row r="183">
      <c r="Q183" t="n">
        <v>1.028337016914679</v>
      </c>
      <c r="R183">
        <f>MIN(DEGREES(ATAN(TAN(RADIANS(Parametros!$E$12-omega*e_base))*(Q183/sref)^(Parametros!$B$12-1))),DEGREES(ATAN(TAN(RADIANS(Parametros!$E$13-omega*e_base))*(Q183/sref)^(Parametros!$B$13-1))),DEGREES(ATAN(TAN(RADIANS(Parametros!$E$14-omega*e_base))*(Q183/sref)^(Parametros!$B$14-1))),DEGREES(ATAN(TAN(RADIANS(Parametros!$E$15-omega*e_base))*(Q183/sref)^(Parametros!$B$15-1))),DEGREES(ATAN(TAN(RADIANS(Parametros!$E$16-omega*e_base))*(Q183/sref)^(Parametros!$B$16-1))))</f>
        <v/>
      </c>
      <c r="T183" t="n">
        <v>5.338343195266272</v>
      </c>
      <c r="U183">
        <f>T183*TAN(RADIANS(MIN(DEGREES(ATAN(TAN(RADIANS(Parametros!$E$12-omega*e_base))*(T183/sref)^(Parametros!$B$12-1))),DEGREES(ATAN(TAN(RADIANS(Parametros!$E$13-omega*e_base))*(T183/sref)^(Parametros!$B$13-1))),DEGREES(ATAN(TAN(RADIANS(Parametros!$E$14-omega*e_base))*(T183/sref)^(Parametros!$B$14-1))),DEGREES(ATAN(TAN(RADIANS(Parametros!$E$15-omega*e_base))*(T183/sref)^(Parametros!$B$15-1))),DEGREES(ATAN(TAN(RADIANS(Parametros!$E$16-omega*e_base))*(T183/sref)^(Parametros!$B$16-1))))))</f>
        <v/>
      </c>
      <c r="BE183">
        <f>Base_mundial!C182</f>
        <v/>
      </c>
      <c r="BF183">
        <f>Base_mundial!E182-omega*(e_base-Base_mundial!B182)</f>
        <v/>
      </c>
      <c r="BG183">
        <f>BE183*TAN(RADIANS(BF183))</f>
        <v/>
      </c>
    </row>
    <row r="184">
      <c r="Q184" t="n">
        <v>1.028337016914679</v>
      </c>
      <c r="R184">
        <f>MAX(DEGREES(ATAN(TAN(RADIANS(Parametros!$F$12-omega*e_base))*(Q184/sref)^(Parametros!$B$12-1))),DEGREES(ATAN(TAN(RADIANS(Parametros!$F$13-omega*e_base))*(Q184/sref)^(Parametros!$B$13-1))),DEGREES(ATAN(TAN(RADIANS(Parametros!$F$14-omega*e_base))*(Q184/sref)^(Parametros!$B$14-1))),DEGREES(ATAN(TAN(RADIANS(Parametros!$F$15-omega*e_base))*(Q184/sref)^(Parametros!$B$15-1))),DEGREES(ATAN(TAN(RADIANS(Parametros!$F$16-omega*e_base))*(Q184/sref)^(Parametros!$B$16-1))))</f>
        <v/>
      </c>
      <c r="T184" t="n">
        <v>5.338343195266272</v>
      </c>
      <c r="U184">
        <f>T184*TAN(RADIANS(MAX(DEGREES(ATAN(TAN(RADIANS(Parametros!$F$12-omega*e_base))*(T184/sref)^(Parametros!$B$12-1))),DEGREES(ATAN(TAN(RADIANS(Parametros!$F$13-omega*e_base))*(T184/sref)^(Parametros!$B$13-1))),DEGREES(ATAN(TAN(RADIANS(Parametros!$F$14-omega*e_base))*(T184/sref)^(Parametros!$B$14-1))),DEGREES(ATAN(TAN(RADIANS(Parametros!$F$15-omega*e_base))*(T184/sref)^(Parametros!$B$15-1))),DEGREES(ATAN(TAN(RADIANS(Parametros!$F$16-omega*e_base))*(T184/sref)^(Parametros!$B$16-1))))))</f>
        <v/>
      </c>
      <c r="BE184">
        <f>Base_mundial!C183</f>
        <v/>
      </c>
      <c r="BF184">
        <f>Base_mundial!E183-omega*(e_base-Base_mundial!B183)</f>
        <v/>
      </c>
      <c r="BG184">
        <f>BE184*TAN(RADIANS(BF184))</f>
        <v/>
      </c>
    </row>
    <row r="185">
      <c r="BE185">
        <f>Base_mundial!C184</f>
        <v/>
      </c>
      <c r="BF185">
        <f>Base_mundial!E184-omega*(e_base-Base_mundial!B184)</f>
        <v/>
      </c>
      <c r="BG185">
        <f>BE185*TAN(RADIANS(BF185))</f>
        <v/>
      </c>
    </row>
    <row r="186">
      <c r="Q186" t="n">
        <v>1.069065695052674</v>
      </c>
      <c r="R186">
        <f>MIN(DEGREES(ATAN(TAN(RADIANS(Parametros!$E$12-omega*e_base))*(Q186/sref)^(Parametros!$B$12-1))),DEGREES(ATAN(TAN(RADIANS(Parametros!$E$13-omega*e_base))*(Q186/sref)^(Parametros!$B$13-1))),DEGREES(ATAN(TAN(RADIANS(Parametros!$E$14-omega*e_base))*(Q186/sref)^(Parametros!$B$14-1))),DEGREES(ATAN(TAN(RADIANS(Parametros!$E$15-omega*e_base))*(Q186/sref)^(Parametros!$B$15-1))),DEGREES(ATAN(TAN(RADIANS(Parametros!$E$16-omega*e_base))*(Q186/sref)^(Parametros!$B$16-1))))</f>
        <v/>
      </c>
      <c r="T186" t="n">
        <v>5.42698224852071</v>
      </c>
      <c r="U186">
        <f>T186*TAN(RADIANS(MIN(DEGREES(ATAN(TAN(RADIANS(Parametros!$E$12-omega*e_base))*(T186/sref)^(Parametros!$B$12-1))),DEGREES(ATAN(TAN(RADIANS(Parametros!$E$13-omega*e_base))*(T186/sref)^(Parametros!$B$13-1))),DEGREES(ATAN(TAN(RADIANS(Parametros!$E$14-omega*e_base))*(T186/sref)^(Parametros!$B$14-1))),DEGREES(ATAN(TAN(RADIANS(Parametros!$E$15-omega*e_base))*(T186/sref)^(Parametros!$B$15-1))),DEGREES(ATAN(TAN(RADIANS(Parametros!$E$16-omega*e_base))*(T186/sref)^(Parametros!$B$16-1))))))</f>
        <v/>
      </c>
      <c r="BE186">
        <f>Base_mundial!C185</f>
        <v/>
      </c>
      <c r="BF186">
        <f>Base_mundial!E185-omega*(e_base-Base_mundial!B185)</f>
        <v/>
      </c>
      <c r="BG186">
        <f>BE186*TAN(RADIANS(BF186))</f>
        <v/>
      </c>
    </row>
    <row r="187">
      <c r="Q187" t="n">
        <v>1.069065695052674</v>
      </c>
      <c r="R187">
        <f>MAX(DEGREES(ATAN(TAN(RADIANS(Parametros!$F$12-omega*e_base))*(Q187/sref)^(Parametros!$B$12-1))),DEGREES(ATAN(TAN(RADIANS(Parametros!$F$13-omega*e_base))*(Q187/sref)^(Parametros!$B$13-1))),DEGREES(ATAN(TAN(RADIANS(Parametros!$F$14-omega*e_base))*(Q187/sref)^(Parametros!$B$14-1))),DEGREES(ATAN(TAN(RADIANS(Parametros!$F$15-omega*e_base))*(Q187/sref)^(Parametros!$B$15-1))),DEGREES(ATAN(TAN(RADIANS(Parametros!$F$16-omega*e_base))*(Q187/sref)^(Parametros!$B$16-1))))</f>
        <v/>
      </c>
      <c r="T187" t="n">
        <v>5.42698224852071</v>
      </c>
      <c r="U187">
        <f>T187*TAN(RADIANS(MAX(DEGREES(ATAN(TAN(RADIANS(Parametros!$F$12-omega*e_base))*(T187/sref)^(Parametros!$B$12-1))),DEGREES(ATAN(TAN(RADIANS(Parametros!$F$13-omega*e_base))*(T187/sref)^(Parametros!$B$13-1))),DEGREES(ATAN(TAN(RADIANS(Parametros!$F$14-omega*e_base))*(T187/sref)^(Parametros!$B$14-1))),DEGREES(ATAN(TAN(RADIANS(Parametros!$F$15-omega*e_base))*(T187/sref)^(Parametros!$B$15-1))),DEGREES(ATAN(TAN(RADIANS(Parametros!$F$16-omega*e_base))*(T187/sref)^(Parametros!$B$16-1))))))</f>
        <v/>
      </c>
      <c r="BE187">
        <f>Base_mundial!C186</f>
        <v/>
      </c>
      <c r="BF187">
        <f>Base_mundial!E186-omega*(e_base-Base_mundial!B186)</f>
        <v/>
      </c>
      <c r="BG187">
        <f>BE187*TAN(RADIANS(BF187))</f>
        <v/>
      </c>
    </row>
    <row r="188">
      <c r="BE188">
        <f>Base_mundial!C187</f>
        <v/>
      </c>
      <c r="BF188">
        <f>Base_mundial!E187-omega*(e_base-Base_mundial!B187)</f>
        <v/>
      </c>
      <c r="BG188">
        <f>BE188*TAN(RADIANS(BF188))</f>
        <v/>
      </c>
    </row>
    <row r="189">
      <c r="Q189" t="n">
        <v>1.111407487564247</v>
      </c>
      <c r="R189">
        <f>MIN(DEGREES(ATAN(TAN(RADIANS(Parametros!$E$12-omega*e_base))*(Q189/sref)^(Parametros!$B$12-1))),DEGREES(ATAN(TAN(RADIANS(Parametros!$E$13-omega*e_base))*(Q189/sref)^(Parametros!$B$13-1))),DEGREES(ATAN(TAN(RADIANS(Parametros!$E$14-omega*e_base))*(Q189/sref)^(Parametros!$B$14-1))),DEGREES(ATAN(TAN(RADIANS(Parametros!$E$15-omega*e_base))*(Q189/sref)^(Parametros!$B$15-1))),DEGREES(ATAN(TAN(RADIANS(Parametros!$E$16-omega*e_base))*(Q189/sref)^(Parametros!$B$16-1))))</f>
        <v/>
      </c>
      <c r="T189" t="n">
        <v>5.515621301775147</v>
      </c>
      <c r="U189">
        <f>T189*TAN(RADIANS(MIN(DEGREES(ATAN(TAN(RADIANS(Parametros!$E$12-omega*e_base))*(T189/sref)^(Parametros!$B$12-1))),DEGREES(ATAN(TAN(RADIANS(Parametros!$E$13-omega*e_base))*(T189/sref)^(Parametros!$B$13-1))),DEGREES(ATAN(TAN(RADIANS(Parametros!$E$14-omega*e_base))*(T189/sref)^(Parametros!$B$14-1))),DEGREES(ATAN(TAN(RADIANS(Parametros!$E$15-omega*e_base))*(T189/sref)^(Parametros!$B$15-1))),DEGREES(ATAN(TAN(RADIANS(Parametros!$E$16-omega*e_base))*(T189/sref)^(Parametros!$B$16-1))))))</f>
        <v/>
      </c>
      <c r="BE189">
        <f>Base_mundial!C188</f>
        <v/>
      </c>
      <c r="BF189">
        <f>Base_mundial!E188-omega*(e_base-Base_mundial!B188)</f>
        <v/>
      </c>
      <c r="BG189">
        <f>BE189*TAN(RADIANS(BF189))</f>
        <v/>
      </c>
    </row>
    <row r="190">
      <c r="Q190" t="n">
        <v>1.111407487564247</v>
      </c>
      <c r="R190">
        <f>MAX(DEGREES(ATAN(TAN(RADIANS(Parametros!$F$12-omega*e_base))*(Q190/sref)^(Parametros!$B$12-1))),DEGREES(ATAN(TAN(RADIANS(Parametros!$F$13-omega*e_base))*(Q190/sref)^(Parametros!$B$13-1))),DEGREES(ATAN(TAN(RADIANS(Parametros!$F$14-omega*e_base))*(Q190/sref)^(Parametros!$B$14-1))),DEGREES(ATAN(TAN(RADIANS(Parametros!$F$15-omega*e_base))*(Q190/sref)^(Parametros!$B$15-1))),DEGREES(ATAN(TAN(RADIANS(Parametros!$F$16-omega*e_base))*(Q190/sref)^(Parametros!$B$16-1))))</f>
        <v/>
      </c>
      <c r="T190" t="n">
        <v>5.515621301775147</v>
      </c>
      <c r="U190">
        <f>T190*TAN(RADIANS(MAX(DEGREES(ATAN(TAN(RADIANS(Parametros!$F$12-omega*e_base))*(T190/sref)^(Parametros!$B$12-1))),DEGREES(ATAN(TAN(RADIANS(Parametros!$F$13-omega*e_base))*(T190/sref)^(Parametros!$B$13-1))),DEGREES(ATAN(TAN(RADIANS(Parametros!$F$14-omega*e_base))*(T190/sref)^(Parametros!$B$14-1))),DEGREES(ATAN(TAN(RADIANS(Parametros!$F$15-omega*e_base))*(T190/sref)^(Parametros!$B$15-1))),DEGREES(ATAN(TAN(RADIANS(Parametros!$F$16-omega*e_base))*(T190/sref)^(Parametros!$B$16-1))))))</f>
        <v/>
      </c>
      <c r="BE190">
        <f>Base_mundial!C189</f>
        <v/>
      </c>
      <c r="BF190">
        <f>Base_mundial!E189-omega*(e_base-Base_mundial!B189)</f>
        <v/>
      </c>
      <c r="BG190">
        <f>BE190*TAN(RADIANS(BF190))</f>
        <v/>
      </c>
    </row>
    <row r="191">
      <c r="BE191">
        <f>Base_mundial!C190</f>
        <v/>
      </c>
      <c r="BF191">
        <f>Base_mundial!E190-omega*(e_base-Base_mundial!B190)</f>
        <v/>
      </c>
      <c r="BG191">
        <f>BE191*TAN(RADIANS(BF191))</f>
        <v/>
      </c>
    </row>
    <row r="192">
      <c r="Q192" t="n">
        <v>1.155426284025522</v>
      </c>
      <c r="R192">
        <f>MIN(DEGREES(ATAN(TAN(RADIANS(Parametros!$E$12-omega*e_base))*(Q192/sref)^(Parametros!$B$12-1))),DEGREES(ATAN(TAN(RADIANS(Parametros!$E$13-omega*e_base))*(Q192/sref)^(Parametros!$B$13-1))),DEGREES(ATAN(TAN(RADIANS(Parametros!$E$14-omega*e_base))*(Q192/sref)^(Parametros!$B$14-1))),DEGREES(ATAN(TAN(RADIANS(Parametros!$E$15-omega*e_base))*(Q192/sref)^(Parametros!$B$15-1))),DEGREES(ATAN(TAN(RADIANS(Parametros!$E$16-omega*e_base))*(Q192/sref)^(Parametros!$B$16-1))))</f>
        <v/>
      </c>
      <c r="T192" t="n">
        <v>5.604260355029585</v>
      </c>
      <c r="U192">
        <f>T192*TAN(RADIANS(MIN(DEGREES(ATAN(TAN(RADIANS(Parametros!$E$12-omega*e_base))*(T192/sref)^(Parametros!$B$12-1))),DEGREES(ATAN(TAN(RADIANS(Parametros!$E$13-omega*e_base))*(T192/sref)^(Parametros!$B$13-1))),DEGREES(ATAN(TAN(RADIANS(Parametros!$E$14-omega*e_base))*(T192/sref)^(Parametros!$B$14-1))),DEGREES(ATAN(TAN(RADIANS(Parametros!$E$15-omega*e_base))*(T192/sref)^(Parametros!$B$15-1))),DEGREES(ATAN(TAN(RADIANS(Parametros!$E$16-omega*e_base))*(T192/sref)^(Parametros!$B$16-1))))))</f>
        <v/>
      </c>
      <c r="BE192">
        <f>Base_mundial!C191</f>
        <v/>
      </c>
      <c r="BF192">
        <f>Base_mundial!E191-omega*(e_base-Base_mundial!B191)</f>
        <v/>
      </c>
      <c r="BG192">
        <f>BE192*TAN(RADIANS(BF192))</f>
        <v/>
      </c>
    </row>
    <row r="193">
      <c r="Q193" t="n">
        <v>1.155426284025522</v>
      </c>
      <c r="R193">
        <f>MAX(DEGREES(ATAN(TAN(RADIANS(Parametros!$F$12-omega*e_base))*(Q193/sref)^(Parametros!$B$12-1))),DEGREES(ATAN(TAN(RADIANS(Parametros!$F$13-omega*e_base))*(Q193/sref)^(Parametros!$B$13-1))),DEGREES(ATAN(TAN(RADIANS(Parametros!$F$14-omega*e_base))*(Q193/sref)^(Parametros!$B$14-1))),DEGREES(ATAN(TAN(RADIANS(Parametros!$F$15-omega*e_base))*(Q193/sref)^(Parametros!$B$15-1))),DEGREES(ATAN(TAN(RADIANS(Parametros!$F$16-omega*e_base))*(Q193/sref)^(Parametros!$B$16-1))))</f>
        <v/>
      </c>
      <c r="T193" t="n">
        <v>5.604260355029585</v>
      </c>
      <c r="U193">
        <f>T193*TAN(RADIANS(MAX(DEGREES(ATAN(TAN(RADIANS(Parametros!$F$12-omega*e_base))*(T193/sref)^(Parametros!$B$12-1))),DEGREES(ATAN(TAN(RADIANS(Parametros!$F$13-omega*e_base))*(T193/sref)^(Parametros!$B$13-1))),DEGREES(ATAN(TAN(RADIANS(Parametros!$F$14-omega*e_base))*(T193/sref)^(Parametros!$B$14-1))),DEGREES(ATAN(TAN(RADIANS(Parametros!$F$15-omega*e_base))*(T193/sref)^(Parametros!$B$15-1))),DEGREES(ATAN(TAN(RADIANS(Parametros!$F$16-omega*e_base))*(T193/sref)^(Parametros!$B$16-1))))))</f>
        <v/>
      </c>
      <c r="BE193">
        <f>Base_mundial!C192</f>
        <v/>
      </c>
      <c r="BF193">
        <f>Base_mundial!E192-omega*(e_base-Base_mundial!B192)</f>
        <v/>
      </c>
      <c r="BG193">
        <f>BE193*TAN(RADIANS(BF193))</f>
        <v/>
      </c>
    </row>
    <row r="194">
      <c r="BE194">
        <f>Base_mundial!C193</f>
        <v/>
      </c>
      <c r="BF194">
        <f>Base_mundial!E193-omega*(e_base-Base_mundial!B193)</f>
        <v/>
      </c>
      <c r="BG194">
        <f>BE194*TAN(RADIANS(BF194))</f>
        <v/>
      </c>
    </row>
    <row r="195">
      <c r="Q195" t="n">
        <v>1.201188504445678</v>
      </c>
      <c r="R195">
        <f>MIN(DEGREES(ATAN(TAN(RADIANS(Parametros!$E$12-omega*e_base))*(Q195/sref)^(Parametros!$B$12-1))),DEGREES(ATAN(TAN(RADIANS(Parametros!$E$13-omega*e_base))*(Q195/sref)^(Parametros!$B$13-1))),DEGREES(ATAN(TAN(RADIANS(Parametros!$E$14-omega*e_base))*(Q195/sref)^(Parametros!$B$14-1))),DEGREES(ATAN(TAN(RADIANS(Parametros!$E$15-omega*e_base))*(Q195/sref)^(Parametros!$B$15-1))),DEGREES(ATAN(TAN(RADIANS(Parametros!$E$16-omega*e_base))*(Q195/sref)^(Parametros!$B$16-1))))</f>
        <v/>
      </c>
      <c r="T195" t="n">
        <v>5.692899408284023</v>
      </c>
      <c r="U195">
        <f>T195*TAN(RADIANS(MIN(DEGREES(ATAN(TAN(RADIANS(Parametros!$E$12-omega*e_base))*(T195/sref)^(Parametros!$B$12-1))),DEGREES(ATAN(TAN(RADIANS(Parametros!$E$13-omega*e_base))*(T195/sref)^(Parametros!$B$13-1))),DEGREES(ATAN(TAN(RADIANS(Parametros!$E$14-omega*e_base))*(T195/sref)^(Parametros!$B$14-1))),DEGREES(ATAN(TAN(RADIANS(Parametros!$E$15-omega*e_base))*(T195/sref)^(Parametros!$B$15-1))),DEGREES(ATAN(TAN(RADIANS(Parametros!$E$16-omega*e_base))*(T195/sref)^(Parametros!$B$16-1))))))</f>
        <v/>
      </c>
      <c r="BE195">
        <f>Base_mundial!C194</f>
        <v/>
      </c>
      <c r="BF195">
        <f>Base_mundial!E194-omega*(e_base-Base_mundial!B194)</f>
        <v/>
      </c>
      <c r="BG195">
        <f>BE195*TAN(RADIANS(BF195))</f>
        <v/>
      </c>
    </row>
    <row r="196">
      <c r="Q196" t="n">
        <v>1.201188504445678</v>
      </c>
      <c r="R196">
        <f>MAX(DEGREES(ATAN(TAN(RADIANS(Parametros!$F$12-omega*e_base))*(Q196/sref)^(Parametros!$B$12-1))),DEGREES(ATAN(TAN(RADIANS(Parametros!$F$13-omega*e_base))*(Q196/sref)^(Parametros!$B$13-1))),DEGREES(ATAN(TAN(RADIANS(Parametros!$F$14-omega*e_base))*(Q196/sref)^(Parametros!$B$14-1))),DEGREES(ATAN(TAN(RADIANS(Parametros!$F$15-omega*e_base))*(Q196/sref)^(Parametros!$B$15-1))),DEGREES(ATAN(TAN(RADIANS(Parametros!$F$16-omega*e_base))*(Q196/sref)^(Parametros!$B$16-1))))</f>
        <v/>
      </c>
      <c r="T196" t="n">
        <v>5.692899408284023</v>
      </c>
      <c r="U196">
        <f>T196*TAN(RADIANS(MAX(DEGREES(ATAN(TAN(RADIANS(Parametros!$F$12-omega*e_base))*(T196/sref)^(Parametros!$B$12-1))),DEGREES(ATAN(TAN(RADIANS(Parametros!$F$13-omega*e_base))*(T196/sref)^(Parametros!$B$13-1))),DEGREES(ATAN(TAN(RADIANS(Parametros!$F$14-omega*e_base))*(T196/sref)^(Parametros!$B$14-1))),DEGREES(ATAN(TAN(RADIANS(Parametros!$F$15-omega*e_base))*(T196/sref)^(Parametros!$B$15-1))),DEGREES(ATAN(TAN(RADIANS(Parametros!$F$16-omega*e_base))*(T196/sref)^(Parametros!$B$16-1))))))</f>
        <v/>
      </c>
      <c r="BE196">
        <f>Base_mundial!C195</f>
        <v/>
      </c>
      <c r="BF196">
        <f>Base_mundial!E195-omega*(e_base-Base_mundial!B195)</f>
        <v/>
      </c>
      <c r="BG196">
        <f>BE196*TAN(RADIANS(BF196))</f>
        <v/>
      </c>
    </row>
    <row r="197">
      <c r="BE197">
        <f>Base_mundial!C196</f>
        <v/>
      </c>
      <c r="BF197">
        <f>Base_mundial!E196-omega*(e_base-Base_mundial!B196)</f>
        <v/>
      </c>
      <c r="BG197">
        <f>BE197*TAN(RADIANS(BF197))</f>
        <v/>
      </c>
    </row>
    <row r="198">
      <c r="Q198" t="n">
        <v>1.248763199488175</v>
      </c>
      <c r="R198">
        <f>MIN(DEGREES(ATAN(TAN(RADIANS(Parametros!$E$12-omega*e_base))*(Q198/sref)^(Parametros!$B$12-1))),DEGREES(ATAN(TAN(RADIANS(Parametros!$E$13-omega*e_base))*(Q198/sref)^(Parametros!$B$13-1))),DEGREES(ATAN(TAN(RADIANS(Parametros!$E$14-omega*e_base))*(Q198/sref)^(Parametros!$B$14-1))),DEGREES(ATAN(TAN(RADIANS(Parametros!$E$15-omega*e_base))*(Q198/sref)^(Parametros!$B$15-1))),DEGREES(ATAN(TAN(RADIANS(Parametros!$E$16-omega*e_base))*(Q198/sref)^(Parametros!$B$16-1))))</f>
        <v/>
      </c>
      <c r="T198" t="n">
        <v>5.781538461538461</v>
      </c>
      <c r="U198">
        <f>T198*TAN(RADIANS(MIN(DEGREES(ATAN(TAN(RADIANS(Parametros!$E$12-omega*e_base))*(T198/sref)^(Parametros!$B$12-1))),DEGREES(ATAN(TAN(RADIANS(Parametros!$E$13-omega*e_base))*(T198/sref)^(Parametros!$B$13-1))),DEGREES(ATAN(TAN(RADIANS(Parametros!$E$14-omega*e_base))*(T198/sref)^(Parametros!$B$14-1))),DEGREES(ATAN(TAN(RADIANS(Parametros!$E$15-omega*e_base))*(T198/sref)^(Parametros!$B$15-1))),DEGREES(ATAN(TAN(RADIANS(Parametros!$E$16-omega*e_base))*(T198/sref)^(Parametros!$B$16-1))))))</f>
        <v/>
      </c>
      <c r="BE198">
        <f>Base_mundial!C197</f>
        <v/>
      </c>
      <c r="BF198">
        <f>Base_mundial!E197-omega*(e_base-Base_mundial!B197)</f>
        <v/>
      </c>
      <c r="BG198">
        <f>BE198*TAN(RADIANS(BF198))</f>
        <v/>
      </c>
    </row>
    <row r="199">
      <c r="Q199" t="n">
        <v>1.248763199488175</v>
      </c>
      <c r="R199">
        <f>MAX(DEGREES(ATAN(TAN(RADIANS(Parametros!$F$12-omega*e_base))*(Q199/sref)^(Parametros!$B$12-1))),DEGREES(ATAN(TAN(RADIANS(Parametros!$F$13-omega*e_base))*(Q199/sref)^(Parametros!$B$13-1))),DEGREES(ATAN(TAN(RADIANS(Parametros!$F$14-omega*e_base))*(Q199/sref)^(Parametros!$B$14-1))),DEGREES(ATAN(TAN(RADIANS(Parametros!$F$15-omega*e_base))*(Q199/sref)^(Parametros!$B$15-1))),DEGREES(ATAN(TAN(RADIANS(Parametros!$F$16-omega*e_base))*(Q199/sref)^(Parametros!$B$16-1))))</f>
        <v/>
      </c>
      <c r="T199" t="n">
        <v>5.781538461538461</v>
      </c>
      <c r="U199">
        <f>T199*TAN(RADIANS(MAX(DEGREES(ATAN(TAN(RADIANS(Parametros!$F$12-omega*e_base))*(T199/sref)^(Parametros!$B$12-1))),DEGREES(ATAN(TAN(RADIANS(Parametros!$F$13-omega*e_base))*(T199/sref)^(Parametros!$B$13-1))),DEGREES(ATAN(TAN(RADIANS(Parametros!$F$14-omega*e_base))*(T199/sref)^(Parametros!$B$14-1))),DEGREES(ATAN(TAN(RADIANS(Parametros!$F$15-omega*e_base))*(T199/sref)^(Parametros!$B$15-1))),DEGREES(ATAN(TAN(RADIANS(Parametros!$F$16-omega*e_base))*(T199/sref)^(Parametros!$B$16-1))))))</f>
        <v/>
      </c>
      <c r="BE199">
        <f>Base_mundial!C198</f>
        <v/>
      </c>
      <c r="BF199">
        <f>Base_mundial!E198-omega*(e_base-Base_mundial!B198)</f>
        <v/>
      </c>
      <c r="BG199">
        <f>BE199*TAN(RADIANS(BF199))</f>
        <v/>
      </c>
    </row>
    <row r="200">
      <c r="BE200">
        <f>Base_mundial!C199</f>
        <v/>
      </c>
      <c r="BF200">
        <f>Base_mundial!E199-omega*(e_base-Base_mundial!B199)</f>
        <v/>
      </c>
      <c r="BG200">
        <f>BE200*TAN(RADIANS(BF200))</f>
        <v/>
      </c>
    </row>
    <row r="201">
      <c r="Q201" t="n">
        <v>1.298222154661376</v>
      </c>
      <c r="R201">
        <f>MIN(DEGREES(ATAN(TAN(RADIANS(Parametros!$E$12-omega*e_base))*(Q201/sref)^(Parametros!$B$12-1))),DEGREES(ATAN(TAN(RADIANS(Parametros!$E$13-omega*e_base))*(Q201/sref)^(Parametros!$B$13-1))),DEGREES(ATAN(TAN(RADIANS(Parametros!$E$14-omega*e_base))*(Q201/sref)^(Parametros!$B$14-1))),DEGREES(ATAN(TAN(RADIANS(Parametros!$E$15-omega*e_base))*(Q201/sref)^(Parametros!$B$15-1))),DEGREES(ATAN(TAN(RADIANS(Parametros!$E$16-omega*e_base))*(Q201/sref)^(Parametros!$B$16-1))))</f>
        <v/>
      </c>
      <c r="T201" t="n">
        <v>5.870177514792899</v>
      </c>
      <c r="U201">
        <f>T201*TAN(RADIANS(MIN(DEGREES(ATAN(TAN(RADIANS(Parametros!$E$12-omega*e_base))*(T201/sref)^(Parametros!$B$12-1))),DEGREES(ATAN(TAN(RADIANS(Parametros!$E$13-omega*e_base))*(T201/sref)^(Parametros!$B$13-1))),DEGREES(ATAN(TAN(RADIANS(Parametros!$E$14-omega*e_base))*(T201/sref)^(Parametros!$B$14-1))),DEGREES(ATAN(TAN(RADIANS(Parametros!$E$15-omega*e_base))*(T201/sref)^(Parametros!$B$15-1))),DEGREES(ATAN(TAN(RADIANS(Parametros!$E$16-omega*e_base))*(T201/sref)^(Parametros!$B$16-1))))))</f>
        <v/>
      </c>
      <c r="BE201">
        <f>Base_mundial!C200</f>
        <v/>
      </c>
      <c r="BF201">
        <f>Base_mundial!E200-omega*(e_base-Base_mundial!B200)</f>
        <v/>
      </c>
      <c r="BG201">
        <f>BE201*TAN(RADIANS(BF201))</f>
        <v/>
      </c>
    </row>
    <row r="202">
      <c r="Q202" t="n">
        <v>1.298222154661376</v>
      </c>
      <c r="R202">
        <f>MAX(DEGREES(ATAN(TAN(RADIANS(Parametros!$F$12-omega*e_base))*(Q202/sref)^(Parametros!$B$12-1))),DEGREES(ATAN(TAN(RADIANS(Parametros!$F$13-omega*e_base))*(Q202/sref)^(Parametros!$B$13-1))),DEGREES(ATAN(TAN(RADIANS(Parametros!$F$14-omega*e_base))*(Q202/sref)^(Parametros!$B$14-1))),DEGREES(ATAN(TAN(RADIANS(Parametros!$F$15-omega*e_base))*(Q202/sref)^(Parametros!$B$15-1))),DEGREES(ATAN(TAN(RADIANS(Parametros!$F$16-omega*e_base))*(Q202/sref)^(Parametros!$B$16-1))))</f>
        <v/>
      </c>
      <c r="T202" t="n">
        <v>5.870177514792899</v>
      </c>
      <c r="U202">
        <f>T202*TAN(RADIANS(MAX(DEGREES(ATAN(TAN(RADIANS(Parametros!$F$12-omega*e_base))*(T202/sref)^(Parametros!$B$12-1))),DEGREES(ATAN(TAN(RADIANS(Parametros!$F$13-omega*e_base))*(T202/sref)^(Parametros!$B$13-1))),DEGREES(ATAN(TAN(RADIANS(Parametros!$F$14-omega*e_base))*(T202/sref)^(Parametros!$B$14-1))),DEGREES(ATAN(TAN(RADIANS(Parametros!$F$15-omega*e_base))*(T202/sref)^(Parametros!$B$15-1))),DEGREES(ATAN(TAN(RADIANS(Parametros!$F$16-omega*e_base))*(T202/sref)^(Parametros!$B$16-1))))))</f>
        <v/>
      </c>
      <c r="BE202">
        <f>Base_mundial!C201</f>
        <v/>
      </c>
      <c r="BF202">
        <f>Base_mundial!E201-omega*(e_base-Base_mundial!B201)</f>
        <v/>
      </c>
      <c r="BG202">
        <f>BE202*TAN(RADIANS(BF202))</f>
        <v/>
      </c>
    </row>
    <row r="203">
      <c r="BE203">
        <f>Base_mundial!C202</f>
        <v/>
      </c>
      <c r="BF203">
        <f>Base_mundial!E202-omega*(e_base-Base_mundial!B202)</f>
        <v/>
      </c>
      <c r="BG203">
        <f>BE203*TAN(RADIANS(BF203))</f>
        <v/>
      </c>
    </row>
    <row r="204">
      <c r="Q204" t="n">
        <v>1.349639998635774</v>
      </c>
      <c r="R204">
        <f>MIN(DEGREES(ATAN(TAN(RADIANS(Parametros!$E$12-omega*e_base))*(Q204/sref)^(Parametros!$B$12-1))),DEGREES(ATAN(TAN(RADIANS(Parametros!$E$13-omega*e_base))*(Q204/sref)^(Parametros!$B$13-1))),DEGREES(ATAN(TAN(RADIANS(Parametros!$E$14-omega*e_base))*(Q204/sref)^(Parametros!$B$14-1))),DEGREES(ATAN(TAN(RADIANS(Parametros!$E$15-omega*e_base))*(Q204/sref)^(Parametros!$B$15-1))),DEGREES(ATAN(TAN(RADIANS(Parametros!$E$16-omega*e_base))*(Q204/sref)^(Parametros!$B$16-1))))</f>
        <v/>
      </c>
      <c r="T204" t="n">
        <v>5.958816568047337</v>
      </c>
      <c r="U204">
        <f>T204*TAN(RADIANS(MIN(DEGREES(ATAN(TAN(RADIANS(Parametros!$E$12-omega*e_base))*(T204/sref)^(Parametros!$B$12-1))),DEGREES(ATAN(TAN(RADIANS(Parametros!$E$13-omega*e_base))*(T204/sref)^(Parametros!$B$13-1))),DEGREES(ATAN(TAN(RADIANS(Parametros!$E$14-omega*e_base))*(T204/sref)^(Parametros!$B$14-1))),DEGREES(ATAN(TAN(RADIANS(Parametros!$E$15-omega*e_base))*(T204/sref)^(Parametros!$B$15-1))),DEGREES(ATAN(TAN(RADIANS(Parametros!$E$16-omega*e_base))*(T204/sref)^(Parametros!$B$16-1))))))</f>
        <v/>
      </c>
      <c r="BE204">
        <f>Base_mundial!C203</f>
        <v/>
      </c>
      <c r="BF204">
        <f>Base_mundial!E203-omega*(e_base-Base_mundial!B203)</f>
        <v/>
      </c>
      <c r="BG204">
        <f>BE204*TAN(RADIANS(BF204))</f>
        <v/>
      </c>
    </row>
    <row r="205">
      <c r="Q205" t="n">
        <v>1.349639998635774</v>
      </c>
      <c r="R205">
        <f>MAX(DEGREES(ATAN(TAN(RADIANS(Parametros!$F$12-omega*e_base))*(Q205/sref)^(Parametros!$B$12-1))),DEGREES(ATAN(TAN(RADIANS(Parametros!$F$13-omega*e_base))*(Q205/sref)^(Parametros!$B$13-1))),DEGREES(ATAN(TAN(RADIANS(Parametros!$F$14-omega*e_base))*(Q205/sref)^(Parametros!$B$14-1))),DEGREES(ATAN(TAN(RADIANS(Parametros!$F$15-omega*e_base))*(Q205/sref)^(Parametros!$B$15-1))),DEGREES(ATAN(TAN(RADIANS(Parametros!$F$16-omega*e_base))*(Q205/sref)^(Parametros!$B$16-1))))</f>
        <v/>
      </c>
      <c r="T205" t="n">
        <v>5.958816568047337</v>
      </c>
      <c r="U205">
        <f>T205*TAN(RADIANS(MAX(DEGREES(ATAN(TAN(RADIANS(Parametros!$F$12-omega*e_base))*(T205/sref)^(Parametros!$B$12-1))),DEGREES(ATAN(TAN(RADIANS(Parametros!$F$13-omega*e_base))*(T205/sref)^(Parametros!$B$13-1))),DEGREES(ATAN(TAN(RADIANS(Parametros!$F$14-omega*e_base))*(T205/sref)^(Parametros!$B$14-1))),DEGREES(ATAN(TAN(RADIANS(Parametros!$F$15-omega*e_base))*(T205/sref)^(Parametros!$B$15-1))),DEGREES(ATAN(TAN(RADIANS(Parametros!$F$16-omega*e_base))*(T205/sref)^(Parametros!$B$16-1))))))</f>
        <v/>
      </c>
      <c r="BE205">
        <f>Base_mundial!C204</f>
        <v/>
      </c>
      <c r="BF205">
        <f>Base_mundial!E204-omega*(e_base-Base_mundial!B204)</f>
        <v/>
      </c>
      <c r="BG205">
        <f>BE205*TAN(RADIANS(BF205))</f>
        <v/>
      </c>
    </row>
    <row r="206">
      <c r="BE206">
        <f>Base_mundial!C205</f>
        <v/>
      </c>
      <c r="BF206">
        <f>Base_mundial!E205-omega*(e_base-Base_mundial!B205)</f>
        <v/>
      </c>
      <c r="BG206">
        <f>BE206*TAN(RADIANS(BF206))</f>
        <v/>
      </c>
    </row>
    <row r="207">
      <c r="Q207" t="n">
        <v>1.403094315851276</v>
      </c>
      <c r="R207">
        <f>MIN(DEGREES(ATAN(TAN(RADIANS(Parametros!$E$12-omega*e_base))*(Q207/sref)^(Parametros!$B$12-1))),DEGREES(ATAN(TAN(RADIANS(Parametros!$E$13-omega*e_base))*(Q207/sref)^(Parametros!$B$13-1))),DEGREES(ATAN(TAN(RADIANS(Parametros!$E$14-omega*e_base))*(Q207/sref)^(Parametros!$B$14-1))),DEGREES(ATAN(TAN(RADIANS(Parametros!$E$15-omega*e_base))*(Q207/sref)^(Parametros!$B$15-1))),DEGREES(ATAN(TAN(RADIANS(Parametros!$E$16-omega*e_base))*(Q207/sref)^(Parametros!$B$16-1))))</f>
        <v/>
      </c>
      <c r="T207" t="n">
        <v>6.047455621301775</v>
      </c>
      <c r="U207">
        <f>T207*TAN(RADIANS(MIN(DEGREES(ATAN(TAN(RADIANS(Parametros!$E$12-omega*e_base))*(T207/sref)^(Parametros!$B$12-1))),DEGREES(ATAN(TAN(RADIANS(Parametros!$E$13-omega*e_base))*(T207/sref)^(Parametros!$B$13-1))),DEGREES(ATAN(TAN(RADIANS(Parametros!$E$14-omega*e_base))*(T207/sref)^(Parametros!$B$14-1))),DEGREES(ATAN(TAN(RADIANS(Parametros!$E$15-omega*e_base))*(T207/sref)^(Parametros!$B$15-1))),DEGREES(ATAN(TAN(RADIANS(Parametros!$E$16-omega*e_base))*(T207/sref)^(Parametros!$B$16-1))))))</f>
        <v/>
      </c>
      <c r="BE207">
        <f>Base_mundial!C206</f>
        <v/>
      </c>
      <c r="BF207">
        <f>Base_mundial!E206-omega*(e_base-Base_mundial!B206)</f>
        <v/>
      </c>
      <c r="BG207">
        <f>BE207*TAN(RADIANS(BF207))</f>
        <v/>
      </c>
    </row>
    <row r="208">
      <c r="Q208" t="n">
        <v>1.403094315851276</v>
      </c>
      <c r="R208">
        <f>MAX(DEGREES(ATAN(TAN(RADIANS(Parametros!$F$12-omega*e_base))*(Q208/sref)^(Parametros!$B$12-1))),DEGREES(ATAN(TAN(RADIANS(Parametros!$F$13-omega*e_base))*(Q208/sref)^(Parametros!$B$13-1))),DEGREES(ATAN(TAN(RADIANS(Parametros!$F$14-omega*e_base))*(Q208/sref)^(Parametros!$B$14-1))),DEGREES(ATAN(TAN(RADIANS(Parametros!$F$15-omega*e_base))*(Q208/sref)^(Parametros!$B$15-1))),DEGREES(ATAN(TAN(RADIANS(Parametros!$F$16-omega*e_base))*(Q208/sref)^(Parametros!$B$16-1))))</f>
        <v/>
      </c>
      <c r="T208" t="n">
        <v>6.047455621301775</v>
      </c>
      <c r="U208">
        <f>T208*TAN(RADIANS(MAX(DEGREES(ATAN(TAN(RADIANS(Parametros!$F$12-omega*e_base))*(T208/sref)^(Parametros!$B$12-1))),DEGREES(ATAN(TAN(RADIANS(Parametros!$F$13-omega*e_base))*(T208/sref)^(Parametros!$B$13-1))),DEGREES(ATAN(TAN(RADIANS(Parametros!$F$14-omega*e_base))*(T208/sref)^(Parametros!$B$14-1))),DEGREES(ATAN(TAN(RADIANS(Parametros!$F$15-omega*e_base))*(T208/sref)^(Parametros!$B$15-1))),DEGREES(ATAN(TAN(RADIANS(Parametros!$F$16-omega*e_base))*(T208/sref)^(Parametros!$B$16-1))))))</f>
        <v/>
      </c>
      <c r="BE208">
        <f>Base_mundial!C207</f>
        <v/>
      </c>
      <c r="BF208">
        <f>Base_mundial!E207-omega*(e_base-Base_mundial!B207)</f>
        <v/>
      </c>
      <c r="BG208">
        <f>BE208*TAN(RADIANS(BF208))</f>
        <v/>
      </c>
    </row>
    <row r="209">
      <c r="BE209">
        <f>Base_mundial!C208</f>
        <v/>
      </c>
      <c r="BF209">
        <f>Base_mundial!E208-omega*(e_base-Base_mundial!B208)</f>
        <v/>
      </c>
      <c r="BG209">
        <f>BE209*TAN(RADIANS(BF209))</f>
        <v/>
      </c>
    </row>
    <row r="210">
      <c r="Q210" t="n">
        <v>1.458665763584445</v>
      </c>
      <c r="R210">
        <f>MIN(DEGREES(ATAN(TAN(RADIANS(Parametros!$E$12-omega*e_base))*(Q210/sref)^(Parametros!$B$12-1))),DEGREES(ATAN(TAN(RADIANS(Parametros!$E$13-omega*e_base))*(Q210/sref)^(Parametros!$B$13-1))),DEGREES(ATAN(TAN(RADIANS(Parametros!$E$14-omega*e_base))*(Q210/sref)^(Parametros!$B$14-1))),DEGREES(ATAN(TAN(RADIANS(Parametros!$E$15-omega*e_base))*(Q210/sref)^(Parametros!$B$15-1))),DEGREES(ATAN(TAN(RADIANS(Parametros!$E$16-omega*e_base))*(Q210/sref)^(Parametros!$B$16-1))))</f>
        <v/>
      </c>
      <c r="T210" t="n">
        <v>6.136094674556213</v>
      </c>
      <c r="U210">
        <f>T210*TAN(RADIANS(MIN(DEGREES(ATAN(TAN(RADIANS(Parametros!$E$12-omega*e_base))*(T210/sref)^(Parametros!$B$12-1))),DEGREES(ATAN(TAN(RADIANS(Parametros!$E$13-omega*e_base))*(T210/sref)^(Parametros!$B$13-1))),DEGREES(ATAN(TAN(RADIANS(Parametros!$E$14-omega*e_base))*(T210/sref)^(Parametros!$B$14-1))),DEGREES(ATAN(TAN(RADIANS(Parametros!$E$15-omega*e_base))*(T210/sref)^(Parametros!$B$15-1))),DEGREES(ATAN(TAN(RADIANS(Parametros!$E$16-omega*e_base))*(T210/sref)^(Parametros!$B$16-1))))))</f>
        <v/>
      </c>
      <c r="BE210">
        <f>Base_mundial!C209</f>
        <v/>
      </c>
      <c r="BF210">
        <f>Base_mundial!E209-omega*(e_base-Base_mundial!B209)</f>
        <v/>
      </c>
      <c r="BG210">
        <f>BE210*TAN(RADIANS(BF210))</f>
        <v/>
      </c>
    </row>
    <row r="211">
      <c r="Q211" t="n">
        <v>1.458665763584445</v>
      </c>
      <c r="R211">
        <f>MAX(DEGREES(ATAN(TAN(RADIANS(Parametros!$F$12-omega*e_base))*(Q211/sref)^(Parametros!$B$12-1))),DEGREES(ATAN(TAN(RADIANS(Parametros!$F$13-omega*e_base))*(Q211/sref)^(Parametros!$B$13-1))),DEGREES(ATAN(TAN(RADIANS(Parametros!$F$14-omega*e_base))*(Q211/sref)^(Parametros!$B$14-1))),DEGREES(ATAN(TAN(RADIANS(Parametros!$F$15-omega*e_base))*(Q211/sref)^(Parametros!$B$15-1))),DEGREES(ATAN(TAN(RADIANS(Parametros!$F$16-omega*e_base))*(Q211/sref)^(Parametros!$B$16-1))))</f>
        <v/>
      </c>
      <c r="T211" t="n">
        <v>6.136094674556213</v>
      </c>
      <c r="U211">
        <f>T211*TAN(RADIANS(MAX(DEGREES(ATAN(TAN(RADIANS(Parametros!$F$12-omega*e_base))*(T211/sref)^(Parametros!$B$12-1))),DEGREES(ATAN(TAN(RADIANS(Parametros!$F$13-omega*e_base))*(T211/sref)^(Parametros!$B$13-1))),DEGREES(ATAN(TAN(RADIANS(Parametros!$F$14-omega*e_base))*(T211/sref)^(Parametros!$B$14-1))),DEGREES(ATAN(TAN(RADIANS(Parametros!$F$15-omega*e_base))*(T211/sref)^(Parametros!$B$15-1))),DEGREES(ATAN(TAN(RADIANS(Parametros!$F$16-omega*e_base))*(T211/sref)^(Parametros!$B$16-1))))))</f>
        <v/>
      </c>
      <c r="BE211">
        <f>Base_mundial!C210</f>
        <v/>
      </c>
      <c r="BF211">
        <f>Base_mundial!E210-omega*(e_base-Base_mundial!B210)</f>
        <v/>
      </c>
      <c r="BG211">
        <f>BE211*TAN(RADIANS(BF211))</f>
        <v/>
      </c>
    </row>
    <row r="212">
      <c r="BE212">
        <f>Base_mundial!C211</f>
        <v/>
      </c>
      <c r="BF212">
        <f>Base_mundial!E211-omega*(e_base-Base_mundial!B211)</f>
        <v/>
      </c>
      <c r="BG212">
        <f>BE212*TAN(RADIANS(BF212))</f>
        <v/>
      </c>
    </row>
    <row r="213">
      <c r="Q213" t="n">
        <v>1.516438193652351</v>
      </c>
      <c r="R213">
        <f>MIN(DEGREES(ATAN(TAN(RADIANS(Parametros!$E$12-omega*e_base))*(Q213/sref)^(Parametros!$B$12-1))),DEGREES(ATAN(TAN(RADIANS(Parametros!$E$13-omega*e_base))*(Q213/sref)^(Parametros!$B$13-1))),DEGREES(ATAN(TAN(RADIANS(Parametros!$E$14-omega*e_base))*(Q213/sref)^(Parametros!$B$14-1))),DEGREES(ATAN(TAN(RADIANS(Parametros!$E$15-omega*e_base))*(Q213/sref)^(Parametros!$B$15-1))),DEGREES(ATAN(TAN(RADIANS(Parametros!$E$16-omega*e_base))*(Q213/sref)^(Parametros!$B$16-1))))</f>
        <v/>
      </c>
      <c r="T213" t="n">
        <v>6.22473372781065</v>
      </c>
      <c r="U213">
        <f>T213*TAN(RADIANS(MIN(DEGREES(ATAN(TAN(RADIANS(Parametros!$E$12-omega*e_base))*(T213/sref)^(Parametros!$B$12-1))),DEGREES(ATAN(TAN(RADIANS(Parametros!$E$13-omega*e_base))*(T213/sref)^(Parametros!$B$13-1))),DEGREES(ATAN(TAN(RADIANS(Parametros!$E$14-omega*e_base))*(T213/sref)^(Parametros!$B$14-1))),DEGREES(ATAN(TAN(RADIANS(Parametros!$E$15-omega*e_base))*(T213/sref)^(Parametros!$B$15-1))),DEGREES(ATAN(TAN(RADIANS(Parametros!$E$16-omega*e_base))*(T213/sref)^(Parametros!$B$16-1))))))</f>
        <v/>
      </c>
      <c r="BE213">
        <f>Base_mundial!C212</f>
        <v/>
      </c>
      <c r="BF213">
        <f>Base_mundial!E212-omega*(e_base-Base_mundial!B212)</f>
        <v/>
      </c>
      <c r="BG213">
        <f>BE213*TAN(RADIANS(BF213))</f>
        <v/>
      </c>
    </row>
    <row r="214">
      <c r="Q214" t="n">
        <v>1.516438193652351</v>
      </c>
      <c r="R214">
        <f>MAX(DEGREES(ATAN(TAN(RADIANS(Parametros!$F$12-omega*e_base))*(Q214/sref)^(Parametros!$B$12-1))),DEGREES(ATAN(TAN(RADIANS(Parametros!$F$13-omega*e_base))*(Q214/sref)^(Parametros!$B$13-1))),DEGREES(ATAN(TAN(RADIANS(Parametros!$F$14-omega*e_base))*(Q214/sref)^(Parametros!$B$14-1))),DEGREES(ATAN(TAN(RADIANS(Parametros!$F$15-omega*e_base))*(Q214/sref)^(Parametros!$B$15-1))),DEGREES(ATAN(TAN(RADIANS(Parametros!$F$16-omega*e_base))*(Q214/sref)^(Parametros!$B$16-1))))</f>
        <v/>
      </c>
      <c r="T214" t="n">
        <v>6.22473372781065</v>
      </c>
      <c r="U214">
        <f>T214*TAN(RADIANS(MAX(DEGREES(ATAN(TAN(RADIANS(Parametros!$F$12-omega*e_base))*(T214/sref)^(Parametros!$B$12-1))),DEGREES(ATAN(TAN(RADIANS(Parametros!$F$13-omega*e_base))*(T214/sref)^(Parametros!$B$13-1))),DEGREES(ATAN(TAN(RADIANS(Parametros!$F$14-omega*e_base))*(T214/sref)^(Parametros!$B$14-1))),DEGREES(ATAN(TAN(RADIANS(Parametros!$F$15-omega*e_base))*(T214/sref)^(Parametros!$B$15-1))),DEGREES(ATAN(TAN(RADIANS(Parametros!$F$16-omega*e_base))*(T214/sref)^(Parametros!$B$16-1))))))</f>
        <v/>
      </c>
      <c r="BE214">
        <f>Base_mundial!C213</f>
        <v/>
      </c>
      <c r="BF214">
        <f>Base_mundial!E213-omega*(e_base-Base_mundial!B213)</f>
        <v/>
      </c>
      <c r="BG214">
        <f>BE214*TAN(RADIANS(BF214))</f>
        <v/>
      </c>
    </row>
    <row r="215">
      <c r="BE215">
        <f>Base_mundial!C214</f>
        <v/>
      </c>
      <c r="BF215">
        <f>Base_mundial!E214-omega*(e_base-Base_mundial!B214)</f>
        <v/>
      </c>
      <c r="BG215">
        <f>BE215*TAN(RADIANS(BF215))</f>
        <v/>
      </c>
    </row>
    <row r="216">
      <c r="Q216" t="n">
        <v>1.576498778936673</v>
      </c>
      <c r="R216">
        <f>MIN(DEGREES(ATAN(TAN(RADIANS(Parametros!$E$12-omega*e_base))*(Q216/sref)^(Parametros!$B$12-1))),DEGREES(ATAN(TAN(RADIANS(Parametros!$E$13-omega*e_base))*(Q216/sref)^(Parametros!$B$13-1))),DEGREES(ATAN(TAN(RADIANS(Parametros!$E$14-omega*e_base))*(Q216/sref)^(Parametros!$B$14-1))),DEGREES(ATAN(TAN(RADIANS(Parametros!$E$15-omega*e_base))*(Q216/sref)^(Parametros!$B$15-1))),DEGREES(ATAN(TAN(RADIANS(Parametros!$E$16-omega*e_base))*(Q216/sref)^(Parametros!$B$16-1))))</f>
        <v/>
      </c>
      <c r="T216" t="n">
        <v>6.313372781065088</v>
      </c>
      <c r="U216">
        <f>T216*TAN(RADIANS(MIN(DEGREES(ATAN(TAN(RADIANS(Parametros!$E$12-omega*e_base))*(T216/sref)^(Parametros!$B$12-1))),DEGREES(ATAN(TAN(RADIANS(Parametros!$E$13-omega*e_base))*(T216/sref)^(Parametros!$B$13-1))),DEGREES(ATAN(TAN(RADIANS(Parametros!$E$14-omega*e_base))*(T216/sref)^(Parametros!$B$14-1))),DEGREES(ATAN(TAN(RADIANS(Parametros!$E$15-omega*e_base))*(T216/sref)^(Parametros!$B$15-1))),DEGREES(ATAN(TAN(RADIANS(Parametros!$E$16-omega*e_base))*(T216/sref)^(Parametros!$B$16-1))))))</f>
        <v/>
      </c>
      <c r="BE216">
        <f>Base_mundial!C215</f>
        <v/>
      </c>
      <c r="BF216">
        <f>Base_mundial!E215-omega*(e_base-Base_mundial!B215)</f>
        <v/>
      </c>
      <c r="BG216">
        <f>BE216*TAN(RADIANS(BF216))</f>
        <v/>
      </c>
    </row>
    <row r="217">
      <c r="Q217" t="n">
        <v>1.576498778936673</v>
      </c>
      <c r="R217">
        <f>MAX(DEGREES(ATAN(TAN(RADIANS(Parametros!$F$12-omega*e_base))*(Q217/sref)^(Parametros!$B$12-1))),DEGREES(ATAN(TAN(RADIANS(Parametros!$F$13-omega*e_base))*(Q217/sref)^(Parametros!$B$13-1))),DEGREES(ATAN(TAN(RADIANS(Parametros!$F$14-omega*e_base))*(Q217/sref)^(Parametros!$B$14-1))),DEGREES(ATAN(TAN(RADIANS(Parametros!$F$15-omega*e_base))*(Q217/sref)^(Parametros!$B$15-1))),DEGREES(ATAN(TAN(RADIANS(Parametros!$F$16-omega*e_base))*(Q217/sref)^(Parametros!$B$16-1))))</f>
        <v/>
      </c>
      <c r="T217" t="n">
        <v>6.313372781065088</v>
      </c>
      <c r="U217">
        <f>T217*TAN(RADIANS(MAX(DEGREES(ATAN(TAN(RADIANS(Parametros!$F$12-omega*e_base))*(T217/sref)^(Parametros!$B$12-1))),DEGREES(ATAN(TAN(RADIANS(Parametros!$F$13-omega*e_base))*(T217/sref)^(Parametros!$B$13-1))),DEGREES(ATAN(TAN(RADIANS(Parametros!$F$14-omega*e_base))*(T217/sref)^(Parametros!$B$14-1))),DEGREES(ATAN(TAN(RADIANS(Parametros!$F$15-omega*e_base))*(T217/sref)^(Parametros!$B$15-1))),DEGREES(ATAN(TAN(RADIANS(Parametros!$F$16-omega*e_base))*(T217/sref)^(Parametros!$B$16-1))))))</f>
        <v/>
      </c>
      <c r="BE217">
        <f>Base_mundial!C216</f>
        <v/>
      </c>
      <c r="BF217">
        <f>Base_mundial!E216-omega*(e_base-Base_mundial!B216)</f>
        <v/>
      </c>
      <c r="BG217">
        <f>BE217*TAN(RADIANS(BF217))</f>
        <v/>
      </c>
    </row>
    <row r="218">
      <c r="BE218">
        <f>Base_mundial!C217</f>
        <v/>
      </c>
      <c r="BF218">
        <f>Base_mundial!E217-omega*(e_base-Base_mundial!B217)</f>
        <v/>
      </c>
      <c r="BG218">
        <f>BE218*TAN(RADIANS(BF218))</f>
        <v/>
      </c>
    </row>
    <row r="219">
      <c r="Q219" t="n">
        <v>1.638938144918944</v>
      </c>
      <c r="R219">
        <f>MIN(DEGREES(ATAN(TAN(RADIANS(Parametros!$E$12-omega*e_base))*(Q219/sref)^(Parametros!$B$12-1))),DEGREES(ATAN(TAN(RADIANS(Parametros!$E$13-omega*e_base))*(Q219/sref)^(Parametros!$B$13-1))),DEGREES(ATAN(TAN(RADIANS(Parametros!$E$14-omega*e_base))*(Q219/sref)^(Parametros!$B$14-1))),DEGREES(ATAN(TAN(RADIANS(Parametros!$E$15-omega*e_base))*(Q219/sref)^(Parametros!$B$15-1))),DEGREES(ATAN(TAN(RADIANS(Parametros!$E$16-omega*e_base))*(Q219/sref)^(Parametros!$B$16-1))))</f>
        <v/>
      </c>
      <c r="T219" t="n">
        <v>6.402011834319526</v>
      </c>
      <c r="U219">
        <f>T219*TAN(RADIANS(MIN(DEGREES(ATAN(TAN(RADIANS(Parametros!$E$12-omega*e_base))*(T219/sref)^(Parametros!$B$12-1))),DEGREES(ATAN(TAN(RADIANS(Parametros!$E$13-omega*e_base))*(T219/sref)^(Parametros!$B$13-1))),DEGREES(ATAN(TAN(RADIANS(Parametros!$E$14-omega*e_base))*(T219/sref)^(Parametros!$B$14-1))),DEGREES(ATAN(TAN(RADIANS(Parametros!$E$15-omega*e_base))*(T219/sref)^(Parametros!$B$15-1))),DEGREES(ATAN(TAN(RADIANS(Parametros!$E$16-omega*e_base))*(T219/sref)^(Parametros!$B$16-1))))))</f>
        <v/>
      </c>
      <c r="BE219">
        <f>Base_mundial!C218</f>
        <v/>
      </c>
      <c r="BF219">
        <f>Base_mundial!E218-omega*(e_base-Base_mundial!B218)</f>
        <v/>
      </c>
      <c r="BG219">
        <f>BE219*TAN(RADIANS(BF219))</f>
        <v/>
      </c>
    </row>
    <row r="220">
      <c r="Q220" t="n">
        <v>1.638938144918944</v>
      </c>
      <c r="R220">
        <f>MAX(DEGREES(ATAN(TAN(RADIANS(Parametros!$F$12-omega*e_base))*(Q220/sref)^(Parametros!$B$12-1))),DEGREES(ATAN(TAN(RADIANS(Parametros!$F$13-omega*e_base))*(Q220/sref)^(Parametros!$B$13-1))),DEGREES(ATAN(TAN(RADIANS(Parametros!$F$14-omega*e_base))*(Q220/sref)^(Parametros!$B$14-1))),DEGREES(ATAN(TAN(RADIANS(Parametros!$F$15-omega*e_base))*(Q220/sref)^(Parametros!$B$15-1))),DEGREES(ATAN(TAN(RADIANS(Parametros!$F$16-omega*e_base))*(Q220/sref)^(Parametros!$B$16-1))))</f>
        <v/>
      </c>
      <c r="T220" t="n">
        <v>6.402011834319526</v>
      </c>
      <c r="U220">
        <f>T220*TAN(RADIANS(MAX(DEGREES(ATAN(TAN(RADIANS(Parametros!$F$12-omega*e_base))*(T220/sref)^(Parametros!$B$12-1))),DEGREES(ATAN(TAN(RADIANS(Parametros!$F$13-omega*e_base))*(T220/sref)^(Parametros!$B$13-1))),DEGREES(ATAN(TAN(RADIANS(Parametros!$F$14-omega*e_base))*(T220/sref)^(Parametros!$B$14-1))),DEGREES(ATAN(TAN(RADIANS(Parametros!$F$15-omega*e_base))*(T220/sref)^(Parametros!$B$15-1))),DEGREES(ATAN(TAN(RADIANS(Parametros!$F$16-omega*e_base))*(T220/sref)^(Parametros!$B$16-1))))))</f>
        <v/>
      </c>
      <c r="BE220">
        <f>Base_mundial!C219</f>
        <v/>
      </c>
      <c r="BF220">
        <f>Base_mundial!E219-omega*(e_base-Base_mundial!B219)</f>
        <v/>
      </c>
      <c r="BG220">
        <f>BE220*TAN(RADIANS(BF220))</f>
        <v/>
      </c>
    </row>
    <row r="221">
      <c r="BE221">
        <f>Base_mundial!C220</f>
        <v/>
      </c>
      <c r="BF221">
        <f>Base_mundial!E220-omega*(e_base-Base_mundial!B220)</f>
        <v/>
      </c>
      <c r="BG221">
        <f>BE221*TAN(RADIANS(BF221))</f>
        <v/>
      </c>
    </row>
    <row r="222">
      <c r="Q222" t="n">
        <v>1.703850506425449</v>
      </c>
      <c r="R222">
        <f>MIN(DEGREES(ATAN(TAN(RADIANS(Parametros!$E$12-omega*e_base))*(Q222/sref)^(Parametros!$B$12-1))),DEGREES(ATAN(TAN(RADIANS(Parametros!$E$13-omega*e_base))*(Q222/sref)^(Parametros!$B$13-1))),DEGREES(ATAN(TAN(RADIANS(Parametros!$E$14-omega*e_base))*(Q222/sref)^(Parametros!$B$14-1))),DEGREES(ATAN(TAN(RADIANS(Parametros!$E$15-omega*e_base))*(Q222/sref)^(Parametros!$B$15-1))),DEGREES(ATAN(TAN(RADIANS(Parametros!$E$16-omega*e_base))*(Q222/sref)^(Parametros!$B$16-1))))</f>
        <v/>
      </c>
      <c r="T222" t="n">
        <v>6.490650887573964</v>
      </c>
      <c r="U222">
        <f>T222*TAN(RADIANS(MIN(DEGREES(ATAN(TAN(RADIANS(Parametros!$E$12-omega*e_base))*(T222/sref)^(Parametros!$B$12-1))),DEGREES(ATAN(TAN(RADIANS(Parametros!$E$13-omega*e_base))*(T222/sref)^(Parametros!$B$13-1))),DEGREES(ATAN(TAN(RADIANS(Parametros!$E$14-omega*e_base))*(T222/sref)^(Parametros!$B$14-1))),DEGREES(ATAN(TAN(RADIANS(Parametros!$E$15-omega*e_base))*(T222/sref)^(Parametros!$B$15-1))),DEGREES(ATAN(TAN(RADIANS(Parametros!$E$16-omega*e_base))*(T222/sref)^(Parametros!$B$16-1))))))</f>
        <v/>
      </c>
      <c r="BE222">
        <f>Base_mundial!C221</f>
        <v/>
      </c>
      <c r="BF222">
        <f>Base_mundial!E221-omega*(e_base-Base_mundial!B221)</f>
        <v/>
      </c>
      <c r="BG222">
        <f>BE222*TAN(RADIANS(BF222))</f>
        <v/>
      </c>
    </row>
    <row r="223">
      <c r="Q223" t="n">
        <v>1.703850506425449</v>
      </c>
      <c r="R223">
        <f>MAX(DEGREES(ATAN(TAN(RADIANS(Parametros!$F$12-omega*e_base))*(Q223/sref)^(Parametros!$B$12-1))),DEGREES(ATAN(TAN(RADIANS(Parametros!$F$13-omega*e_base))*(Q223/sref)^(Parametros!$B$13-1))),DEGREES(ATAN(TAN(RADIANS(Parametros!$F$14-omega*e_base))*(Q223/sref)^(Parametros!$B$14-1))),DEGREES(ATAN(TAN(RADIANS(Parametros!$F$15-omega*e_base))*(Q223/sref)^(Parametros!$B$15-1))),DEGREES(ATAN(TAN(RADIANS(Parametros!$F$16-omega*e_base))*(Q223/sref)^(Parametros!$B$16-1))))</f>
        <v/>
      </c>
      <c r="T223" t="n">
        <v>6.490650887573964</v>
      </c>
      <c r="U223">
        <f>T223*TAN(RADIANS(MAX(DEGREES(ATAN(TAN(RADIANS(Parametros!$F$12-omega*e_base))*(T223/sref)^(Parametros!$B$12-1))),DEGREES(ATAN(TAN(RADIANS(Parametros!$F$13-omega*e_base))*(T223/sref)^(Parametros!$B$13-1))),DEGREES(ATAN(TAN(RADIANS(Parametros!$F$14-omega*e_base))*(T223/sref)^(Parametros!$B$14-1))),DEGREES(ATAN(TAN(RADIANS(Parametros!$F$15-omega*e_base))*(T223/sref)^(Parametros!$B$15-1))),DEGREES(ATAN(TAN(RADIANS(Parametros!$F$16-omega*e_base))*(T223/sref)^(Parametros!$B$16-1))))))</f>
        <v/>
      </c>
      <c r="BE223">
        <f>Base_mundial!C222</f>
        <v/>
      </c>
      <c r="BF223">
        <f>Base_mundial!E222-omega*(e_base-Base_mundial!B222)</f>
        <v/>
      </c>
      <c r="BG223">
        <f>BE223*TAN(RADIANS(BF223))</f>
        <v/>
      </c>
    </row>
    <row r="224">
      <c r="BE224">
        <f>Base_mundial!C223</f>
        <v/>
      </c>
      <c r="BF224">
        <f>Base_mundial!E223-omega*(e_base-Base_mundial!B223)</f>
        <v/>
      </c>
      <c r="BG224">
        <f>BE224*TAN(RADIANS(BF224))</f>
        <v/>
      </c>
    </row>
    <row r="225">
      <c r="Q225" t="n">
        <v>1.771333809788065</v>
      </c>
      <c r="R225">
        <f>MIN(DEGREES(ATAN(TAN(RADIANS(Parametros!$E$12-omega*e_base))*(Q225/sref)^(Parametros!$B$12-1))),DEGREES(ATAN(TAN(RADIANS(Parametros!$E$13-omega*e_base))*(Q225/sref)^(Parametros!$B$13-1))),DEGREES(ATAN(TAN(RADIANS(Parametros!$E$14-omega*e_base))*(Q225/sref)^(Parametros!$B$14-1))),DEGREES(ATAN(TAN(RADIANS(Parametros!$E$15-omega*e_base))*(Q225/sref)^(Parametros!$B$15-1))),DEGREES(ATAN(TAN(RADIANS(Parametros!$E$16-omega*e_base))*(Q225/sref)^(Parametros!$B$16-1))))</f>
        <v/>
      </c>
      <c r="T225" t="n">
        <v>6.579289940828402</v>
      </c>
      <c r="U225">
        <f>T225*TAN(RADIANS(MIN(DEGREES(ATAN(TAN(RADIANS(Parametros!$E$12-omega*e_base))*(T225/sref)^(Parametros!$B$12-1))),DEGREES(ATAN(TAN(RADIANS(Parametros!$E$13-omega*e_base))*(T225/sref)^(Parametros!$B$13-1))),DEGREES(ATAN(TAN(RADIANS(Parametros!$E$14-omega*e_base))*(T225/sref)^(Parametros!$B$14-1))),DEGREES(ATAN(TAN(RADIANS(Parametros!$E$15-omega*e_base))*(T225/sref)^(Parametros!$B$15-1))),DEGREES(ATAN(TAN(RADIANS(Parametros!$E$16-omega*e_base))*(T225/sref)^(Parametros!$B$16-1))))))</f>
        <v/>
      </c>
      <c r="BE225">
        <f>Base_mundial!C224</f>
        <v/>
      </c>
      <c r="BF225">
        <f>Base_mundial!E224-omega*(e_base-Base_mundial!B224)</f>
        <v/>
      </c>
      <c r="BG225">
        <f>BE225*TAN(RADIANS(BF225))</f>
        <v/>
      </c>
    </row>
    <row r="226">
      <c r="Q226" t="n">
        <v>1.771333809788065</v>
      </c>
      <c r="R226">
        <f>MAX(DEGREES(ATAN(TAN(RADIANS(Parametros!$F$12-omega*e_base))*(Q226/sref)^(Parametros!$B$12-1))),DEGREES(ATAN(TAN(RADIANS(Parametros!$F$13-omega*e_base))*(Q226/sref)^(Parametros!$B$13-1))),DEGREES(ATAN(TAN(RADIANS(Parametros!$F$14-omega*e_base))*(Q226/sref)^(Parametros!$B$14-1))),DEGREES(ATAN(TAN(RADIANS(Parametros!$F$15-omega*e_base))*(Q226/sref)^(Parametros!$B$15-1))),DEGREES(ATAN(TAN(RADIANS(Parametros!$F$16-omega*e_base))*(Q226/sref)^(Parametros!$B$16-1))))</f>
        <v/>
      </c>
      <c r="T226" t="n">
        <v>6.579289940828402</v>
      </c>
      <c r="U226">
        <f>T226*TAN(RADIANS(MAX(DEGREES(ATAN(TAN(RADIANS(Parametros!$F$12-omega*e_base))*(T226/sref)^(Parametros!$B$12-1))),DEGREES(ATAN(TAN(RADIANS(Parametros!$F$13-omega*e_base))*(T226/sref)^(Parametros!$B$13-1))),DEGREES(ATAN(TAN(RADIANS(Parametros!$F$14-omega*e_base))*(T226/sref)^(Parametros!$B$14-1))),DEGREES(ATAN(TAN(RADIANS(Parametros!$F$15-omega*e_base))*(T226/sref)^(Parametros!$B$15-1))),DEGREES(ATAN(TAN(RADIANS(Parametros!$F$16-omega*e_base))*(T226/sref)^(Parametros!$B$16-1))))))</f>
        <v/>
      </c>
      <c r="BE226">
        <f>Base_mundial!C225</f>
        <v/>
      </c>
      <c r="BF226">
        <f>Base_mundial!E225-omega*(e_base-Base_mundial!B225)</f>
        <v/>
      </c>
      <c r="BG226">
        <f>BE226*TAN(RADIANS(BF226))</f>
        <v/>
      </c>
    </row>
    <row r="227">
      <c r="BE227">
        <f>Base_mundial!C226</f>
        <v/>
      </c>
      <c r="BF227">
        <f>Base_mundial!E226-omega*(e_base-Base_mundial!B226)</f>
        <v/>
      </c>
      <c r="BG227">
        <f>BE227*TAN(RADIANS(BF227))</f>
        <v/>
      </c>
    </row>
    <row r="228">
      <c r="Q228" t="n">
        <v>1.841489880635597</v>
      </c>
      <c r="R228">
        <f>MIN(DEGREES(ATAN(TAN(RADIANS(Parametros!$E$12-omega*e_base))*(Q228/sref)^(Parametros!$B$12-1))),DEGREES(ATAN(TAN(RADIANS(Parametros!$E$13-omega*e_base))*(Q228/sref)^(Parametros!$B$13-1))),DEGREES(ATAN(TAN(RADIANS(Parametros!$E$14-omega*e_base))*(Q228/sref)^(Parametros!$B$14-1))),DEGREES(ATAN(TAN(RADIANS(Parametros!$E$15-omega*e_base))*(Q228/sref)^(Parametros!$B$15-1))),DEGREES(ATAN(TAN(RADIANS(Parametros!$E$16-omega*e_base))*(Q228/sref)^(Parametros!$B$16-1))))</f>
        <v/>
      </c>
      <c r="T228" t="n">
        <v>6.66792899408284</v>
      </c>
      <c r="U228">
        <f>T228*TAN(RADIANS(MIN(DEGREES(ATAN(TAN(RADIANS(Parametros!$E$12-omega*e_base))*(T228/sref)^(Parametros!$B$12-1))),DEGREES(ATAN(TAN(RADIANS(Parametros!$E$13-omega*e_base))*(T228/sref)^(Parametros!$B$13-1))),DEGREES(ATAN(TAN(RADIANS(Parametros!$E$14-omega*e_base))*(T228/sref)^(Parametros!$B$14-1))),DEGREES(ATAN(TAN(RADIANS(Parametros!$E$15-omega*e_base))*(T228/sref)^(Parametros!$B$15-1))),DEGREES(ATAN(TAN(RADIANS(Parametros!$E$16-omega*e_base))*(T228/sref)^(Parametros!$B$16-1))))))</f>
        <v/>
      </c>
      <c r="BE228">
        <f>Base_mundial!C227</f>
        <v/>
      </c>
      <c r="BF228">
        <f>Base_mundial!E227-omega*(e_base-Base_mundial!B227)</f>
        <v/>
      </c>
      <c r="BG228">
        <f>BE228*TAN(RADIANS(BF228))</f>
        <v/>
      </c>
    </row>
    <row r="229">
      <c r="Q229" t="n">
        <v>1.841489880635597</v>
      </c>
      <c r="R229">
        <f>MAX(DEGREES(ATAN(TAN(RADIANS(Parametros!$F$12-omega*e_base))*(Q229/sref)^(Parametros!$B$12-1))),DEGREES(ATAN(TAN(RADIANS(Parametros!$F$13-omega*e_base))*(Q229/sref)^(Parametros!$B$13-1))),DEGREES(ATAN(TAN(RADIANS(Parametros!$F$14-omega*e_base))*(Q229/sref)^(Parametros!$B$14-1))),DEGREES(ATAN(TAN(RADIANS(Parametros!$F$15-omega*e_base))*(Q229/sref)^(Parametros!$B$15-1))),DEGREES(ATAN(TAN(RADIANS(Parametros!$F$16-omega*e_base))*(Q229/sref)^(Parametros!$B$16-1))))</f>
        <v/>
      </c>
      <c r="T229" t="n">
        <v>6.66792899408284</v>
      </c>
      <c r="U229">
        <f>T229*TAN(RADIANS(MAX(DEGREES(ATAN(TAN(RADIANS(Parametros!$F$12-omega*e_base))*(T229/sref)^(Parametros!$B$12-1))),DEGREES(ATAN(TAN(RADIANS(Parametros!$F$13-omega*e_base))*(T229/sref)^(Parametros!$B$13-1))),DEGREES(ATAN(TAN(RADIANS(Parametros!$F$14-omega*e_base))*(T229/sref)^(Parametros!$B$14-1))),DEGREES(ATAN(TAN(RADIANS(Parametros!$F$15-omega*e_base))*(T229/sref)^(Parametros!$B$15-1))),DEGREES(ATAN(TAN(RADIANS(Parametros!$F$16-omega*e_base))*(T229/sref)^(Parametros!$B$16-1))))))</f>
        <v/>
      </c>
      <c r="BE229">
        <f>Base_mundial!C228</f>
        <v/>
      </c>
      <c r="BF229">
        <f>Base_mundial!E228-omega*(e_base-Base_mundial!B228)</f>
        <v/>
      </c>
      <c r="BG229">
        <f>BE229*TAN(RADIANS(BF229))</f>
        <v/>
      </c>
    </row>
    <row r="230">
      <c r="BE230">
        <f>Base_mundial!C229</f>
        <v/>
      </c>
      <c r="BF230">
        <f>Base_mundial!E229-omega*(e_base-Base_mundial!B229)</f>
        <v/>
      </c>
      <c r="BG230">
        <f>BE230*TAN(RADIANS(BF230))</f>
        <v/>
      </c>
    </row>
    <row r="231">
      <c r="Q231" t="n">
        <v>1.914424577538572</v>
      </c>
      <c r="R231">
        <f>MIN(DEGREES(ATAN(TAN(RADIANS(Parametros!$E$12-omega*e_base))*(Q231/sref)^(Parametros!$B$12-1))),DEGREES(ATAN(TAN(RADIANS(Parametros!$E$13-omega*e_base))*(Q231/sref)^(Parametros!$B$13-1))),DEGREES(ATAN(TAN(RADIANS(Parametros!$E$14-omega*e_base))*(Q231/sref)^(Parametros!$B$14-1))),DEGREES(ATAN(TAN(RADIANS(Parametros!$E$15-omega*e_base))*(Q231/sref)^(Parametros!$B$15-1))),DEGREES(ATAN(TAN(RADIANS(Parametros!$E$16-omega*e_base))*(Q231/sref)^(Parametros!$B$16-1))))</f>
        <v/>
      </c>
      <c r="T231" t="n">
        <v>6.756568047337278</v>
      </c>
      <c r="U231">
        <f>T231*TAN(RADIANS(MIN(DEGREES(ATAN(TAN(RADIANS(Parametros!$E$12-omega*e_base))*(T231/sref)^(Parametros!$B$12-1))),DEGREES(ATAN(TAN(RADIANS(Parametros!$E$13-omega*e_base))*(T231/sref)^(Parametros!$B$13-1))),DEGREES(ATAN(TAN(RADIANS(Parametros!$E$14-omega*e_base))*(T231/sref)^(Parametros!$B$14-1))),DEGREES(ATAN(TAN(RADIANS(Parametros!$E$15-omega*e_base))*(T231/sref)^(Parametros!$B$15-1))),DEGREES(ATAN(TAN(RADIANS(Parametros!$E$16-omega*e_base))*(T231/sref)^(Parametros!$B$16-1))))))</f>
        <v/>
      </c>
      <c r="BE231">
        <f>Base_mundial!C230</f>
        <v/>
      </c>
      <c r="BF231">
        <f>Base_mundial!E230-omega*(e_base-Base_mundial!B230)</f>
        <v/>
      </c>
      <c r="BG231">
        <f>BE231*TAN(RADIANS(BF231))</f>
        <v/>
      </c>
    </row>
    <row r="232">
      <c r="Q232" t="n">
        <v>1.914424577538572</v>
      </c>
      <c r="R232">
        <f>MAX(DEGREES(ATAN(TAN(RADIANS(Parametros!$F$12-omega*e_base))*(Q232/sref)^(Parametros!$B$12-1))),DEGREES(ATAN(TAN(RADIANS(Parametros!$F$13-omega*e_base))*(Q232/sref)^(Parametros!$B$13-1))),DEGREES(ATAN(TAN(RADIANS(Parametros!$F$14-omega*e_base))*(Q232/sref)^(Parametros!$B$14-1))),DEGREES(ATAN(TAN(RADIANS(Parametros!$F$15-omega*e_base))*(Q232/sref)^(Parametros!$B$15-1))),DEGREES(ATAN(TAN(RADIANS(Parametros!$F$16-omega*e_base))*(Q232/sref)^(Parametros!$B$16-1))))</f>
        <v/>
      </c>
      <c r="T232" t="n">
        <v>6.756568047337278</v>
      </c>
      <c r="U232">
        <f>T232*TAN(RADIANS(MAX(DEGREES(ATAN(TAN(RADIANS(Parametros!$F$12-omega*e_base))*(T232/sref)^(Parametros!$B$12-1))),DEGREES(ATAN(TAN(RADIANS(Parametros!$F$13-omega*e_base))*(T232/sref)^(Parametros!$B$13-1))),DEGREES(ATAN(TAN(RADIANS(Parametros!$F$14-omega*e_base))*(T232/sref)^(Parametros!$B$14-1))),DEGREES(ATAN(TAN(RADIANS(Parametros!$F$15-omega*e_base))*(T232/sref)^(Parametros!$B$15-1))),DEGREES(ATAN(TAN(RADIANS(Parametros!$F$16-omega*e_base))*(T232/sref)^(Parametros!$B$16-1))))))</f>
        <v/>
      </c>
      <c r="BE232">
        <f>Base_mundial!C231</f>
        <v/>
      </c>
      <c r="BF232">
        <f>Base_mundial!E231-omega*(e_base-Base_mundial!B231)</f>
        <v/>
      </c>
      <c r="BG232">
        <f>BE232*TAN(RADIANS(BF232))</f>
        <v/>
      </c>
    </row>
    <row r="233">
      <c r="BE233">
        <f>Base_mundial!C232</f>
        <v/>
      </c>
      <c r="BF233">
        <f>Base_mundial!E232-omega*(e_base-Base_mundial!B232)</f>
        <v/>
      </c>
      <c r="BG233">
        <f>BE233*TAN(RADIANS(BF233))</f>
        <v/>
      </c>
    </row>
    <row r="234">
      <c r="Q234" t="n">
        <v>1.990247951739352</v>
      </c>
      <c r="R234">
        <f>MIN(DEGREES(ATAN(TAN(RADIANS(Parametros!$E$12-omega*e_base))*(Q234/sref)^(Parametros!$B$12-1))),DEGREES(ATAN(TAN(RADIANS(Parametros!$E$13-omega*e_base))*(Q234/sref)^(Parametros!$B$13-1))),DEGREES(ATAN(TAN(RADIANS(Parametros!$E$14-omega*e_base))*(Q234/sref)^(Parametros!$B$14-1))),DEGREES(ATAN(TAN(RADIANS(Parametros!$E$15-omega*e_base))*(Q234/sref)^(Parametros!$B$15-1))),DEGREES(ATAN(TAN(RADIANS(Parametros!$E$16-omega*e_base))*(Q234/sref)^(Parametros!$B$16-1))))</f>
        <v/>
      </c>
      <c r="T234" t="n">
        <v>6.845207100591716</v>
      </c>
      <c r="U234">
        <f>T234*TAN(RADIANS(MIN(DEGREES(ATAN(TAN(RADIANS(Parametros!$E$12-omega*e_base))*(T234/sref)^(Parametros!$B$12-1))),DEGREES(ATAN(TAN(RADIANS(Parametros!$E$13-omega*e_base))*(T234/sref)^(Parametros!$B$13-1))),DEGREES(ATAN(TAN(RADIANS(Parametros!$E$14-omega*e_base))*(T234/sref)^(Parametros!$B$14-1))),DEGREES(ATAN(TAN(RADIANS(Parametros!$E$15-omega*e_base))*(T234/sref)^(Parametros!$B$15-1))),DEGREES(ATAN(TAN(RADIANS(Parametros!$E$16-omega*e_base))*(T234/sref)^(Parametros!$B$16-1))))))</f>
        <v/>
      </c>
      <c r="BE234">
        <f>Base_mundial!C233</f>
        <v/>
      </c>
      <c r="BF234">
        <f>Base_mundial!E233-omega*(e_base-Base_mundial!B233)</f>
        <v/>
      </c>
      <c r="BG234">
        <f>BE234*TAN(RADIANS(BF234))</f>
        <v/>
      </c>
    </row>
    <row r="235">
      <c r="Q235" t="n">
        <v>1.990247951739352</v>
      </c>
      <c r="R235">
        <f>MAX(DEGREES(ATAN(TAN(RADIANS(Parametros!$F$12-omega*e_base))*(Q235/sref)^(Parametros!$B$12-1))),DEGREES(ATAN(TAN(RADIANS(Parametros!$F$13-omega*e_base))*(Q235/sref)^(Parametros!$B$13-1))),DEGREES(ATAN(TAN(RADIANS(Parametros!$F$14-omega*e_base))*(Q235/sref)^(Parametros!$B$14-1))),DEGREES(ATAN(TAN(RADIANS(Parametros!$F$15-omega*e_base))*(Q235/sref)^(Parametros!$B$15-1))),DEGREES(ATAN(TAN(RADIANS(Parametros!$F$16-omega*e_base))*(Q235/sref)^(Parametros!$B$16-1))))</f>
        <v/>
      </c>
      <c r="T235" t="n">
        <v>6.845207100591716</v>
      </c>
      <c r="U235">
        <f>T235*TAN(RADIANS(MAX(DEGREES(ATAN(TAN(RADIANS(Parametros!$F$12-omega*e_base))*(T235/sref)^(Parametros!$B$12-1))),DEGREES(ATAN(TAN(RADIANS(Parametros!$F$13-omega*e_base))*(T235/sref)^(Parametros!$B$13-1))),DEGREES(ATAN(TAN(RADIANS(Parametros!$F$14-omega*e_base))*(T235/sref)^(Parametros!$B$14-1))),DEGREES(ATAN(TAN(RADIANS(Parametros!$F$15-omega*e_base))*(T235/sref)^(Parametros!$B$15-1))),DEGREES(ATAN(TAN(RADIANS(Parametros!$F$16-omega*e_base))*(T235/sref)^(Parametros!$B$16-1))))))</f>
        <v/>
      </c>
      <c r="BE235">
        <f>Base_mundial!C234</f>
        <v/>
      </c>
      <c r="BF235">
        <f>Base_mundial!E234-omega*(e_base-Base_mundial!B234)</f>
        <v/>
      </c>
      <c r="BG235">
        <f>BE235*TAN(RADIANS(BF235))</f>
        <v/>
      </c>
    </row>
    <row r="236">
      <c r="BE236">
        <f>Base_mundial!C235</f>
        <v/>
      </c>
      <c r="BF236">
        <f>Base_mundial!E235-omega*(e_base-Base_mundial!B235)</f>
        <v/>
      </c>
      <c r="BG236">
        <f>BE236*TAN(RADIANS(BF236))</f>
        <v/>
      </c>
    </row>
    <row r="237">
      <c r="Q237" t="n">
        <v>2.069074413208569</v>
      </c>
      <c r="R237">
        <f>MIN(DEGREES(ATAN(TAN(RADIANS(Parametros!$E$12-omega*e_base))*(Q237/sref)^(Parametros!$B$12-1))),DEGREES(ATAN(TAN(RADIANS(Parametros!$E$13-omega*e_base))*(Q237/sref)^(Parametros!$B$13-1))),DEGREES(ATAN(TAN(RADIANS(Parametros!$E$14-omega*e_base))*(Q237/sref)^(Parametros!$B$14-1))),DEGREES(ATAN(TAN(RADIANS(Parametros!$E$15-omega*e_base))*(Q237/sref)^(Parametros!$B$15-1))),DEGREES(ATAN(TAN(RADIANS(Parametros!$E$16-omega*e_base))*(Q237/sref)^(Parametros!$B$16-1))))</f>
        <v/>
      </c>
      <c r="T237" t="n">
        <v>6.933846153846154</v>
      </c>
      <c r="U237">
        <f>T237*TAN(RADIANS(MIN(DEGREES(ATAN(TAN(RADIANS(Parametros!$E$12-omega*e_base))*(T237/sref)^(Parametros!$B$12-1))),DEGREES(ATAN(TAN(RADIANS(Parametros!$E$13-omega*e_base))*(T237/sref)^(Parametros!$B$13-1))),DEGREES(ATAN(TAN(RADIANS(Parametros!$E$14-omega*e_base))*(T237/sref)^(Parametros!$B$14-1))),DEGREES(ATAN(TAN(RADIANS(Parametros!$E$15-omega*e_base))*(T237/sref)^(Parametros!$B$15-1))),DEGREES(ATAN(TAN(RADIANS(Parametros!$E$16-omega*e_base))*(T237/sref)^(Parametros!$B$16-1))))))</f>
        <v/>
      </c>
      <c r="BE237">
        <f>Base_mundial!C236</f>
        <v/>
      </c>
      <c r="BF237">
        <f>Base_mundial!E236-omega*(e_base-Base_mundial!B236)</f>
        <v/>
      </c>
      <c r="BG237">
        <f>BE237*TAN(RADIANS(BF237))</f>
        <v/>
      </c>
    </row>
    <row r="238">
      <c r="Q238" t="n">
        <v>2.069074413208569</v>
      </c>
      <c r="R238">
        <f>MAX(DEGREES(ATAN(TAN(RADIANS(Parametros!$F$12-omega*e_base))*(Q238/sref)^(Parametros!$B$12-1))),DEGREES(ATAN(TAN(RADIANS(Parametros!$F$13-omega*e_base))*(Q238/sref)^(Parametros!$B$13-1))),DEGREES(ATAN(TAN(RADIANS(Parametros!$F$14-omega*e_base))*(Q238/sref)^(Parametros!$B$14-1))),DEGREES(ATAN(TAN(RADIANS(Parametros!$F$15-omega*e_base))*(Q238/sref)^(Parametros!$B$15-1))),DEGREES(ATAN(TAN(RADIANS(Parametros!$F$16-omega*e_base))*(Q238/sref)^(Parametros!$B$16-1))))</f>
        <v/>
      </c>
      <c r="T238" t="n">
        <v>6.933846153846154</v>
      </c>
      <c r="U238">
        <f>T238*TAN(RADIANS(MAX(DEGREES(ATAN(TAN(RADIANS(Parametros!$F$12-omega*e_base))*(T238/sref)^(Parametros!$B$12-1))),DEGREES(ATAN(TAN(RADIANS(Parametros!$F$13-omega*e_base))*(T238/sref)^(Parametros!$B$13-1))),DEGREES(ATAN(TAN(RADIANS(Parametros!$F$14-omega*e_base))*(T238/sref)^(Parametros!$B$14-1))),DEGREES(ATAN(TAN(RADIANS(Parametros!$F$15-omega*e_base))*(T238/sref)^(Parametros!$B$15-1))),DEGREES(ATAN(TAN(RADIANS(Parametros!$F$16-omega*e_base))*(T238/sref)^(Parametros!$B$16-1))))))</f>
        <v/>
      </c>
      <c r="BE238">
        <f>Base_mundial!C237</f>
        <v/>
      </c>
      <c r="BF238">
        <f>Base_mundial!E237-omega*(e_base-Base_mundial!B237)</f>
        <v/>
      </c>
      <c r="BG238">
        <f>BE238*TAN(RADIANS(BF238))</f>
        <v/>
      </c>
    </row>
    <row r="239">
      <c r="BE239">
        <f>Base_mundial!C238</f>
        <v/>
      </c>
      <c r="BF239">
        <f>Base_mundial!E238-omega*(e_base-Base_mundial!B238)</f>
        <v/>
      </c>
      <c r="BG239">
        <f>BE239*TAN(RADIANS(BF239))</f>
        <v/>
      </c>
    </row>
    <row r="240">
      <c r="Q240" t="n">
        <v>2.151022903278459</v>
      </c>
      <c r="R240">
        <f>MIN(DEGREES(ATAN(TAN(RADIANS(Parametros!$E$12-omega*e_base))*(Q240/sref)^(Parametros!$B$12-1))),DEGREES(ATAN(TAN(RADIANS(Parametros!$E$13-omega*e_base))*(Q240/sref)^(Parametros!$B$13-1))),DEGREES(ATAN(TAN(RADIANS(Parametros!$E$14-omega*e_base))*(Q240/sref)^(Parametros!$B$14-1))),DEGREES(ATAN(TAN(RADIANS(Parametros!$E$15-omega*e_base))*(Q240/sref)^(Parametros!$B$15-1))),DEGREES(ATAN(TAN(RADIANS(Parametros!$E$16-omega*e_base))*(Q240/sref)^(Parametros!$B$16-1))))</f>
        <v/>
      </c>
      <c r="T240" t="n">
        <v>7.022485207100591</v>
      </c>
      <c r="U240">
        <f>T240*TAN(RADIANS(MIN(DEGREES(ATAN(TAN(RADIANS(Parametros!$E$12-omega*e_base))*(T240/sref)^(Parametros!$B$12-1))),DEGREES(ATAN(TAN(RADIANS(Parametros!$E$13-omega*e_base))*(T240/sref)^(Parametros!$B$13-1))),DEGREES(ATAN(TAN(RADIANS(Parametros!$E$14-omega*e_base))*(T240/sref)^(Parametros!$B$14-1))),DEGREES(ATAN(TAN(RADIANS(Parametros!$E$15-omega*e_base))*(T240/sref)^(Parametros!$B$15-1))),DEGREES(ATAN(TAN(RADIANS(Parametros!$E$16-omega*e_base))*(T240/sref)^(Parametros!$B$16-1))))))</f>
        <v/>
      </c>
      <c r="BE240">
        <f>Base_mundial!C239</f>
        <v/>
      </c>
      <c r="BF240">
        <f>Base_mundial!E239-omega*(e_base-Base_mundial!B239)</f>
        <v/>
      </c>
      <c r="BG240">
        <f>BE240*TAN(RADIANS(BF240))</f>
        <v/>
      </c>
    </row>
    <row r="241">
      <c r="Q241" t="n">
        <v>2.151022903278459</v>
      </c>
      <c r="R241">
        <f>MAX(DEGREES(ATAN(TAN(RADIANS(Parametros!$F$12-omega*e_base))*(Q241/sref)^(Parametros!$B$12-1))),DEGREES(ATAN(TAN(RADIANS(Parametros!$F$13-omega*e_base))*(Q241/sref)^(Parametros!$B$13-1))),DEGREES(ATAN(TAN(RADIANS(Parametros!$F$14-omega*e_base))*(Q241/sref)^(Parametros!$B$14-1))),DEGREES(ATAN(TAN(RADIANS(Parametros!$F$15-omega*e_base))*(Q241/sref)^(Parametros!$B$15-1))),DEGREES(ATAN(TAN(RADIANS(Parametros!$F$16-omega*e_base))*(Q241/sref)^(Parametros!$B$16-1))))</f>
        <v/>
      </c>
      <c r="T241" t="n">
        <v>7.022485207100591</v>
      </c>
      <c r="U241">
        <f>T241*TAN(RADIANS(MAX(DEGREES(ATAN(TAN(RADIANS(Parametros!$F$12-omega*e_base))*(T241/sref)^(Parametros!$B$12-1))),DEGREES(ATAN(TAN(RADIANS(Parametros!$F$13-omega*e_base))*(T241/sref)^(Parametros!$B$13-1))),DEGREES(ATAN(TAN(RADIANS(Parametros!$F$14-omega*e_base))*(T241/sref)^(Parametros!$B$14-1))),DEGREES(ATAN(TAN(RADIANS(Parametros!$F$15-omega*e_base))*(T241/sref)^(Parametros!$B$15-1))),DEGREES(ATAN(TAN(RADIANS(Parametros!$F$16-omega*e_base))*(T241/sref)^(Parametros!$B$16-1))))))</f>
        <v/>
      </c>
      <c r="BE241">
        <f>Base_mundial!C240</f>
        <v/>
      </c>
      <c r="BF241">
        <f>Base_mundial!E240-omega*(e_base-Base_mundial!B240)</f>
        <v/>
      </c>
      <c r="BG241">
        <f>BE241*TAN(RADIANS(BF241))</f>
        <v/>
      </c>
    </row>
    <row r="242">
      <c r="BE242">
        <f>Base_mundial!C241</f>
        <v/>
      </c>
      <c r="BF242">
        <f>Base_mundial!E241-omega*(e_base-Base_mundial!B241)</f>
        <v/>
      </c>
      <c r="BG242">
        <f>BE242*TAN(RADIANS(BF242))</f>
        <v/>
      </c>
    </row>
    <row r="243">
      <c r="Q243" t="n">
        <v>2.236217074113555</v>
      </c>
      <c r="R243">
        <f>MIN(DEGREES(ATAN(TAN(RADIANS(Parametros!$E$12-omega*e_base))*(Q243/sref)^(Parametros!$B$12-1))),DEGREES(ATAN(TAN(RADIANS(Parametros!$E$13-omega*e_base))*(Q243/sref)^(Parametros!$B$13-1))),DEGREES(ATAN(TAN(RADIANS(Parametros!$E$14-omega*e_base))*(Q243/sref)^(Parametros!$B$14-1))),DEGREES(ATAN(TAN(RADIANS(Parametros!$E$15-omega*e_base))*(Q243/sref)^(Parametros!$B$15-1))),DEGREES(ATAN(TAN(RADIANS(Parametros!$E$16-omega*e_base))*(Q243/sref)^(Parametros!$B$16-1))))</f>
        <v/>
      </c>
      <c r="T243" t="n">
        <v>7.111124260355029</v>
      </c>
      <c r="U243">
        <f>T243*TAN(RADIANS(MIN(DEGREES(ATAN(TAN(RADIANS(Parametros!$E$12-omega*e_base))*(T243/sref)^(Parametros!$B$12-1))),DEGREES(ATAN(TAN(RADIANS(Parametros!$E$13-omega*e_base))*(T243/sref)^(Parametros!$B$13-1))),DEGREES(ATAN(TAN(RADIANS(Parametros!$E$14-omega*e_base))*(T243/sref)^(Parametros!$B$14-1))),DEGREES(ATAN(TAN(RADIANS(Parametros!$E$15-omega*e_base))*(T243/sref)^(Parametros!$B$15-1))),DEGREES(ATAN(TAN(RADIANS(Parametros!$E$16-omega*e_base))*(T243/sref)^(Parametros!$B$16-1))))))</f>
        <v/>
      </c>
      <c r="BE243">
        <f>Base_mundial!C242</f>
        <v/>
      </c>
      <c r="BF243">
        <f>Base_mundial!E242-omega*(e_base-Base_mundial!B242)</f>
        <v/>
      </c>
      <c r="BG243">
        <f>BE243*TAN(RADIANS(BF243))</f>
        <v/>
      </c>
    </row>
    <row r="244">
      <c r="Q244" t="n">
        <v>2.236217074113555</v>
      </c>
      <c r="R244">
        <f>MAX(DEGREES(ATAN(TAN(RADIANS(Parametros!$F$12-omega*e_base))*(Q244/sref)^(Parametros!$B$12-1))),DEGREES(ATAN(TAN(RADIANS(Parametros!$F$13-omega*e_base))*(Q244/sref)^(Parametros!$B$13-1))),DEGREES(ATAN(TAN(RADIANS(Parametros!$F$14-omega*e_base))*(Q244/sref)^(Parametros!$B$14-1))),DEGREES(ATAN(TAN(RADIANS(Parametros!$F$15-omega*e_base))*(Q244/sref)^(Parametros!$B$15-1))),DEGREES(ATAN(TAN(RADIANS(Parametros!$F$16-omega*e_base))*(Q244/sref)^(Parametros!$B$16-1))))</f>
        <v/>
      </c>
      <c r="T244" t="n">
        <v>7.111124260355029</v>
      </c>
      <c r="U244">
        <f>T244*TAN(RADIANS(MAX(DEGREES(ATAN(TAN(RADIANS(Parametros!$F$12-omega*e_base))*(T244/sref)^(Parametros!$B$12-1))),DEGREES(ATAN(TAN(RADIANS(Parametros!$F$13-omega*e_base))*(T244/sref)^(Parametros!$B$13-1))),DEGREES(ATAN(TAN(RADIANS(Parametros!$F$14-omega*e_base))*(T244/sref)^(Parametros!$B$14-1))),DEGREES(ATAN(TAN(RADIANS(Parametros!$F$15-omega*e_base))*(T244/sref)^(Parametros!$B$15-1))),DEGREES(ATAN(TAN(RADIANS(Parametros!$F$16-omega*e_base))*(T244/sref)^(Parametros!$B$16-1))))))</f>
        <v/>
      </c>
      <c r="BE244">
        <f>Base_mundial!C243</f>
        <v/>
      </c>
      <c r="BF244">
        <f>Base_mundial!E243-omega*(e_base-Base_mundial!B243)</f>
        <v/>
      </c>
      <c r="BG244">
        <f>BE244*TAN(RADIANS(BF244))</f>
        <v/>
      </c>
    </row>
    <row r="245">
      <c r="BE245">
        <f>Base_mundial!C244</f>
        <v/>
      </c>
      <c r="BF245">
        <f>Base_mundial!E244-omega*(e_base-Base_mundial!B244)</f>
        <v/>
      </c>
      <c r="BG245">
        <f>BE245*TAN(RADIANS(BF245))</f>
        <v/>
      </c>
    </row>
    <row r="246">
      <c r="Q246" t="n">
        <v>2.324785475289584</v>
      </c>
      <c r="R246">
        <f>MIN(DEGREES(ATAN(TAN(RADIANS(Parametros!$E$12-omega*e_base))*(Q246/sref)^(Parametros!$B$12-1))),DEGREES(ATAN(TAN(RADIANS(Parametros!$E$13-omega*e_base))*(Q246/sref)^(Parametros!$B$13-1))),DEGREES(ATAN(TAN(RADIANS(Parametros!$E$14-omega*e_base))*(Q246/sref)^(Parametros!$B$14-1))),DEGREES(ATAN(TAN(RADIANS(Parametros!$E$15-omega*e_base))*(Q246/sref)^(Parametros!$B$15-1))),DEGREES(ATAN(TAN(RADIANS(Parametros!$E$16-omega*e_base))*(Q246/sref)^(Parametros!$B$16-1))))</f>
        <v/>
      </c>
      <c r="T246" t="n">
        <v>7.199763313609467</v>
      </c>
      <c r="U246">
        <f>T246*TAN(RADIANS(MIN(DEGREES(ATAN(TAN(RADIANS(Parametros!$E$12-omega*e_base))*(T246/sref)^(Parametros!$B$12-1))),DEGREES(ATAN(TAN(RADIANS(Parametros!$E$13-omega*e_base))*(T246/sref)^(Parametros!$B$13-1))),DEGREES(ATAN(TAN(RADIANS(Parametros!$E$14-omega*e_base))*(T246/sref)^(Parametros!$B$14-1))),DEGREES(ATAN(TAN(RADIANS(Parametros!$E$15-omega*e_base))*(T246/sref)^(Parametros!$B$15-1))),DEGREES(ATAN(TAN(RADIANS(Parametros!$E$16-omega*e_base))*(T246/sref)^(Parametros!$B$16-1))))))</f>
        <v/>
      </c>
      <c r="BE246">
        <f>Base_mundial!C245</f>
        <v/>
      </c>
      <c r="BF246">
        <f>Base_mundial!E245-omega*(e_base-Base_mundial!B245)</f>
        <v/>
      </c>
      <c r="BG246">
        <f>BE246*TAN(RADIANS(BF246))</f>
        <v/>
      </c>
    </row>
    <row r="247">
      <c r="Q247" t="n">
        <v>2.324785475289584</v>
      </c>
      <c r="R247">
        <f>MAX(DEGREES(ATAN(TAN(RADIANS(Parametros!$F$12-omega*e_base))*(Q247/sref)^(Parametros!$B$12-1))),DEGREES(ATAN(TAN(RADIANS(Parametros!$F$13-omega*e_base))*(Q247/sref)^(Parametros!$B$13-1))),DEGREES(ATAN(TAN(RADIANS(Parametros!$F$14-omega*e_base))*(Q247/sref)^(Parametros!$B$14-1))),DEGREES(ATAN(TAN(RADIANS(Parametros!$F$15-omega*e_base))*(Q247/sref)^(Parametros!$B$15-1))),DEGREES(ATAN(TAN(RADIANS(Parametros!$F$16-omega*e_base))*(Q247/sref)^(Parametros!$B$16-1))))</f>
        <v/>
      </c>
      <c r="T247" t="n">
        <v>7.199763313609467</v>
      </c>
      <c r="U247">
        <f>T247*TAN(RADIANS(MAX(DEGREES(ATAN(TAN(RADIANS(Parametros!$F$12-omega*e_base))*(T247/sref)^(Parametros!$B$12-1))),DEGREES(ATAN(TAN(RADIANS(Parametros!$F$13-omega*e_base))*(T247/sref)^(Parametros!$B$13-1))),DEGREES(ATAN(TAN(RADIANS(Parametros!$F$14-omega*e_base))*(T247/sref)^(Parametros!$B$14-1))),DEGREES(ATAN(TAN(RADIANS(Parametros!$F$15-omega*e_base))*(T247/sref)^(Parametros!$B$15-1))),DEGREES(ATAN(TAN(RADIANS(Parametros!$F$16-omega*e_base))*(T247/sref)^(Parametros!$B$16-1))))))</f>
        <v/>
      </c>
      <c r="BE247">
        <f>Base_mundial!C246</f>
        <v/>
      </c>
      <c r="BF247">
        <f>Base_mundial!E246-omega*(e_base-Base_mundial!B246)</f>
        <v/>
      </c>
      <c r="BG247">
        <f>BE247*TAN(RADIANS(BF247))</f>
        <v/>
      </c>
    </row>
    <row r="248">
      <c r="BE248">
        <f>Base_mundial!C247</f>
        <v/>
      </c>
      <c r="BF248">
        <f>Base_mundial!E247-omega*(e_base-Base_mundial!B247)</f>
        <v/>
      </c>
      <c r="BG248">
        <f>BE248*TAN(RADIANS(BF248))</f>
        <v/>
      </c>
    </row>
    <row r="249">
      <c r="Q249" t="n">
        <v>2.416861747762045</v>
      </c>
      <c r="R249">
        <f>MIN(DEGREES(ATAN(TAN(RADIANS(Parametros!$E$12-omega*e_base))*(Q249/sref)^(Parametros!$B$12-1))),DEGREES(ATAN(TAN(RADIANS(Parametros!$E$13-omega*e_base))*(Q249/sref)^(Parametros!$B$13-1))),DEGREES(ATAN(TAN(RADIANS(Parametros!$E$14-omega*e_base))*(Q249/sref)^(Parametros!$B$14-1))),DEGREES(ATAN(TAN(RADIANS(Parametros!$E$15-omega*e_base))*(Q249/sref)^(Parametros!$B$15-1))),DEGREES(ATAN(TAN(RADIANS(Parametros!$E$16-omega*e_base))*(Q249/sref)^(Parametros!$B$16-1))))</f>
        <v/>
      </c>
      <c r="T249" t="n">
        <v>7.288402366863905</v>
      </c>
      <c r="U249">
        <f>T249*TAN(RADIANS(MIN(DEGREES(ATAN(TAN(RADIANS(Parametros!$E$12-omega*e_base))*(T249/sref)^(Parametros!$B$12-1))),DEGREES(ATAN(TAN(RADIANS(Parametros!$E$13-omega*e_base))*(T249/sref)^(Parametros!$B$13-1))),DEGREES(ATAN(TAN(RADIANS(Parametros!$E$14-omega*e_base))*(T249/sref)^(Parametros!$B$14-1))),DEGREES(ATAN(TAN(RADIANS(Parametros!$E$15-omega*e_base))*(T249/sref)^(Parametros!$B$15-1))),DEGREES(ATAN(TAN(RADIANS(Parametros!$E$16-omega*e_base))*(T249/sref)^(Parametros!$B$16-1))))))</f>
        <v/>
      </c>
      <c r="BE249">
        <f>Base_mundial!C248</f>
        <v/>
      </c>
      <c r="BF249">
        <f>Base_mundial!E248-omega*(e_base-Base_mundial!B248)</f>
        <v/>
      </c>
      <c r="BG249">
        <f>BE249*TAN(RADIANS(BF249))</f>
        <v/>
      </c>
    </row>
    <row r="250">
      <c r="Q250" t="n">
        <v>2.416861747762045</v>
      </c>
      <c r="R250">
        <f>MAX(DEGREES(ATAN(TAN(RADIANS(Parametros!$F$12-omega*e_base))*(Q250/sref)^(Parametros!$B$12-1))),DEGREES(ATAN(TAN(RADIANS(Parametros!$F$13-omega*e_base))*(Q250/sref)^(Parametros!$B$13-1))),DEGREES(ATAN(TAN(RADIANS(Parametros!$F$14-omega*e_base))*(Q250/sref)^(Parametros!$B$14-1))),DEGREES(ATAN(TAN(RADIANS(Parametros!$F$15-omega*e_base))*(Q250/sref)^(Parametros!$B$15-1))),DEGREES(ATAN(TAN(RADIANS(Parametros!$F$16-omega*e_base))*(Q250/sref)^(Parametros!$B$16-1))))</f>
        <v/>
      </c>
      <c r="T250" t="n">
        <v>7.288402366863905</v>
      </c>
      <c r="U250">
        <f>T250*TAN(RADIANS(MAX(DEGREES(ATAN(TAN(RADIANS(Parametros!$F$12-omega*e_base))*(T250/sref)^(Parametros!$B$12-1))),DEGREES(ATAN(TAN(RADIANS(Parametros!$F$13-omega*e_base))*(T250/sref)^(Parametros!$B$13-1))),DEGREES(ATAN(TAN(RADIANS(Parametros!$F$14-omega*e_base))*(T250/sref)^(Parametros!$B$14-1))),DEGREES(ATAN(TAN(RADIANS(Parametros!$F$15-omega*e_base))*(T250/sref)^(Parametros!$B$15-1))),DEGREES(ATAN(TAN(RADIANS(Parametros!$F$16-omega*e_base))*(T250/sref)^(Parametros!$B$16-1))))))</f>
        <v/>
      </c>
      <c r="BE250">
        <f>Base_mundial!C249</f>
        <v/>
      </c>
      <c r="BF250">
        <f>Base_mundial!E249-omega*(e_base-Base_mundial!B249)</f>
        <v/>
      </c>
      <c r="BG250">
        <f>BE250*TAN(RADIANS(BF250))</f>
        <v/>
      </c>
    </row>
    <row r="251">
      <c r="BE251">
        <f>Base_mundial!C250</f>
        <v/>
      </c>
      <c r="BF251">
        <f>Base_mundial!E250-omega*(e_base-Base_mundial!B250)</f>
        <v/>
      </c>
      <c r="BG251">
        <f>BE251*TAN(RADIANS(BF251))</f>
        <v/>
      </c>
    </row>
    <row r="252">
      <c r="Q252" t="n">
        <v>2.512584825517204</v>
      </c>
      <c r="R252">
        <f>MIN(DEGREES(ATAN(TAN(RADIANS(Parametros!$E$12-omega*e_base))*(Q252/sref)^(Parametros!$B$12-1))),DEGREES(ATAN(TAN(RADIANS(Parametros!$E$13-omega*e_base))*(Q252/sref)^(Parametros!$B$13-1))),DEGREES(ATAN(TAN(RADIANS(Parametros!$E$14-omega*e_base))*(Q252/sref)^(Parametros!$B$14-1))),DEGREES(ATAN(TAN(RADIANS(Parametros!$E$15-omega*e_base))*(Q252/sref)^(Parametros!$B$15-1))),DEGREES(ATAN(TAN(RADIANS(Parametros!$E$16-omega*e_base))*(Q252/sref)^(Parametros!$B$16-1))))</f>
        <v/>
      </c>
      <c r="T252" t="n">
        <v>7.377041420118343</v>
      </c>
      <c r="U252">
        <f>T252*TAN(RADIANS(MIN(DEGREES(ATAN(TAN(RADIANS(Parametros!$E$12-omega*e_base))*(T252/sref)^(Parametros!$B$12-1))),DEGREES(ATAN(TAN(RADIANS(Parametros!$E$13-omega*e_base))*(T252/sref)^(Parametros!$B$13-1))),DEGREES(ATAN(TAN(RADIANS(Parametros!$E$14-omega*e_base))*(T252/sref)^(Parametros!$B$14-1))),DEGREES(ATAN(TAN(RADIANS(Parametros!$E$15-omega*e_base))*(T252/sref)^(Parametros!$B$15-1))),DEGREES(ATAN(TAN(RADIANS(Parametros!$E$16-omega*e_base))*(T252/sref)^(Parametros!$B$16-1))))))</f>
        <v/>
      </c>
      <c r="BE252">
        <f>Base_mundial!C251</f>
        <v/>
      </c>
      <c r="BF252">
        <f>Base_mundial!E251-omega*(e_base-Base_mundial!B251)</f>
        <v/>
      </c>
      <c r="BG252">
        <f>BE252*TAN(RADIANS(BF252))</f>
        <v/>
      </c>
    </row>
    <row r="253">
      <c r="Q253" t="n">
        <v>2.512584825517204</v>
      </c>
      <c r="R253">
        <f>MAX(DEGREES(ATAN(TAN(RADIANS(Parametros!$F$12-omega*e_base))*(Q253/sref)^(Parametros!$B$12-1))),DEGREES(ATAN(TAN(RADIANS(Parametros!$F$13-omega*e_base))*(Q253/sref)^(Parametros!$B$13-1))),DEGREES(ATAN(TAN(RADIANS(Parametros!$F$14-omega*e_base))*(Q253/sref)^(Parametros!$B$14-1))),DEGREES(ATAN(TAN(RADIANS(Parametros!$F$15-omega*e_base))*(Q253/sref)^(Parametros!$B$15-1))),DEGREES(ATAN(TAN(RADIANS(Parametros!$F$16-omega*e_base))*(Q253/sref)^(Parametros!$B$16-1))))</f>
        <v/>
      </c>
      <c r="T253" t="n">
        <v>7.377041420118343</v>
      </c>
      <c r="U253">
        <f>T253*TAN(RADIANS(MAX(DEGREES(ATAN(TAN(RADIANS(Parametros!$F$12-omega*e_base))*(T253/sref)^(Parametros!$B$12-1))),DEGREES(ATAN(TAN(RADIANS(Parametros!$F$13-omega*e_base))*(T253/sref)^(Parametros!$B$13-1))),DEGREES(ATAN(TAN(RADIANS(Parametros!$F$14-omega*e_base))*(T253/sref)^(Parametros!$B$14-1))),DEGREES(ATAN(TAN(RADIANS(Parametros!$F$15-omega*e_base))*(T253/sref)^(Parametros!$B$15-1))),DEGREES(ATAN(TAN(RADIANS(Parametros!$F$16-omega*e_base))*(T253/sref)^(Parametros!$B$16-1))))))</f>
        <v/>
      </c>
      <c r="BE253">
        <f>Base_mundial!C252</f>
        <v/>
      </c>
      <c r="BF253">
        <f>Base_mundial!E252-omega*(e_base-Base_mundial!B252)</f>
        <v/>
      </c>
      <c r="BG253">
        <f>BE253*TAN(RADIANS(BF253))</f>
        <v/>
      </c>
    </row>
    <row r="254">
      <c r="BE254">
        <f>Base_mundial!C253</f>
        <v/>
      </c>
      <c r="BF254">
        <f>Base_mundial!E253-omega*(e_base-Base_mundial!B253)</f>
        <v/>
      </c>
      <c r="BG254">
        <f>BE254*TAN(RADIANS(BF254))</f>
        <v/>
      </c>
    </row>
    <row r="255">
      <c r="Q255" t="n">
        <v>2.612099145209724</v>
      </c>
      <c r="R255">
        <f>MIN(DEGREES(ATAN(TAN(RADIANS(Parametros!$E$12-omega*e_base))*(Q255/sref)^(Parametros!$B$12-1))),DEGREES(ATAN(TAN(RADIANS(Parametros!$E$13-omega*e_base))*(Q255/sref)^(Parametros!$B$13-1))),DEGREES(ATAN(TAN(RADIANS(Parametros!$E$14-omega*e_base))*(Q255/sref)^(Parametros!$B$14-1))),DEGREES(ATAN(TAN(RADIANS(Parametros!$E$15-omega*e_base))*(Q255/sref)^(Parametros!$B$15-1))),DEGREES(ATAN(TAN(RADIANS(Parametros!$E$16-omega*e_base))*(Q255/sref)^(Parametros!$B$16-1))))</f>
        <v/>
      </c>
      <c r="T255" t="n">
        <v>7.465680473372781</v>
      </c>
      <c r="U255">
        <f>T255*TAN(RADIANS(MIN(DEGREES(ATAN(TAN(RADIANS(Parametros!$E$12-omega*e_base))*(T255/sref)^(Parametros!$B$12-1))),DEGREES(ATAN(TAN(RADIANS(Parametros!$E$13-omega*e_base))*(T255/sref)^(Parametros!$B$13-1))),DEGREES(ATAN(TAN(RADIANS(Parametros!$E$14-omega*e_base))*(T255/sref)^(Parametros!$B$14-1))),DEGREES(ATAN(TAN(RADIANS(Parametros!$E$15-omega*e_base))*(T255/sref)^(Parametros!$B$15-1))),DEGREES(ATAN(TAN(RADIANS(Parametros!$E$16-omega*e_base))*(T255/sref)^(Parametros!$B$16-1))))))</f>
        <v/>
      </c>
      <c r="BE255">
        <f>Base_mundial!C254</f>
        <v/>
      </c>
      <c r="BF255">
        <f>Base_mundial!E254-omega*(e_base-Base_mundial!B254)</f>
        <v/>
      </c>
      <c r="BG255">
        <f>BE255*TAN(RADIANS(BF255))</f>
        <v/>
      </c>
    </row>
    <row r="256">
      <c r="Q256" t="n">
        <v>2.612099145209724</v>
      </c>
      <c r="R256">
        <f>MAX(DEGREES(ATAN(TAN(RADIANS(Parametros!$F$12-omega*e_base))*(Q256/sref)^(Parametros!$B$12-1))),DEGREES(ATAN(TAN(RADIANS(Parametros!$F$13-omega*e_base))*(Q256/sref)^(Parametros!$B$13-1))),DEGREES(ATAN(TAN(RADIANS(Parametros!$F$14-omega*e_base))*(Q256/sref)^(Parametros!$B$14-1))),DEGREES(ATAN(TAN(RADIANS(Parametros!$F$15-omega*e_base))*(Q256/sref)^(Parametros!$B$15-1))),DEGREES(ATAN(TAN(RADIANS(Parametros!$F$16-omega*e_base))*(Q256/sref)^(Parametros!$B$16-1))))</f>
        <v/>
      </c>
      <c r="T256" t="n">
        <v>7.465680473372781</v>
      </c>
      <c r="U256">
        <f>T256*TAN(RADIANS(MAX(DEGREES(ATAN(TAN(RADIANS(Parametros!$F$12-omega*e_base))*(T256/sref)^(Parametros!$B$12-1))),DEGREES(ATAN(TAN(RADIANS(Parametros!$F$13-omega*e_base))*(T256/sref)^(Parametros!$B$13-1))),DEGREES(ATAN(TAN(RADIANS(Parametros!$F$14-omega*e_base))*(T256/sref)^(Parametros!$B$14-1))),DEGREES(ATAN(TAN(RADIANS(Parametros!$F$15-omega*e_base))*(T256/sref)^(Parametros!$B$15-1))),DEGREES(ATAN(TAN(RADIANS(Parametros!$F$16-omega*e_base))*(T256/sref)^(Parametros!$B$16-1))))))</f>
        <v/>
      </c>
      <c r="BE256">
        <f>Base_mundial!C255</f>
        <v/>
      </c>
      <c r="BF256">
        <f>Base_mundial!E255-omega*(e_base-Base_mundial!B255)</f>
        <v/>
      </c>
      <c r="BG256">
        <f>BE256*TAN(RADIANS(BF256))</f>
        <v/>
      </c>
    </row>
    <row r="257">
      <c r="BE257">
        <f>Base_mundial!C256</f>
        <v/>
      </c>
      <c r="BF257">
        <f>Base_mundial!E256-omega*(e_base-Base_mundial!B256)</f>
        <v/>
      </c>
      <c r="BG257">
        <f>BE257*TAN(RADIANS(BF257))</f>
        <v/>
      </c>
    </row>
    <row r="258">
      <c r="Q258" t="n">
        <v>2.715554864103295</v>
      </c>
      <c r="R258">
        <f>MIN(DEGREES(ATAN(TAN(RADIANS(Parametros!$E$12-omega*e_base))*(Q258/sref)^(Parametros!$B$12-1))),DEGREES(ATAN(TAN(RADIANS(Parametros!$E$13-omega*e_base))*(Q258/sref)^(Parametros!$B$13-1))),DEGREES(ATAN(TAN(RADIANS(Parametros!$E$14-omega*e_base))*(Q258/sref)^(Parametros!$B$14-1))),DEGREES(ATAN(TAN(RADIANS(Parametros!$E$15-omega*e_base))*(Q258/sref)^(Parametros!$B$15-1))),DEGREES(ATAN(TAN(RADIANS(Parametros!$E$16-omega*e_base))*(Q258/sref)^(Parametros!$B$16-1))))</f>
        <v/>
      </c>
      <c r="T258" t="n">
        <v>7.554319526627219</v>
      </c>
      <c r="U258">
        <f>T258*TAN(RADIANS(MIN(DEGREES(ATAN(TAN(RADIANS(Parametros!$E$12-omega*e_base))*(T258/sref)^(Parametros!$B$12-1))),DEGREES(ATAN(TAN(RADIANS(Parametros!$E$13-omega*e_base))*(T258/sref)^(Parametros!$B$13-1))),DEGREES(ATAN(TAN(RADIANS(Parametros!$E$14-omega*e_base))*(T258/sref)^(Parametros!$B$14-1))),DEGREES(ATAN(TAN(RADIANS(Parametros!$E$15-omega*e_base))*(T258/sref)^(Parametros!$B$15-1))),DEGREES(ATAN(TAN(RADIANS(Parametros!$E$16-omega*e_base))*(T258/sref)^(Parametros!$B$16-1))))))</f>
        <v/>
      </c>
      <c r="BE258">
        <f>Base_mundial!C257</f>
        <v/>
      </c>
      <c r="BF258">
        <f>Base_mundial!E257-omega*(e_base-Base_mundial!B257)</f>
        <v/>
      </c>
      <c r="BG258">
        <f>BE258*TAN(RADIANS(BF258))</f>
        <v/>
      </c>
    </row>
    <row r="259">
      <c r="Q259" t="n">
        <v>2.715554864103295</v>
      </c>
      <c r="R259">
        <f>MAX(DEGREES(ATAN(TAN(RADIANS(Parametros!$F$12-omega*e_base))*(Q259/sref)^(Parametros!$B$12-1))),DEGREES(ATAN(TAN(RADIANS(Parametros!$F$13-omega*e_base))*(Q259/sref)^(Parametros!$B$13-1))),DEGREES(ATAN(TAN(RADIANS(Parametros!$F$14-omega*e_base))*(Q259/sref)^(Parametros!$B$14-1))),DEGREES(ATAN(TAN(RADIANS(Parametros!$F$15-omega*e_base))*(Q259/sref)^(Parametros!$B$15-1))),DEGREES(ATAN(TAN(RADIANS(Parametros!$F$16-omega*e_base))*(Q259/sref)^(Parametros!$B$16-1))))</f>
        <v/>
      </c>
      <c r="T259" t="n">
        <v>7.554319526627219</v>
      </c>
      <c r="U259">
        <f>T259*TAN(RADIANS(MAX(DEGREES(ATAN(TAN(RADIANS(Parametros!$F$12-omega*e_base))*(T259/sref)^(Parametros!$B$12-1))),DEGREES(ATAN(TAN(RADIANS(Parametros!$F$13-omega*e_base))*(T259/sref)^(Parametros!$B$13-1))),DEGREES(ATAN(TAN(RADIANS(Parametros!$F$14-omega*e_base))*(T259/sref)^(Parametros!$B$14-1))),DEGREES(ATAN(TAN(RADIANS(Parametros!$F$15-omega*e_base))*(T259/sref)^(Parametros!$B$15-1))),DEGREES(ATAN(TAN(RADIANS(Parametros!$F$16-omega*e_base))*(T259/sref)^(Parametros!$B$16-1))))))</f>
        <v/>
      </c>
      <c r="BE259">
        <f>Base_mundial!C258</f>
        <v/>
      </c>
      <c r="BF259">
        <f>Base_mundial!E258-omega*(e_base-Base_mundial!B258)</f>
        <v/>
      </c>
      <c r="BG259">
        <f>BE259*TAN(RADIANS(BF259))</f>
        <v/>
      </c>
    </row>
    <row r="260">
      <c r="BE260">
        <f>Base_mundial!C259</f>
        <v/>
      </c>
      <c r="BF260">
        <f>Base_mundial!E259-omega*(e_base-Base_mundial!B259)</f>
        <v/>
      </c>
      <c r="BG260">
        <f>BE260*TAN(RADIANS(BF260))</f>
        <v/>
      </c>
    </row>
    <row r="261">
      <c r="Q261" t="n">
        <v>2.823108086643085</v>
      </c>
      <c r="R261">
        <f>MIN(DEGREES(ATAN(TAN(RADIANS(Parametros!$E$12-omega*e_base))*(Q261/sref)^(Parametros!$B$12-1))),DEGREES(ATAN(TAN(RADIANS(Parametros!$E$13-omega*e_base))*(Q261/sref)^(Parametros!$B$13-1))),DEGREES(ATAN(TAN(RADIANS(Parametros!$E$14-omega*e_base))*(Q261/sref)^(Parametros!$B$14-1))),DEGREES(ATAN(TAN(RADIANS(Parametros!$E$15-omega*e_base))*(Q261/sref)^(Parametros!$B$15-1))),DEGREES(ATAN(TAN(RADIANS(Parametros!$E$16-omega*e_base))*(Q261/sref)^(Parametros!$B$16-1))))</f>
        <v/>
      </c>
      <c r="T261" t="n">
        <v>7.642958579881657</v>
      </c>
      <c r="U261">
        <f>T261*TAN(RADIANS(MIN(DEGREES(ATAN(TAN(RADIANS(Parametros!$E$12-omega*e_base))*(T261/sref)^(Parametros!$B$12-1))),DEGREES(ATAN(TAN(RADIANS(Parametros!$E$13-omega*e_base))*(T261/sref)^(Parametros!$B$13-1))),DEGREES(ATAN(TAN(RADIANS(Parametros!$E$14-omega*e_base))*(T261/sref)^(Parametros!$B$14-1))),DEGREES(ATAN(TAN(RADIANS(Parametros!$E$15-omega*e_base))*(T261/sref)^(Parametros!$B$15-1))),DEGREES(ATAN(TAN(RADIANS(Parametros!$E$16-omega*e_base))*(T261/sref)^(Parametros!$B$16-1))))))</f>
        <v/>
      </c>
      <c r="BE261">
        <f>Base_mundial!C260</f>
        <v/>
      </c>
      <c r="BF261">
        <f>Base_mundial!E260-omega*(e_base-Base_mundial!B260)</f>
        <v/>
      </c>
      <c r="BG261">
        <f>BE261*TAN(RADIANS(BF261))</f>
        <v/>
      </c>
    </row>
    <row r="262">
      <c r="Q262" t="n">
        <v>2.823108086643085</v>
      </c>
      <c r="R262">
        <f>MAX(DEGREES(ATAN(TAN(RADIANS(Parametros!$F$12-omega*e_base))*(Q262/sref)^(Parametros!$B$12-1))),DEGREES(ATAN(TAN(RADIANS(Parametros!$F$13-omega*e_base))*(Q262/sref)^(Parametros!$B$13-1))),DEGREES(ATAN(TAN(RADIANS(Parametros!$F$14-omega*e_base))*(Q262/sref)^(Parametros!$B$14-1))),DEGREES(ATAN(TAN(RADIANS(Parametros!$F$15-omega*e_base))*(Q262/sref)^(Parametros!$B$15-1))),DEGREES(ATAN(TAN(RADIANS(Parametros!$F$16-omega*e_base))*(Q262/sref)^(Parametros!$B$16-1))))</f>
        <v/>
      </c>
      <c r="T262" t="n">
        <v>7.642958579881657</v>
      </c>
      <c r="U262">
        <f>T262*TAN(RADIANS(MAX(DEGREES(ATAN(TAN(RADIANS(Parametros!$F$12-omega*e_base))*(T262/sref)^(Parametros!$B$12-1))),DEGREES(ATAN(TAN(RADIANS(Parametros!$F$13-omega*e_base))*(T262/sref)^(Parametros!$B$13-1))),DEGREES(ATAN(TAN(RADIANS(Parametros!$F$14-omega*e_base))*(T262/sref)^(Parametros!$B$14-1))),DEGREES(ATAN(TAN(RADIANS(Parametros!$F$15-omega*e_base))*(T262/sref)^(Parametros!$B$15-1))),DEGREES(ATAN(TAN(RADIANS(Parametros!$F$16-omega*e_base))*(T262/sref)^(Parametros!$B$16-1))))))</f>
        <v/>
      </c>
      <c r="BE262">
        <f>Base_mundial!C261</f>
        <v/>
      </c>
      <c r="BF262">
        <f>Base_mundial!E261-omega*(e_base-Base_mundial!B261)</f>
        <v/>
      </c>
      <c r="BG262">
        <f>BE262*TAN(RADIANS(BF262))</f>
        <v/>
      </c>
    </row>
    <row r="263">
      <c r="BE263">
        <f>Base_mundial!C262</f>
        <v/>
      </c>
      <c r="BF263">
        <f>Base_mundial!E262-omega*(e_base-Base_mundial!B262)</f>
        <v/>
      </c>
      <c r="BG263">
        <f>BE263*TAN(RADIANS(BF263))</f>
        <v/>
      </c>
    </row>
    <row r="264">
      <c r="Q264" t="n">
        <v>2.934921100001912</v>
      </c>
      <c r="R264">
        <f>MIN(DEGREES(ATAN(TAN(RADIANS(Parametros!$E$12-omega*e_base))*(Q264/sref)^(Parametros!$B$12-1))),DEGREES(ATAN(TAN(RADIANS(Parametros!$E$13-omega*e_base))*(Q264/sref)^(Parametros!$B$13-1))),DEGREES(ATAN(TAN(RADIANS(Parametros!$E$14-omega*e_base))*(Q264/sref)^(Parametros!$B$14-1))),DEGREES(ATAN(TAN(RADIANS(Parametros!$E$15-omega*e_base))*(Q264/sref)^(Parametros!$B$15-1))),DEGREES(ATAN(TAN(RADIANS(Parametros!$E$16-omega*e_base))*(Q264/sref)^(Parametros!$B$16-1))))</f>
        <v/>
      </c>
      <c r="T264" t="n">
        <v>7.731597633136094</v>
      </c>
      <c r="U264">
        <f>T264*TAN(RADIANS(MIN(DEGREES(ATAN(TAN(RADIANS(Parametros!$E$12-omega*e_base))*(T264/sref)^(Parametros!$B$12-1))),DEGREES(ATAN(TAN(RADIANS(Parametros!$E$13-omega*e_base))*(T264/sref)^(Parametros!$B$13-1))),DEGREES(ATAN(TAN(RADIANS(Parametros!$E$14-omega*e_base))*(T264/sref)^(Parametros!$B$14-1))),DEGREES(ATAN(TAN(RADIANS(Parametros!$E$15-omega*e_base))*(T264/sref)^(Parametros!$B$15-1))),DEGREES(ATAN(TAN(RADIANS(Parametros!$E$16-omega*e_base))*(T264/sref)^(Parametros!$B$16-1))))))</f>
        <v/>
      </c>
      <c r="BE264">
        <f>Base_mundial!C263</f>
        <v/>
      </c>
      <c r="BF264">
        <f>Base_mundial!E263-omega*(e_base-Base_mundial!B263)</f>
        <v/>
      </c>
      <c r="BG264">
        <f>BE264*TAN(RADIANS(BF264))</f>
        <v/>
      </c>
    </row>
    <row r="265">
      <c r="Q265" t="n">
        <v>2.934921100001912</v>
      </c>
      <c r="R265">
        <f>MAX(DEGREES(ATAN(TAN(RADIANS(Parametros!$F$12-omega*e_base))*(Q265/sref)^(Parametros!$B$12-1))),DEGREES(ATAN(TAN(RADIANS(Parametros!$F$13-omega*e_base))*(Q265/sref)^(Parametros!$B$13-1))),DEGREES(ATAN(TAN(RADIANS(Parametros!$F$14-omega*e_base))*(Q265/sref)^(Parametros!$B$14-1))),DEGREES(ATAN(TAN(RADIANS(Parametros!$F$15-omega*e_base))*(Q265/sref)^(Parametros!$B$15-1))),DEGREES(ATAN(TAN(RADIANS(Parametros!$F$16-omega*e_base))*(Q265/sref)^(Parametros!$B$16-1))))</f>
        <v/>
      </c>
      <c r="T265" t="n">
        <v>7.731597633136094</v>
      </c>
      <c r="U265">
        <f>T265*TAN(RADIANS(MAX(DEGREES(ATAN(TAN(RADIANS(Parametros!$F$12-omega*e_base))*(T265/sref)^(Parametros!$B$12-1))),DEGREES(ATAN(TAN(RADIANS(Parametros!$F$13-omega*e_base))*(T265/sref)^(Parametros!$B$13-1))),DEGREES(ATAN(TAN(RADIANS(Parametros!$F$14-omega*e_base))*(T265/sref)^(Parametros!$B$14-1))),DEGREES(ATAN(TAN(RADIANS(Parametros!$F$15-omega*e_base))*(T265/sref)^(Parametros!$B$15-1))),DEGREES(ATAN(TAN(RADIANS(Parametros!$F$16-omega*e_base))*(T265/sref)^(Parametros!$B$16-1))))))</f>
        <v/>
      </c>
      <c r="BE265">
        <f>Base_mundial!C264</f>
        <v/>
      </c>
      <c r="BF265">
        <f>Base_mundial!E264-omega*(e_base-Base_mundial!B264)</f>
        <v/>
      </c>
      <c r="BG265">
        <f>BE265*TAN(RADIANS(BF265))</f>
        <v/>
      </c>
    </row>
    <row r="266">
      <c r="BE266">
        <f>Base_mundial!C265</f>
        <v/>
      </c>
      <c r="BF266">
        <f>Base_mundial!E265-omega*(e_base-Base_mundial!B265)</f>
        <v/>
      </c>
      <c r="BG266">
        <f>BE266*TAN(RADIANS(BF266))</f>
        <v/>
      </c>
    </row>
    <row r="267">
      <c r="Q267" t="n">
        <v>3.051162618955522</v>
      </c>
      <c r="R267">
        <f>MIN(DEGREES(ATAN(TAN(RADIANS(Parametros!$E$12-omega*e_base))*(Q267/sref)^(Parametros!$B$12-1))),DEGREES(ATAN(TAN(RADIANS(Parametros!$E$13-omega*e_base))*(Q267/sref)^(Parametros!$B$13-1))),DEGREES(ATAN(TAN(RADIANS(Parametros!$E$14-omega*e_base))*(Q267/sref)^(Parametros!$B$14-1))),DEGREES(ATAN(TAN(RADIANS(Parametros!$E$15-omega*e_base))*(Q267/sref)^(Parametros!$B$15-1))),DEGREES(ATAN(TAN(RADIANS(Parametros!$E$16-omega*e_base))*(Q267/sref)^(Parametros!$B$16-1))))</f>
        <v/>
      </c>
      <c r="T267" t="n">
        <v>7.820236686390532</v>
      </c>
      <c r="U267">
        <f>T267*TAN(RADIANS(MIN(DEGREES(ATAN(TAN(RADIANS(Parametros!$E$12-omega*e_base))*(T267/sref)^(Parametros!$B$12-1))),DEGREES(ATAN(TAN(RADIANS(Parametros!$E$13-omega*e_base))*(T267/sref)^(Parametros!$B$13-1))),DEGREES(ATAN(TAN(RADIANS(Parametros!$E$14-omega*e_base))*(T267/sref)^(Parametros!$B$14-1))),DEGREES(ATAN(TAN(RADIANS(Parametros!$E$15-omega*e_base))*(T267/sref)^(Parametros!$B$15-1))),DEGREES(ATAN(TAN(RADIANS(Parametros!$E$16-omega*e_base))*(T267/sref)^(Parametros!$B$16-1))))))</f>
        <v/>
      </c>
      <c r="BE267">
        <f>Base_mundial!C266</f>
        <v/>
      </c>
      <c r="BF267">
        <f>Base_mundial!E266-omega*(e_base-Base_mundial!B266)</f>
        <v/>
      </c>
      <c r="BG267">
        <f>BE267*TAN(RADIANS(BF267))</f>
        <v/>
      </c>
    </row>
    <row r="268">
      <c r="Q268" t="n">
        <v>3.051162618955522</v>
      </c>
      <c r="R268">
        <f>MAX(DEGREES(ATAN(TAN(RADIANS(Parametros!$F$12-omega*e_base))*(Q268/sref)^(Parametros!$B$12-1))),DEGREES(ATAN(TAN(RADIANS(Parametros!$F$13-omega*e_base))*(Q268/sref)^(Parametros!$B$13-1))),DEGREES(ATAN(TAN(RADIANS(Parametros!$F$14-omega*e_base))*(Q268/sref)^(Parametros!$B$14-1))),DEGREES(ATAN(TAN(RADIANS(Parametros!$F$15-omega*e_base))*(Q268/sref)^(Parametros!$B$15-1))),DEGREES(ATAN(TAN(RADIANS(Parametros!$F$16-omega*e_base))*(Q268/sref)^(Parametros!$B$16-1))))</f>
        <v/>
      </c>
      <c r="T268" t="n">
        <v>7.820236686390532</v>
      </c>
      <c r="U268">
        <f>T268*TAN(RADIANS(MAX(DEGREES(ATAN(TAN(RADIANS(Parametros!$F$12-omega*e_base))*(T268/sref)^(Parametros!$B$12-1))),DEGREES(ATAN(TAN(RADIANS(Parametros!$F$13-omega*e_base))*(T268/sref)^(Parametros!$B$13-1))),DEGREES(ATAN(TAN(RADIANS(Parametros!$F$14-omega*e_base))*(T268/sref)^(Parametros!$B$14-1))),DEGREES(ATAN(TAN(RADIANS(Parametros!$F$15-omega*e_base))*(T268/sref)^(Parametros!$B$15-1))),DEGREES(ATAN(TAN(RADIANS(Parametros!$F$16-omega*e_base))*(T268/sref)^(Parametros!$B$16-1))))))</f>
        <v/>
      </c>
      <c r="BE268">
        <f>Base_mundial!C267</f>
        <v/>
      </c>
      <c r="BF268">
        <f>Base_mundial!E267-omega*(e_base-Base_mundial!B267)</f>
        <v/>
      </c>
      <c r="BG268">
        <f>BE268*TAN(RADIANS(BF268))</f>
        <v/>
      </c>
    </row>
    <row r="269">
      <c r="BE269">
        <f>Base_mundial!C268</f>
        <v/>
      </c>
      <c r="BF269">
        <f>Base_mundial!E268-omega*(e_base-Base_mundial!B268)</f>
        <v/>
      </c>
      <c r="BG269">
        <f>BE269*TAN(RADIANS(BF269))</f>
        <v/>
      </c>
    </row>
    <row r="270">
      <c r="Q270" t="n">
        <v>3.172008040456508</v>
      </c>
      <c r="R270">
        <f>MIN(DEGREES(ATAN(TAN(RADIANS(Parametros!$E$12-omega*e_base))*(Q270/sref)^(Parametros!$B$12-1))),DEGREES(ATAN(TAN(RADIANS(Parametros!$E$13-omega*e_base))*(Q270/sref)^(Parametros!$B$13-1))),DEGREES(ATAN(TAN(RADIANS(Parametros!$E$14-omega*e_base))*(Q270/sref)^(Parametros!$B$14-1))),DEGREES(ATAN(TAN(RADIANS(Parametros!$E$15-omega*e_base))*(Q270/sref)^(Parametros!$B$15-1))),DEGREES(ATAN(TAN(RADIANS(Parametros!$E$16-omega*e_base))*(Q270/sref)^(Parametros!$B$16-1))))</f>
        <v/>
      </c>
      <c r="T270" t="n">
        <v>7.90887573964497</v>
      </c>
      <c r="U270">
        <f>T270*TAN(RADIANS(MIN(DEGREES(ATAN(TAN(RADIANS(Parametros!$E$12-omega*e_base))*(T270/sref)^(Parametros!$B$12-1))),DEGREES(ATAN(TAN(RADIANS(Parametros!$E$13-omega*e_base))*(T270/sref)^(Parametros!$B$13-1))),DEGREES(ATAN(TAN(RADIANS(Parametros!$E$14-omega*e_base))*(T270/sref)^(Parametros!$B$14-1))),DEGREES(ATAN(TAN(RADIANS(Parametros!$E$15-omega*e_base))*(T270/sref)^(Parametros!$B$15-1))),DEGREES(ATAN(TAN(RADIANS(Parametros!$E$16-omega*e_base))*(T270/sref)^(Parametros!$B$16-1))))))</f>
        <v/>
      </c>
      <c r="BE270">
        <f>Base_mundial!C269</f>
        <v/>
      </c>
      <c r="BF270">
        <f>Base_mundial!E269-omega*(e_base-Base_mundial!B269)</f>
        <v/>
      </c>
      <c r="BG270">
        <f>BE270*TAN(RADIANS(BF270))</f>
        <v/>
      </c>
    </row>
    <row r="271">
      <c r="Q271" t="n">
        <v>3.172008040456508</v>
      </c>
      <c r="R271">
        <f>MAX(DEGREES(ATAN(TAN(RADIANS(Parametros!$F$12-omega*e_base))*(Q271/sref)^(Parametros!$B$12-1))),DEGREES(ATAN(TAN(RADIANS(Parametros!$F$13-omega*e_base))*(Q271/sref)^(Parametros!$B$13-1))),DEGREES(ATAN(TAN(RADIANS(Parametros!$F$14-omega*e_base))*(Q271/sref)^(Parametros!$B$14-1))),DEGREES(ATAN(TAN(RADIANS(Parametros!$F$15-omega*e_base))*(Q271/sref)^(Parametros!$B$15-1))),DEGREES(ATAN(TAN(RADIANS(Parametros!$F$16-omega*e_base))*(Q271/sref)^(Parametros!$B$16-1))))</f>
        <v/>
      </c>
      <c r="T271" t="n">
        <v>7.90887573964497</v>
      </c>
      <c r="U271">
        <f>T271*TAN(RADIANS(MAX(DEGREES(ATAN(TAN(RADIANS(Parametros!$F$12-omega*e_base))*(T271/sref)^(Parametros!$B$12-1))),DEGREES(ATAN(TAN(RADIANS(Parametros!$F$13-omega*e_base))*(T271/sref)^(Parametros!$B$13-1))),DEGREES(ATAN(TAN(RADIANS(Parametros!$F$14-omega*e_base))*(T271/sref)^(Parametros!$B$14-1))),DEGREES(ATAN(TAN(RADIANS(Parametros!$F$15-omega*e_base))*(T271/sref)^(Parametros!$B$15-1))),DEGREES(ATAN(TAN(RADIANS(Parametros!$F$16-omega*e_base))*(T271/sref)^(Parametros!$B$16-1))))))</f>
        <v/>
      </c>
      <c r="BE271">
        <f>Base_mundial!C270</f>
        <v/>
      </c>
      <c r="BF271">
        <f>Base_mundial!E270-omega*(e_base-Base_mundial!B270)</f>
        <v/>
      </c>
      <c r="BG271">
        <f>BE271*TAN(RADIANS(BF271))</f>
        <v/>
      </c>
    </row>
    <row r="272">
      <c r="BE272">
        <f>Base_mundial!C271</f>
        <v/>
      </c>
      <c r="BF272">
        <f>Base_mundial!E271-omega*(e_base-Base_mundial!B271)</f>
        <v/>
      </c>
      <c r="BG272">
        <f>BE272*TAN(RADIANS(BF272))</f>
        <v/>
      </c>
    </row>
    <row r="273">
      <c r="Q273" t="n">
        <v>3.297639708290947</v>
      </c>
      <c r="R273">
        <f>MIN(DEGREES(ATAN(TAN(RADIANS(Parametros!$E$12-omega*e_base))*(Q273/sref)^(Parametros!$B$12-1))),DEGREES(ATAN(TAN(RADIANS(Parametros!$E$13-omega*e_base))*(Q273/sref)^(Parametros!$B$13-1))),DEGREES(ATAN(TAN(RADIANS(Parametros!$E$14-omega*e_base))*(Q273/sref)^(Parametros!$B$14-1))),DEGREES(ATAN(TAN(RADIANS(Parametros!$E$15-omega*e_base))*(Q273/sref)^(Parametros!$B$15-1))),DEGREES(ATAN(TAN(RADIANS(Parametros!$E$16-omega*e_base))*(Q273/sref)^(Parametros!$B$16-1))))</f>
        <v/>
      </c>
      <c r="T273" t="n">
        <v>7.997514792899408</v>
      </c>
      <c r="U273">
        <f>T273*TAN(RADIANS(MIN(DEGREES(ATAN(TAN(RADIANS(Parametros!$E$12-omega*e_base))*(T273/sref)^(Parametros!$B$12-1))),DEGREES(ATAN(TAN(RADIANS(Parametros!$E$13-omega*e_base))*(T273/sref)^(Parametros!$B$13-1))),DEGREES(ATAN(TAN(RADIANS(Parametros!$E$14-omega*e_base))*(T273/sref)^(Parametros!$B$14-1))),DEGREES(ATAN(TAN(RADIANS(Parametros!$E$15-omega*e_base))*(T273/sref)^(Parametros!$B$15-1))),DEGREES(ATAN(TAN(RADIANS(Parametros!$E$16-omega*e_base))*(T273/sref)^(Parametros!$B$16-1))))))</f>
        <v/>
      </c>
      <c r="BE273">
        <f>Base_mundial!C272</f>
        <v/>
      </c>
      <c r="BF273">
        <f>Base_mundial!E272-omega*(e_base-Base_mundial!B272)</f>
        <v/>
      </c>
      <c r="BG273">
        <f>BE273*TAN(RADIANS(BF273))</f>
        <v/>
      </c>
    </row>
    <row r="274">
      <c r="Q274" t="n">
        <v>3.297639708290947</v>
      </c>
      <c r="R274">
        <f>MAX(DEGREES(ATAN(TAN(RADIANS(Parametros!$F$12-omega*e_base))*(Q274/sref)^(Parametros!$B$12-1))),DEGREES(ATAN(TAN(RADIANS(Parametros!$F$13-omega*e_base))*(Q274/sref)^(Parametros!$B$13-1))),DEGREES(ATAN(TAN(RADIANS(Parametros!$F$14-omega*e_base))*(Q274/sref)^(Parametros!$B$14-1))),DEGREES(ATAN(TAN(RADIANS(Parametros!$F$15-omega*e_base))*(Q274/sref)^(Parametros!$B$15-1))),DEGREES(ATAN(TAN(RADIANS(Parametros!$F$16-omega*e_base))*(Q274/sref)^(Parametros!$B$16-1))))</f>
        <v/>
      </c>
      <c r="T274" t="n">
        <v>7.997514792899408</v>
      </c>
      <c r="U274">
        <f>T274*TAN(RADIANS(MAX(DEGREES(ATAN(TAN(RADIANS(Parametros!$F$12-omega*e_base))*(T274/sref)^(Parametros!$B$12-1))),DEGREES(ATAN(TAN(RADIANS(Parametros!$F$13-omega*e_base))*(T274/sref)^(Parametros!$B$13-1))),DEGREES(ATAN(TAN(RADIANS(Parametros!$F$14-omega*e_base))*(T274/sref)^(Parametros!$B$14-1))),DEGREES(ATAN(TAN(RADIANS(Parametros!$F$15-omega*e_base))*(T274/sref)^(Parametros!$B$15-1))),DEGREES(ATAN(TAN(RADIANS(Parametros!$F$16-omega*e_base))*(T274/sref)^(Parametros!$B$16-1))))))</f>
        <v/>
      </c>
      <c r="BE274">
        <f>Base_mundial!C273</f>
        <v/>
      </c>
      <c r="BF274">
        <f>Base_mundial!E273-omega*(e_base-Base_mundial!B273)</f>
        <v/>
      </c>
      <c r="BG274">
        <f>BE274*TAN(RADIANS(BF274))</f>
        <v/>
      </c>
    </row>
    <row r="275">
      <c r="BE275">
        <f>Base_mundial!C274</f>
        <v/>
      </c>
      <c r="BF275">
        <f>Base_mundial!E274-omega*(e_base-Base_mundial!B274)</f>
        <v/>
      </c>
      <c r="BG275">
        <f>BE275*TAN(RADIANS(BF275))</f>
        <v/>
      </c>
    </row>
    <row r="276">
      <c r="Q276" t="n">
        <v>3.428247188217149</v>
      </c>
      <c r="R276">
        <f>MIN(DEGREES(ATAN(TAN(RADIANS(Parametros!$E$12-omega*e_base))*(Q276/sref)^(Parametros!$B$12-1))),DEGREES(ATAN(TAN(RADIANS(Parametros!$E$13-omega*e_base))*(Q276/sref)^(Parametros!$B$13-1))),DEGREES(ATAN(TAN(RADIANS(Parametros!$E$14-omega*e_base))*(Q276/sref)^(Parametros!$B$14-1))),DEGREES(ATAN(TAN(RADIANS(Parametros!$E$15-omega*e_base))*(Q276/sref)^(Parametros!$B$15-1))),DEGREES(ATAN(TAN(RADIANS(Parametros!$E$16-omega*e_base))*(Q276/sref)^(Parametros!$B$16-1))))</f>
        <v/>
      </c>
      <c r="T276" t="n">
        <v>8.086153846153845</v>
      </c>
      <c r="U276">
        <f>T276*TAN(RADIANS(MIN(DEGREES(ATAN(TAN(RADIANS(Parametros!$E$12-omega*e_base))*(T276/sref)^(Parametros!$B$12-1))),DEGREES(ATAN(TAN(RADIANS(Parametros!$E$13-omega*e_base))*(T276/sref)^(Parametros!$B$13-1))),DEGREES(ATAN(TAN(RADIANS(Parametros!$E$14-omega*e_base))*(T276/sref)^(Parametros!$B$14-1))),DEGREES(ATAN(TAN(RADIANS(Parametros!$E$15-omega*e_base))*(T276/sref)^(Parametros!$B$15-1))),DEGREES(ATAN(TAN(RADIANS(Parametros!$E$16-omega*e_base))*(T276/sref)^(Parametros!$B$16-1))))))</f>
        <v/>
      </c>
      <c r="BE276">
        <f>Base_mundial!C275</f>
        <v/>
      </c>
      <c r="BF276">
        <f>Base_mundial!E275-omega*(e_base-Base_mundial!B275)</f>
        <v/>
      </c>
      <c r="BG276">
        <f>BE276*TAN(RADIANS(BF276))</f>
        <v/>
      </c>
    </row>
    <row r="277">
      <c r="Q277" t="n">
        <v>3.428247188217149</v>
      </c>
      <c r="R277">
        <f>MAX(DEGREES(ATAN(TAN(RADIANS(Parametros!$F$12-omega*e_base))*(Q277/sref)^(Parametros!$B$12-1))),DEGREES(ATAN(TAN(RADIANS(Parametros!$F$13-omega*e_base))*(Q277/sref)^(Parametros!$B$13-1))),DEGREES(ATAN(TAN(RADIANS(Parametros!$F$14-omega*e_base))*(Q277/sref)^(Parametros!$B$14-1))),DEGREES(ATAN(TAN(RADIANS(Parametros!$F$15-omega*e_base))*(Q277/sref)^(Parametros!$B$15-1))),DEGREES(ATAN(TAN(RADIANS(Parametros!$F$16-omega*e_base))*(Q277/sref)^(Parametros!$B$16-1))))</f>
        <v/>
      </c>
      <c r="T277" t="n">
        <v>8.086153846153845</v>
      </c>
      <c r="U277">
        <f>T277*TAN(RADIANS(MAX(DEGREES(ATAN(TAN(RADIANS(Parametros!$F$12-omega*e_base))*(T277/sref)^(Parametros!$B$12-1))),DEGREES(ATAN(TAN(RADIANS(Parametros!$F$13-omega*e_base))*(T277/sref)^(Parametros!$B$13-1))),DEGREES(ATAN(TAN(RADIANS(Parametros!$F$14-omega*e_base))*(T277/sref)^(Parametros!$B$14-1))),DEGREES(ATAN(TAN(RADIANS(Parametros!$F$15-omega*e_base))*(T277/sref)^(Parametros!$B$15-1))),DEGREES(ATAN(TAN(RADIANS(Parametros!$F$16-omega*e_base))*(T277/sref)^(Parametros!$B$16-1))))))</f>
        <v/>
      </c>
      <c r="BE277">
        <f>Base_mundial!C276</f>
        <v/>
      </c>
      <c r="BF277">
        <f>Base_mundial!E276-omega*(e_base-Base_mundial!B276)</f>
        <v/>
      </c>
      <c r="BG277">
        <f>BE277*TAN(RADIANS(BF277))</f>
        <v/>
      </c>
    </row>
    <row r="278">
      <c r="BE278">
        <f>Base_mundial!C277</f>
        <v/>
      </c>
      <c r="BF278">
        <f>Base_mundial!E277-omega*(e_base-Base_mundial!B277)</f>
        <v/>
      </c>
      <c r="BG278">
        <f>BE278*TAN(RADIANS(BF278))</f>
        <v/>
      </c>
    </row>
    <row r="279">
      <c r="Q279" t="n">
        <v>3.564027554001614</v>
      </c>
      <c r="R279">
        <f>MIN(DEGREES(ATAN(TAN(RADIANS(Parametros!$E$12-omega*e_base))*(Q279/sref)^(Parametros!$B$12-1))),DEGREES(ATAN(TAN(RADIANS(Parametros!$E$13-omega*e_base))*(Q279/sref)^(Parametros!$B$13-1))),DEGREES(ATAN(TAN(RADIANS(Parametros!$E$14-omega*e_base))*(Q279/sref)^(Parametros!$B$14-1))),DEGREES(ATAN(TAN(RADIANS(Parametros!$E$15-omega*e_base))*(Q279/sref)^(Parametros!$B$15-1))),DEGREES(ATAN(TAN(RADIANS(Parametros!$E$16-omega*e_base))*(Q279/sref)^(Parametros!$B$16-1))))</f>
        <v/>
      </c>
      <c r="T279" t="n">
        <v>8.174792899408283</v>
      </c>
      <c r="U279">
        <f>T279*TAN(RADIANS(MIN(DEGREES(ATAN(TAN(RADIANS(Parametros!$E$12-omega*e_base))*(T279/sref)^(Parametros!$B$12-1))),DEGREES(ATAN(TAN(RADIANS(Parametros!$E$13-omega*e_base))*(T279/sref)^(Parametros!$B$13-1))),DEGREES(ATAN(TAN(RADIANS(Parametros!$E$14-omega*e_base))*(T279/sref)^(Parametros!$B$14-1))),DEGREES(ATAN(TAN(RADIANS(Parametros!$E$15-omega*e_base))*(T279/sref)^(Parametros!$B$15-1))),DEGREES(ATAN(TAN(RADIANS(Parametros!$E$16-omega*e_base))*(T279/sref)^(Parametros!$B$16-1))))))</f>
        <v/>
      </c>
      <c r="BE279">
        <f>Base_mundial!C278</f>
        <v/>
      </c>
      <c r="BF279">
        <f>Base_mundial!E278-omega*(e_base-Base_mundial!B278)</f>
        <v/>
      </c>
      <c r="BG279">
        <f>BE279*TAN(RADIANS(BF279))</f>
        <v/>
      </c>
    </row>
    <row r="280">
      <c r="Q280" t="n">
        <v>3.564027554001614</v>
      </c>
      <c r="R280">
        <f>MAX(DEGREES(ATAN(TAN(RADIANS(Parametros!$F$12-omega*e_base))*(Q280/sref)^(Parametros!$B$12-1))),DEGREES(ATAN(TAN(RADIANS(Parametros!$F$13-omega*e_base))*(Q280/sref)^(Parametros!$B$13-1))),DEGREES(ATAN(TAN(RADIANS(Parametros!$F$14-omega*e_base))*(Q280/sref)^(Parametros!$B$14-1))),DEGREES(ATAN(TAN(RADIANS(Parametros!$F$15-omega*e_base))*(Q280/sref)^(Parametros!$B$15-1))),DEGREES(ATAN(TAN(RADIANS(Parametros!$F$16-omega*e_base))*(Q280/sref)^(Parametros!$B$16-1))))</f>
        <v/>
      </c>
      <c r="T280" t="n">
        <v>8.174792899408283</v>
      </c>
      <c r="U280">
        <f>T280*TAN(RADIANS(MAX(DEGREES(ATAN(TAN(RADIANS(Parametros!$F$12-omega*e_base))*(T280/sref)^(Parametros!$B$12-1))),DEGREES(ATAN(TAN(RADIANS(Parametros!$F$13-omega*e_base))*(T280/sref)^(Parametros!$B$13-1))),DEGREES(ATAN(TAN(RADIANS(Parametros!$F$14-omega*e_base))*(T280/sref)^(Parametros!$B$14-1))),DEGREES(ATAN(TAN(RADIANS(Parametros!$F$15-omega*e_base))*(T280/sref)^(Parametros!$B$15-1))),DEGREES(ATAN(TAN(RADIANS(Parametros!$F$16-omega*e_base))*(T280/sref)^(Parametros!$B$16-1))))))</f>
        <v/>
      </c>
      <c r="BE280">
        <f>Base_mundial!C279</f>
        <v/>
      </c>
      <c r="BF280">
        <f>Base_mundial!E279-omega*(e_base-Base_mundial!B279)</f>
        <v/>
      </c>
      <c r="BG280">
        <f>BE280*TAN(RADIANS(BF280))</f>
        <v/>
      </c>
    </row>
    <row r="281">
      <c r="BE281">
        <f>Base_mundial!C280</f>
        <v/>
      </c>
      <c r="BF281">
        <f>Base_mundial!E280-omega*(e_base-Base_mundial!B280)</f>
        <v/>
      </c>
      <c r="BG281">
        <f>BE281*TAN(RADIANS(BF281))</f>
        <v/>
      </c>
    </row>
    <row r="282">
      <c r="Q282" t="n">
        <v>3.70518568478387</v>
      </c>
      <c r="R282">
        <f>MIN(DEGREES(ATAN(TAN(RADIANS(Parametros!$E$12-omega*e_base))*(Q282/sref)^(Parametros!$B$12-1))),DEGREES(ATAN(TAN(RADIANS(Parametros!$E$13-omega*e_base))*(Q282/sref)^(Parametros!$B$13-1))),DEGREES(ATAN(TAN(RADIANS(Parametros!$E$14-omega*e_base))*(Q282/sref)^(Parametros!$B$14-1))),DEGREES(ATAN(TAN(RADIANS(Parametros!$E$15-omega*e_base))*(Q282/sref)^(Parametros!$B$15-1))),DEGREES(ATAN(TAN(RADIANS(Parametros!$E$16-omega*e_base))*(Q282/sref)^(Parametros!$B$16-1))))</f>
        <v/>
      </c>
      <c r="T282" t="n">
        <v>8.263431952662721</v>
      </c>
      <c r="U282">
        <f>T282*TAN(RADIANS(MIN(DEGREES(ATAN(TAN(RADIANS(Parametros!$E$12-omega*e_base))*(T282/sref)^(Parametros!$B$12-1))),DEGREES(ATAN(TAN(RADIANS(Parametros!$E$13-omega*e_base))*(T282/sref)^(Parametros!$B$13-1))),DEGREES(ATAN(TAN(RADIANS(Parametros!$E$14-omega*e_base))*(T282/sref)^(Parametros!$B$14-1))),DEGREES(ATAN(TAN(RADIANS(Parametros!$E$15-omega*e_base))*(T282/sref)^(Parametros!$B$15-1))),DEGREES(ATAN(TAN(RADIANS(Parametros!$E$16-omega*e_base))*(T282/sref)^(Parametros!$B$16-1))))))</f>
        <v/>
      </c>
      <c r="BE282">
        <f>Base_mundial!C281</f>
        <v/>
      </c>
      <c r="BF282">
        <f>Base_mundial!E281-omega*(e_base-Base_mundial!B281)</f>
        <v/>
      </c>
      <c r="BG282">
        <f>BE282*TAN(RADIANS(BF282))</f>
        <v/>
      </c>
    </row>
    <row r="283">
      <c r="Q283" t="n">
        <v>3.70518568478387</v>
      </c>
      <c r="R283">
        <f>MAX(DEGREES(ATAN(TAN(RADIANS(Parametros!$F$12-omega*e_base))*(Q283/sref)^(Parametros!$B$12-1))),DEGREES(ATAN(TAN(RADIANS(Parametros!$F$13-omega*e_base))*(Q283/sref)^(Parametros!$B$13-1))),DEGREES(ATAN(TAN(RADIANS(Parametros!$F$14-omega*e_base))*(Q283/sref)^(Parametros!$B$14-1))),DEGREES(ATAN(TAN(RADIANS(Parametros!$F$15-omega*e_base))*(Q283/sref)^(Parametros!$B$15-1))),DEGREES(ATAN(TAN(RADIANS(Parametros!$F$16-omega*e_base))*(Q283/sref)^(Parametros!$B$16-1))))</f>
        <v/>
      </c>
      <c r="T283" t="n">
        <v>8.263431952662721</v>
      </c>
      <c r="U283">
        <f>T283*TAN(RADIANS(MAX(DEGREES(ATAN(TAN(RADIANS(Parametros!$F$12-omega*e_base))*(T283/sref)^(Parametros!$B$12-1))),DEGREES(ATAN(TAN(RADIANS(Parametros!$F$13-omega*e_base))*(T283/sref)^(Parametros!$B$13-1))),DEGREES(ATAN(TAN(RADIANS(Parametros!$F$14-omega*e_base))*(T283/sref)^(Parametros!$B$14-1))),DEGREES(ATAN(TAN(RADIANS(Parametros!$F$15-omega*e_base))*(T283/sref)^(Parametros!$B$15-1))),DEGREES(ATAN(TAN(RADIANS(Parametros!$F$16-omega*e_base))*(T283/sref)^(Parametros!$B$16-1))))))</f>
        <v/>
      </c>
      <c r="BE283">
        <f>Base_mundial!C282</f>
        <v/>
      </c>
      <c r="BF283">
        <f>Base_mundial!E282-omega*(e_base-Base_mundial!B282)</f>
        <v/>
      </c>
      <c r="BG283">
        <f>BE283*TAN(RADIANS(BF283))</f>
        <v/>
      </c>
    </row>
    <row r="284">
      <c r="BE284">
        <f>Base_mundial!C283</f>
        <v/>
      </c>
      <c r="BF284">
        <f>Base_mundial!E283-omega*(e_base-Base_mundial!B283)</f>
        <v/>
      </c>
      <c r="BG284">
        <f>BE284*TAN(RADIANS(BF284))</f>
        <v/>
      </c>
    </row>
    <row r="285">
      <c r="Q285" t="n">
        <v>3.851934574218808</v>
      </c>
      <c r="R285">
        <f>MIN(DEGREES(ATAN(TAN(RADIANS(Parametros!$E$12-omega*e_base))*(Q285/sref)^(Parametros!$B$12-1))),DEGREES(ATAN(TAN(RADIANS(Parametros!$E$13-omega*e_base))*(Q285/sref)^(Parametros!$B$13-1))),DEGREES(ATAN(TAN(RADIANS(Parametros!$E$14-omega*e_base))*(Q285/sref)^(Parametros!$B$14-1))),DEGREES(ATAN(TAN(RADIANS(Parametros!$E$15-omega*e_base))*(Q285/sref)^(Parametros!$B$15-1))),DEGREES(ATAN(TAN(RADIANS(Parametros!$E$16-omega*e_base))*(Q285/sref)^(Parametros!$B$16-1))))</f>
        <v/>
      </c>
      <c r="T285" t="n">
        <v>8.352071005917159</v>
      </c>
      <c r="U285">
        <f>T285*TAN(RADIANS(MIN(DEGREES(ATAN(TAN(RADIANS(Parametros!$E$12-omega*e_base))*(T285/sref)^(Parametros!$B$12-1))),DEGREES(ATAN(TAN(RADIANS(Parametros!$E$13-omega*e_base))*(T285/sref)^(Parametros!$B$13-1))),DEGREES(ATAN(TAN(RADIANS(Parametros!$E$14-omega*e_base))*(T285/sref)^(Parametros!$B$14-1))),DEGREES(ATAN(TAN(RADIANS(Parametros!$E$15-omega*e_base))*(T285/sref)^(Parametros!$B$15-1))),DEGREES(ATAN(TAN(RADIANS(Parametros!$E$16-omega*e_base))*(T285/sref)^(Parametros!$B$16-1))))))</f>
        <v/>
      </c>
      <c r="BE285">
        <f>Base_mundial!C284</f>
        <v/>
      </c>
      <c r="BF285">
        <f>Base_mundial!E284-omega*(e_base-Base_mundial!B284)</f>
        <v/>
      </c>
      <c r="BG285">
        <f>BE285*TAN(RADIANS(BF285))</f>
        <v/>
      </c>
    </row>
    <row r="286">
      <c r="Q286" t="n">
        <v>3.851934574218808</v>
      </c>
      <c r="R286">
        <f>MAX(DEGREES(ATAN(TAN(RADIANS(Parametros!$F$12-omega*e_base))*(Q286/sref)^(Parametros!$B$12-1))),DEGREES(ATAN(TAN(RADIANS(Parametros!$F$13-omega*e_base))*(Q286/sref)^(Parametros!$B$13-1))),DEGREES(ATAN(TAN(RADIANS(Parametros!$F$14-omega*e_base))*(Q286/sref)^(Parametros!$B$14-1))),DEGREES(ATAN(TAN(RADIANS(Parametros!$F$15-omega*e_base))*(Q286/sref)^(Parametros!$B$15-1))),DEGREES(ATAN(TAN(RADIANS(Parametros!$F$16-omega*e_base))*(Q286/sref)^(Parametros!$B$16-1))))</f>
        <v/>
      </c>
      <c r="T286" t="n">
        <v>8.352071005917159</v>
      </c>
      <c r="U286">
        <f>T286*TAN(RADIANS(MAX(DEGREES(ATAN(TAN(RADIANS(Parametros!$F$12-omega*e_base))*(T286/sref)^(Parametros!$B$12-1))),DEGREES(ATAN(TAN(RADIANS(Parametros!$F$13-omega*e_base))*(T286/sref)^(Parametros!$B$13-1))),DEGREES(ATAN(TAN(RADIANS(Parametros!$F$14-omega*e_base))*(T286/sref)^(Parametros!$B$14-1))),DEGREES(ATAN(TAN(RADIANS(Parametros!$F$15-omega*e_base))*(T286/sref)^(Parametros!$B$15-1))),DEGREES(ATAN(TAN(RADIANS(Parametros!$F$16-omega*e_base))*(T286/sref)^(Parametros!$B$16-1))))))</f>
        <v/>
      </c>
      <c r="BE286">
        <f>Base_mundial!C285</f>
        <v/>
      </c>
      <c r="BF286">
        <f>Base_mundial!E285-omega*(e_base-Base_mundial!B285)</f>
        <v/>
      </c>
      <c r="BG286">
        <f>BE286*TAN(RADIANS(BF286))</f>
        <v/>
      </c>
    </row>
    <row r="287">
      <c r="BE287">
        <f>Base_mundial!C286</f>
        <v/>
      </c>
      <c r="BF287">
        <f>Base_mundial!E286-omega*(e_base-Base_mundial!B286)</f>
        <v/>
      </c>
      <c r="BG287">
        <f>BE287*TAN(RADIANS(BF287))</f>
        <v/>
      </c>
    </row>
    <row r="288">
      <c r="Q288" t="n">
        <v>4.004495651863054</v>
      </c>
      <c r="R288">
        <f>MIN(DEGREES(ATAN(TAN(RADIANS(Parametros!$E$12-omega*e_base))*(Q288/sref)^(Parametros!$B$12-1))),DEGREES(ATAN(TAN(RADIANS(Parametros!$E$13-omega*e_base))*(Q288/sref)^(Parametros!$B$13-1))),DEGREES(ATAN(TAN(RADIANS(Parametros!$E$14-omega*e_base))*(Q288/sref)^(Parametros!$B$14-1))),DEGREES(ATAN(TAN(RADIANS(Parametros!$E$15-omega*e_base))*(Q288/sref)^(Parametros!$B$15-1))),DEGREES(ATAN(TAN(RADIANS(Parametros!$E$16-omega*e_base))*(Q288/sref)^(Parametros!$B$16-1))))</f>
        <v/>
      </c>
      <c r="T288" t="n">
        <v>8.440710059171597</v>
      </c>
      <c r="U288">
        <f>T288*TAN(RADIANS(MIN(DEGREES(ATAN(TAN(RADIANS(Parametros!$E$12-omega*e_base))*(T288/sref)^(Parametros!$B$12-1))),DEGREES(ATAN(TAN(RADIANS(Parametros!$E$13-omega*e_base))*(T288/sref)^(Parametros!$B$13-1))),DEGREES(ATAN(TAN(RADIANS(Parametros!$E$14-omega*e_base))*(T288/sref)^(Parametros!$B$14-1))),DEGREES(ATAN(TAN(RADIANS(Parametros!$E$15-omega*e_base))*(T288/sref)^(Parametros!$B$15-1))),DEGREES(ATAN(TAN(RADIANS(Parametros!$E$16-omega*e_base))*(T288/sref)^(Parametros!$B$16-1))))))</f>
        <v/>
      </c>
      <c r="BE288">
        <f>Base_mundial!C287</f>
        <v/>
      </c>
      <c r="BF288">
        <f>Base_mundial!E287-omega*(e_base-Base_mundial!B287)</f>
        <v/>
      </c>
      <c r="BG288">
        <f>BE288*TAN(RADIANS(BF288))</f>
        <v/>
      </c>
    </row>
    <row r="289">
      <c r="Q289" t="n">
        <v>4.004495651863054</v>
      </c>
      <c r="R289">
        <f>MAX(DEGREES(ATAN(TAN(RADIANS(Parametros!$F$12-omega*e_base))*(Q289/sref)^(Parametros!$B$12-1))),DEGREES(ATAN(TAN(RADIANS(Parametros!$F$13-omega*e_base))*(Q289/sref)^(Parametros!$B$13-1))),DEGREES(ATAN(TAN(RADIANS(Parametros!$F$14-omega*e_base))*(Q289/sref)^(Parametros!$B$14-1))),DEGREES(ATAN(TAN(RADIANS(Parametros!$F$15-omega*e_base))*(Q289/sref)^(Parametros!$B$15-1))),DEGREES(ATAN(TAN(RADIANS(Parametros!$F$16-omega*e_base))*(Q289/sref)^(Parametros!$B$16-1))))</f>
        <v/>
      </c>
      <c r="T289" t="n">
        <v>8.440710059171597</v>
      </c>
      <c r="U289">
        <f>T289*TAN(RADIANS(MAX(DEGREES(ATAN(TAN(RADIANS(Parametros!$F$12-omega*e_base))*(T289/sref)^(Parametros!$B$12-1))),DEGREES(ATAN(TAN(RADIANS(Parametros!$F$13-omega*e_base))*(T289/sref)^(Parametros!$B$13-1))),DEGREES(ATAN(TAN(RADIANS(Parametros!$F$14-omega*e_base))*(T289/sref)^(Parametros!$B$14-1))),DEGREES(ATAN(TAN(RADIANS(Parametros!$F$15-omega*e_base))*(T289/sref)^(Parametros!$B$15-1))),DEGREES(ATAN(TAN(RADIANS(Parametros!$F$16-omega*e_base))*(T289/sref)^(Parametros!$B$16-1))))))</f>
        <v/>
      </c>
      <c r="BE289">
        <f>Base_mundial!C288</f>
        <v/>
      </c>
      <c r="BF289">
        <f>Base_mundial!E288-omega*(e_base-Base_mundial!B288)</f>
        <v/>
      </c>
      <c r="BG289">
        <f>BE289*TAN(RADIANS(BF289))</f>
        <v/>
      </c>
    </row>
    <row r="290">
      <c r="BE290">
        <f>Base_mundial!C289</f>
        <v/>
      </c>
      <c r="BF290">
        <f>Base_mundial!E289-omega*(e_base-Base_mundial!B289)</f>
        <v/>
      </c>
      <c r="BG290">
        <f>BE290*TAN(RADIANS(BF290))</f>
        <v/>
      </c>
    </row>
    <row r="291">
      <c r="Q291" t="n">
        <v>4.163099117290248</v>
      </c>
      <c r="R291">
        <f>MIN(DEGREES(ATAN(TAN(RADIANS(Parametros!$E$12-omega*e_base))*(Q291/sref)^(Parametros!$B$12-1))),DEGREES(ATAN(TAN(RADIANS(Parametros!$E$13-omega*e_base))*(Q291/sref)^(Parametros!$B$13-1))),DEGREES(ATAN(TAN(RADIANS(Parametros!$E$14-omega*e_base))*(Q291/sref)^(Parametros!$B$14-1))),DEGREES(ATAN(TAN(RADIANS(Parametros!$E$15-omega*e_base))*(Q291/sref)^(Parametros!$B$15-1))),DEGREES(ATAN(TAN(RADIANS(Parametros!$E$16-omega*e_base))*(Q291/sref)^(Parametros!$B$16-1))))</f>
        <v/>
      </c>
      <c r="T291" t="n">
        <v>8.529349112426035</v>
      </c>
      <c r="U291">
        <f>T291*TAN(RADIANS(MIN(DEGREES(ATAN(TAN(RADIANS(Parametros!$E$12-omega*e_base))*(T291/sref)^(Parametros!$B$12-1))),DEGREES(ATAN(TAN(RADIANS(Parametros!$E$13-omega*e_base))*(T291/sref)^(Parametros!$B$13-1))),DEGREES(ATAN(TAN(RADIANS(Parametros!$E$14-omega*e_base))*(T291/sref)^(Parametros!$B$14-1))),DEGREES(ATAN(TAN(RADIANS(Parametros!$E$15-omega*e_base))*(T291/sref)^(Parametros!$B$15-1))),DEGREES(ATAN(TAN(RADIANS(Parametros!$E$16-omega*e_base))*(T291/sref)^(Parametros!$B$16-1))))))</f>
        <v/>
      </c>
      <c r="BE291">
        <f>Base_mundial!C290</f>
        <v/>
      </c>
      <c r="BF291">
        <f>Base_mundial!E290-omega*(e_base-Base_mundial!B290)</f>
        <v/>
      </c>
      <c r="BG291">
        <f>BE291*TAN(RADIANS(BF291))</f>
        <v/>
      </c>
    </row>
    <row r="292">
      <c r="Q292" t="n">
        <v>4.163099117290248</v>
      </c>
      <c r="R292">
        <f>MAX(DEGREES(ATAN(TAN(RADIANS(Parametros!$F$12-omega*e_base))*(Q292/sref)^(Parametros!$B$12-1))),DEGREES(ATAN(TAN(RADIANS(Parametros!$F$13-omega*e_base))*(Q292/sref)^(Parametros!$B$13-1))),DEGREES(ATAN(TAN(RADIANS(Parametros!$F$14-omega*e_base))*(Q292/sref)^(Parametros!$B$14-1))),DEGREES(ATAN(TAN(RADIANS(Parametros!$F$15-omega*e_base))*(Q292/sref)^(Parametros!$B$15-1))),DEGREES(ATAN(TAN(RADIANS(Parametros!$F$16-omega*e_base))*(Q292/sref)^(Parametros!$B$16-1))))</f>
        <v/>
      </c>
      <c r="T292" t="n">
        <v>8.529349112426035</v>
      </c>
      <c r="U292">
        <f>T292*TAN(RADIANS(MAX(DEGREES(ATAN(TAN(RADIANS(Parametros!$F$12-omega*e_base))*(T292/sref)^(Parametros!$B$12-1))),DEGREES(ATAN(TAN(RADIANS(Parametros!$F$13-omega*e_base))*(T292/sref)^(Parametros!$B$13-1))),DEGREES(ATAN(TAN(RADIANS(Parametros!$F$14-omega*e_base))*(T292/sref)^(Parametros!$B$14-1))),DEGREES(ATAN(TAN(RADIANS(Parametros!$F$15-omega*e_base))*(T292/sref)^(Parametros!$B$15-1))),DEGREES(ATAN(TAN(RADIANS(Parametros!$F$16-omega*e_base))*(T292/sref)^(Parametros!$B$16-1))))))</f>
        <v/>
      </c>
      <c r="BE292">
        <f>Base_mundial!C291</f>
        <v/>
      </c>
      <c r="BF292">
        <f>Base_mundial!E291-omega*(e_base-Base_mundial!B291)</f>
        <v/>
      </c>
      <c r="BG292">
        <f>BE292*TAN(RADIANS(BF292))</f>
        <v/>
      </c>
    </row>
    <row r="293">
      <c r="BE293">
        <f>Base_mundial!C292</f>
        <v/>
      </c>
      <c r="BF293">
        <f>Base_mundial!E292-omega*(e_base-Base_mundial!B292)</f>
        <v/>
      </c>
      <c r="BG293">
        <f>BE293*TAN(RADIANS(BF293))</f>
        <v/>
      </c>
    </row>
    <row r="294">
      <c r="Q294" t="n">
        <v>4.327984287439434</v>
      </c>
      <c r="R294">
        <f>MIN(DEGREES(ATAN(TAN(RADIANS(Parametros!$E$12-omega*e_base))*(Q294/sref)^(Parametros!$B$12-1))),DEGREES(ATAN(TAN(RADIANS(Parametros!$E$13-omega*e_base))*(Q294/sref)^(Parametros!$B$13-1))),DEGREES(ATAN(TAN(RADIANS(Parametros!$E$14-omega*e_base))*(Q294/sref)^(Parametros!$B$14-1))),DEGREES(ATAN(TAN(RADIANS(Parametros!$E$15-omega*e_base))*(Q294/sref)^(Parametros!$B$15-1))),DEGREES(ATAN(TAN(RADIANS(Parametros!$E$16-omega*e_base))*(Q294/sref)^(Parametros!$B$16-1))))</f>
        <v/>
      </c>
      <c r="T294" t="n">
        <v>8.617988165680472</v>
      </c>
      <c r="U294">
        <f>T294*TAN(RADIANS(MIN(DEGREES(ATAN(TAN(RADIANS(Parametros!$E$12-omega*e_base))*(T294/sref)^(Parametros!$B$12-1))),DEGREES(ATAN(TAN(RADIANS(Parametros!$E$13-omega*e_base))*(T294/sref)^(Parametros!$B$13-1))),DEGREES(ATAN(TAN(RADIANS(Parametros!$E$14-omega*e_base))*(T294/sref)^(Parametros!$B$14-1))),DEGREES(ATAN(TAN(RADIANS(Parametros!$E$15-omega*e_base))*(T294/sref)^(Parametros!$B$15-1))),DEGREES(ATAN(TAN(RADIANS(Parametros!$E$16-omega*e_base))*(T294/sref)^(Parametros!$B$16-1))))))</f>
        <v/>
      </c>
      <c r="BE294">
        <f>Base_mundial!C293</f>
        <v/>
      </c>
      <c r="BF294">
        <f>Base_mundial!E293-omega*(e_base-Base_mundial!B293)</f>
        <v/>
      </c>
      <c r="BG294">
        <f>BE294*TAN(RADIANS(BF294))</f>
        <v/>
      </c>
    </row>
    <row r="295">
      <c r="Q295" t="n">
        <v>4.327984287439434</v>
      </c>
      <c r="R295">
        <f>MAX(DEGREES(ATAN(TAN(RADIANS(Parametros!$F$12-omega*e_base))*(Q295/sref)^(Parametros!$B$12-1))),DEGREES(ATAN(TAN(RADIANS(Parametros!$F$13-omega*e_base))*(Q295/sref)^(Parametros!$B$13-1))),DEGREES(ATAN(TAN(RADIANS(Parametros!$F$14-omega*e_base))*(Q295/sref)^(Parametros!$B$14-1))),DEGREES(ATAN(TAN(RADIANS(Parametros!$F$15-omega*e_base))*(Q295/sref)^(Parametros!$B$15-1))),DEGREES(ATAN(TAN(RADIANS(Parametros!$F$16-omega*e_base))*(Q295/sref)^(Parametros!$B$16-1))))</f>
        <v/>
      </c>
      <c r="T295" t="n">
        <v>8.617988165680472</v>
      </c>
      <c r="U295">
        <f>T295*TAN(RADIANS(MAX(DEGREES(ATAN(TAN(RADIANS(Parametros!$F$12-omega*e_base))*(T295/sref)^(Parametros!$B$12-1))),DEGREES(ATAN(TAN(RADIANS(Parametros!$F$13-omega*e_base))*(T295/sref)^(Parametros!$B$13-1))),DEGREES(ATAN(TAN(RADIANS(Parametros!$F$14-omega*e_base))*(T295/sref)^(Parametros!$B$14-1))),DEGREES(ATAN(TAN(RADIANS(Parametros!$F$15-omega*e_base))*(T295/sref)^(Parametros!$B$15-1))),DEGREES(ATAN(TAN(RADIANS(Parametros!$F$16-omega*e_base))*(T295/sref)^(Parametros!$B$16-1))))))</f>
        <v/>
      </c>
      <c r="BE295">
        <f>Base_mundial!C294</f>
        <v/>
      </c>
      <c r="BF295">
        <f>Base_mundial!E294-omega*(e_base-Base_mundial!B294)</f>
        <v/>
      </c>
      <c r="BG295">
        <f>BE295*TAN(RADIANS(BF295))</f>
        <v/>
      </c>
    </row>
    <row r="296">
      <c r="BE296">
        <f>Base_mundial!C295</f>
        <v/>
      </c>
      <c r="BF296">
        <f>Base_mundial!E295-omega*(e_base-Base_mundial!B295)</f>
        <v/>
      </c>
      <c r="BG296">
        <f>BE296*TAN(RADIANS(BF296))</f>
        <v/>
      </c>
    </row>
    <row r="297">
      <c r="Q297" t="n">
        <v>4.499399957720653</v>
      </c>
      <c r="R297">
        <f>MIN(DEGREES(ATAN(TAN(RADIANS(Parametros!$E$12-omega*e_base))*(Q297/sref)^(Parametros!$B$12-1))),DEGREES(ATAN(TAN(RADIANS(Parametros!$E$13-omega*e_base))*(Q297/sref)^(Parametros!$B$13-1))),DEGREES(ATAN(TAN(RADIANS(Parametros!$E$14-omega*e_base))*(Q297/sref)^(Parametros!$B$14-1))),DEGREES(ATAN(TAN(RADIANS(Parametros!$E$15-omega*e_base))*(Q297/sref)^(Parametros!$B$15-1))),DEGREES(ATAN(TAN(RADIANS(Parametros!$E$16-omega*e_base))*(Q297/sref)^(Parametros!$B$16-1))))</f>
        <v/>
      </c>
      <c r="T297" t="n">
        <v>8.70662721893491</v>
      </c>
      <c r="U297">
        <f>T297*TAN(RADIANS(MIN(DEGREES(ATAN(TAN(RADIANS(Parametros!$E$12-omega*e_base))*(T297/sref)^(Parametros!$B$12-1))),DEGREES(ATAN(TAN(RADIANS(Parametros!$E$13-omega*e_base))*(T297/sref)^(Parametros!$B$13-1))),DEGREES(ATAN(TAN(RADIANS(Parametros!$E$14-omega*e_base))*(T297/sref)^(Parametros!$B$14-1))),DEGREES(ATAN(TAN(RADIANS(Parametros!$E$15-omega*e_base))*(T297/sref)^(Parametros!$B$15-1))),DEGREES(ATAN(TAN(RADIANS(Parametros!$E$16-omega*e_base))*(T297/sref)^(Parametros!$B$16-1))))))</f>
        <v/>
      </c>
      <c r="BE297">
        <f>Base_mundial!C296</f>
        <v/>
      </c>
      <c r="BF297">
        <f>Base_mundial!E296-omega*(e_base-Base_mundial!B296)</f>
        <v/>
      </c>
      <c r="BG297">
        <f>BE297*TAN(RADIANS(BF297))</f>
        <v/>
      </c>
    </row>
    <row r="298">
      <c r="Q298" t="n">
        <v>4.499399957720653</v>
      </c>
      <c r="R298">
        <f>MAX(DEGREES(ATAN(TAN(RADIANS(Parametros!$F$12-omega*e_base))*(Q298/sref)^(Parametros!$B$12-1))),DEGREES(ATAN(TAN(RADIANS(Parametros!$F$13-omega*e_base))*(Q298/sref)^(Parametros!$B$13-1))),DEGREES(ATAN(TAN(RADIANS(Parametros!$F$14-omega*e_base))*(Q298/sref)^(Parametros!$B$14-1))),DEGREES(ATAN(TAN(RADIANS(Parametros!$F$15-omega*e_base))*(Q298/sref)^(Parametros!$B$15-1))),DEGREES(ATAN(TAN(RADIANS(Parametros!$F$16-omega*e_base))*(Q298/sref)^(Parametros!$B$16-1))))</f>
        <v/>
      </c>
      <c r="T298" t="n">
        <v>8.70662721893491</v>
      </c>
      <c r="U298">
        <f>T298*TAN(RADIANS(MAX(DEGREES(ATAN(TAN(RADIANS(Parametros!$F$12-omega*e_base))*(T298/sref)^(Parametros!$B$12-1))),DEGREES(ATAN(TAN(RADIANS(Parametros!$F$13-omega*e_base))*(T298/sref)^(Parametros!$B$13-1))),DEGREES(ATAN(TAN(RADIANS(Parametros!$F$14-omega*e_base))*(T298/sref)^(Parametros!$B$14-1))),DEGREES(ATAN(TAN(RADIANS(Parametros!$F$15-omega*e_base))*(T298/sref)^(Parametros!$B$15-1))),DEGREES(ATAN(TAN(RADIANS(Parametros!$F$16-omega*e_base))*(T298/sref)^(Parametros!$B$16-1))))))</f>
        <v/>
      </c>
      <c r="BE298">
        <f>Base_mundial!C297</f>
        <v/>
      </c>
      <c r="BF298">
        <f>Base_mundial!E297-omega*(e_base-Base_mundial!B297)</f>
        <v/>
      </c>
      <c r="BG298">
        <f>BE298*TAN(RADIANS(BF298))</f>
        <v/>
      </c>
    </row>
    <row r="299">
      <c r="BE299">
        <f>Base_mundial!C298</f>
        <v/>
      </c>
      <c r="BF299">
        <f>Base_mundial!E298-omega*(e_base-Base_mundial!B298)</f>
        <v/>
      </c>
      <c r="BG299">
        <f>BE299*TAN(RADIANS(BF299))</f>
        <v/>
      </c>
    </row>
    <row r="300">
      <c r="Q300" t="n">
        <v>4.677604777422593</v>
      </c>
      <c r="R300">
        <f>MIN(DEGREES(ATAN(TAN(RADIANS(Parametros!$E$12-omega*e_base))*(Q300/sref)^(Parametros!$B$12-1))),DEGREES(ATAN(TAN(RADIANS(Parametros!$E$13-omega*e_base))*(Q300/sref)^(Parametros!$B$13-1))),DEGREES(ATAN(TAN(RADIANS(Parametros!$E$14-omega*e_base))*(Q300/sref)^(Parametros!$B$14-1))),DEGREES(ATAN(TAN(RADIANS(Parametros!$E$15-omega*e_base))*(Q300/sref)^(Parametros!$B$15-1))),DEGREES(ATAN(TAN(RADIANS(Parametros!$E$16-omega*e_base))*(Q300/sref)^(Parametros!$B$16-1))))</f>
        <v/>
      </c>
      <c r="T300" t="n">
        <v>8.795266272189348</v>
      </c>
      <c r="U300">
        <f>T300*TAN(RADIANS(MIN(DEGREES(ATAN(TAN(RADIANS(Parametros!$E$12-omega*e_base))*(T300/sref)^(Parametros!$B$12-1))),DEGREES(ATAN(TAN(RADIANS(Parametros!$E$13-omega*e_base))*(T300/sref)^(Parametros!$B$13-1))),DEGREES(ATAN(TAN(RADIANS(Parametros!$E$14-omega*e_base))*(T300/sref)^(Parametros!$B$14-1))),DEGREES(ATAN(TAN(RADIANS(Parametros!$E$15-omega*e_base))*(T300/sref)^(Parametros!$B$15-1))),DEGREES(ATAN(TAN(RADIANS(Parametros!$E$16-omega*e_base))*(T300/sref)^(Parametros!$B$16-1))))))</f>
        <v/>
      </c>
      <c r="BE300">
        <f>Base_mundial!C299</f>
        <v/>
      </c>
      <c r="BF300">
        <f>Base_mundial!E299-omega*(e_base-Base_mundial!B299)</f>
        <v/>
      </c>
      <c r="BG300">
        <f>BE300*TAN(RADIANS(BF300))</f>
        <v/>
      </c>
    </row>
    <row r="301">
      <c r="Q301" t="n">
        <v>4.677604777422593</v>
      </c>
      <c r="R301">
        <f>MAX(DEGREES(ATAN(TAN(RADIANS(Parametros!$F$12-omega*e_base))*(Q301/sref)^(Parametros!$B$12-1))),DEGREES(ATAN(TAN(RADIANS(Parametros!$F$13-omega*e_base))*(Q301/sref)^(Parametros!$B$13-1))),DEGREES(ATAN(TAN(RADIANS(Parametros!$F$14-omega*e_base))*(Q301/sref)^(Parametros!$B$14-1))),DEGREES(ATAN(TAN(RADIANS(Parametros!$F$15-omega*e_base))*(Q301/sref)^(Parametros!$B$15-1))),DEGREES(ATAN(TAN(RADIANS(Parametros!$F$16-omega*e_base))*(Q301/sref)^(Parametros!$B$16-1))))</f>
        <v/>
      </c>
      <c r="T301" t="n">
        <v>8.795266272189348</v>
      </c>
      <c r="U301">
        <f>T301*TAN(RADIANS(MAX(DEGREES(ATAN(TAN(RADIANS(Parametros!$F$12-omega*e_base))*(T301/sref)^(Parametros!$B$12-1))),DEGREES(ATAN(TAN(RADIANS(Parametros!$F$13-omega*e_base))*(T301/sref)^(Parametros!$B$13-1))),DEGREES(ATAN(TAN(RADIANS(Parametros!$F$14-omega*e_base))*(T301/sref)^(Parametros!$B$14-1))),DEGREES(ATAN(TAN(RADIANS(Parametros!$F$15-omega*e_base))*(T301/sref)^(Parametros!$B$15-1))),DEGREES(ATAN(TAN(RADIANS(Parametros!$F$16-omega*e_base))*(T301/sref)^(Parametros!$B$16-1))))))</f>
        <v/>
      </c>
      <c r="BE301">
        <f>Base_mundial!C300</f>
        <v/>
      </c>
      <c r="BF301">
        <f>Base_mundial!E300-omega*(e_base-Base_mundial!B300)</f>
        <v/>
      </c>
      <c r="BG301">
        <f>BE301*TAN(RADIANS(BF301))</f>
        <v/>
      </c>
    </row>
    <row r="302">
      <c r="BE302">
        <f>Base_mundial!C301</f>
        <v/>
      </c>
      <c r="BF302">
        <f>Base_mundial!E301-omega*(e_base-Base_mundial!B301)</f>
        <v/>
      </c>
      <c r="BG302">
        <f>BE302*TAN(RADIANS(BF302))</f>
        <v/>
      </c>
    </row>
    <row r="303">
      <c r="Q303" t="n">
        <v>4.862867639988785</v>
      </c>
      <c r="R303">
        <f>MIN(DEGREES(ATAN(TAN(RADIANS(Parametros!$E$12-omega*e_base))*(Q303/sref)^(Parametros!$B$12-1))),DEGREES(ATAN(TAN(RADIANS(Parametros!$E$13-omega*e_base))*(Q303/sref)^(Parametros!$B$13-1))),DEGREES(ATAN(TAN(RADIANS(Parametros!$E$14-omega*e_base))*(Q303/sref)^(Parametros!$B$14-1))),DEGREES(ATAN(TAN(RADIANS(Parametros!$E$15-omega*e_base))*(Q303/sref)^(Parametros!$B$15-1))),DEGREES(ATAN(TAN(RADIANS(Parametros!$E$16-omega*e_base))*(Q303/sref)^(Parametros!$B$16-1))))</f>
        <v/>
      </c>
      <c r="T303" t="n">
        <v>8.883905325443786</v>
      </c>
      <c r="U303">
        <f>T303*TAN(RADIANS(MIN(DEGREES(ATAN(TAN(RADIANS(Parametros!$E$12-omega*e_base))*(T303/sref)^(Parametros!$B$12-1))),DEGREES(ATAN(TAN(RADIANS(Parametros!$E$13-omega*e_base))*(T303/sref)^(Parametros!$B$13-1))),DEGREES(ATAN(TAN(RADIANS(Parametros!$E$14-omega*e_base))*(T303/sref)^(Parametros!$B$14-1))),DEGREES(ATAN(TAN(RADIANS(Parametros!$E$15-omega*e_base))*(T303/sref)^(Parametros!$B$15-1))),DEGREES(ATAN(TAN(RADIANS(Parametros!$E$16-omega*e_base))*(T303/sref)^(Parametros!$B$16-1))))))</f>
        <v/>
      </c>
      <c r="BE303">
        <f>Base_mundial!C302</f>
        <v/>
      </c>
      <c r="BF303">
        <f>Base_mundial!E302-omega*(e_base-Base_mundial!B302)</f>
        <v/>
      </c>
      <c r="BG303">
        <f>BE303*TAN(RADIANS(BF303))</f>
        <v/>
      </c>
    </row>
    <row r="304">
      <c r="Q304" t="n">
        <v>4.862867639988785</v>
      </c>
      <c r="R304">
        <f>MAX(DEGREES(ATAN(TAN(RADIANS(Parametros!$F$12-omega*e_base))*(Q304/sref)^(Parametros!$B$12-1))),DEGREES(ATAN(TAN(RADIANS(Parametros!$F$13-omega*e_base))*(Q304/sref)^(Parametros!$B$13-1))),DEGREES(ATAN(TAN(RADIANS(Parametros!$F$14-omega*e_base))*(Q304/sref)^(Parametros!$B$14-1))),DEGREES(ATAN(TAN(RADIANS(Parametros!$F$15-omega*e_base))*(Q304/sref)^(Parametros!$B$15-1))),DEGREES(ATAN(TAN(RADIANS(Parametros!$F$16-omega*e_base))*(Q304/sref)^(Parametros!$B$16-1))))</f>
        <v/>
      </c>
      <c r="T304" t="n">
        <v>8.883905325443786</v>
      </c>
      <c r="U304">
        <f>T304*TAN(RADIANS(MAX(DEGREES(ATAN(TAN(RADIANS(Parametros!$F$12-omega*e_base))*(T304/sref)^(Parametros!$B$12-1))),DEGREES(ATAN(TAN(RADIANS(Parametros!$F$13-omega*e_base))*(T304/sref)^(Parametros!$B$13-1))),DEGREES(ATAN(TAN(RADIANS(Parametros!$F$14-omega*e_base))*(T304/sref)^(Parametros!$B$14-1))),DEGREES(ATAN(TAN(RADIANS(Parametros!$F$15-omega*e_base))*(T304/sref)^(Parametros!$B$15-1))),DEGREES(ATAN(TAN(RADIANS(Parametros!$F$16-omega*e_base))*(T304/sref)^(Parametros!$B$16-1))))))</f>
        <v/>
      </c>
      <c r="BE304">
        <f>Base_mundial!C303</f>
        <v/>
      </c>
      <c r="BF304">
        <f>Base_mundial!E303-omega*(e_base-Base_mundial!B303)</f>
        <v/>
      </c>
      <c r="BG304">
        <f>BE304*TAN(RADIANS(BF304))</f>
        <v/>
      </c>
    </row>
    <row r="305">
      <c r="BE305">
        <f>Base_mundial!C304</f>
        <v/>
      </c>
      <c r="BF305">
        <f>Base_mundial!E304-omega*(e_base-Base_mundial!B304)</f>
        <v/>
      </c>
      <c r="BG305">
        <f>BE305*TAN(RADIANS(BF305))</f>
        <v/>
      </c>
    </row>
    <row r="306">
      <c r="Q306" t="n">
        <v>5.055468088751201</v>
      </c>
      <c r="R306">
        <f>MIN(DEGREES(ATAN(TAN(RADIANS(Parametros!$E$12-omega*e_base))*(Q306/sref)^(Parametros!$B$12-1))),DEGREES(ATAN(TAN(RADIANS(Parametros!$E$13-omega*e_base))*(Q306/sref)^(Parametros!$B$13-1))),DEGREES(ATAN(TAN(RADIANS(Parametros!$E$14-omega*e_base))*(Q306/sref)^(Parametros!$B$14-1))),DEGREES(ATAN(TAN(RADIANS(Parametros!$E$15-omega*e_base))*(Q306/sref)^(Parametros!$B$15-1))),DEGREES(ATAN(TAN(RADIANS(Parametros!$E$16-omega*e_base))*(Q306/sref)^(Parametros!$B$16-1))))</f>
        <v/>
      </c>
      <c r="T306" t="n">
        <v>8.972544378698224</v>
      </c>
      <c r="U306">
        <f>T306*TAN(RADIANS(MIN(DEGREES(ATAN(TAN(RADIANS(Parametros!$E$12-omega*e_base))*(T306/sref)^(Parametros!$B$12-1))),DEGREES(ATAN(TAN(RADIANS(Parametros!$E$13-omega*e_base))*(T306/sref)^(Parametros!$B$13-1))),DEGREES(ATAN(TAN(RADIANS(Parametros!$E$14-omega*e_base))*(T306/sref)^(Parametros!$B$14-1))),DEGREES(ATAN(TAN(RADIANS(Parametros!$E$15-omega*e_base))*(T306/sref)^(Parametros!$B$15-1))),DEGREES(ATAN(TAN(RADIANS(Parametros!$E$16-omega*e_base))*(T306/sref)^(Parametros!$B$16-1))))))</f>
        <v/>
      </c>
      <c r="BE306">
        <f>Base_mundial!C305</f>
        <v/>
      </c>
      <c r="BF306">
        <f>Base_mundial!E305-omega*(e_base-Base_mundial!B305)</f>
        <v/>
      </c>
      <c r="BG306">
        <f>BE306*TAN(RADIANS(BF306))</f>
        <v/>
      </c>
    </row>
    <row r="307">
      <c r="Q307" t="n">
        <v>5.055468088751201</v>
      </c>
      <c r="R307">
        <f>MAX(DEGREES(ATAN(TAN(RADIANS(Parametros!$F$12-omega*e_base))*(Q307/sref)^(Parametros!$B$12-1))),DEGREES(ATAN(TAN(RADIANS(Parametros!$F$13-omega*e_base))*(Q307/sref)^(Parametros!$B$13-1))),DEGREES(ATAN(TAN(RADIANS(Parametros!$F$14-omega*e_base))*(Q307/sref)^(Parametros!$B$14-1))),DEGREES(ATAN(TAN(RADIANS(Parametros!$F$15-omega*e_base))*(Q307/sref)^(Parametros!$B$15-1))),DEGREES(ATAN(TAN(RADIANS(Parametros!$F$16-omega*e_base))*(Q307/sref)^(Parametros!$B$16-1))))</f>
        <v/>
      </c>
      <c r="T307" t="n">
        <v>8.972544378698224</v>
      </c>
      <c r="U307">
        <f>T307*TAN(RADIANS(MAX(DEGREES(ATAN(TAN(RADIANS(Parametros!$F$12-omega*e_base))*(T307/sref)^(Parametros!$B$12-1))),DEGREES(ATAN(TAN(RADIANS(Parametros!$F$13-omega*e_base))*(T307/sref)^(Parametros!$B$13-1))),DEGREES(ATAN(TAN(RADIANS(Parametros!$F$14-omega*e_base))*(T307/sref)^(Parametros!$B$14-1))),DEGREES(ATAN(TAN(RADIANS(Parametros!$F$15-omega*e_base))*(T307/sref)^(Parametros!$B$15-1))),DEGREES(ATAN(TAN(RADIANS(Parametros!$F$16-omega*e_base))*(T307/sref)^(Parametros!$B$16-1))))))</f>
        <v/>
      </c>
      <c r="BE307">
        <f>Base_mundial!C306</f>
        <v/>
      </c>
      <c r="BF307">
        <f>Base_mundial!E306-omega*(e_base-Base_mundial!B306)</f>
        <v/>
      </c>
      <c r="BG307">
        <f>BE307*TAN(RADIANS(BF307))</f>
        <v/>
      </c>
    </row>
    <row r="308">
      <c r="BE308">
        <f>Base_mundial!C307</f>
        <v/>
      </c>
      <c r="BF308">
        <f>Base_mundial!E307-omega*(e_base-Base_mundial!B307)</f>
        <v/>
      </c>
      <c r="BG308">
        <f>BE308*TAN(RADIANS(BF308))</f>
        <v/>
      </c>
    </row>
    <row r="309">
      <c r="Q309" t="n">
        <v>5.255696738733502</v>
      </c>
      <c r="R309">
        <f>MIN(DEGREES(ATAN(TAN(RADIANS(Parametros!$E$12-omega*e_base))*(Q309/sref)^(Parametros!$B$12-1))),DEGREES(ATAN(TAN(RADIANS(Parametros!$E$13-omega*e_base))*(Q309/sref)^(Parametros!$B$13-1))),DEGREES(ATAN(TAN(RADIANS(Parametros!$E$14-omega*e_base))*(Q309/sref)^(Parametros!$B$14-1))),DEGREES(ATAN(TAN(RADIANS(Parametros!$E$15-omega*e_base))*(Q309/sref)^(Parametros!$B$15-1))),DEGREES(ATAN(TAN(RADIANS(Parametros!$E$16-omega*e_base))*(Q309/sref)^(Parametros!$B$16-1))))</f>
        <v/>
      </c>
      <c r="T309" t="n">
        <v>9.061183431952662</v>
      </c>
      <c r="U309">
        <f>T309*TAN(RADIANS(MIN(DEGREES(ATAN(TAN(RADIANS(Parametros!$E$12-omega*e_base))*(T309/sref)^(Parametros!$B$12-1))),DEGREES(ATAN(TAN(RADIANS(Parametros!$E$13-omega*e_base))*(T309/sref)^(Parametros!$B$13-1))),DEGREES(ATAN(TAN(RADIANS(Parametros!$E$14-omega*e_base))*(T309/sref)^(Parametros!$B$14-1))),DEGREES(ATAN(TAN(RADIANS(Parametros!$E$15-omega*e_base))*(T309/sref)^(Parametros!$B$15-1))),DEGREES(ATAN(TAN(RADIANS(Parametros!$E$16-omega*e_base))*(T309/sref)^(Parametros!$B$16-1))))))</f>
        <v/>
      </c>
      <c r="BE309">
        <f>Base_mundial!C308</f>
        <v/>
      </c>
      <c r="BF309">
        <f>Base_mundial!E308-omega*(e_base-Base_mundial!B308)</f>
        <v/>
      </c>
      <c r="BG309">
        <f>BE309*TAN(RADIANS(BF309))</f>
        <v/>
      </c>
    </row>
    <row r="310">
      <c r="Q310" t="n">
        <v>5.255696738733502</v>
      </c>
      <c r="R310">
        <f>MAX(DEGREES(ATAN(TAN(RADIANS(Parametros!$F$12-omega*e_base))*(Q310/sref)^(Parametros!$B$12-1))),DEGREES(ATAN(TAN(RADIANS(Parametros!$F$13-omega*e_base))*(Q310/sref)^(Parametros!$B$13-1))),DEGREES(ATAN(TAN(RADIANS(Parametros!$F$14-omega*e_base))*(Q310/sref)^(Parametros!$B$14-1))),DEGREES(ATAN(TAN(RADIANS(Parametros!$F$15-omega*e_base))*(Q310/sref)^(Parametros!$B$15-1))),DEGREES(ATAN(TAN(RADIANS(Parametros!$F$16-omega*e_base))*(Q310/sref)^(Parametros!$B$16-1))))</f>
        <v/>
      </c>
      <c r="T310" t="n">
        <v>9.061183431952662</v>
      </c>
      <c r="U310">
        <f>T310*TAN(RADIANS(MAX(DEGREES(ATAN(TAN(RADIANS(Parametros!$F$12-omega*e_base))*(T310/sref)^(Parametros!$B$12-1))),DEGREES(ATAN(TAN(RADIANS(Parametros!$F$13-omega*e_base))*(T310/sref)^(Parametros!$B$13-1))),DEGREES(ATAN(TAN(RADIANS(Parametros!$F$14-omega*e_base))*(T310/sref)^(Parametros!$B$14-1))),DEGREES(ATAN(TAN(RADIANS(Parametros!$F$15-omega*e_base))*(T310/sref)^(Parametros!$B$15-1))),DEGREES(ATAN(TAN(RADIANS(Parametros!$F$16-omega*e_base))*(T310/sref)^(Parametros!$B$16-1))))))</f>
        <v/>
      </c>
      <c r="BE310">
        <f>Base_mundial!C309</f>
        <v/>
      </c>
      <c r="BF310">
        <f>Base_mundial!E309-omega*(e_base-Base_mundial!B309)</f>
        <v/>
      </c>
      <c r="BG310">
        <f>BE310*TAN(RADIANS(BF310))</f>
        <v/>
      </c>
    </row>
    <row r="311">
      <c r="BE311">
        <f>Base_mundial!C310</f>
        <v/>
      </c>
      <c r="BF311">
        <f>Base_mundial!E310-omega*(e_base-Base_mundial!B310)</f>
        <v/>
      </c>
      <c r="BG311">
        <f>BE311*TAN(RADIANS(BF311))</f>
        <v/>
      </c>
    </row>
    <row r="312">
      <c r="Q312" t="n">
        <v>5.463855715160336</v>
      </c>
      <c r="R312">
        <f>MIN(DEGREES(ATAN(TAN(RADIANS(Parametros!$E$12-omega*e_base))*(Q312/sref)^(Parametros!$B$12-1))),DEGREES(ATAN(TAN(RADIANS(Parametros!$E$13-omega*e_base))*(Q312/sref)^(Parametros!$B$13-1))),DEGREES(ATAN(TAN(RADIANS(Parametros!$E$14-omega*e_base))*(Q312/sref)^(Parametros!$B$14-1))),DEGREES(ATAN(TAN(RADIANS(Parametros!$E$15-omega*e_base))*(Q312/sref)^(Parametros!$B$15-1))),DEGREES(ATAN(TAN(RADIANS(Parametros!$E$16-omega*e_base))*(Q312/sref)^(Parametros!$B$16-1))))</f>
        <v/>
      </c>
      <c r="T312" t="n">
        <v>9.1498224852071</v>
      </c>
      <c r="U312">
        <f>T312*TAN(RADIANS(MIN(DEGREES(ATAN(TAN(RADIANS(Parametros!$E$12-omega*e_base))*(T312/sref)^(Parametros!$B$12-1))),DEGREES(ATAN(TAN(RADIANS(Parametros!$E$13-omega*e_base))*(T312/sref)^(Parametros!$B$13-1))),DEGREES(ATAN(TAN(RADIANS(Parametros!$E$14-omega*e_base))*(T312/sref)^(Parametros!$B$14-1))),DEGREES(ATAN(TAN(RADIANS(Parametros!$E$15-omega*e_base))*(T312/sref)^(Parametros!$B$15-1))),DEGREES(ATAN(TAN(RADIANS(Parametros!$E$16-omega*e_base))*(T312/sref)^(Parametros!$B$16-1))))))</f>
        <v/>
      </c>
      <c r="BE312">
        <f>Base_mundial!C311</f>
        <v/>
      </c>
      <c r="BF312">
        <f>Base_mundial!E311-omega*(e_base-Base_mundial!B311)</f>
        <v/>
      </c>
      <c r="BG312">
        <f>BE312*TAN(RADIANS(BF312))</f>
        <v/>
      </c>
    </row>
    <row r="313">
      <c r="Q313" t="n">
        <v>5.463855715160336</v>
      </c>
      <c r="R313">
        <f>MAX(DEGREES(ATAN(TAN(RADIANS(Parametros!$F$12-omega*e_base))*(Q313/sref)^(Parametros!$B$12-1))),DEGREES(ATAN(TAN(RADIANS(Parametros!$F$13-omega*e_base))*(Q313/sref)^(Parametros!$B$13-1))),DEGREES(ATAN(TAN(RADIANS(Parametros!$F$14-omega*e_base))*(Q313/sref)^(Parametros!$B$14-1))),DEGREES(ATAN(TAN(RADIANS(Parametros!$F$15-omega*e_base))*(Q313/sref)^(Parametros!$B$15-1))),DEGREES(ATAN(TAN(RADIANS(Parametros!$F$16-omega*e_base))*(Q313/sref)^(Parametros!$B$16-1))))</f>
        <v/>
      </c>
      <c r="T313" t="n">
        <v>9.1498224852071</v>
      </c>
      <c r="U313">
        <f>T313*TAN(RADIANS(MAX(DEGREES(ATAN(TAN(RADIANS(Parametros!$F$12-omega*e_base))*(T313/sref)^(Parametros!$B$12-1))),DEGREES(ATAN(TAN(RADIANS(Parametros!$F$13-omega*e_base))*(T313/sref)^(Parametros!$B$13-1))),DEGREES(ATAN(TAN(RADIANS(Parametros!$F$14-omega*e_base))*(T313/sref)^(Parametros!$B$14-1))),DEGREES(ATAN(TAN(RADIANS(Parametros!$F$15-omega*e_base))*(T313/sref)^(Parametros!$B$15-1))),DEGREES(ATAN(TAN(RADIANS(Parametros!$F$16-omega*e_base))*(T313/sref)^(Parametros!$B$16-1))))))</f>
        <v/>
      </c>
      <c r="BE313">
        <f>Base_mundial!C312</f>
        <v/>
      </c>
      <c r="BF313">
        <f>Base_mundial!E312-omega*(e_base-Base_mundial!B312)</f>
        <v/>
      </c>
      <c r="BG313">
        <f>BE313*TAN(RADIANS(BF313))</f>
        <v/>
      </c>
    </row>
    <row r="314">
      <c r="BE314">
        <f>Base_mundial!C313</f>
        <v/>
      </c>
      <c r="BF314">
        <f>Base_mundial!E313-omega*(e_base-Base_mundial!B313)</f>
        <v/>
      </c>
      <c r="BG314">
        <f>BE314*TAN(RADIANS(BF314))</f>
        <v/>
      </c>
    </row>
    <row r="315">
      <c r="Q315" t="n">
        <v>5.680259109334441</v>
      </c>
      <c r="R315">
        <f>MIN(DEGREES(ATAN(TAN(RADIANS(Parametros!$E$12-omega*e_base))*(Q315/sref)^(Parametros!$B$12-1))),DEGREES(ATAN(TAN(RADIANS(Parametros!$E$13-omega*e_base))*(Q315/sref)^(Parametros!$B$13-1))),DEGREES(ATAN(TAN(RADIANS(Parametros!$E$14-omega*e_base))*(Q315/sref)^(Parametros!$B$14-1))),DEGREES(ATAN(TAN(RADIANS(Parametros!$E$15-omega*e_base))*(Q315/sref)^(Parametros!$B$15-1))),DEGREES(ATAN(TAN(RADIANS(Parametros!$E$16-omega*e_base))*(Q315/sref)^(Parametros!$B$16-1))))</f>
        <v/>
      </c>
      <c r="T315" t="n">
        <v>9.238461538461538</v>
      </c>
      <c r="U315">
        <f>T315*TAN(RADIANS(MIN(DEGREES(ATAN(TAN(RADIANS(Parametros!$E$12-omega*e_base))*(T315/sref)^(Parametros!$B$12-1))),DEGREES(ATAN(TAN(RADIANS(Parametros!$E$13-omega*e_base))*(T315/sref)^(Parametros!$B$13-1))),DEGREES(ATAN(TAN(RADIANS(Parametros!$E$14-omega*e_base))*(T315/sref)^(Parametros!$B$14-1))),DEGREES(ATAN(TAN(RADIANS(Parametros!$E$15-omega*e_base))*(T315/sref)^(Parametros!$B$15-1))),DEGREES(ATAN(TAN(RADIANS(Parametros!$E$16-omega*e_base))*(T315/sref)^(Parametros!$B$16-1))))))</f>
        <v/>
      </c>
      <c r="BE315">
        <f>Base_mundial!C314</f>
        <v/>
      </c>
      <c r="BF315">
        <f>Base_mundial!E314-omega*(e_base-Base_mundial!B314)</f>
        <v/>
      </c>
      <c r="BG315">
        <f>BE315*TAN(RADIANS(BF315))</f>
        <v/>
      </c>
    </row>
    <row r="316">
      <c r="Q316" t="n">
        <v>5.680259109334441</v>
      </c>
      <c r="R316">
        <f>MAX(DEGREES(ATAN(TAN(RADIANS(Parametros!$F$12-omega*e_base))*(Q316/sref)^(Parametros!$B$12-1))),DEGREES(ATAN(TAN(RADIANS(Parametros!$F$13-omega*e_base))*(Q316/sref)^(Parametros!$B$13-1))),DEGREES(ATAN(TAN(RADIANS(Parametros!$F$14-omega*e_base))*(Q316/sref)^(Parametros!$B$14-1))),DEGREES(ATAN(TAN(RADIANS(Parametros!$F$15-omega*e_base))*(Q316/sref)^(Parametros!$B$15-1))),DEGREES(ATAN(TAN(RADIANS(Parametros!$F$16-omega*e_base))*(Q316/sref)^(Parametros!$B$16-1))))</f>
        <v/>
      </c>
      <c r="T316" t="n">
        <v>9.238461538461538</v>
      </c>
      <c r="U316">
        <f>T316*TAN(RADIANS(MAX(DEGREES(ATAN(TAN(RADIANS(Parametros!$F$12-omega*e_base))*(T316/sref)^(Parametros!$B$12-1))),DEGREES(ATAN(TAN(RADIANS(Parametros!$F$13-omega*e_base))*(T316/sref)^(Parametros!$B$13-1))),DEGREES(ATAN(TAN(RADIANS(Parametros!$F$14-omega*e_base))*(T316/sref)^(Parametros!$B$14-1))),DEGREES(ATAN(TAN(RADIANS(Parametros!$F$15-omega*e_base))*(T316/sref)^(Parametros!$B$15-1))),DEGREES(ATAN(TAN(RADIANS(Parametros!$F$16-omega*e_base))*(T316/sref)^(Parametros!$B$16-1))))))</f>
        <v/>
      </c>
      <c r="BE316">
        <f>Base_mundial!C315</f>
        <v/>
      </c>
      <c r="BF316">
        <f>Base_mundial!E315-omega*(e_base-Base_mundial!B315)</f>
        <v/>
      </c>
      <c r="BG316">
        <f>BE316*TAN(RADIANS(BF316))</f>
        <v/>
      </c>
    </row>
    <row r="317">
      <c r="BE317">
        <f>Base_mundial!C316</f>
        <v/>
      </c>
      <c r="BF317">
        <f>Base_mundial!E316-omega*(e_base-Base_mundial!B316)</f>
        <v/>
      </c>
      <c r="BG317">
        <f>BE317*TAN(RADIANS(BF317))</f>
        <v/>
      </c>
    </row>
    <row r="318">
      <c r="Q318" t="n">
        <v>5.905233452569318</v>
      </c>
      <c r="R318">
        <f>MIN(DEGREES(ATAN(TAN(RADIANS(Parametros!$E$12-omega*e_base))*(Q318/sref)^(Parametros!$B$12-1))),DEGREES(ATAN(TAN(RADIANS(Parametros!$E$13-omega*e_base))*(Q318/sref)^(Parametros!$B$13-1))),DEGREES(ATAN(TAN(RADIANS(Parametros!$E$14-omega*e_base))*(Q318/sref)^(Parametros!$B$14-1))),DEGREES(ATAN(TAN(RADIANS(Parametros!$E$15-omega*e_base))*(Q318/sref)^(Parametros!$B$15-1))),DEGREES(ATAN(TAN(RADIANS(Parametros!$E$16-omega*e_base))*(Q318/sref)^(Parametros!$B$16-1))))</f>
        <v/>
      </c>
      <c r="T318" t="n">
        <v>9.327100591715975</v>
      </c>
      <c r="U318">
        <f>T318*TAN(RADIANS(MIN(DEGREES(ATAN(TAN(RADIANS(Parametros!$E$12-omega*e_base))*(T318/sref)^(Parametros!$B$12-1))),DEGREES(ATAN(TAN(RADIANS(Parametros!$E$13-omega*e_base))*(T318/sref)^(Parametros!$B$13-1))),DEGREES(ATAN(TAN(RADIANS(Parametros!$E$14-omega*e_base))*(T318/sref)^(Parametros!$B$14-1))),DEGREES(ATAN(TAN(RADIANS(Parametros!$E$15-omega*e_base))*(T318/sref)^(Parametros!$B$15-1))),DEGREES(ATAN(TAN(RADIANS(Parametros!$E$16-omega*e_base))*(T318/sref)^(Parametros!$B$16-1))))))</f>
        <v/>
      </c>
      <c r="BE318">
        <f>Base_mundial!C317</f>
        <v/>
      </c>
      <c r="BF318">
        <f>Base_mundial!E317-omega*(e_base-Base_mundial!B317)</f>
        <v/>
      </c>
      <c r="BG318">
        <f>BE318*TAN(RADIANS(BF318))</f>
        <v/>
      </c>
    </row>
    <row r="319">
      <c r="Q319" t="n">
        <v>5.905233452569318</v>
      </c>
      <c r="R319">
        <f>MAX(DEGREES(ATAN(TAN(RADIANS(Parametros!$F$12-omega*e_base))*(Q319/sref)^(Parametros!$B$12-1))),DEGREES(ATAN(TAN(RADIANS(Parametros!$F$13-omega*e_base))*(Q319/sref)^(Parametros!$B$13-1))),DEGREES(ATAN(TAN(RADIANS(Parametros!$F$14-omega*e_base))*(Q319/sref)^(Parametros!$B$14-1))),DEGREES(ATAN(TAN(RADIANS(Parametros!$F$15-omega*e_base))*(Q319/sref)^(Parametros!$B$15-1))),DEGREES(ATAN(TAN(RADIANS(Parametros!$F$16-omega*e_base))*(Q319/sref)^(Parametros!$B$16-1))))</f>
        <v/>
      </c>
      <c r="T319" t="n">
        <v>9.327100591715975</v>
      </c>
      <c r="U319">
        <f>T319*TAN(RADIANS(MAX(DEGREES(ATAN(TAN(RADIANS(Parametros!$F$12-omega*e_base))*(T319/sref)^(Parametros!$B$12-1))),DEGREES(ATAN(TAN(RADIANS(Parametros!$F$13-omega*e_base))*(T319/sref)^(Parametros!$B$13-1))),DEGREES(ATAN(TAN(RADIANS(Parametros!$F$14-omega*e_base))*(T319/sref)^(Parametros!$B$14-1))),DEGREES(ATAN(TAN(RADIANS(Parametros!$F$15-omega*e_base))*(T319/sref)^(Parametros!$B$15-1))),DEGREES(ATAN(TAN(RADIANS(Parametros!$F$16-omega*e_base))*(T319/sref)^(Parametros!$B$16-1))))))</f>
        <v/>
      </c>
      <c r="BE319">
        <f>Base_mundial!C318</f>
        <v/>
      </c>
      <c r="BF319">
        <f>Base_mundial!E318-omega*(e_base-Base_mundial!B318)</f>
        <v/>
      </c>
      <c r="BG319">
        <f>BE319*TAN(RADIANS(BF319))</f>
        <v/>
      </c>
    </row>
    <row r="320">
      <c r="BE320">
        <f>Base_mundial!C319</f>
        <v/>
      </c>
      <c r="BF320">
        <f>Base_mundial!E319-omega*(e_base-Base_mundial!B319)</f>
        <v/>
      </c>
      <c r="BG320">
        <f>BE320*TAN(RADIANS(BF320))</f>
        <v/>
      </c>
    </row>
    <row r="321">
      <c r="Q321" t="n">
        <v>6.139118208892713</v>
      </c>
      <c r="R321">
        <f>MIN(DEGREES(ATAN(TAN(RADIANS(Parametros!$E$12-omega*e_base))*(Q321/sref)^(Parametros!$B$12-1))),DEGREES(ATAN(TAN(RADIANS(Parametros!$E$13-omega*e_base))*(Q321/sref)^(Parametros!$B$13-1))),DEGREES(ATAN(TAN(RADIANS(Parametros!$E$14-omega*e_base))*(Q321/sref)^(Parametros!$B$14-1))),DEGREES(ATAN(TAN(RADIANS(Parametros!$E$15-omega*e_base))*(Q321/sref)^(Parametros!$B$15-1))),DEGREES(ATAN(TAN(RADIANS(Parametros!$E$16-omega*e_base))*(Q321/sref)^(Parametros!$B$16-1))))</f>
        <v/>
      </c>
      <c r="T321" t="n">
        <v>9.415739644970413</v>
      </c>
      <c r="U321">
        <f>T321*TAN(RADIANS(MIN(DEGREES(ATAN(TAN(RADIANS(Parametros!$E$12-omega*e_base))*(T321/sref)^(Parametros!$B$12-1))),DEGREES(ATAN(TAN(RADIANS(Parametros!$E$13-omega*e_base))*(T321/sref)^(Parametros!$B$13-1))),DEGREES(ATAN(TAN(RADIANS(Parametros!$E$14-omega*e_base))*(T321/sref)^(Parametros!$B$14-1))),DEGREES(ATAN(TAN(RADIANS(Parametros!$E$15-omega*e_base))*(T321/sref)^(Parametros!$B$15-1))),DEGREES(ATAN(TAN(RADIANS(Parametros!$E$16-omega*e_base))*(T321/sref)^(Parametros!$B$16-1))))))</f>
        <v/>
      </c>
      <c r="BE321">
        <f>Base_mundial!C320</f>
        <v/>
      </c>
      <c r="BF321">
        <f>Base_mundial!E320-omega*(e_base-Base_mundial!B320)</f>
        <v/>
      </c>
      <c r="BG321">
        <f>BE321*TAN(RADIANS(BF321))</f>
        <v/>
      </c>
    </row>
    <row r="322">
      <c r="Q322" t="n">
        <v>6.139118208892713</v>
      </c>
      <c r="R322">
        <f>MAX(DEGREES(ATAN(TAN(RADIANS(Parametros!$F$12-omega*e_base))*(Q322/sref)^(Parametros!$B$12-1))),DEGREES(ATAN(TAN(RADIANS(Parametros!$F$13-omega*e_base))*(Q322/sref)^(Parametros!$B$13-1))),DEGREES(ATAN(TAN(RADIANS(Parametros!$F$14-omega*e_base))*(Q322/sref)^(Parametros!$B$14-1))),DEGREES(ATAN(TAN(RADIANS(Parametros!$F$15-omega*e_base))*(Q322/sref)^(Parametros!$B$15-1))),DEGREES(ATAN(TAN(RADIANS(Parametros!$F$16-omega*e_base))*(Q322/sref)^(Parametros!$B$16-1))))</f>
        <v/>
      </c>
      <c r="T322" t="n">
        <v>9.415739644970413</v>
      </c>
      <c r="U322">
        <f>T322*TAN(RADIANS(MAX(DEGREES(ATAN(TAN(RADIANS(Parametros!$F$12-omega*e_base))*(T322/sref)^(Parametros!$B$12-1))),DEGREES(ATAN(TAN(RADIANS(Parametros!$F$13-omega*e_base))*(T322/sref)^(Parametros!$B$13-1))),DEGREES(ATAN(TAN(RADIANS(Parametros!$F$14-omega*e_base))*(T322/sref)^(Parametros!$B$14-1))),DEGREES(ATAN(TAN(RADIANS(Parametros!$F$15-omega*e_base))*(T322/sref)^(Parametros!$B$15-1))),DEGREES(ATAN(TAN(RADIANS(Parametros!$F$16-omega*e_base))*(T322/sref)^(Parametros!$B$16-1))))))</f>
        <v/>
      </c>
      <c r="BE322">
        <f>Base_mundial!C321</f>
        <v/>
      </c>
      <c r="BF322">
        <f>Base_mundial!E321-omega*(e_base-Base_mundial!B321)</f>
        <v/>
      </c>
      <c r="BG322">
        <f>BE322*TAN(RADIANS(BF322))</f>
        <v/>
      </c>
    </row>
    <row r="323">
      <c r="BE323">
        <f>Base_mundial!C322</f>
        <v/>
      </c>
      <c r="BF323">
        <f>Base_mundial!E322-omega*(e_base-Base_mundial!B322)</f>
        <v/>
      </c>
      <c r="BG323">
        <f>BE323*TAN(RADIANS(BF323))</f>
        <v/>
      </c>
    </row>
    <row r="324">
      <c r="Q324" t="n">
        <v>6.38226628726422</v>
      </c>
      <c r="R324">
        <f>MIN(DEGREES(ATAN(TAN(RADIANS(Parametros!$E$12-omega*e_base))*(Q324/sref)^(Parametros!$B$12-1))),DEGREES(ATAN(TAN(RADIANS(Parametros!$E$13-omega*e_base))*(Q324/sref)^(Parametros!$B$13-1))),DEGREES(ATAN(TAN(RADIANS(Parametros!$E$14-omega*e_base))*(Q324/sref)^(Parametros!$B$14-1))),DEGREES(ATAN(TAN(RADIANS(Parametros!$E$15-omega*e_base))*(Q324/sref)^(Parametros!$B$15-1))),DEGREES(ATAN(TAN(RADIANS(Parametros!$E$16-omega*e_base))*(Q324/sref)^(Parametros!$B$16-1))))</f>
        <v/>
      </c>
      <c r="T324" t="n">
        <v>9.504378698224851</v>
      </c>
      <c r="U324">
        <f>T324*TAN(RADIANS(MIN(DEGREES(ATAN(TAN(RADIANS(Parametros!$E$12-omega*e_base))*(T324/sref)^(Parametros!$B$12-1))),DEGREES(ATAN(TAN(RADIANS(Parametros!$E$13-omega*e_base))*(T324/sref)^(Parametros!$B$13-1))),DEGREES(ATAN(TAN(RADIANS(Parametros!$E$14-omega*e_base))*(T324/sref)^(Parametros!$B$14-1))),DEGREES(ATAN(TAN(RADIANS(Parametros!$E$15-omega*e_base))*(T324/sref)^(Parametros!$B$15-1))),DEGREES(ATAN(TAN(RADIANS(Parametros!$E$16-omega*e_base))*(T324/sref)^(Parametros!$B$16-1))))))</f>
        <v/>
      </c>
      <c r="BE324">
        <f>Base_mundial!C323</f>
        <v/>
      </c>
      <c r="BF324">
        <f>Base_mundial!E323-omega*(e_base-Base_mundial!B323)</f>
        <v/>
      </c>
      <c r="BG324">
        <f>BE324*TAN(RADIANS(BF324))</f>
        <v/>
      </c>
    </row>
    <row r="325">
      <c r="Q325" t="n">
        <v>6.38226628726422</v>
      </c>
      <c r="R325">
        <f>MAX(DEGREES(ATAN(TAN(RADIANS(Parametros!$F$12-omega*e_base))*(Q325/sref)^(Parametros!$B$12-1))),DEGREES(ATAN(TAN(RADIANS(Parametros!$F$13-omega*e_base))*(Q325/sref)^(Parametros!$B$13-1))),DEGREES(ATAN(TAN(RADIANS(Parametros!$F$14-omega*e_base))*(Q325/sref)^(Parametros!$B$14-1))),DEGREES(ATAN(TAN(RADIANS(Parametros!$F$15-omega*e_base))*(Q325/sref)^(Parametros!$B$15-1))),DEGREES(ATAN(TAN(RADIANS(Parametros!$F$16-omega*e_base))*(Q325/sref)^(Parametros!$B$16-1))))</f>
        <v/>
      </c>
      <c r="T325" t="n">
        <v>9.504378698224851</v>
      </c>
      <c r="U325">
        <f>T325*TAN(RADIANS(MAX(DEGREES(ATAN(TAN(RADIANS(Parametros!$F$12-omega*e_base))*(T325/sref)^(Parametros!$B$12-1))),DEGREES(ATAN(TAN(RADIANS(Parametros!$F$13-omega*e_base))*(T325/sref)^(Parametros!$B$13-1))),DEGREES(ATAN(TAN(RADIANS(Parametros!$F$14-omega*e_base))*(T325/sref)^(Parametros!$B$14-1))),DEGREES(ATAN(TAN(RADIANS(Parametros!$F$15-omega*e_base))*(T325/sref)^(Parametros!$B$15-1))),DEGREES(ATAN(TAN(RADIANS(Parametros!$F$16-omega*e_base))*(T325/sref)^(Parametros!$B$16-1))))))</f>
        <v/>
      </c>
      <c r="BE325">
        <f>Base_mundial!C324</f>
        <v/>
      </c>
      <c r="BF325">
        <f>Base_mundial!E324-omega*(e_base-Base_mundial!B324)</f>
        <v/>
      </c>
      <c r="BG325">
        <f>BE325*TAN(RADIANS(BF325))</f>
        <v/>
      </c>
    </row>
    <row r="326">
      <c r="BE326">
        <f>Base_mundial!C325</f>
        <v/>
      </c>
      <c r="BF326">
        <f>Base_mundial!E325-omega*(e_base-Base_mundial!B325)</f>
        <v/>
      </c>
      <c r="BG326">
        <f>BE326*TAN(RADIANS(BF326))</f>
        <v/>
      </c>
    </row>
    <row r="327">
      <c r="Q327" t="n">
        <v>6.635044574080018</v>
      </c>
      <c r="R327">
        <f>MIN(DEGREES(ATAN(TAN(RADIANS(Parametros!$E$12-omega*e_base))*(Q327/sref)^(Parametros!$B$12-1))),DEGREES(ATAN(TAN(RADIANS(Parametros!$E$13-omega*e_base))*(Q327/sref)^(Parametros!$B$13-1))),DEGREES(ATAN(TAN(RADIANS(Parametros!$E$14-omega*e_base))*(Q327/sref)^(Parametros!$B$14-1))),DEGREES(ATAN(TAN(RADIANS(Parametros!$E$15-omega*e_base))*(Q327/sref)^(Parametros!$B$15-1))),DEGREES(ATAN(TAN(RADIANS(Parametros!$E$16-omega*e_base))*(Q327/sref)^(Parametros!$B$16-1))))</f>
        <v/>
      </c>
      <c r="T327" t="n">
        <v>9.593017751479289</v>
      </c>
      <c r="U327">
        <f>T327*TAN(RADIANS(MIN(DEGREES(ATAN(TAN(RADIANS(Parametros!$E$12-omega*e_base))*(T327/sref)^(Parametros!$B$12-1))),DEGREES(ATAN(TAN(RADIANS(Parametros!$E$13-omega*e_base))*(T327/sref)^(Parametros!$B$13-1))),DEGREES(ATAN(TAN(RADIANS(Parametros!$E$14-omega*e_base))*(T327/sref)^(Parametros!$B$14-1))),DEGREES(ATAN(TAN(RADIANS(Parametros!$E$15-omega*e_base))*(T327/sref)^(Parametros!$B$15-1))),DEGREES(ATAN(TAN(RADIANS(Parametros!$E$16-omega*e_base))*(T327/sref)^(Parametros!$B$16-1))))))</f>
        <v/>
      </c>
      <c r="BE327">
        <f>Base_mundial!C326</f>
        <v/>
      </c>
      <c r="BF327">
        <f>Base_mundial!E326-omega*(e_base-Base_mundial!B326)</f>
        <v/>
      </c>
      <c r="BG327">
        <f>BE327*TAN(RADIANS(BF327))</f>
        <v/>
      </c>
    </row>
    <row r="328">
      <c r="Q328" t="n">
        <v>6.635044574080018</v>
      </c>
      <c r="R328">
        <f>MAX(DEGREES(ATAN(TAN(RADIANS(Parametros!$F$12-omega*e_base))*(Q328/sref)^(Parametros!$B$12-1))),DEGREES(ATAN(TAN(RADIANS(Parametros!$F$13-omega*e_base))*(Q328/sref)^(Parametros!$B$13-1))),DEGREES(ATAN(TAN(RADIANS(Parametros!$F$14-omega*e_base))*(Q328/sref)^(Parametros!$B$14-1))),DEGREES(ATAN(TAN(RADIANS(Parametros!$F$15-omega*e_base))*(Q328/sref)^(Parametros!$B$15-1))),DEGREES(ATAN(TAN(RADIANS(Parametros!$F$16-omega*e_base))*(Q328/sref)^(Parametros!$B$16-1))))</f>
        <v/>
      </c>
      <c r="T328" t="n">
        <v>9.593017751479289</v>
      </c>
      <c r="U328">
        <f>T328*TAN(RADIANS(MAX(DEGREES(ATAN(TAN(RADIANS(Parametros!$F$12-omega*e_base))*(T328/sref)^(Parametros!$B$12-1))),DEGREES(ATAN(TAN(RADIANS(Parametros!$F$13-omega*e_base))*(T328/sref)^(Parametros!$B$13-1))),DEGREES(ATAN(TAN(RADIANS(Parametros!$F$14-omega*e_base))*(T328/sref)^(Parametros!$B$14-1))),DEGREES(ATAN(TAN(RADIANS(Parametros!$F$15-omega*e_base))*(T328/sref)^(Parametros!$B$15-1))),DEGREES(ATAN(TAN(RADIANS(Parametros!$F$16-omega*e_base))*(T328/sref)^(Parametros!$B$16-1))))))</f>
        <v/>
      </c>
      <c r="BE328">
        <f>Base_mundial!C327</f>
        <v/>
      </c>
      <c r="BF328">
        <f>Base_mundial!E327-omega*(e_base-Base_mundial!B327)</f>
        <v/>
      </c>
      <c r="BG328">
        <f>BE328*TAN(RADIANS(BF328))</f>
        <v/>
      </c>
    </row>
    <row r="329">
      <c r="BE329">
        <f>Base_mundial!C328</f>
        <v/>
      </c>
      <c r="BF329">
        <f>Base_mundial!E328-omega*(e_base-Base_mundial!B328)</f>
        <v/>
      </c>
      <c r="BG329">
        <f>BE329*TAN(RADIANS(BF329))</f>
        <v/>
      </c>
    </row>
    <row r="330">
      <c r="Q330" t="n">
        <v>6.89783448676812</v>
      </c>
      <c r="R330">
        <f>MIN(DEGREES(ATAN(TAN(RADIANS(Parametros!$E$12-omega*e_base))*(Q330/sref)^(Parametros!$B$12-1))),DEGREES(ATAN(TAN(RADIANS(Parametros!$E$13-omega*e_base))*(Q330/sref)^(Parametros!$B$13-1))),DEGREES(ATAN(TAN(RADIANS(Parametros!$E$14-omega*e_base))*(Q330/sref)^(Parametros!$B$14-1))),DEGREES(ATAN(TAN(RADIANS(Parametros!$E$15-omega*e_base))*(Q330/sref)^(Parametros!$B$15-1))),DEGREES(ATAN(TAN(RADIANS(Parametros!$E$16-omega*e_base))*(Q330/sref)^(Parametros!$B$16-1))))</f>
        <v/>
      </c>
      <c r="T330" t="n">
        <v>9.681656804733727</v>
      </c>
      <c r="U330">
        <f>T330*TAN(RADIANS(MIN(DEGREES(ATAN(TAN(RADIANS(Parametros!$E$12-omega*e_base))*(T330/sref)^(Parametros!$B$12-1))),DEGREES(ATAN(TAN(RADIANS(Parametros!$E$13-omega*e_base))*(T330/sref)^(Parametros!$B$13-1))),DEGREES(ATAN(TAN(RADIANS(Parametros!$E$14-omega*e_base))*(T330/sref)^(Parametros!$B$14-1))),DEGREES(ATAN(TAN(RADIANS(Parametros!$E$15-omega*e_base))*(T330/sref)^(Parametros!$B$15-1))),DEGREES(ATAN(TAN(RADIANS(Parametros!$E$16-omega*e_base))*(T330/sref)^(Parametros!$B$16-1))))))</f>
        <v/>
      </c>
      <c r="BE330">
        <f>Base_mundial!C329</f>
        <v/>
      </c>
      <c r="BF330">
        <f>Base_mundial!E329-omega*(e_base-Base_mundial!B329)</f>
        <v/>
      </c>
      <c r="BG330">
        <f>BE330*TAN(RADIANS(BF330))</f>
        <v/>
      </c>
    </row>
    <row r="331">
      <c r="Q331" t="n">
        <v>6.89783448676812</v>
      </c>
      <c r="R331">
        <f>MAX(DEGREES(ATAN(TAN(RADIANS(Parametros!$F$12-omega*e_base))*(Q331/sref)^(Parametros!$B$12-1))),DEGREES(ATAN(TAN(RADIANS(Parametros!$F$13-omega*e_base))*(Q331/sref)^(Parametros!$B$13-1))),DEGREES(ATAN(TAN(RADIANS(Parametros!$F$14-omega*e_base))*(Q331/sref)^(Parametros!$B$14-1))),DEGREES(ATAN(TAN(RADIANS(Parametros!$F$15-omega*e_base))*(Q331/sref)^(Parametros!$B$15-1))),DEGREES(ATAN(TAN(RADIANS(Parametros!$F$16-omega*e_base))*(Q331/sref)^(Parametros!$B$16-1))))</f>
        <v/>
      </c>
      <c r="T331" t="n">
        <v>9.681656804733727</v>
      </c>
      <c r="U331">
        <f>T331*TAN(RADIANS(MAX(DEGREES(ATAN(TAN(RADIANS(Parametros!$F$12-omega*e_base))*(T331/sref)^(Parametros!$B$12-1))),DEGREES(ATAN(TAN(RADIANS(Parametros!$F$13-omega*e_base))*(T331/sref)^(Parametros!$B$13-1))),DEGREES(ATAN(TAN(RADIANS(Parametros!$F$14-omega*e_base))*(T331/sref)^(Parametros!$B$14-1))),DEGREES(ATAN(TAN(RADIANS(Parametros!$F$15-omega*e_base))*(T331/sref)^(Parametros!$B$15-1))),DEGREES(ATAN(TAN(RADIANS(Parametros!$F$16-omega*e_base))*(T331/sref)^(Parametros!$B$16-1))))))</f>
        <v/>
      </c>
      <c r="BE331">
        <f>Base_mundial!C330</f>
        <v/>
      </c>
      <c r="BF331">
        <f>Base_mundial!E330-omega*(e_base-Base_mundial!B330)</f>
        <v/>
      </c>
      <c r="BG331">
        <f>BE331*TAN(RADIANS(BF331))</f>
        <v/>
      </c>
    </row>
    <row r="332">
      <c r="BE332">
        <f>Base_mundial!C331</f>
        <v/>
      </c>
      <c r="BF332">
        <f>Base_mundial!E331-omega*(e_base-Base_mundial!B331)</f>
        <v/>
      </c>
      <c r="BG332">
        <f>BE332*TAN(RADIANS(BF332))</f>
        <v/>
      </c>
    </row>
    <row r="333">
      <c r="Q333" t="n">
        <v>7.171032549309565</v>
      </c>
      <c r="R333">
        <f>MIN(DEGREES(ATAN(TAN(RADIANS(Parametros!$E$12-omega*e_base))*(Q333/sref)^(Parametros!$B$12-1))),DEGREES(ATAN(TAN(RADIANS(Parametros!$E$13-omega*e_base))*(Q333/sref)^(Parametros!$B$13-1))),DEGREES(ATAN(TAN(RADIANS(Parametros!$E$14-omega*e_base))*(Q333/sref)^(Parametros!$B$14-1))),DEGREES(ATAN(TAN(RADIANS(Parametros!$E$15-omega*e_base))*(Q333/sref)^(Parametros!$B$15-1))),DEGREES(ATAN(TAN(RADIANS(Parametros!$E$16-omega*e_base))*(Q333/sref)^(Parametros!$B$16-1))))</f>
        <v/>
      </c>
      <c r="T333" t="n">
        <v>9.770295857988165</v>
      </c>
      <c r="U333">
        <f>T333*TAN(RADIANS(MIN(DEGREES(ATAN(TAN(RADIANS(Parametros!$E$12-omega*e_base))*(T333/sref)^(Parametros!$B$12-1))),DEGREES(ATAN(TAN(RADIANS(Parametros!$E$13-omega*e_base))*(T333/sref)^(Parametros!$B$13-1))),DEGREES(ATAN(TAN(RADIANS(Parametros!$E$14-omega*e_base))*(T333/sref)^(Parametros!$B$14-1))),DEGREES(ATAN(TAN(RADIANS(Parametros!$E$15-omega*e_base))*(T333/sref)^(Parametros!$B$15-1))),DEGREES(ATAN(TAN(RADIANS(Parametros!$E$16-omega*e_base))*(T333/sref)^(Parametros!$B$16-1))))))</f>
        <v/>
      </c>
      <c r="BE333">
        <f>Base_mundial!C332</f>
        <v/>
      </c>
      <c r="BF333">
        <f>Base_mundial!E332-omega*(e_base-Base_mundial!B332)</f>
        <v/>
      </c>
      <c r="BG333">
        <f>BE333*TAN(RADIANS(BF333))</f>
        <v/>
      </c>
    </row>
    <row r="334">
      <c r="Q334" t="n">
        <v>7.171032549309565</v>
      </c>
      <c r="R334">
        <f>MAX(DEGREES(ATAN(TAN(RADIANS(Parametros!$F$12-omega*e_base))*(Q334/sref)^(Parametros!$B$12-1))),DEGREES(ATAN(TAN(RADIANS(Parametros!$F$13-omega*e_base))*(Q334/sref)^(Parametros!$B$13-1))),DEGREES(ATAN(TAN(RADIANS(Parametros!$F$14-omega*e_base))*(Q334/sref)^(Parametros!$B$14-1))),DEGREES(ATAN(TAN(RADIANS(Parametros!$F$15-omega*e_base))*(Q334/sref)^(Parametros!$B$15-1))),DEGREES(ATAN(TAN(RADIANS(Parametros!$F$16-omega*e_base))*(Q334/sref)^(Parametros!$B$16-1))))</f>
        <v/>
      </c>
      <c r="T334" t="n">
        <v>9.770295857988165</v>
      </c>
      <c r="U334">
        <f>T334*TAN(RADIANS(MAX(DEGREES(ATAN(TAN(RADIANS(Parametros!$F$12-omega*e_base))*(T334/sref)^(Parametros!$B$12-1))),DEGREES(ATAN(TAN(RADIANS(Parametros!$F$13-omega*e_base))*(T334/sref)^(Parametros!$B$13-1))),DEGREES(ATAN(TAN(RADIANS(Parametros!$F$14-omega*e_base))*(T334/sref)^(Parametros!$B$14-1))),DEGREES(ATAN(TAN(RADIANS(Parametros!$F$15-omega*e_base))*(T334/sref)^(Parametros!$B$15-1))),DEGREES(ATAN(TAN(RADIANS(Parametros!$F$16-omega*e_base))*(T334/sref)^(Parametros!$B$16-1))))))</f>
        <v/>
      </c>
      <c r="BE334">
        <f>Base_mundial!C333</f>
        <v/>
      </c>
      <c r="BF334">
        <f>Base_mundial!E333-omega*(e_base-Base_mundial!B333)</f>
        <v/>
      </c>
      <c r="BG334">
        <f>BE334*TAN(RADIANS(BF334))</f>
        <v/>
      </c>
    </row>
    <row r="335">
      <c r="BE335">
        <f>Base_mundial!C334</f>
        <v/>
      </c>
      <c r="BF335">
        <f>Base_mundial!E334-omega*(e_base-Base_mundial!B334)</f>
        <v/>
      </c>
      <c r="BG335">
        <f>BE335*TAN(RADIANS(BF335))</f>
        <v/>
      </c>
    </row>
    <row r="336">
      <c r="Q336" t="n">
        <v>7.455050990553856</v>
      </c>
      <c r="R336">
        <f>MIN(DEGREES(ATAN(TAN(RADIANS(Parametros!$E$12-omega*e_base))*(Q336/sref)^(Parametros!$B$12-1))),DEGREES(ATAN(TAN(RADIANS(Parametros!$E$13-omega*e_base))*(Q336/sref)^(Parametros!$B$13-1))),DEGREES(ATAN(TAN(RADIANS(Parametros!$E$14-omega*e_base))*(Q336/sref)^(Parametros!$B$14-1))),DEGREES(ATAN(TAN(RADIANS(Parametros!$E$15-omega*e_base))*(Q336/sref)^(Parametros!$B$15-1))),DEGREES(ATAN(TAN(RADIANS(Parametros!$E$16-omega*e_base))*(Q336/sref)^(Parametros!$B$16-1))))</f>
        <v/>
      </c>
      <c r="T336" t="n">
        <v>9.858934911242603</v>
      </c>
      <c r="U336">
        <f>T336*TAN(RADIANS(MIN(DEGREES(ATAN(TAN(RADIANS(Parametros!$E$12-omega*e_base))*(T336/sref)^(Parametros!$B$12-1))),DEGREES(ATAN(TAN(RADIANS(Parametros!$E$13-omega*e_base))*(T336/sref)^(Parametros!$B$13-1))),DEGREES(ATAN(TAN(RADIANS(Parametros!$E$14-omega*e_base))*(T336/sref)^(Parametros!$B$14-1))),DEGREES(ATAN(TAN(RADIANS(Parametros!$E$15-omega*e_base))*(T336/sref)^(Parametros!$B$15-1))),DEGREES(ATAN(TAN(RADIANS(Parametros!$E$16-omega*e_base))*(T336/sref)^(Parametros!$B$16-1))))))</f>
        <v/>
      </c>
      <c r="BE336">
        <f>Base_mundial!C335</f>
        <v/>
      </c>
      <c r="BF336">
        <f>Base_mundial!E335-omega*(e_base-Base_mundial!B335)</f>
        <v/>
      </c>
      <c r="BG336">
        <f>BE336*TAN(RADIANS(BF336))</f>
        <v/>
      </c>
    </row>
    <row r="337">
      <c r="Q337" t="n">
        <v>7.455050990553856</v>
      </c>
      <c r="R337">
        <f>MAX(DEGREES(ATAN(TAN(RADIANS(Parametros!$F$12-omega*e_base))*(Q337/sref)^(Parametros!$B$12-1))),DEGREES(ATAN(TAN(RADIANS(Parametros!$F$13-omega*e_base))*(Q337/sref)^(Parametros!$B$13-1))),DEGREES(ATAN(TAN(RADIANS(Parametros!$F$14-omega*e_base))*(Q337/sref)^(Parametros!$B$14-1))),DEGREES(ATAN(TAN(RADIANS(Parametros!$F$15-omega*e_base))*(Q337/sref)^(Parametros!$B$15-1))),DEGREES(ATAN(TAN(RADIANS(Parametros!$F$16-omega*e_base))*(Q337/sref)^(Parametros!$B$16-1))))</f>
        <v/>
      </c>
      <c r="T337" t="n">
        <v>9.858934911242603</v>
      </c>
      <c r="U337">
        <f>T337*TAN(RADIANS(MAX(DEGREES(ATAN(TAN(RADIANS(Parametros!$F$12-omega*e_base))*(T337/sref)^(Parametros!$B$12-1))),DEGREES(ATAN(TAN(RADIANS(Parametros!$F$13-omega*e_base))*(T337/sref)^(Parametros!$B$13-1))),DEGREES(ATAN(TAN(RADIANS(Parametros!$F$14-omega*e_base))*(T337/sref)^(Parametros!$B$14-1))),DEGREES(ATAN(TAN(RADIANS(Parametros!$F$15-omega*e_base))*(T337/sref)^(Parametros!$B$15-1))),DEGREES(ATAN(TAN(RADIANS(Parametros!$F$16-omega*e_base))*(T337/sref)^(Parametros!$B$16-1))))))</f>
        <v/>
      </c>
      <c r="BE337">
        <f>Base_mundial!C336</f>
        <v/>
      </c>
      <c r="BF337">
        <f>Base_mundial!E336-omega*(e_base-Base_mundial!B336)</f>
        <v/>
      </c>
      <c r="BG337">
        <f>BE337*TAN(RADIANS(BF337))</f>
        <v/>
      </c>
    </row>
    <row r="338">
      <c r="BE338">
        <f>Base_mundial!C337</f>
        <v/>
      </c>
      <c r="BF338">
        <f>Base_mundial!E337-omega*(e_base-Base_mundial!B337)</f>
        <v/>
      </c>
      <c r="BG338">
        <f>BE338*TAN(RADIANS(BF338))</f>
        <v/>
      </c>
    </row>
    <row r="339">
      <c r="Q339" t="n">
        <v>7.750318366231533</v>
      </c>
      <c r="R339">
        <f>MIN(DEGREES(ATAN(TAN(RADIANS(Parametros!$E$12-omega*e_base))*(Q339/sref)^(Parametros!$B$12-1))),DEGREES(ATAN(TAN(RADIANS(Parametros!$E$13-omega*e_base))*(Q339/sref)^(Parametros!$B$13-1))),DEGREES(ATAN(TAN(RADIANS(Parametros!$E$14-omega*e_base))*(Q339/sref)^(Parametros!$B$14-1))),DEGREES(ATAN(TAN(RADIANS(Parametros!$E$15-omega*e_base))*(Q339/sref)^(Parametros!$B$15-1))),DEGREES(ATAN(TAN(RADIANS(Parametros!$E$16-omega*e_base))*(Q339/sref)^(Parametros!$B$16-1))))</f>
        <v/>
      </c>
      <c r="T339" t="n">
        <v>9.947573964497041</v>
      </c>
      <c r="U339">
        <f>T339*TAN(RADIANS(MIN(DEGREES(ATAN(TAN(RADIANS(Parametros!$E$12-omega*e_base))*(T339/sref)^(Parametros!$B$12-1))),DEGREES(ATAN(TAN(RADIANS(Parametros!$E$13-omega*e_base))*(T339/sref)^(Parametros!$B$13-1))),DEGREES(ATAN(TAN(RADIANS(Parametros!$E$14-omega*e_base))*(T339/sref)^(Parametros!$B$14-1))),DEGREES(ATAN(TAN(RADIANS(Parametros!$E$15-omega*e_base))*(T339/sref)^(Parametros!$B$15-1))),DEGREES(ATAN(TAN(RADIANS(Parametros!$E$16-omega*e_base))*(T339/sref)^(Parametros!$B$16-1))))))</f>
        <v/>
      </c>
      <c r="BE339">
        <f>Base_mundial!C338</f>
        <v/>
      </c>
      <c r="BF339">
        <f>Base_mundial!E338-omega*(e_base-Base_mundial!B338)</f>
        <v/>
      </c>
      <c r="BG339">
        <f>BE339*TAN(RADIANS(BF339))</f>
        <v/>
      </c>
    </row>
    <row r="340">
      <c r="Q340" t="n">
        <v>7.750318366231533</v>
      </c>
      <c r="R340">
        <f>MAX(DEGREES(ATAN(TAN(RADIANS(Parametros!$F$12-omega*e_base))*(Q340/sref)^(Parametros!$B$12-1))),DEGREES(ATAN(TAN(RADIANS(Parametros!$F$13-omega*e_base))*(Q340/sref)^(Parametros!$B$13-1))),DEGREES(ATAN(TAN(RADIANS(Parametros!$F$14-omega*e_base))*(Q340/sref)^(Parametros!$B$14-1))),DEGREES(ATAN(TAN(RADIANS(Parametros!$F$15-omega*e_base))*(Q340/sref)^(Parametros!$B$15-1))),DEGREES(ATAN(TAN(RADIANS(Parametros!$F$16-omega*e_base))*(Q340/sref)^(Parametros!$B$16-1))))</f>
        <v/>
      </c>
      <c r="T340" t="n">
        <v>9.947573964497041</v>
      </c>
      <c r="U340">
        <f>T340*TAN(RADIANS(MAX(DEGREES(ATAN(TAN(RADIANS(Parametros!$F$12-omega*e_base))*(T340/sref)^(Parametros!$B$12-1))),DEGREES(ATAN(TAN(RADIANS(Parametros!$F$13-omega*e_base))*(T340/sref)^(Parametros!$B$13-1))),DEGREES(ATAN(TAN(RADIANS(Parametros!$F$14-omega*e_base))*(T340/sref)^(Parametros!$B$14-1))),DEGREES(ATAN(TAN(RADIANS(Parametros!$F$15-omega*e_base))*(T340/sref)^(Parametros!$B$15-1))),DEGREES(ATAN(TAN(RADIANS(Parametros!$F$16-omega*e_base))*(T340/sref)^(Parametros!$B$16-1))))))</f>
        <v/>
      </c>
      <c r="BE340">
        <f>Base_mundial!C339</f>
        <v/>
      </c>
      <c r="BF340">
        <f>Base_mundial!E339-omega*(e_base-Base_mundial!B339)</f>
        <v/>
      </c>
      <c r="BG340">
        <f>BE340*TAN(RADIANS(BF340))</f>
        <v/>
      </c>
    </row>
    <row r="341">
      <c r="BE341">
        <f>Base_mundial!C340</f>
        <v/>
      </c>
      <c r="BF341">
        <f>Base_mundial!E340-omega*(e_base-Base_mundial!B340)</f>
        <v/>
      </c>
      <c r="BG341">
        <f>BE341*TAN(RADIANS(BF341))</f>
        <v/>
      </c>
    </row>
    <row r="342">
      <c r="Q342" t="n">
        <v>8.057280205602352</v>
      </c>
      <c r="R342">
        <f>MIN(DEGREES(ATAN(TAN(RADIANS(Parametros!$E$12-omega*e_base))*(Q342/sref)^(Parametros!$B$12-1))),DEGREES(ATAN(TAN(RADIANS(Parametros!$E$13-omega*e_base))*(Q342/sref)^(Parametros!$B$13-1))),DEGREES(ATAN(TAN(RADIANS(Parametros!$E$14-omega*e_base))*(Q342/sref)^(Parametros!$B$14-1))),DEGREES(ATAN(TAN(RADIANS(Parametros!$E$15-omega*e_base))*(Q342/sref)^(Parametros!$B$15-1))),DEGREES(ATAN(TAN(RADIANS(Parametros!$E$16-omega*e_base))*(Q342/sref)^(Parametros!$B$16-1))))</f>
        <v/>
      </c>
      <c r="T342" t="n">
        <v>10.03621301775148</v>
      </c>
      <c r="U342">
        <f>T342*TAN(RADIANS(MIN(DEGREES(ATAN(TAN(RADIANS(Parametros!$E$12-omega*e_base))*(T342/sref)^(Parametros!$B$12-1))),DEGREES(ATAN(TAN(RADIANS(Parametros!$E$13-omega*e_base))*(T342/sref)^(Parametros!$B$13-1))),DEGREES(ATAN(TAN(RADIANS(Parametros!$E$14-omega*e_base))*(T342/sref)^(Parametros!$B$14-1))),DEGREES(ATAN(TAN(RADIANS(Parametros!$E$15-omega*e_base))*(T342/sref)^(Parametros!$B$15-1))),DEGREES(ATAN(TAN(RADIANS(Parametros!$E$16-omega*e_base))*(T342/sref)^(Parametros!$B$16-1))))))</f>
        <v/>
      </c>
      <c r="BE342">
        <f>Base_mundial!C341</f>
        <v/>
      </c>
      <c r="BF342">
        <f>Base_mundial!E341-omega*(e_base-Base_mundial!B341)</f>
        <v/>
      </c>
      <c r="BG342">
        <f>BE342*TAN(RADIANS(BF342))</f>
        <v/>
      </c>
    </row>
    <row r="343">
      <c r="Q343" t="n">
        <v>8.057280205602352</v>
      </c>
      <c r="R343">
        <f>MAX(DEGREES(ATAN(TAN(RADIANS(Parametros!$F$12-omega*e_base))*(Q343/sref)^(Parametros!$B$12-1))),DEGREES(ATAN(TAN(RADIANS(Parametros!$F$13-omega*e_base))*(Q343/sref)^(Parametros!$B$13-1))),DEGREES(ATAN(TAN(RADIANS(Parametros!$F$14-omega*e_base))*(Q343/sref)^(Parametros!$B$14-1))),DEGREES(ATAN(TAN(RADIANS(Parametros!$F$15-omega*e_base))*(Q343/sref)^(Parametros!$B$15-1))),DEGREES(ATAN(TAN(RADIANS(Parametros!$F$16-omega*e_base))*(Q343/sref)^(Parametros!$B$16-1))))</f>
        <v/>
      </c>
      <c r="T343" t="n">
        <v>10.03621301775148</v>
      </c>
      <c r="U343">
        <f>T343*TAN(RADIANS(MAX(DEGREES(ATAN(TAN(RADIANS(Parametros!$F$12-omega*e_base))*(T343/sref)^(Parametros!$B$12-1))),DEGREES(ATAN(TAN(RADIANS(Parametros!$F$13-omega*e_base))*(T343/sref)^(Parametros!$B$13-1))),DEGREES(ATAN(TAN(RADIANS(Parametros!$F$14-omega*e_base))*(T343/sref)^(Parametros!$B$14-1))),DEGREES(ATAN(TAN(RADIANS(Parametros!$F$15-omega*e_base))*(T343/sref)^(Parametros!$B$15-1))),DEGREES(ATAN(TAN(RADIANS(Parametros!$F$16-omega*e_base))*(T343/sref)^(Parametros!$B$16-1))))))</f>
        <v/>
      </c>
      <c r="BE343">
        <f>Base_mundial!C342</f>
        <v/>
      </c>
      <c r="BF343">
        <f>Base_mundial!E342-omega*(e_base-Base_mundial!B342)</f>
        <v/>
      </c>
      <c r="BG343">
        <f>BE343*TAN(RADIANS(BF343))</f>
        <v/>
      </c>
    </row>
    <row r="344">
      <c r="BE344">
        <f>Base_mundial!C343</f>
        <v/>
      </c>
      <c r="BF344">
        <f>Base_mundial!E343-omega*(e_base-Base_mundial!B343)</f>
        <v/>
      </c>
      <c r="BG344">
        <f>BE344*TAN(RADIANS(BF344))</f>
        <v/>
      </c>
    </row>
    <row r="345">
      <c r="Q345" t="n">
        <v>8.37639968371489</v>
      </c>
      <c r="R345">
        <f>MIN(DEGREES(ATAN(TAN(RADIANS(Parametros!$E$12-omega*e_base))*(Q345/sref)^(Parametros!$B$12-1))),DEGREES(ATAN(TAN(RADIANS(Parametros!$E$13-omega*e_base))*(Q345/sref)^(Parametros!$B$13-1))),DEGREES(ATAN(TAN(RADIANS(Parametros!$E$14-omega*e_base))*(Q345/sref)^(Parametros!$B$14-1))),DEGREES(ATAN(TAN(RADIANS(Parametros!$E$15-omega*e_base))*(Q345/sref)^(Parametros!$B$15-1))),DEGREES(ATAN(TAN(RADIANS(Parametros!$E$16-omega*e_base))*(Q345/sref)^(Parametros!$B$16-1))))</f>
        <v/>
      </c>
      <c r="T345" t="n">
        <v>10.12485207100592</v>
      </c>
      <c r="U345">
        <f>T345*TAN(RADIANS(MIN(DEGREES(ATAN(TAN(RADIANS(Parametros!$E$12-omega*e_base))*(T345/sref)^(Parametros!$B$12-1))),DEGREES(ATAN(TAN(RADIANS(Parametros!$E$13-omega*e_base))*(T345/sref)^(Parametros!$B$13-1))),DEGREES(ATAN(TAN(RADIANS(Parametros!$E$14-omega*e_base))*(T345/sref)^(Parametros!$B$14-1))),DEGREES(ATAN(TAN(RADIANS(Parametros!$E$15-omega*e_base))*(T345/sref)^(Parametros!$B$15-1))),DEGREES(ATAN(TAN(RADIANS(Parametros!$E$16-omega*e_base))*(T345/sref)^(Parametros!$B$16-1))))))</f>
        <v/>
      </c>
      <c r="BE345">
        <f>Base_mundial!C344</f>
        <v/>
      </c>
      <c r="BF345">
        <f>Base_mundial!E344-omega*(e_base-Base_mundial!B344)</f>
        <v/>
      </c>
      <c r="BG345">
        <f>BE345*TAN(RADIANS(BF345))</f>
        <v/>
      </c>
    </row>
    <row r="346">
      <c r="Q346" t="n">
        <v>8.37639968371489</v>
      </c>
      <c r="R346">
        <f>MAX(DEGREES(ATAN(TAN(RADIANS(Parametros!$F$12-omega*e_base))*(Q346/sref)^(Parametros!$B$12-1))),DEGREES(ATAN(TAN(RADIANS(Parametros!$F$13-omega*e_base))*(Q346/sref)^(Parametros!$B$13-1))),DEGREES(ATAN(TAN(RADIANS(Parametros!$F$14-omega*e_base))*(Q346/sref)^(Parametros!$B$14-1))),DEGREES(ATAN(TAN(RADIANS(Parametros!$F$15-omega*e_base))*(Q346/sref)^(Parametros!$B$15-1))),DEGREES(ATAN(TAN(RADIANS(Parametros!$F$16-omega*e_base))*(Q346/sref)^(Parametros!$B$16-1))))</f>
        <v/>
      </c>
      <c r="T346" t="n">
        <v>10.12485207100592</v>
      </c>
      <c r="U346">
        <f>T346*TAN(RADIANS(MAX(DEGREES(ATAN(TAN(RADIANS(Parametros!$F$12-omega*e_base))*(T346/sref)^(Parametros!$B$12-1))),DEGREES(ATAN(TAN(RADIANS(Parametros!$F$13-omega*e_base))*(T346/sref)^(Parametros!$B$13-1))),DEGREES(ATAN(TAN(RADIANS(Parametros!$F$14-omega*e_base))*(T346/sref)^(Parametros!$B$14-1))),DEGREES(ATAN(TAN(RADIANS(Parametros!$F$15-omega*e_base))*(T346/sref)^(Parametros!$B$15-1))),DEGREES(ATAN(TAN(RADIANS(Parametros!$F$16-omega*e_base))*(T346/sref)^(Parametros!$B$16-1))))))</f>
        <v/>
      </c>
      <c r="BE346">
        <f>Base_mundial!C345</f>
        <v/>
      </c>
      <c r="BF346">
        <f>Base_mundial!E345-omega*(e_base-Base_mundial!B345)</f>
        <v/>
      </c>
      <c r="BG346">
        <f>BE346*TAN(RADIANS(BF346))</f>
        <v/>
      </c>
    </row>
    <row r="347">
      <c r="BE347">
        <f>Base_mundial!C346</f>
        <v/>
      </c>
      <c r="BF347">
        <f>Base_mundial!E346-omega*(e_base-Base_mundial!B346)</f>
        <v/>
      </c>
      <c r="BG347">
        <f>BE347*TAN(RADIANS(BF347))</f>
        <v/>
      </c>
    </row>
    <row r="348">
      <c r="Q348" t="n">
        <v>8.70815832029184</v>
      </c>
      <c r="R348">
        <f>MIN(DEGREES(ATAN(TAN(RADIANS(Parametros!$E$12-omega*e_base))*(Q348/sref)^(Parametros!$B$12-1))),DEGREES(ATAN(TAN(RADIANS(Parametros!$E$13-omega*e_base))*(Q348/sref)^(Parametros!$B$13-1))),DEGREES(ATAN(TAN(RADIANS(Parametros!$E$14-omega*e_base))*(Q348/sref)^(Parametros!$B$14-1))),DEGREES(ATAN(TAN(RADIANS(Parametros!$E$15-omega*e_base))*(Q348/sref)^(Parametros!$B$15-1))),DEGREES(ATAN(TAN(RADIANS(Parametros!$E$16-omega*e_base))*(Q348/sref)^(Parametros!$B$16-1))))</f>
        <v/>
      </c>
      <c r="T348" t="n">
        <v>10.21349112426035</v>
      </c>
      <c r="U348">
        <f>T348*TAN(RADIANS(MIN(DEGREES(ATAN(TAN(RADIANS(Parametros!$E$12-omega*e_base))*(T348/sref)^(Parametros!$B$12-1))),DEGREES(ATAN(TAN(RADIANS(Parametros!$E$13-omega*e_base))*(T348/sref)^(Parametros!$B$13-1))),DEGREES(ATAN(TAN(RADIANS(Parametros!$E$14-omega*e_base))*(T348/sref)^(Parametros!$B$14-1))),DEGREES(ATAN(TAN(RADIANS(Parametros!$E$15-omega*e_base))*(T348/sref)^(Parametros!$B$15-1))),DEGREES(ATAN(TAN(RADIANS(Parametros!$E$16-omega*e_base))*(T348/sref)^(Parametros!$B$16-1))))))</f>
        <v/>
      </c>
      <c r="BE348">
        <f>Base_mundial!C347</f>
        <v/>
      </c>
      <c r="BF348">
        <f>Base_mundial!E347-omega*(e_base-Base_mundial!B347)</f>
        <v/>
      </c>
      <c r="BG348">
        <f>BE348*TAN(RADIANS(BF348))</f>
        <v/>
      </c>
    </row>
    <row r="349">
      <c r="Q349" t="n">
        <v>8.70815832029184</v>
      </c>
      <c r="R349">
        <f>MAX(DEGREES(ATAN(TAN(RADIANS(Parametros!$F$12-omega*e_base))*(Q349/sref)^(Parametros!$B$12-1))),DEGREES(ATAN(TAN(RADIANS(Parametros!$F$13-omega*e_base))*(Q349/sref)^(Parametros!$B$13-1))),DEGREES(ATAN(TAN(RADIANS(Parametros!$F$14-omega*e_base))*(Q349/sref)^(Parametros!$B$14-1))),DEGREES(ATAN(TAN(RADIANS(Parametros!$F$15-omega*e_base))*(Q349/sref)^(Parametros!$B$15-1))),DEGREES(ATAN(TAN(RADIANS(Parametros!$F$16-omega*e_base))*(Q349/sref)^(Parametros!$B$16-1))))</f>
        <v/>
      </c>
      <c r="T349" t="n">
        <v>10.21349112426035</v>
      </c>
      <c r="U349">
        <f>T349*TAN(RADIANS(MAX(DEGREES(ATAN(TAN(RADIANS(Parametros!$F$12-omega*e_base))*(T349/sref)^(Parametros!$B$12-1))),DEGREES(ATAN(TAN(RADIANS(Parametros!$F$13-omega*e_base))*(T349/sref)^(Parametros!$B$13-1))),DEGREES(ATAN(TAN(RADIANS(Parametros!$F$14-omega*e_base))*(T349/sref)^(Parametros!$B$14-1))),DEGREES(ATAN(TAN(RADIANS(Parametros!$F$15-omega*e_base))*(T349/sref)^(Parametros!$B$15-1))),DEGREES(ATAN(TAN(RADIANS(Parametros!$F$16-omega*e_base))*(T349/sref)^(Parametros!$B$16-1))))))</f>
        <v/>
      </c>
      <c r="BE349">
        <f>Base_mundial!C348</f>
        <v/>
      </c>
      <c r="BF349">
        <f>Base_mundial!E348-omega*(e_base-Base_mundial!B348)</f>
        <v/>
      </c>
      <c r="BG349">
        <f>BE349*TAN(RADIANS(BF349))</f>
        <v/>
      </c>
    </row>
    <row r="350">
      <c r="BE350">
        <f>Base_mundial!C349</f>
        <v/>
      </c>
      <c r="BF350">
        <f>Base_mundial!E349-omega*(e_base-Base_mundial!B349)</f>
        <v/>
      </c>
      <c r="BG350">
        <f>BE350*TAN(RADIANS(BF350))</f>
        <v/>
      </c>
    </row>
    <row r="351">
      <c r="Q351" t="n">
        <v>9.053056706295674</v>
      </c>
      <c r="R351">
        <f>MIN(DEGREES(ATAN(TAN(RADIANS(Parametros!$E$12-omega*e_base))*(Q351/sref)^(Parametros!$B$12-1))),DEGREES(ATAN(TAN(RADIANS(Parametros!$E$13-omega*e_base))*(Q351/sref)^(Parametros!$B$13-1))),DEGREES(ATAN(TAN(RADIANS(Parametros!$E$14-omega*e_base))*(Q351/sref)^(Parametros!$B$14-1))),DEGREES(ATAN(TAN(RADIANS(Parametros!$E$15-omega*e_base))*(Q351/sref)^(Parametros!$B$15-1))),DEGREES(ATAN(TAN(RADIANS(Parametros!$E$16-omega*e_base))*(Q351/sref)^(Parametros!$B$16-1))))</f>
        <v/>
      </c>
      <c r="T351" t="n">
        <v>10.30213017751479</v>
      </c>
      <c r="U351">
        <f>T351*TAN(RADIANS(MIN(DEGREES(ATAN(TAN(RADIANS(Parametros!$E$12-omega*e_base))*(T351/sref)^(Parametros!$B$12-1))),DEGREES(ATAN(TAN(RADIANS(Parametros!$E$13-omega*e_base))*(T351/sref)^(Parametros!$B$13-1))),DEGREES(ATAN(TAN(RADIANS(Parametros!$E$14-omega*e_base))*(T351/sref)^(Parametros!$B$14-1))),DEGREES(ATAN(TAN(RADIANS(Parametros!$E$15-omega*e_base))*(T351/sref)^(Parametros!$B$15-1))),DEGREES(ATAN(TAN(RADIANS(Parametros!$E$16-omega*e_base))*(T351/sref)^(Parametros!$B$16-1))))))</f>
        <v/>
      </c>
      <c r="BE351">
        <f>Base_mundial!C350</f>
        <v/>
      </c>
      <c r="BF351">
        <f>Base_mundial!E350-omega*(e_base-Base_mundial!B350)</f>
        <v/>
      </c>
      <c r="BG351">
        <f>BE351*TAN(RADIANS(BF351))</f>
        <v/>
      </c>
    </row>
    <row r="352">
      <c r="Q352" t="n">
        <v>9.053056706295674</v>
      </c>
      <c r="R352">
        <f>MAX(DEGREES(ATAN(TAN(RADIANS(Parametros!$F$12-omega*e_base))*(Q352/sref)^(Parametros!$B$12-1))),DEGREES(ATAN(TAN(RADIANS(Parametros!$F$13-omega*e_base))*(Q352/sref)^(Parametros!$B$13-1))),DEGREES(ATAN(TAN(RADIANS(Parametros!$F$14-omega*e_base))*(Q352/sref)^(Parametros!$B$14-1))),DEGREES(ATAN(TAN(RADIANS(Parametros!$F$15-omega*e_base))*(Q352/sref)^(Parametros!$B$15-1))),DEGREES(ATAN(TAN(RADIANS(Parametros!$F$16-omega*e_base))*(Q352/sref)^(Parametros!$B$16-1))))</f>
        <v/>
      </c>
      <c r="T352" t="n">
        <v>10.30213017751479</v>
      </c>
      <c r="U352">
        <f>T352*TAN(RADIANS(MAX(DEGREES(ATAN(TAN(RADIANS(Parametros!$F$12-omega*e_base))*(T352/sref)^(Parametros!$B$12-1))),DEGREES(ATAN(TAN(RADIANS(Parametros!$F$13-omega*e_base))*(T352/sref)^(Parametros!$B$13-1))),DEGREES(ATAN(TAN(RADIANS(Parametros!$F$14-omega*e_base))*(T352/sref)^(Parametros!$B$14-1))),DEGREES(ATAN(TAN(RADIANS(Parametros!$F$15-omega*e_base))*(T352/sref)^(Parametros!$B$15-1))),DEGREES(ATAN(TAN(RADIANS(Parametros!$F$16-omega*e_base))*(T352/sref)^(Parametros!$B$16-1))))))</f>
        <v/>
      </c>
      <c r="BE352">
        <f>Base_mundial!C351</f>
        <v/>
      </c>
      <c r="BF352">
        <f>Base_mundial!E351-omega*(e_base-Base_mundial!B351)</f>
        <v/>
      </c>
      <c r="BG352">
        <f>BE352*TAN(RADIANS(BF352))</f>
        <v/>
      </c>
    </row>
    <row r="353">
      <c r="BE353">
        <f>Base_mundial!C352</f>
        <v/>
      </c>
      <c r="BF353">
        <f>Base_mundial!E352-omega*(e_base-Base_mundial!B352)</f>
        <v/>
      </c>
      <c r="BG353">
        <f>BE353*TAN(RADIANS(BF353))</f>
        <v/>
      </c>
    </row>
    <row r="354">
      <c r="Q354" t="n">
        <v>9.411615259270841</v>
      </c>
      <c r="R354">
        <f>MIN(DEGREES(ATAN(TAN(RADIANS(Parametros!$E$12-omega*e_base))*(Q354/sref)^(Parametros!$B$12-1))),DEGREES(ATAN(TAN(RADIANS(Parametros!$E$13-omega*e_base))*(Q354/sref)^(Parametros!$B$13-1))),DEGREES(ATAN(TAN(RADIANS(Parametros!$E$14-omega*e_base))*(Q354/sref)^(Parametros!$B$14-1))),DEGREES(ATAN(TAN(RADIANS(Parametros!$E$15-omega*e_base))*(Q354/sref)^(Parametros!$B$15-1))),DEGREES(ATAN(TAN(RADIANS(Parametros!$E$16-omega*e_base))*(Q354/sref)^(Parametros!$B$16-1))))</f>
        <v/>
      </c>
      <c r="T354" t="n">
        <v>10.39076923076923</v>
      </c>
      <c r="U354">
        <f>T354*TAN(RADIANS(MIN(DEGREES(ATAN(TAN(RADIANS(Parametros!$E$12-omega*e_base))*(T354/sref)^(Parametros!$B$12-1))),DEGREES(ATAN(TAN(RADIANS(Parametros!$E$13-omega*e_base))*(T354/sref)^(Parametros!$B$13-1))),DEGREES(ATAN(TAN(RADIANS(Parametros!$E$14-omega*e_base))*(T354/sref)^(Parametros!$B$14-1))),DEGREES(ATAN(TAN(RADIANS(Parametros!$E$15-omega*e_base))*(T354/sref)^(Parametros!$B$15-1))),DEGREES(ATAN(TAN(RADIANS(Parametros!$E$16-omega*e_base))*(T354/sref)^(Parametros!$B$16-1))))))</f>
        <v/>
      </c>
      <c r="BE354">
        <f>Base_mundial!C353</f>
        <v/>
      </c>
      <c r="BF354">
        <f>Base_mundial!E353-omega*(e_base-Base_mundial!B353)</f>
        <v/>
      </c>
      <c r="BG354">
        <f>BE354*TAN(RADIANS(BF354))</f>
        <v/>
      </c>
    </row>
    <row r="355">
      <c r="Q355" t="n">
        <v>9.411615259270841</v>
      </c>
      <c r="R355">
        <f>MAX(DEGREES(ATAN(TAN(RADIANS(Parametros!$F$12-omega*e_base))*(Q355/sref)^(Parametros!$B$12-1))),DEGREES(ATAN(TAN(RADIANS(Parametros!$F$13-omega*e_base))*(Q355/sref)^(Parametros!$B$13-1))),DEGREES(ATAN(TAN(RADIANS(Parametros!$F$14-omega*e_base))*(Q355/sref)^(Parametros!$B$14-1))),DEGREES(ATAN(TAN(RADIANS(Parametros!$F$15-omega*e_base))*(Q355/sref)^(Parametros!$B$15-1))),DEGREES(ATAN(TAN(RADIANS(Parametros!$F$16-omega*e_base))*(Q355/sref)^(Parametros!$B$16-1))))</f>
        <v/>
      </c>
      <c r="T355" t="n">
        <v>10.39076923076923</v>
      </c>
      <c r="U355">
        <f>T355*TAN(RADIANS(MAX(DEGREES(ATAN(TAN(RADIANS(Parametros!$F$12-omega*e_base))*(T355/sref)^(Parametros!$B$12-1))),DEGREES(ATAN(TAN(RADIANS(Parametros!$F$13-omega*e_base))*(T355/sref)^(Parametros!$B$13-1))),DEGREES(ATAN(TAN(RADIANS(Parametros!$F$14-omega*e_base))*(T355/sref)^(Parametros!$B$14-1))),DEGREES(ATAN(TAN(RADIANS(Parametros!$F$15-omega*e_base))*(T355/sref)^(Parametros!$B$15-1))),DEGREES(ATAN(TAN(RADIANS(Parametros!$F$16-omega*e_base))*(T355/sref)^(Parametros!$B$16-1))))))</f>
        <v/>
      </c>
      <c r="BE355">
        <f>Base_mundial!C354</f>
        <v/>
      </c>
      <c r="BF355">
        <f>Base_mundial!E354-omega*(e_base-Base_mundial!B354)</f>
        <v/>
      </c>
      <c r="BG355">
        <f>BE355*TAN(RADIANS(BF355))</f>
        <v/>
      </c>
    </row>
    <row r="356">
      <c r="BE356">
        <f>Base_mundial!C355</f>
        <v/>
      </c>
      <c r="BF356">
        <f>Base_mundial!E355-omega*(e_base-Base_mundial!B355)</f>
        <v/>
      </c>
      <c r="BG356">
        <f>BE356*TAN(RADIANS(BF356))</f>
        <v/>
      </c>
    </row>
    <row r="357">
      <c r="Q357" t="n">
        <v>9.784375008602405</v>
      </c>
      <c r="R357">
        <f>MIN(DEGREES(ATAN(TAN(RADIANS(Parametros!$E$12-omega*e_base))*(Q357/sref)^(Parametros!$B$12-1))),DEGREES(ATAN(TAN(RADIANS(Parametros!$E$13-omega*e_base))*(Q357/sref)^(Parametros!$B$13-1))),DEGREES(ATAN(TAN(RADIANS(Parametros!$E$14-omega*e_base))*(Q357/sref)^(Parametros!$B$14-1))),DEGREES(ATAN(TAN(RADIANS(Parametros!$E$15-omega*e_base))*(Q357/sref)^(Parametros!$B$15-1))),DEGREES(ATAN(TAN(RADIANS(Parametros!$E$16-omega*e_base))*(Q357/sref)^(Parametros!$B$16-1))))</f>
        <v/>
      </c>
      <c r="T357" t="n">
        <v>10.47940828402367</v>
      </c>
      <c r="U357">
        <f>T357*TAN(RADIANS(MIN(DEGREES(ATAN(TAN(RADIANS(Parametros!$E$12-omega*e_base))*(T357/sref)^(Parametros!$B$12-1))),DEGREES(ATAN(TAN(RADIANS(Parametros!$E$13-omega*e_base))*(T357/sref)^(Parametros!$B$13-1))),DEGREES(ATAN(TAN(RADIANS(Parametros!$E$14-omega*e_base))*(T357/sref)^(Parametros!$B$14-1))),DEGREES(ATAN(TAN(RADIANS(Parametros!$E$15-omega*e_base))*(T357/sref)^(Parametros!$B$15-1))),DEGREES(ATAN(TAN(RADIANS(Parametros!$E$16-omega*e_base))*(T357/sref)^(Parametros!$B$16-1))))))</f>
        <v/>
      </c>
      <c r="BE357">
        <f>Base_mundial!C356</f>
        <v/>
      </c>
      <c r="BF357">
        <f>Base_mundial!E356-omega*(e_base-Base_mundial!B356)</f>
        <v/>
      </c>
      <c r="BG357">
        <f>BE357*TAN(RADIANS(BF357))</f>
        <v/>
      </c>
    </row>
    <row r="358">
      <c r="Q358" t="n">
        <v>9.784375008602405</v>
      </c>
      <c r="R358">
        <f>MAX(DEGREES(ATAN(TAN(RADIANS(Parametros!$F$12-omega*e_base))*(Q358/sref)^(Parametros!$B$12-1))),DEGREES(ATAN(TAN(RADIANS(Parametros!$F$13-omega*e_base))*(Q358/sref)^(Parametros!$B$13-1))),DEGREES(ATAN(TAN(RADIANS(Parametros!$F$14-omega*e_base))*(Q358/sref)^(Parametros!$B$14-1))),DEGREES(ATAN(TAN(RADIANS(Parametros!$F$15-omega*e_base))*(Q358/sref)^(Parametros!$B$15-1))),DEGREES(ATAN(TAN(RADIANS(Parametros!$F$16-omega*e_base))*(Q358/sref)^(Parametros!$B$16-1))))</f>
        <v/>
      </c>
      <c r="T358" t="n">
        <v>10.47940828402367</v>
      </c>
      <c r="U358">
        <f>T358*TAN(RADIANS(MAX(DEGREES(ATAN(TAN(RADIANS(Parametros!$F$12-omega*e_base))*(T358/sref)^(Parametros!$B$12-1))),DEGREES(ATAN(TAN(RADIANS(Parametros!$F$13-omega*e_base))*(T358/sref)^(Parametros!$B$13-1))),DEGREES(ATAN(TAN(RADIANS(Parametros!$F$14-omega*e_base))*(T358/sref)^(Parametros!$B$14-1))),DEGREES(ATAN(TAN(RADIANS(Parametros!$F$15-omega*e_base))*(T358/sref)^(Parametros!$B$15-1))),DEGREES(ATAN(TAN(RADIANS(Parametros!$F$16-omega*e_base))*(T358/sref)^(Parametros!$B$16-1))))))</f>
        <v/>
      </c>
      <c r="BE358">
        <f>Base_mundial!C357</f>
        <v/>
      </c>
      <c r="BF358">
        <f>Base_mundial!E357-omega*(e_base-Base_mundial!B357)</f>
        <v/>
      </c>
      <c r="BG358">
        <f>BE358*TAN(RADIANS(BF358))</f>
        <v/>
      </c>
    </row>
    <row r="359">
      <c r="BE359">
        <f>Base_mundial!C358</f>
        <v/>
      </c>
      <c r="BF359">
        <f>Base_mundial!E358-omega*(e_base-Base_mundial!B358)</f>
        <v/>
      </c>
      <c r="BG359">
        <f>BE359*TAN(RADIANS(BF359))</f>
        <v/>
      </c>
    </row>
    <row r="360">
      <c r="Q360" t="n">
        <v>10.17189841187582</v>
      </c>
      <c r="R360">
        <f>MIN(DEGREES(ATAN(TAN(RADIANS(Parametros!$E$12-omega*e_base))*(Q360/sref)^(Parametros!$B$12-1))),DEGREES(ATAN(TAN(RADIANS(Parametros!$E$13-omega*e_base))*(Q360/sref)^(Parametros!$B$13-1))),DEGREES(ATAN(TAN(RADIANS(Parametros!$E$14-omega*e_base))*(Q360/sref)^(Parametros!$B$14-1))),DEGREES(ATAN(TAN(RADIANS(Parametros!$E$15-omega*e_base))*(Q360/sref)^(Parametros!$B$15-1))),DEGREES(ATAN(TAN(RADIANS(Parametros!$E$16-omega*e_base))*(Q360/sref)^(Parametros!$B$16-1))))</f>
        <v/>
      </c>
      <c r="T360" t="n">
        <v>10.56804733727811</v>
      </c>
      <c r="U360">
        <f>T360*TAN(RADIANS(MIN(DEGREES(ATAN(TAN(RADIANS(Parametros!$E$12-omega*e_base))*(T360/sref)^(Parametros!$B$12-1))),DEGREES(ATAN(TAN(RADIANS(Parametros!$E$13-omega*e_base))*(T360/sref)^(Parametros!$B$13-1))),DEGREES(ATAN(TAN(RADIANS(Parametros!$E$14-omega*e_base))*(T360/sref)^(Parametros!$B$14-1))),DEGREES(ATAN(TAN(RADIANS(Parametros!$E$15-omega*e_base))*(T360/sref)^(Parametros!$B$15-1))),DEGREES(ATAN(TAN(RADIANS(Parametros!$E$16-omega*e_base))*(T360/sref)^(Parametros!$B$16-1))))))</f>
        <v/>
      </c>
      <c r="BE360">
        <f>Base_mundial!C359</f>
        <v/>
      </c>
      <c r="BF360">
        <f>Base_mundial!E359-omega*(e_base-Base_mundial!B359)</f>
        <v/>
      </c>
      <c r="BG360">
        <f>BE360*TAN(RADIANS(BF360))</f>
        <v/>
      </c>
    </row>
    <row r="361">
      <c r="Q361" t="n">
        <v>10.17189841187582</v>
      </c>
      <c r="R361">
        <f>MAX(DEGREES(ATAN(TAN(RADIANS(Parametros!$F$12-omega*e_base))*(Q361/sref)^(Parametros!$B$12-1))),DEGREES(ATAN(TAN(RADIANS(Parametros!$F$13-omega*e_base))*(Q361/sref)^(Parametros!$B$13-1))),DEGREES(ATAN(TAN(RADIANS(Parametros!$F$14-omega*e_base))*(Q361/sref)^(Parametros!$B$14-1))),DEGREES(ATAN(TAN(RADIANS(Parametros!$F$15-omega*e_base))*(Q361/sref)^(Parametros!$B$15-1))),DEGREES(ATAN(TAN(RADIANS(Parametros!$F$16-omega*e_base))*(Q361/sref)^(Parametros!$B$16-1))))</f>
        <v/>
      </c>
      <c r="T361" t="n">
        <v>10.56804733727811</v>
      </c>
      <c r="U361">
        <f>T361*TAN(RADIANS(MAX(DEGREES(ATAN(TAN(RADIANS(Parametros!$F$12-omega*e_base))*(T361/sref)^(Parametros!$B$12-1))),DEGREES(ATAN(TAN(RADIANS(Parametros!$F$13-omega*e_base))*(T361/sref)^(Parametros!$B$13-1))),DEGREES(ATAN(TAN(RADIANS(Parametros!$F$14-omega*e_base))*(T361/sref)^(Parametros!$B$14-1))),DEGREES(ATAN(TAN(RADIANS(Parametros!$F$15-omega*e_base))*(T361/sref)^(Parametros!$B$15-1))),DEGREES(ATAN(TAN(RADIANS(Parametros!$F$16-omega*e_base))*(T361/sref)^(Parametros!$B$16-1))))))</f>
        <v/>
      </c>
      <c r="BE361">
        <f>Base_mundial!C360</f>
        <v/>
      </c>
      <c r="BF361">
        <f>Base_mundial!E360-omega*(e_base-Base_mundial!B360)</f>
        <v/>
      </c>
      <c r="BG361">
        <f>BE361*TAN(RADIANS(BF361))</f>
        <v/>
      </c>
    </row>
    <row r="362">
      <c r="BE362">
        <f>Base_mundial!C361</f>
        <v/>
      </c>
      <c r="BF362">
        <f>Base_mundial!E361-omega*(e_base-Base_mundial!B361)</f>
        <v/>
      </c>
      <c r="BG362">
        <f>BE362*TAN(RADIANS(BF362))</f>
        <v/>
      </c>
    </row>
    <row r="363">
      <c r="Q363" t="n">
        <v>10.57477020356981</v>
      </c>
      <c r="R363">
        <f>MIN(DEGREES(ATAN(TAN(RADIANS(Parametros!$E$12-omega*e_base))*(Q363/sref)^(Parametros!$B$12-1))),DEGREES(ATAN(TAN(RADIANS(Parametros!$E$13-omega*e_base))*(Q363/sref)^(Parametros!$B$13-1))),DEGREES(ATAN(TAN(RADIANS(Parametros!$E$14-omega*e_base))*(Q363/sref)^(Parametros!$B$14-1))),DEGREES(ATAN(TAN(RADIANS(Parametros!$E$15-omega*e_base))*(Q363/sref)^(Parametros!$B$15-1))),DEGREES(ATAN(TAN(RADIANS(Parametros!$E$16-omega*e_base))*(Q363/sref)^(Parametros!$B$16-1))))</f>
        <v/>
      </c>
      <c r="T363" t="n">
        <v>10.65668639053254</v>
      </c>
      <c r="U363">
        <f>T363*TAN(RADIANS(MIN(DEGREES(ATAN(TAN(RADIANS(Parametros!$E$12-omega*e_base))*(T363/sref)^(Parametros!$B$12-1))),DEGREES(ATAN(TAN(RADIANS(Parametros!$E$13-omega*e_base))*(T363/sref)^(Parametros!$B$13-1))),DEGREES(ATAN(TAN(RADIANS(Parametros!$E$14-omega*e_base))*(T363/sref)^(Parametros!$B$14-1))),DEGREES(ATAN(TAN(RADIANS(Parametros!$E$15-omega*e_base))*(T363/sref)^(Parametros!$B$15-1))),DEGREES(ATAN(TAN(RADIANS(Parametros!$E$16-omega*e_base))*(T363/sref)^(Parametros!$B$16-1))))))</f>
        <v/>
      </c>
      <c r="BE363">
        <f>Base_mundial!C362</f>
        <v/>
      </c>
      <c r="BF363">
        <f>Base_mundial!E362-omega*(e_base-Base_mundial!B362)</f>
        <v/>
      </c>
      <c r="BG363">
        <f>BE363*TAN(RADIANS(BF363))</f>
        <v/>
      </c>
    </row>
    <row r="364">
      <c r="Q364" t="n">
        <v>10.57477020356981</v>
      </c>
      <c r="R364">
        <f>MAX(DEGREES(ATAN(TAN(RADIANS(Parametros!$F$12-omega*e_base))*(Q364/sref)^(Parametros!$B$12-1))),DEGREES(ATAN(TAN(RADIANS(Parametros!$F$13-omega*e_base))*(Q364/sref)^(Parametros!$B$13-1))),DEGREES(ATAN(TAN(RADIANS(Parametros!$F$14-omega*e_base))*(Q364/sref)^(Parametros!$B$14-1))),DEGREES(ATAN(TAN(RADIANS(Parametros!$F$15-omega*e_base))*(Q364/sref)^(Parametros!$B$15-1))),DEGREES(ATAN(TAN(RADIANS(Parametros!$F$16-omega*e_base))*(Q364/sref)^(Parametros!$B$16-1))))</f>
        <v/>
      </c>
      <c r="T364" t="n">
        <v>10.65668639053254</v>
      </c>
      <c r="U364">
        <f>T364*TAN(RADIANS(MAX(DEGREES(ATAN(TAN(RADIANS(Parametros!$F$12-omega*e_base))*(T364/sref)^(Parametros!$B$12-1))),DEGREES(ATAN(TAN(RADIANS(Parametros!$F$13-omega*e_base))*(T364/sref)^(Parametros!$B$13-1))),DEGREES(ATAN(TAN(RADIANS(Parametros!$F$14-omega*e_base))*(T364/sref)^(Parametros!$B$14-1))),DEGREES(ATAN(TAN(RADIANS(Parametros!$F$15-omega*e_base))*(T364/sref)^(Parametros!$B$15-1))),DEGREES(ATAN(TAN(RADIANS(Parametros!$F$16-omega*e_base))*(T364/sref)^(Parametros!$B$16-1))))))</f>
        <v/>
      </c>
      <c r="BE364">
        <f>Base_mundial!C363</f>
        <v/>
      </c>
      <c r="BF364">
        <f>Base_mundial!E363-omega*(e_base-Base_mundial!B363)</f>
        <v/>
      </c>
      <c r="BG364">
        <f>BE364*TAN(RADIANS(BF364))</f>
        <v/>
      </c>
    </row>
    <row r="365">
      <c r="BE365">
        <f>Base_mundial!C364</f>
        <v/>
      </c>
      <c r="BF365">
        <f>Base_mundial!E364-omega*(e_base-Base_mundial!B364)</f>
        <v/>
      </c>
      <c r="BG365">
        <f>BE365*TAN(RADIANS(BF365))</f>
        <v/>
      </c>
    </row>
    <row r="366">
      <c r="Q366" t="n">
        <v>10.99359827736285</v>
      </c>
      <c r="R366">
        <f>MIN(DEGREES(ATAN(TAN(RADIANS(Parametros!$E$12-omega*e_base))*(Q366/sref)^(Parametros!$B$12-1))),DEGREES(ATAN(TAN(RADIANS(Parametros!$E$13-omega*e_base))*(Q366/sref)^(Parametros!$B$13-1))),DEGREES(ATAN(TAN(RADIANS(Parametros!$E$14-omega*e_base))*(Q366/sref)^(Parametros!$B$14-1))),DEGREES(ATAN(TAN(RADIANS(Parametros!$E$15-omega*e_base))*(Q366/sref)^(Parametros!$B$15-1))),DEGREES(ATAN(TAN(RADIANS(Parametros!$E$16-omega*e_base))*(Q366/sref)^(Parametros!$B$16-1))))</f>
        <v/>
      </c>
      <c r="T366" t="n">
        <v>10.74532544378698</v>
      </c>
      <c r="U366">
        <f>T366*TAN(RADIANS(MIN(DEGREES(ATAN(TAN(RADIANS(Parametros!$E$12-omega*e_base))*(T366/sref)^(Parametros!$B$12-1))),DEGREES(ATAN(TAN(RADIANS(Parametros!$E$13-omega*e_base))*(T366/sref)^(Parametros!$B$13-1))),DEGREES(ATAN(TAN(RADIANS(Parametros!$E$14-omega*e_base))*(T366/sref)^(Parametros!$B$14-1))),DEGREES(ATAN(TAN(RADIANS(Parametros!$E$15-omega*e_base))*(T366/sref)^(Parametros!$B$15-1))),DEGREES(ATAN(TAN(RADIANS(Parametros!$E$16-omega*e_base))*(T366/sref)^(Parametros!$B$16-1))))))</f>
        <v/>
      </c>
      <c r="BE366">
        <f>Base_mundial!C365</f>
        <v/>
      </c>
      <c r="BF366">
        <f>Base_mundial!E365-omega*(e_base-Base_mundial!B365)</f>
        <v/>
      </c>
      <c r="BG366">
        <f>BE366*TAN(RADIANS(BF366))</f>
        <v/>
      </c>
    </row>
    <row r="367">
      <c r="Q367" t="n">
        <v>10.99359827736285</v>
      </c>
      <c r="R367">
        <f>MAX(DEGREES(ATAN(TAN(RADIANS(Parametros!$F$12-omega*e_base))*(Q367/sref)^(Parametros!$B$12-1))),DEGREES(ATAN(TAN(RADIANS(Parametros!$F$13-omega*e_base))*(Q367/sref)^(Parametros!$B$13-1))),DEGREES(ATAN(TAN(RADIANS(Parametros!$F$14-omega*e_base))*(Q367/sref)^(Parametros!$B$14-1))),DEGREES(ATAN(TAN(RADIANS(Parametros!$F$15-omega*e_base))*(Q367/sref)^(Parametros!$B$15-1))),DEGREES(ATAN(TAN(RADIANS(Parametros!$F$16-omega*e_base))*(Q367/sref)^(Parametros!$B$16-1))))</f>
        <v/>
      </c>
      <c r="T367" t="n">
        <v>10.74532544378698</v>
      </c>
      <c r="U367">
        <f>T367*TAN(RADIANS(MAX(DEGREES(ATAN(TAN(RADIANS(Parametros!$F$12-omega*e_base))*(T367/sref)^(Parametros!$B$12-1))),DEGREES(ATAN(TAN(RADIANS(Parametros!$F$13-omega*e_base))*(T367/sref)^(Parametros!$B$13-1))),DEGREES(ATAN(TAN(RADIANS(Parametros!$F$14-omega*e_base))*(T367/sref)^(Parametros!$B$14-1))),DEGREES(ATAN(TAN(RADIANS(Parametros!$F$15-omega*e_base))*(T367/sref)^(Parametros!$B$15-1))),DEGREES(ATAN(TAN(RADIANS(Parametros!$F$16-omega*e_base))*(T367/sref)^(Parametros!$B$16-1))))))</f>
        <v/>
      </c>
      <c r="BE367">
        <f>Base_mundial!C366</f>
        <v/>
      </c>
      <c r="BF367">
        <f>Base_mundial!E366-omega*(e_base-Base_mundial!B366)</f>
        <v/>
      </c>
      <c r="BG367">
        <f>BE367*TAN(RADIANS(BF367))</f>
        <v/>
      </c>
    </row>
    <row r="368">
      <c r="BE368">
        <f>Base_mundial!C367</f>
        <v/>
      </c>
      <c r="BF368">
        <f>Base_mundial!E367-omega*(e_base-Base_mundial!B367)</f>
        <v/>
      </c>
      <c r="BG368">
        <f>BE368*TAN(RADIANS(BF368))</f>
        <v/>
      </c>
    </row>
    <row r="369">
      <c r="Q369" t="n">
        <v>11.42901460338456</v>
      </c>
      <c r="R369">
        <f>MIN(DEGREES(ATAN(TAN(RADIANS(Parametros!$E$12-omega*e_base))*(Q369/sref)^(Parametros!$B$12-1))),DEGREES(ATAN(TAN(RADIANS(Parametros!$E$13-omega*e_base))*(Q369/sref)^(Parametros!$B$13-1))),DEGREES(ATAN(TAN(RADIANS(Parametros!$E$14-omega*e_base))*(Q369/sref)^(Parametros!$B$14-1))),DEGREES(ATAN(TAN(RADIANS(Parametros!$E$15-omega*e_base))*(Q369/sref)^(Parametros!$B$15-1))),DEGREES(ATAN(TAN(RADIANS(Parametros!$E$16-omega*e_base))*(Q369/sref)^(Parametros!$B$16-1))))</f>
        <v/>
      </c>
      <c r="T369" t="n">
        <v>10.83396449704142</v>
      </c>
      <c r="U369">
        <f>T369*TAN(RADIANS(MIN(DEGREES(ATAN(TAN(RADIANS(Parametros!$E$12-omega*e_base))*(T369/sref)^(Parametros!$B$12-1))),DEGREES(ATAN(TAN(RADIANS(Parametros!$E$13-omega*e_base))*(T369/sref)^(Parametros!$B$13-1))),DEGREES(ATAN(TAN(RADIANS(Parametros!$E$14-omega*e_base))*(T369/sref)^(Parametros!$B$14-1))),DEGREES(ATAN(TAN(RADIANS(Parametros!$E$15-omega*e_base))*(T369/sref)^(Parametros!$B$15-1))),DEGREES(ATAN(TAN(RADIANS(Parametros!$E$16-omega*e_base))*(T369/sref)^(Parametros!$B$16-1))))))</f>
        <v/>
      </c>
      <c r="BE369">
        <f>Base_mundial!C368</f>
        <v/>
      </c>
      <c r="BF369">
        <f>Base_mundial!E368-omega*(e_base-Base_mundial!B368)</f>
        <v/>
      </c>
      <c r="BG369">
        <f>BE369*TAN(RADIANS(BF369))</f>
        <v/>
      </c>
    </row>
    <row r="370">
      <c r="Q370" t="n">
        <v>11.42901460338456</v>
      </c>
      <c r="R370">
        <f>MAX(DEGREES(ATAN(TAN(RADIANS(Parametros!$F$12-omega*e_base))*(Q370/sref)^(Parametros!$B$12-1))),DEGREES(ATAN(TAN(RADIANS(Parametros!$F$13-omega*e_base))*(Q370/sref)^(Parametros!$B$13-1))),DEGREES(ATAN(TAN(RADIANS(Parametros!$F$14-omega*e_base))*(Q370/sref)^(Parametros!$B$14-1))),DEGREES(ATAN(TAN(RADIANS(Parametros!$F$15-omega*e_base))*(Q370/sref)^(Parametros!$B$15-1))),DEGREES(ATAN(TAN(RADIANS(Parametros!$F$16-omega*e_base))*(Q370/sref)^(Parametros!$B$16-1))))</f>
        <v/>
      </c>
      <c r="T370" t="n">
        <v>10.83396449704142</v>
      </c>
      <c r="U370">
        <f>T370*TAN(RADIANS(MAX(DEGREES(ATAN(TAN(RADIANS(Parametros!$F$12-omega*e_base))*(T370/sref)^(Parametros!$B$12-1))),DEGREES(ATAN(TAN(RADIANS(Parametros!$F$13-omega*e_base))*(T370/sref)^(Parametros!$B$13-1))),DEGREES(ATAN(TAN(RADIANS(Parametros!$F$14-omega*e_base))*(T370/sref)^(Parametros!$B$14-1))),DEGREES(ATAN(TAN(RADIANS(Parametros!$F$15-omega*e_base))*(T370/sref)^(Parametros!$B$15-1))),DEGREES(ATAN(TAN(RADIANS(Parametros!$F$16-omega*e_base))*(T370/sref)^(Parametros!$B$16-1))))))</f>
        <v/>
      </c>
      <c r="BE370">
        <f>Base_mundial!C369</f>
        <v/>
      </c>
      <c r="BF370">
        <f>Base_mundial!E369-omega*(e_base-Base_mundial!B369)</f>
        <v/>
      </c>
      <c r="BG370">
        <f>BE370*TAN(RADIANS(BF370))</f>
        <v/>
      </c>
    </row>
    <row r="371">
      <c r="BE371">
        <f>Base_mundial!C370</f>
        <v/>
      </c>
      <c r="BF371">
        <f>Base_mundial!E370-omega*(e_base-Base_mundial!B370)</f>
        <v/>
      </c>
      <c r="BG371">
        <f>BE371*TAN(RADIANS(BF371))</f>
        <v/>
      </c>
    </row>
    <row r="372">
      <c r="Q372" t="n">
        <v>11.88167618179618</v>
      </c>
      <c r="R372">
        <f>MIN(DEGREES(ATAN(TAN(RADIANS(Parametros!$E$12-omega*e_base))*(Q372/sref)^(Parametros!$B$12-1))),DEGREES(ATAN(TAN(RADIANS(Parametros!$E$13-omega*e_base))*(Q372/sref)^(Parametros!$B$13-1))),DEGREES(ATAN(TAN(RADIANS(Parametros!$E$14-omega*e_base))*(Q372/sref)^(Parametros!$B$14-1))),DEGREES(ATAN(TAN(RADIANS(Parametros!$E$15-omega*e_base))*(Q372/sref)^(Parametros!$B$15-1))),DEGREES(ATAN(TAN(RADIANS(Parametros!$E$16-omega*e_base))*(Q372/sref)^(Parametros!$B$16-1))))</f>
        <v/>
      </c>
      <c r="T372" t="n">
        <v>10.92260355029586</v>
      </c>
      <c r="U372">
        <f>T372*TAN(RADIANS(MIN(DEGREES(ATAN(TAN(RADIANS(Parametros!$E$12-omega*e_base))*(T372/sref)^(Parametros!$B$12-1))),DEGREES(ATAN(TAN(RADIANS(Parametros!$E$13-omega*e_base))*(T372/sref)^(Parametros!$B$13-1))),DEGREES(ATAN(TAN(RADIANS(Parametros!$E$14-omega*e_base))*(T372/sref)^(Parametros!$B$14-1))),DEGREES(ATAN(TAN(RADIANS(Parametros!$E$15-omega*e_base))*(T372/sref)^(Parametros!$B$15-1))),DEGREES(ATAN(TAN(RADIANS(Parametros!$E$16-omega*e_base))*(T372/sref)^(Parametros!$B$16-1))))))</f>
        <v/>
      </c>
      <c r="BE372">
        <f>Base_mundial!C371</f>
        <v/>
      </c>
      <c r="BF372">
        <f>Base_mundial!E371-omega*(e_base-Base_mundial!B371)</f>
        <v/>
      </c>
      <c r="BG372">
        <f>BE372*TAN(RADIANS(BF372))</f>
        <v/>
      </c>
    </row>
    <row r="373">
      <c r="Q373" t="n">
        <v>11.88167618179618</v>
      </c>
      <c r="R373">
        <f>MAX(DEGREES(ATAN(TAN(RADIANS(Parametros!$F$12-omega*e_base))*(Q373/sref)^(Parametros!$B$12-1))),DEGREES(ATAN(TAN(RADIANS(Parametros!$F$13-omega*e_base))*(Q373/sref)^(Parametros!$B$13-1))),DEGREES(ATAN(TAN(RADIANS(Parametros!$F$14-omega*e_base))*(Q373/sref)^(Parametros!$B$14-1))),DEGREES(ATAN(TAN(RADIANS(Parametros!$F$15-omega*e_base))*(Q373/sref)^(Parametros!$B$15-1))),DEGREES(ATAN(TAN(RADIANS(Parametros!$F$16-omega*e_base))*(Q373/sref)^(Parametros!$B$16-1))))</f>
        <v/>
      </c>
      <c r="T373" t="n">
        <v>10.92260355029586</v>
      </c>
      <c r="U373">
        <f>T373*TAN(RADIANS(MAX(DEGREES(ATAN(TAN(RADIANS(Parametros!$F$12-omega*e_base))*(T373/sref)^(Parametros!$B$12-1))),DEGREES(ATAN(TAN(RADIANS(Parametros!$F$13-omega*e_base))*(T373/sref)^(Parametros!$B$13-1))),DEGREES(ATAN(TAN(RADIANS(Parametros!$F$14-omega*e_base))*(T373/sref)^(Parametros!$B$14-1))),DEGREES(ATAN(TAN(RADIANS(Parametros!$F$15-omega*e_base))*(T373/sref)^(Parametros!$B$15-1))),DEGREES(ATAN(TAN(RADIANS(Parametros!$F$16-omega*e_base))*(T373/sref)^(Parametros!$B$16-1))))))</f>
        <v/>
      </c>
      <c r="BE373">
        <f>Base_mundial!C372</f>
        <v/>
      </c>
      <c r="BF373">
        <f>Base_mundial!E372-omega*(e_base-Base_mundial!B372)</f>
        <v/>
      </c>
      <c r="BG373">
        <f>BE373*TAN(RADIANS(BF373))</f>
        <v/>
      </c>
    </row>
    <row r="374">
      <c r="BE374">
        <f>Base_mundial!C373</f>
        <v/>
      </c>
      <c r="BF374">
        <f>Base_mundial!E373-omega*(e_base-Base_mundial!B373)</f>
        <v/>
      </c>
      <c r="BG374">
        <f>BE374*TAN(RADIANS(BF374))</f>
        <v/>
      </c>
    </row>
    <row r="375">
      <c r="Q375" t="n">
        <v>12.35226603413873</v>
      </c>
      <c r="R375">
        <f>MIN(DEGREES(ATAN(TAN(RADIANS(Parametros!$E$12-omega*e_base))*(Q375/sref)^(Parametros!$B$12-1))),DEGREES(ATAN(TAN(RADIANS(Parametros!$E$13-omega*e_base))*(Q375/sref)^(Parametros!$B$13-1))),DEGREES(ATAN(TAN(RADIANS(Parametros!$E$14-omega*e_base))*(Q375/sref)^(Parametros!$B$14-1))),DEGREES(ATAN(TAN(RADIANS(Parametros!$E$15-omega*e_base))*(Q375/sref)^(Parametros!$B$15-1))),DEGREES(ATAN(TAN(RADIANS(Parametros!$E$16-omega*e_base))*(Q375/sref)^(Parametros!$B$16-1))))</f>
        <v/>
      </c>
      <c r="T375" t="n">
        <v>11.0112426035503</v>
      </c>
      <c r="U375">
        <f>T375*TAN(RADIANS(MIN(DEGREES(ATAN(TAN(RADIANS(Parametros!$E$12-omega*e_base))*(T375/sref)^(Parametros!$B$12-1))),DEGREES(ATAN(TAN(RADIANS(Parametros!$E$13-omega*e_base))*(T375/sref)^(Parametros!$B$13-1))),DEGREES(ATAN(TAN(RADIANS(Parametros!$E$14-omega*e_base))*(T375/sref)^(Parametros!$B$14-1))),DEGREES(ATAN(TAN(RADIANS(Parametros!$E$15-omega*e_base))*(T375/sref)^(Parametros!$B$15-1))),DEGREES(ATAN(TAN(RADIANS(Parametros!$E$16-omega*e_base))*(T375/sref)^(Parametros!$B$16-1))))))</f>
        <v/>
      </c>
      <c r="BE375">
        <f>Base_mundial!C374</f>
        <v/>
      </c>
      <c r="BF375">
        <f>Base_mundial!E374-omega*(e_base-Base_mundial!B374)</f>
        <v/>
      </c>
      <c r="BG375">
        <f>BE375*TAN(RADIANS(BF375))</f>
        <v/>
      </c>
    </row>
    <row r="376">
      <c r="Q376" t="n">
        <v>12.35226603413873</v>
      </c>
      <c r="R376">
        <f>MAX(DEGREES(ATAN(TAN(RADIANS(Parametros!$F$12-omega*e_base))*(Q376/sref)^(Parametros!$B$12-1))),DEGREES(ATAN(TAN(RADIANS(Parametros!$F$13-omega*e_base))*(Q376/sref)^(Parametros!$B$13-1))),DEGREES(ATAN(TAN(RADIANS(Parametros!$F$14-omega*e_base))*(Q376/sref)^(Parametros!$B$14-1))),DEGREES(ATAN(TAN(RADIANS(Parametros!$F$15-omega*e_base))*(Q376/sref)^(Parametros!$B$15-1))),DEGREES(ATAN(TAN(RADIANS(Parametros!$F$16-omega*e_base))*(Q376/sref)^(Parametros!$B$16-1))))</f>
        <v/>
      </c>
      <c r="T376" t="n">
        <v>11.0112426035503</v>
      </c>
      <c r="U376">
        <f>T376*TAN(RADIANS(MAX(DEGREES(ATAN(TAN(RADIANS(Parametros!$F$12-omega*e_base))*(T376/sref)^(Parametros!$B$12-1))),DEGREES(ATAN(TAN(RADIANS(Parametros!$F$13-omega*e_base))*(T376/sref)^(Parametros!$B$13-1))),DEGREES(ATAN(TAN(RADIANS(Parametros!$F$14-omega*e_base))*(T376/sref)^(Parametros!$B$14-1))),DEGREES(ATAN(TAN(RADIANS(Parametros!$F$15-omega*e_base))*(T376/sref)^(Parametros!$B$15-1))),DEGREES(ATAN(TAN(RADIANS(Parametros!$F$16-omega*e_base))*(T376/sref)^(Parametros!$B$16-1))))))</f>
        <v/>
      </c>
      <c r="BE376">
        <f>Base_mundial!C375</f>
        <v/>
      </c>
      <c r="BF376">
        <f>Base_mundial!E375-omega*(e_base-Base_mundial!B375)</f>
        <v/>
      </c>
      <c r="BG376">
        <f>BE376*TAN(RADIANS(BF376))</f>
        <v/>
      </c>
    </row>
    <row r="377">
      <c r="BE377">
        <f>Base_mundial!C376</f>
        <v/>
      </c>
      <c r="BF377">
        <f>Base_mundial!E376-omega*(e_base-Base_mundial!B376)</f>
        <v/>
      </c>
      <c r="BG377">
        <f>BE377*TAN(RADIANS(BF377))</f>
        <v/>
      </c>
    </row>
    <row r="378">
      <c r="Q378" t="n">
        <v>12.841494233945</v>
      </c>
      <c r="R378">
        <f>MIN(DEGREES(ATAN(TAN(RADIANS(Parametros!$E$12-omega*e_base))*(Q378/sref)^(Parametros!$B$12-1))),DEGREES(ATAN(TAN(RADIANS(Parametros!$E$13-omega*e_base))*(Q378/sref)^(Parametros!$B$13-1))),DEGREES(ATAN(TAN(RADIANS(Parametros!$E$14-omega*e_base))*(Q378/sref)^(Parametros!$B$14-1))),DEGREES(ATAN(TAN(RADIANS(Parametros!$E$15-omega*e_base))*(Q378/sref)^(Parametros!$B$15-1))),DEGREES(ATAN(TAN(RADIANS(Parametros!$E$16-omega*e_base))*(Q378/sref)^(Parametros!$B$16-1))))</f>
        <v/>
      </c>
      <c r="T378" t="n">
        <v>11.09988165680473</v>
      </c>
      <c r="U378">
        <f>T378*TAN(RADIANS(MIN(DEGREES(ATAN(TAN(RADIANS(Parametros!$E$12-omega*e_base))*(T378/sref)^(Parametros!$B$12-1))),DEGREES(ATAN(TAN(RADIANS(Parametros!$E$13-omega*e_base))*(T378/sref)^(Parametros!$B$13-1))),DEGREES(ATAN(TAN(RADIANS(Parametros!$E$14-omega*e_base))*(T378/sref)^(Parametros!$B$14-1))),DEGREES(ATAN(TAN(RADIANS(Parametros!$E$15-omega*e_base))*(T378/sref)^(Parametros!$B$15-1))),DEGREES(ATAN(TAN(RADIANS(Parametros!$E$16-omega*e_base))*(T378/sref)^(Parametros!$B$16-1))))))</f>
        <v/>
      </c>
      <c r="BE378">
        <f>Base_mundial!C377</f>
        <v/>
      </c>
      <c r="BF378">
        <f>Base_mundial!E377-omega*(e_base-Base_mundial!B377)</f>
        <v/>
      </c>
      <c r="BG378">
        <f>BE378*TAN(RADIANS(BF378))</f>
        <v/>
      </c>
    </row>
    <row r="379">
      <c r="Q379" t="n">
        <v>12.841494233945</v>
      </c>
      <c r="R379">
        <f>MAX(DEGREES(ATAN(TAN(RADIANS(Parametros!$F$12-omega*e_base))*(Q379/sref)^(Parametros!$B$12-1))),DEGREES(ATAN(TAN(RADIANS(Parametros!$F$13-omega*e_base))*(Q379/sref)^(Parametros!$B$13-1))),DEGREES(ATAN(TAN(RADIANS(Parametros!$F$14-omega*e_base))*(Q379/sref)^(Parametros!$B$14-1))),DEGREES(ATAN(TAN(RADIANS(Parametros!$F$15-omega*e_base))*(Q379/sref)^(Parametros!$B$15-1))),DEGREES(ATAN(TAN(RADIANS(Parametros!$F$16-omega*e_base))*(Q379/sref)^(Parametros!$B$16-1))))</f>
        <v/>
      </c>
      <c r="T379" t="n">
        <v>11.09988165680473</v>
      </c>
      <c r="U379">
        <f>T379*TAN(RADIANS(MAX(DEGREES(ATAN(TAN(RADIANS(Parametros!$F$12-omega*e_base))*(T379/sref)^(Parametros!$B$12-1))),DEGREES(ATAN(TAN(RADIANS(Parametros!$F$13-omega*e_base))*(T379/sref)^(Parametros!$B$13-1))),DEGREES(ATAN(TAN(RADIANS(Parametros!$F$14-omega*e_base))*(T379/sref)^(Parametros!$B$14-1))),DEGREES(ATAN(TAN(RADIANS(Parametros!$F$15-omega*e_base))*(T379/sref)^(Parametros!$B$15-1))),DEGREES(ATAN(TAN(RADIANS(Parametros!$F$16-omega*e_base))*(T379/sref)^(Parametros!$B$16-1))))))</f>
        <v/>
      </c>
      <c r="BE379">
        <f>Base_mundial!C378</f>
        <v/>
      </c>
      <c r="BF379">
        <f>Base_mundial!E378-omega*(e_base-Base_mundial!B378)</f>
        <v/>
      </c>
      <c r="BG379">
        <f>BE379*TAN(RADIANS(BF379))</f>
        <v/>
      </c>
    </row>
    <row r="380">
      <c r="BE380">
        <f>Base_mundial!C379</f>
        <v/>
      </c>
      <c r="BF380">
        <f>Base_mundial!E379-omega*(e_base-Base_mundial!B379)</f>
        <v/>
      </c>
      <c r="BG380">
        <f>BE380*TAN(RADIANS(BF380))</f>
        <v/>
      </c>
    </row>
    <row r="381">
      <c r="Q381" t="n">
        <v>13.35009897817026</v>
      </c>
      <c r="R381">
        <f>MIN(DEGREES(ATAN(TAN(RADIANS(Parametros!$E$12-omega*e_base))*(Q381/sref)^(Parametros!$B$12-1))),DEGREES(ATAN(TAN(RADIANS(Parametros!$E$13-omega*e_base))*(Q381/sref)^(Parametros!$B$13-1))),DEGREES(ATAN(TAN(RADIANS(Parametros!$E$14-omega*e_base))*(Q381/sref)^(Parametros!$B$14-1))),DEGREES(ATAN(TAN(RADIANS(Parametros!$E$15-omega*e_base))*(Q381/sref)^(Parametros!$B$15-1))),DEGREES(ATAN(TAN(RADIANS(Parametros!$E$16-omega*e_base))*(Q381/sref)^(Parametros!$B$16-1))))</f>
        <v/>
      </c>
      <c r="T381" t="n">
        <v>11.18852071005917</v>
      </c>
      <c r="U381">
        <f>T381*TAN(RADIANS(MIN(DEGREES(ATAN(TAN(RADIANS(Parametros!$E$12-omega*e_base))*(T381/sref)^(Parametros!$B$12-1))),DEGREES(ATAN(TAN(RADIANS(Parametros!$E$13-omega*e_base))*(T381/sref)^(Parametros!$B$13-1))),DEGREES(ATAN(TAN(RADIANS(Parametros!$E$14-omega*e_base))*(T381/sref)^(Parametros!$B$14-1))),DEGREES(ATAN(TAN(RADIANS(Parametros!$E$15-omega*e_base))*(T381/sref)^(Parametros!$B$15-1))),DEGREES(ATAN(TAN(RADIANS(Parametros!$E$16-omega*e_base))*(T381/sref)^(Parametros!$B$16-1))))))</f>
        <v/>
      </c>
      <c r="BE381">
        <f>Base_mundial!C380</f>
        <v/>
      </c>
      <c r="BF381">
        <f>Base_mundial!E380-omega*(e_base-Base_mundial!B380)</f>
        <v/>
      </c>
      <c r="BG381">
        <f>BE381*TAN(RADIANS(BF381))</f>
        <v/>
      </c>
    </row>
    <row r="382">
      <c r="Q382" t="n">
        <v>13.35009897817026</v>
      </c>
      <c r="R382">
        <f>MAX(DEGREES(ATAN(TAN(RADIANS(Parametros!$F$12-omega*e_base))*(Q382/sref)^(Parametros!$B$12-1))),DEGREES(ATAN(TAN(RADIANS(Parametros!$F$13-omega*e_base))*(Q382/sref)^(Parametros!$B$13-1))),DEGREES(ATAN(TAN(RADIANS(Parametros!$F$14-omega*e_base))*(Q382/sref)^(Parametros!$B$14-1))),DEGREES(ATAN(TAN(RADIANS(Parametros!$F$15-omega*e_base))*(Q382/sref)^(Parametros!$B$15-1))),DEGREES(ATAN(TAN(RADIANS(Parametros!$F$16-omega*e_base))*(Q382/sref)^(Parametros!$B$16-1))))</f>
        <v/>
      </c>
      <c r="T382" t="n">
        <v>11.18852071005917</v>
      </c>
      <c r="U382">
        <f>T382*TAN(RADIANS(MAX(DEGREES(ATAN(TAN(RADIANS(Parametros!$F$12-omega*e_base))*(T382/sref)^(Parametros!$B$12-1))),DEGREES(ATAN(TAN(RADIANS(Parametros!$F$13-omega*e_base))*(T382/sref)^(Parametros!$B$13-1))),DEGREES(ATAN(TAN(RADIANS(Parametros!$F$14-omega*e_base))*(T382/sref)^(Parametros!$B$14-1))),DEGREES(ATAN(TAN(RADIANS(Parametros!$F$15-omega*e_base))*(T382/sref)^(Parametros!$B$15-1))),DEGREES(ATAN(TAN(RADIANS(Parametros!$F$16-omega*e_base))*(T382/sref)^(Parametros!$B$16-1))))))</f>
        <v/>
      </c>
      <c r="BE382">
        <f>Base_mundial!C381</f>
        <v/>
      </c>
      <c r="BF382">
        <f>Base_mundial!E381-omega*(e_base-Base_mundial!B381)</f>
        <v/>
      </c>
      <c r="BG382">
        <f>BE382*TAN(RADIANS(BF382))</f>
        <v/>
      </c>
    </row>
    <row r="383">
      <c r="BE383">
        <f>Base_mundial!C382</f>
        <v/>
      </c>
      <c r="BF383">
        <f>Base_mundial!E382-omega*(e_base-Base_mundial!B382)</f>
        <v/>
      </c>
      <c r="BG383">
        <f>BE383*TAN(RADIANS(BF383))</f>
        <v/>
      </c>
    </row>
    <row r="384">
      <c r="Q384" t="n">
        <v>13.87884770105843</v>
      </c>
      <c r="R384">
        <f>MIN(DEGREES(ATAN(TAN(RADIANS(Parametros!$E$12-omega*e_base))*(Q384/sref)^(Parametros!$B$12-1))),DEGREES(ATAN(TAN(RADIANS(Parametros!$E$13-omega*e_base))*(Q384/sref)^(Parametros!$B$13-1))),DEGREES(ATAN(TAN(RADIANS(Parametros!$E$14-omega*e_base))*(Q384/sref)^(Parametros!$B$14-1))),DEGREES(ATAN(TAN(RADIANS(Parametros!$E$15-omega*e_base))*(Q384/sref)^(Parametros!$B$15-1))),DEGREES(ATAN(TAN(RADIANS(Parametros!$E$16-omega*e_base))*(Q384/sref)^(Parametros!$B$16-1))))</f>
        <v/>
      </c>
      <c r="T384" t="n">
        <v>11.27715976331361</v>
      </c>
      <c r="U384">
        <f>T384*TAN(RADIANS(MIN(DEGREES(ATAN(TAN(RADIANS(Parametros!$E$12-omega*e_base))*(T384/sref)^(Parametros!$B$12-1))),DEGREES(ATAN(TAN(RADIANS(Parametros!$E$13-omega*e_base))*(T384/sref)^(Parametros!$B$13-1))),DEGREES(ATAN(TAN(RADIANS(Parametros!$E$14-omega*e_base))*(T384/sref)^(Parametros!$B$14-1))),DEGREES(ATAN(TAN(RADIANS(Parametros!$E$15-omega*e_base))*(T384/sref)^(Parametros!$B$15-1))),DEGREES(ATAN(TAN(RADIANS(Parametros!$E$16-omega*e_base))*(T384/sref)^(Parametros!$B$16-1))))))</f>
        <v/>
      </c>
      <c r="BE384">
        <f>Base_mundial!C383</f>
        <v/>
      </c>
      <c r="BF384">
        <f>Base_mundial!E383-omega*(e_base-Base_mundial!B383)</f>
        <v/>
      </c>
      <c r="BG384">
        <f>BE384*TAN(RADIANS(BF384))</f>
        <v/>
      </c>
    </row>
    <row r="385">
      <c r="Q385" t="n">
        <v>13.87884770105843</v>
      </c>
      <c r="R385">
        <f>MAX(DEGREES(ATAN(TAN(RADIANS(Parametros!$F$12-omega*e_base))*(Q385/sref)^(Parametros!$B$12-1))),DEGREES(ATAN(TAN(RADIANS(Parametros!$F$13-omega*e_base))*(Q385/sref)^(Parametros!$B$13-1))),DEGREES(ATAN(TAN(RADIANS(Parametros!$F$14-omega*e_base))*(Q385/sref)^(Parametros!$B$14-1))),DEGREES(ATAN(TAN(RADIANS(Parametros!$F$15-omega*e_base))*(Q385/sref)^(Parametros!$B$15-1))),DEGREES(ATAN(TAN(RADIANS(Parametros!$F$16-omega*e_base))*(Q385/sref)^(Parametros!$B$16-1))))</f>
        <v/>
      </c>
      <c r="T385" t="n">
        <v>11.27715976331361</v>
      </c>
      <c r="U385">
        <f>T385*TAN(RADIANS(MAX(DEGREES(ATAN(TAN(RADIANS(Parametros!$F$12-omega*e_base))*(T385/sref)^(Parametros!$B$12-1))),DEGREES(ATAN(TAN(RADIANS(Parametros!$F$13-omega*e_base))*(T385/sref)^(Parametros!$B$13-1))),DEGREES(ATAN(TAN(RADIANS(Parametros!$F$14-omega*e_base))*(T385/sref)^(Parametros!$B$14-1))),DEGREES(ATAN(TAN(RADIANS(Parametros!$F$15-omega*e_base))*(T385/sref)^(Parametros!$B$15-1))),DEGREES(ATAN(TAN(RADIANS(Parametros!$F$16-omega*e_base))*(T385/sref)^(Parametros!$B$16-1))))))</f>
        <v/>
      </c>
      <c r="BE385">
        <f>Base_mundial!C384</f>
        <v/>
      </c>
      <c r="BF385">
        <f>Base_mundial!E384-omega*(e_base-Base_mundial!B384)</f>
        <v/>
      </c>
      <c r="BG385">
        <f>BE385*TAN(RADIANS(BF385))</f>
        <v/>
      </c>
    </row>
    <row r="386">
      <c r="BE386">
        <f>Base_mundial!C385</f>
        <v/>
      </c>
      <c r="BF386">
        <f>Base_mundial!E385-omega*(e_base-Base_mundial!B385)</f>
        <v/>
      </c>
      <c r="BG386">
        <f>BE386*TAN(RADIANS(BF386))</f>
        <v/>
      </c>
    </row>
    <row r="387">
      <c r="Q387" t="n">
        <v>14.42853823212443</v>
      </c>
      <c r="R387">
        <f>MIN(DEGREES(ATAN(TAN(RADIANS(Parametros!$E$12-omega*e_base))*(Q387/sref)^(Parametros!$B$12-1))),DEGREES(ATAN(TAN(RADIANS(Parametros!$E$13-omega*e_base))*(Q387/sref)^(Parametros!$B$13-1))),DEGREES(ATAN(TAN(RADIANS(Parametros!$E$14-omega*e_base))*(Q387/sref)^(Parametros!$B$14-1))),DEGREES(ATAN(TAN(RADIANS(Parametros!$E$15-omega*e_base))*(Q387/sref)^(Parametros!$B$15-1))),DEGREES(ATAN(TAN(RADIANS(Parametros!$E$16-omega*e_base))*(Q387/sref)^(Parametros!$B$16-1))))</f>
        <v/>
      </c>
      <c r="T387" t="n">
        <v>11.36579881656805</v>
      </c>
      <c r="U387">
        <f>T387*TAN(RADIANS(MIN(DEGREES(ATAN(TAN(RADIANS(Parametros!$E$12-omega*e_base))*(T387/sref)^(Parametros!$B$12-1))),DEGREES(ATAN(TAN(RADIANS(Parametros!$E$13-omega*e_base))*(T387/sref)^(Parametros!$B$13-1))),DEGREES(ATAN(TAN(RADIANS(Parametros!$E$14-omega*e_base))*(T387/sref)^(Parametros!$B$14-1))),DEGREES(ATAN(TAN(RADIANS(Parametros!$E$15-omega*e_base))*(T387/sref)^(Parametros!$B$15-1))),DEGREES(ATAN(TAN(RADIANS(Parametros!$E$16-omega*e_base))*(T387/sref)^(Parametros!$B$16-1))))))</f>
        <v/>
      </c>
      <c r="BE387">
        <f>Base_mundial!C386</f>
        <v/>
      </c>
      <c r="BF387">
        <f>Base_mundial!E386-omega*(e_base-Base_mundial!B386)</f>
        <v/>
      </c>
      <c r="BG387">
        <f>BE387*TAN(RADIANS(BF387))</f>
        <v/>
      </c>
    </row>
    <row r="388">
      <c r="Q388" t="n">
        <v>14.42853823212443</v>
      </c>
      <c r="R388">
        <f>MAX(DEGREES(ATAN(TAN(RADIANS(Parametros!$F$12-omega*e_base))*(Q388/sref)^(Parametros!$B$12-1))),DEGREES(ATAN(TAN(RADIANS(Parametros!$F$13-omega*e_base))*(Q388/sref)^(Parametros!$B$13-1))),DEGREES(ATAN(TAN(RADIANS(Parametros!$F$14-omega*e_base))*(Q388/sref)^(Parametros!$B$14-1))),DEGREES(ATAN(TAN(RADIANS(Parametros!$F$15-omega*e_base))*(Q388/sref)^(Parametros!$B$15-1))),DEGREES(ATAN(TAN(RADIANS(Parametros!$F$16-omega*e_base))*(Q388/sref)^(Parametros!$B$16-1))))</f>
        <v/>
      </c>
      <c r="T388" t="n">
        <v>11.36579881656805</v>
      </c>
      <c r="U388">
        <f>T388*TAN(RADIANS(MAX(DEGREES(ATAN(TAN(RADIANS(Parametros!$F$12-omega*e_base))*(T388/sref)^(Parametros!$B$12-1))),DEGREES(ATAN(TAN(RADIANS(Parametros!$F$13-omega*e_base))*(T388/sref)^(Parametros!$B$13-1))),DEGREES(ATAN(TAN(RADIANS(Parametros!$F$14-omega*e_base))*(T388/sref)^(Parametros!$B$14-1))),DEGREES(ATAN(TAN(RADIANS(Parametros!$F$15-omega*e_base))*(T388/sref)^(Parametros!$B$15-1))),DEGREES(ATAN(TAN(RADIANS(Parametros!$F$16-omega*e_base))*(T388/sref)^(Parametros!$B$16-1))))))</f>
        <v/>
      </c>
      <c r="BE388">
        <f>Base_mundial!C387</f>
        <v/>
      </c>
      <c r="BF388">
        <f>Base_mundial!E387-omega*(e_base-Base_mundial!B387)</f>
        <v/>
      </c>
      <c r="BG388">
        <f>BE388*TAN(RADIANS(BF388))</f>
        <v/>
      </c>
    </row>
    <row r="389">
      <c r="BE389">
        <f>Base_mundial!C388</f>
        <v/>
      </c>
      <c r="BF389">
        <f>Base_mundial!E388-omega*(e_base-Base_mundial!B388)</f>
        <v/>
      </c>
      <c r="BG389">
        <f>BE389*TAN(RADIANS(BF389))</f>
        <v/>
      </c>
    </row>
    <row r="390">
      <c r="Q390" t="n">
        <v>15</v>
      </c>
      <c r="R390">
        <f>MIN(DEGREES(ATAN(TAN(RADIANS(Parametros!$E$12-omega*e_base))*(Q390/sref)^(Parametros!$B$12-1))),DEGREES(ATAN(TAN(RADIANS(Parametros!$E$13-omega*e_base))*(Q390/sref)^(Parametros!$B$13-1))),DEGREES(ATAN(TAN(RADIANS(Parametros!$E$14-omega*e_base))*(Q390/sref)^(Parametros!$B$14-1))),DEGREES(ATAN(TAN(RADIANS(Parametros!$E$15-omega*e_base))*(Q390/sref)^(Parametros!$B$15-1))),DEGREES(ATAN(TAN(RADIANS(Parametros!$E$16-omega*e_base))*(Q390/sref)^(Parametros!$B$16-1))))</f>
        <v/>
      </c>
      <c r="T390" t="n">
        <v>11.45443786982248</v>
      </c>
      <c r="U390">
        <f>T390*TAN(RADIANS(MIN(DEGREES(ATAN(TAN(RADIANS(Parametros!$E$12-omega*e_base))*(T390/sref)^(Parametros!$B$12-1))),DEGREES(ATAN(TAN(RADIANS(Parametros!$E$13-omega*e_base))*(T390/sref)^(Parametros!$B$13-1))),DEGREES(ATAN(TAN(RADIANS(Parametros!$E$14-omega*e_base))*(T390/sref)^(Parametros!$B$14-1))),DEGREES(ATAN(TAN(RADIANS(Parametros!$E$15-omega*e_base))*(T390/sref)^(Parametros!$B$15-1))),DEGREES(ATAN(TAN(RADIANS(Parametros!$E$16-omega*e_base))*(T390/sref)^(Parametros!$B$16-1))))))</f>
        <v/>
      </c>
      <c r="BE390">
        <f>Base_mundial!C389</f>
        <v/>
      </c>
      <c r="BF390">
        <f>Base_mundial!E389-omega*(e_base-Base_mundial!B389)</f>
        <v/>
      </c>
      <c r="BG390">
        <f>BE390*TAN(RADIANS(BF390))</f>
        <v/>
      </c>
    </row>
    <row r="391">
      <c r="Q391" t="n">
        <v>15</v>
      </c>
      <c r="R391">
        <f>MAX(DEGREES(ATAN(TAN(RADIANS(Parametros!$F$12-omega*e_base))*(Q391/sref)^(Parametros!$B$12-1))),DEGREES(ATAN(TAN(RADIANS(Parametros!$F$13-omega*e_base))*(Q391/sref)^(Parametros!$B$13-1))),DEGREES(ATAN(TAN(RADIANS(Parametros!$F$14-omega*e_base))*(Q391/sref)^(Parametros!$B$14-1))),DEGREES(ATAN(TAN(RADIANS(Parametros!$F$15-omega*e_base))*(Q391/sref)^(Parametros!$B$15-1))),DEGREES(ATAN(TAN(RADIANS(Parametros!$F$16-omega*e_base))*(Q391/sref)^(Parametros!$B$16-1))))</f>
        <v/>
      </c>
      <c r="T391" t="n">
        <v>11.45443786982248</v>
      </c>
      <c r="U391">
        <f>T391*TAN(RADIANS(MAX(DEGREES(ATAN(TAN(RADIANS(Parametros!$F$12-omega*e_base))*(T391/sref)^(Parametros!$B$12-1))),DEGREES(ATAN(TAN(RADIANS(Parametros!$F$13-omega*e_base))*(T391/sref)^(Parametros!$B$13-1))),DEGREES(ATAN(TAN(RADIANS(Parametros!$F$14-omega*e_base))*(T391/sref)^(Parametros!$B$14-1))),DEGREES(ATAN(TAN(RADIANS(Parametros!$F$15-omega*e_base))*(T391/sref)^(Parametros!$B$15-1))),DEGREES(ATAN(TAN(RADIANS(Parametros!$F$16-omega*e_base))*(T391/sref)^(Parametros!$B$16-1))))))</f>
        <v/>
      </c>
      <c r="BE391">
        <f>Base_mundial!C390</f>
        <v/>
      </c>
      <c r="BF391">
        <f>Base_mundial!E390-omega*(e_base-Base_mundial!B390)</f>
        <v/>
      </c>
      <c r="BG391">
        <f>BE391*TAN(RADIANS(BF391))</f>
        <v/>
      </c>
    </row>
    <row r="392">
      <c r="BE392">
        <f>Base_mundial!C391</f>
        <v/>
      </c>
      <c r="BF392">
        <f>Base_mundial!E391-omega*(e_base-Base_mundial!B391)</f>
        <v/>
      </c>
      <c r="BG392">
        <f>BE392*TAN(RADIANS(BF392))</f>
        <v/>
      </c>
    </row>
    <row r="393">
      <c r="T393" t="n">
        <v>11.54307692307692</v>
      </c>
      <c r="U393">
        <f>T393*TAN(RADIANS(MIN(DEGREES(ATAN(TAN(RADIANS(Parametros!$E$12-omega*e_base))*(T393/sref)^(Parametros!$B$12-1))),DEGREES(ATAN(TAN(RADIANS(Parametros!$E$13-omega*e_base))*(T393/sref)^(Parametros!$B$13-1))),DEGREES(ATAN(TAN(RADIANS(Parametros!$E$14-omega*e_base))*(T393/sref)^(Parametros!$B$14-1))),DEGREES(ATAN(TAN(RADIANS(Parametros!$E$15-omega*e_base))*(T393/sref)^(Parametros!$B$15-1))),DEGREES(ATAN(TAN(RADIANS(Parametros!$E$16-omega*e_base))*(T393/sref)^(Parametros!$B$16-1))))))</f>
        <v/>
      </c>
      <c r="BE393">
        <f>Base_mundial!C392</f>
        <v/>
      </c>
      <c r="BF393">
        <f>Base_mundial!E392-omega*(e_base-Base_mundial!B392)</f>
        <v/>
      </c>
      <c r="BG393">
        <f>BE393*TAN(RADIANS(BF393))</f>
        <v/>
      </c>
    </row>
    <row r="394">
      <c r="T394" t="n">
        <v>11.54307692307692</v>
      </c>
      <c r="U394">
        <f>T394*TAN(RADIANS(MAX(DEGREES(ATAN(TAN(RADIANS(Parametros!$F$12-omega*e_base))*(T394/sref)^(Parametros!$B$12-1))),DEGREES(ATAN(TAN(RADIANS(Parametros!$F$13-omega*e_base))*(T394/sref)^(Parametros!$B$13-1))),DEGREES(ATAN(TAN(RADIANS(Parametros!$F$14-omega*e_base))*(T394/sref)^(Parametros!$B$14-1))),DEGREES(ATAN(TAN(RADIANS(Parametros!$F$15-omega*e_base))*(T394/sref)^(Parametros!$B$15-1))),DEGREES(ATAN(TAN(RADIANS(Parametros!$F$16-omega*e_base))*(T394/sref)^(Parametros!$B$16-1))))))</f>
        <v/>
      </c>
      <c r="BE394">
        <f>Base_mundial!C393</f>
        <v/>
      </c>
      <c r="BF394">
        <f>Base_mundial!E393-omega*(e_base-Base_mundial!B393)</f>
        <v/>
      </c>
      <c r="BG394">
        <f>BE394*TAN(RADIANS(BF394))</f>
        <v/>
      </c>
    </row>
    <row r="395">
      <c r="BE395">
        <f>Base_mundial!C394</f>
        <v/>
      </c>
      <c r="BF395">
        <f>Base_mundial!E394-omega*(e_base-Base_mundial!B394)</f>
        <v/>
      </c>
      <c r="BG395">
        <f>BE395*TAN(RADIANS(BF395))</f>
        <v/>
      </c>
    </row>
    <row r="396">
      <c r="T396" t="n">
        <v>11.63171597633136</v>
      </c>
      <c r="U396">
        <f>T396*TAN(RADIANS(MIN(DEGREES(ATAN(TAN(RADIANS(Parametros!$E$12-omega*e_base))*(T396/sref)^(Parametros!$B$12-1))),DEGREES(ATAN(TAN(RADIANS(Parametros!$E$13-omega*e_base))*(T396/sref)^(Parametros!$B$13-1))),DEGREES(ATAN(TAN(RADIANS(Parametros!$E$14-omega*e_base))*(T396/sref)^(Parametros!$B$14-1))),DEGREES(ATAN(TAN(RADIANS(Parametros!$E$15-omega*e_base))*(T396/sref)^(Parametros!$B$15-1))),DEGREES(ATAN(TAN(RADIANS(Parametros!$E$16-omega*e_base))*(T396/sref)^(Parametros!$B$16-1))))))</f>
        <v/>
      </c>
      <c r="BE396">
        <f>Base_mundial!C395</f>
        <v/>
      </c>
      <c r="BF396">
        <f>Base_mundial!E395-omega*(e_base-Base_mundial!B395)</f>
        <v/>
      </c>
      <c r="BG396">
        <f>BE396*TAN(RADIANS(BF396))</f>
        <v/>
      </c>
    </row>
    <row r="397">
      <c r="T397" t="n">
        <v>11.63171597633136</v>
      </c>
      <c r="U397">
        <f>T397*TAN(RADIANS(MAX(DEGREES(ATAN(TAN(RADIANS(Parametros!$F$12-omega*e_base))*(T397/sref)^(Parametros!$B$12-1))),DEGREES(ATAN(TAN(RADIANS(Parametros!$F$13-omega*e_base))*(T397/sref)^(Parametros!$B$13-1))),DEGREES(ATAN(TAN(RADIANS(Parametros!$F$14-omega*e_base))*(T397/sref)^(Parametros!$B$14-1))),DEGREES(ATAN(TAN(RADIANS(Parametros!$F$15-omega*e_base))*(T397/sref)^(Parametros!$B$15-1))),DEGREES(ATAN(TAN(RADIANS(Parametros!$F$16-omega*e_base))*(T397/sref)^(Parametros!$B$16-1))))))</f>
        <v/>
      </c>
      <c r="BE397">
        <f>Base_mundial!C396</f>
        <v/>
      </c>
      <c r="BF397">
        <f>Base_mundial!E396-omega*(e_base-Base_mundial!B396)</f>
        <v/>
      </c>
      <c r="BG397">
        <f>BE397*TAN(RADIANS(BF397))</f>
        <v/>
      </c>
    </row>
    <row r="398">
      <c r="BE398">
        <f>Base_mundial!C397</f>
        <v/>
      </c>
      <c r="BF398">
        <f>Base_mundial!E397-omega*(e_base-Base_mundial!B397)</f>
        <v/>
      </c>
      <c r="BG398">
        <f>BE398*TAN(RADIANS(BF398))</f>
        <v/>
      </c>
    </row>
    <row r="399">
      <c r="T399" t="n">
        <v>11.7203550295858</v>
      </c>
      <c r="U399">
        <f>T399*TAN(RADIANS(MIN(DEGREES(ATAN(TAN(RADIANS(Parametros!$E$12-omega*e_base))*(T399/sref)^(Parametros!$B$12-1))),DEGREES(ATAN(TAN(RADIANS(Parametros!$E$13-omega*e_base))*(T399/sref)^(Parametros!$B$13-1))),DEGREES(ATAN(TAN(RADIANS(Parametros!$E$14-omega*e_base))*(T399/sref)^(Parametros!$B$14-1))),DEGREES(ATAN(TAN(RADIANS(Parametros!$E$15-omega*e_base))*(T399/sref)^(Parametros!$B$15-1))),DEGREES(ATAN(TAN(RADIANS(Parametros!$E$16-omega*e_base))*(T399/sref)^(Parametros!$B$16-1))))))</f>
        <v/>
      </c>
      <c r="BE399">
        <f>Base_mundial!C398</f>
        <v/>
      </c>
      <c r="BF399">
        <f>Base_mundial!E398-omega*(e_base-Base_mundial!B398)</f>
        <v/>
      </c>
      <c r="BG399">
        <f>BE399*TAN(RADIANS(BF399))</f>
        <v/>
      </c>
    </row>
    <row r="400">
      <c r="T400" t="n">
        <v>11.7203550295858</v>
      </c>
      <c r="U400">
        <f>T400*TAN(RADIANS(MAX(DEGREES(ATAN(TAN(RADIANS(Parametros!$F$12-omega*e_base))*(T400/sref)^(Parametros!$B$12-1))),DEGREES(ATAN(TAN(RADIANS(Parametros!$F$13-omega*e_base))*(T400/sref)^(Parametros!$B$13-1))),DEGREES(ATAN(TAN(RADIANS(Parametros!$F$14-omega*e_base))*(T400/sref)^(Parametros!$B$14-1))),DEGREES(ATAN(TAN(RADIANS(Parametros!$F$15-omega*e_base))*(T400/sref)^(Parametros!$B$15-1))),DEGREES(ATAN(TAN(RADIANS(Parametros!$F$16-omega*e_base))*(T400/sref)^(Parametros!$B$16-1))))))</f>
        <v/>
      </c>
      <c r="BE400">
        <f>Base_mundial!C399</f>
        <v/>
      </c>
      <c r="BF400">
        <f>Base_mundial!E399-omega*(e_base-Base_mundial!B399)</f>
        <v/>
      </c>
      <c r="BG400">
        <f>BE400*TAN(RADIANS(BF400))</f>
        <v/>
      </c>
    </row>
    <row r="401">
      <c r="BE401">
        <f>Base_mundial!C400</f>
        <v/>
      </c>
      <c r="BF401">
        <f>Base_mundial!E400-omega*(e_base-Base_mundial!B400)</f>
        <v/>
      </c>
      <c r="BG401">
        <f>BE401*TAN(RADIANS(BF401))</f>
        <v/>
      </c>
    </row>
    <row r="402">
      <c r="T402" t="n">
        <v>11.80899408284024</v>
      </c>
      <c r="U402">
        <f>T402*TAN(RADIANS(MIN(DEGREES(ATAN(TAN(RADIANS(Parametros!$E$12-omega*e_base))*(T402/sref)^(Parametros!$B$12-1))),DEGREES(ATAN(TAN(RADIANS(Parametros!$E$13-omega*e_base))*(T402/sref)^(Parametros!$B$13-1))),DEGREES(ATAN(TAN(RADIANS(Parametros!$E$14-omega*e_base))*(T402/sref)^(Parametros!$B$14-1))),DEGREES(ATAN(TAN(RADIANS(Parametros!$E$15-omega*e_base))*(T402/sref)^(Parametros!$B$15-1))),DEGREES(ATAN(TAN(RADIANS(Parametros!$E$16-omega*e_base))*(T402/sref)^(Parametros!$B$16-1))))))</f>
        <v/>
      </c>
      <c r="BE402">
        <f>Base_mundial!C401</f>
        <v/>
      </c>
      <c r="BF402">
        <f>Base_mundial!E401-omega*(e_base-Base_mundial!B401)</f>
        <v/>
      </c>
      <c r="BG402">
        <f>BE402*TAN(RADIANS(BF402))</f>
        <v/>
      </c>
    </row>
    <row r="403">
      <c r="T403" t="n">
        <v>11.80899408284024</v>
      </c>
      <c r="U403">
        <f>T403*TAN(RADIANS(MAX(DEGREES(ATAN(TAN(RADIANS(Parametros!$F$12-omega*e_base))*(T403/sref)^(Parametros!$B$12-1))),DEGREES(ATAN(TAN(RADIANS(Parametros!$F$13-omega*e_base))*(T403/sref)^(Parametros!$B$13-1))),DEGREES(ATAN(TAN(RADIANS(Parametros!$F$14-omega*e_base))*(T403/sref)^(Parametros!$B$14-1))),DEGREES(ATAN(TAN(RADIANS(Parametros!$F$15-omega*e_base))*(T403/sref)^(Parametros!$B$15-1))),DEGREES(ATAN(TAN(RADIANS(Parametros!$F$16-omega*e_base))*(T403/sref)^(Parametros!$B$16-1))))))</f>
        <v/>
      </c>
      <c r="BE403">
        <f>Base_mundial!C402</f>
        <v/>
      </c>
      <c r="BF403">
        <f>Base_mundial!E402-omega*(e_base-Base_mundial!B402)</f>
        <v/>
      </c>
      <c r="BG403">
        <f>BE403*TAN(RADIANS(BF403))</f>
        <v/>
      </c>
    </row>
    <row r="404">
      <c r="BE404">
        <f>Base_mundial!C403</f>
        <v/>
      </c>
      <c r="BF404">
        <f>Base_mundial!E403-omega*(e_base-Base_mundial!B403)</f>
        <v/>
      </c>
      <c r="BG404">
        <f>BE404*TAN(RADIANS(BF404))</f>
        <v/>
      </c>
    </row>
    <row r="405">
      <c r="T405" t="n">
        <v>11.89763313609467</v>
      </c>
      <c r="U405">
        <f>T405*TAN(RADIANS(MIN(DEGREES(ATAN(TAN(RADIANS(Parametros!$E$12-omega*e_base))*(T405/sref)^(Parametros!$B$12-1))),DEGREES(ATAN(TAN(RADIANS(Parametros!$E$13-omega*e_base))*(T405/sref)^(Parametros!$B$13-1))),DEGREES(ATAN(TAN(RADIANS(Parametros!$E$14-omega*e_base))*(T405/sref)^(Parametros!$B$14-1))),DEGREES(ATAN(TAN(RADIANS(Parametros!$E$15-omega*e_base))*(T405/sref)^(Parametros!$B$15-1))),DEGREES(ATAN(TAN(RADIANS(Parametros!$E$16-omega*e_base))*(T405/sref)^(Parametros!$B$16-1))))))</f>
        <v/>
      </c>
      <c r="BE405">
        <f>Base_mundial!C404</f>
        <v/>
      </c>
      <c r="BF405">
        <f>Base_mundial!E404-omega*(e_base-Base_mundial!B404)</f>
        <v/>
      </c>
      <c r="BG405">
        <f>BE405*TAN(RADIANS(BF405))</f>
        <v/>
      </c>
    </row>
    <row r="406">
      <c r="T406" t="n">
        <v>11.89763313609467</v>
      </c>
      <c r="U406">
        <f>T406*TAN(RADIANS(MAX(DEGREES(ATAN(TAN(RADIANS(Parametros!$F$12-omega*e_base))*(T406/sref)^(Parametros!$B$12-1))),DEGREES(ATAN(TAN(RADIANS(Parametros!$F$13-omega*e_base))*(T406/sref)^(Parametros!$B$13-1))),DEGREES(ATAN(TAN(RADIANS(Parametros!$F$14-omega*e_base))*(T406/sref)^(Parametros!$B$14-1))),DEGREES(ATAN(TAN(RADIANS(Parametros!$F$15-omega*e_base))*(T406/sref)^(Parametros!$B$15-1))),DEGREES(ATAN(TAN(RADIANS(Parametros!$F$16-omega*e_base))*(T406/sref)^(Parametros!$B$16-1))))))</f>
        <v/>
      </c>
      <c r="BE406">
        <f>Base_mundial!C405</f>
        <v/>
      </c>
      <c r="BF406">
        <f>Base_mundial!E405-omega*(e_base-Base_mundial!B405)</f>
        <v/>
      </c>
      <c r="BG406">
        <f>BE406*TAN(RADIANS(BF406))</f>
        <v/>
      </c>
    </row>
    <row r="407">
      <c r="BE407">
        <f>Base_mundial!C406</f>
        <v/>
      </c>
      <c r="BF407">
        <f>Base_mundial!E406-omega*(e_base-Base_mundial!B406)</f>
        <v/>
      </c>
      <c r="BG407">
        <f>BE407*TAN(RADIANS(BF407))</f>
        <v/>
      </c>
    </row>
    <row r="408">
      <c r="T408" t="n">
        <v>11.98627218934911</v>
      </c>
      <c r="U408">
        <f>T408*TAN(RADIANS(MIN(DEGREES(ATAN(TAN(RADIANS(Parametros!$E$12-omega*e_base))*(T408/sref)^(Parametros!$B$12-1))),DEGREES(ATAN(TAN(RADIANS(Parametros!$E$13-omega*e_base))*(T408/sref)^(Parametros!$B$13-1))),DEGREES(ATAN(TAN(RADIANS(Parametros!$E$14-omega*e_base))*(T408/sref)^(Parametros!$B$14-1))),DEGREES(ATAN(TAN(RADIANS(Parametros!$E$15-omega*e_base))*(T408/sref)^(Parametros!$B$15-1))),DEGREES(ATAN(TAN(RADIANS(Parametros!$E$16-omega*e_base))*(T408/sref)^(Parametros!$B$16-1))))))</f>
        <v/>
      </c>
      <c r="BE408">
        <f>Base_mundial!C407</f>
        <v/>
      </c>
      <c r="BF408">
        <f>Base_mundial!E407-omega*(e_base-Base_mundial!B407)</f>
        <v/>
      </c>
      <c r="BG408">
        <f>BE408*TAN(RADIANS(BF408))</f>
        <v/>
      </c>
    </row>
    <row r="409">
      <c r="T409" t="n">
        <v>11.98627218934911</v>
      </c>
      <c r="U409">
        <f>T409*TAN(RADIANS(MAX(DEGREES(ATAN(TAN(RADIANS(Parametros!$F$12-omega*e_base))*(T409/sref)^(Parametros!$B$12-1))),DEGREES(ATAN(TAN(RADIANS(Parametros!$F$13-omega*e_base))*(T409/sref)^(Parametros!$B$13-1))),DEGREES(ATAN(TAN(RADIANS(Parametros!$F$14-omega*e_base))*(T409/sref)^(Parametros!$B$14-1))),DEGREES(ATAN(TAN(RADIANS(Parametros!$F$15-omega*e_base))*(T409/sref)^(Parametros!$B$15-1))),DEGREES(ATAN(TAN(RADIANS(Parametros!$F$16-omega*e_base))*(T409/sref)^(Parametros!$B$16-1))))))</f>
        <v/>
      </c>
      <c r="BE409">
        <f>Base_mundial!C408</f>
        <v/>
      </c>
      <c r="BF409">
        <f>Base_mundial!E408-omega*(e_base-Base_mundial!B408)</f>
        <v/>
      </c>
      <c r="BG409">
        <f>BE409*TAN(RADIANS(BF409))</f>
        <v/>
      </c>
    </row>
    <row r="410">
      <c r="BE410">
        <f>Base_mundial!C409</f>
        <v/>
      </c>
      <c r="BF410">
        <f>Base_mundial!E409-omega*(e_base-Base_mundial!B409)</f>
        <v/>
      </c>
      <c r="BG410">
        <f>BE410*TAN(RADIANS(BF410))</f>
        <v/>
      </c>
    </row>
    <row r="411">
      <c r="T411" t="n">
        <v>12.07491124260355</v>
      </c>
      <c r="U411">
        <f>T411*TAN(RADIANS(MIN(DEGREES(ATAN(TAN(RADIANS(Parametros!$E$12-omega*e_base))*(T411/sref)^(Parametros!$B$12-1))),DEGREES(ATAN(TAN(RADIANS(Parametros!$E$13-omega*e_base))*(T411/sref)^(Parametros!$B$13-1))),DEGREES(ATAN(TAN(RADIANS(Parametros!$E$14-omega*e_base))*(T411/sref)^(Parametros!$B$14-1))),DEGREES(ATAN(TAN(RADIANS(Parametros!$E$15-omega*e_base))*(T411/sref)^(Parametros!$B$15-1))),DEGREES(ATAN(TAN(RADIANS(Parametros!$E$16-omega*e_base))*(T411/sref)^(Parametros!$B$16-1))))))</f>
        <v/>
      </c>
      <c r="BE411">
        <f>Base_mundial!C410</f>
        <v/>
      </c>
      <c r="BF411">
        <f>Base_mundial!E410-omega*(e_base-Base_mundial!B410)</f>
        <v/>
      </c>
      <c r="BG411">
        <f>BE411*TAN(RADIANS(BF411))</f>
        <v/>
      </c>
    </row>
    <row r="412">
      <c r="T412" t="n">
        <v>12.07491124260355</v>
      </c>
      <c r="U412">
        <f>T412*TAN(RADIANS(MAX(DEGREES(ATAN(TAN(RADIANS(Parametros!$F$12-omega*e_base))*(T412/sref)^(Parametros!$B$12-1))),DEGREES(ATAN(TAN(RADIANS(Parametros!$F$13-omega*e_base))*(T412/sref)^(Parametros!$B$13-1))),DEGREES(ATAN(TAN(RADIANS(Parametros!$F$14-omega*e_base))*(T412/sref)^(Parametros!$B$14-1))),DEGREES(ATAN(TAN(RADIANS(Parametros!$F$15-omega*e_base))*(T412/sref)^(Parametros!$B$15-1))),DEGREES(ATAN(TAN(RADIANS(Parametros!$F$16-omega*e_base))*(T412/sref)^(Parametros!$B$16-1))))))</f>
        <v/>
      </c>
      <c r="BE412">
        <f>Base_mundial!C411</f>
        <v/>
      </c>
      <c r="BF412">
        <f>Base_mundial!E411-omega*(e_base-Base_mundial!B411)</f>
        <v/>
      </c>
      <c r="BG412">
        <f>BE412*TAN(RADIANS(BF412))</f>
        <v/>
      </c>
    </row>
    <row r="413">
      <c r="BE413">
        <f>Base_mundial!C412</f>
        <v/>
      </c>
      <c r="BF413">
        <f>Base_mundial!E412-omega*(e_base-Base_mundial!B412)</f>
        <v/>
      </c>
      <c r="BG413">
        <f>BE413*TAN(RADIANS(BF413))</f>
        <v/>
      </c>
    </row>
    <row r="414">
      <c r="T414" t="n">
        <v>12.16355029585799</v>
      </c>
      <c r="U414">
        <f>T414*TAN(RADIANS(MIN(DEGREES(ATAN(TAN(RADIANS(Parametros!$E$12-omega*e_base))*(T414/sref)^(Parametros!$B$12-1))),DEGREES(ATAN(TAN(RADIANS(Parametros!$E$13-omega*e_base))*(T414/sref)^(Parametros!$B$13-1))),DEGREES(ATAN(TAN(RADIANS(Parametros!$E$14-omega*e_base))*(T414/sref)^(Parametros!$B$14-1))),DEGREES(ATAN(TAN(RADIANS(Parametros!$E$15-omega*e_base))*(T414/sref)^(Parametros!$B$15-1))),DEGREES(ATAN(TAN(RADIANS(Parametros!$E$16-omega*e_base))*(T414/sref)^(Parametros!$B$16-1))))))</f>
        <v/>
      </c>
      <c r="BE414">
        <f>Base_mundial!C413</f>
        <v/>
      </c>
      <c r="BF414">
        <f>Base_mundial!E413-omega*(e_base-Base_mundial!B413)</f>
        <v/>
      </c>
      <c r="BG414">
        <f>BE414*TAN(RADIANS(BF414))</f>
        <v/>
      </c>
    </row>
    <row r="415">
      <c r="T415" t="n">
        <v>12.16355029585799</v>
      </c>
      <c r="U415">
        <f>T415*TAN(RADIANS(MAX(DEGREES(ATAN(TAN(RADIANS(Parametros!$F$12-omega*e_base))*(T415/sref)^(Parametros!$B$12-1))),DEGREES(ATAN(TAN(RADIANS(Parametros!$F$13-omega*e_base))*(T415/sref)^(Parametros!$B$13-1))),DEGREES(ATAN(TAN(RADIANS(Parametros!$F$14-omega*e_base))*(T415/sref)^(Parametros!$B$14-1))),DEGREES(ATAN(TAN(RADIANS(Parametros!$F$15-omega*e_base))*(T415/sref)^(Parametros!$B$15-1))),DEGREES(ATAN(TAN(RADIANS(Parametros!$F$16-omega*e_base))*(T415/sref)^(Parametros!$B$16-1))))))</f>
        <v/>
      </c>
      <c r="BE415">
        <f>Base_mundial!C414</f>
        <v/>
      </c>
      <c r="BF415">
        <f>Base_mundial!E414-omega*(e_base-Base_mundial!B414)</f>
        <v/>
      </c>
      <c r="BG415">
        <f>BE415*TAN(RADIANS(BF415))</f>
        <v/>
      </c>
    </row>
    <row r="416">
      <c r="BE416">
        <f>Base_mundial!C415</f>
        <v/>
      </c>
      <c r="BF416">
        <f>Base_mundial!E415-omega*(e_base-Base_mundial!B415)</f>
        <v/>
      </c>
      <c r="BG416">
        <f>BE416*TAN(RADIANS(BF416))</f>
        <v/>
      </c>
    </row>
    <row r="417">
      <c r="T417" t="n">
        <v>12.25218934911243</v>
      </c>
      <c r="U417">
        <f>T417*TAN(RADIANS(MIN(DEGREES(ATAN(TAN(RADIANS(Parametros!$E$12-omega*e_base))*(T417/sref)^(Parametros!$B$12-1))),DEGREES(ATAN(TAN(RADIANS(Parametros!$E$13-omega*e_base))*(T417/sref)^(Parametros!$B$13-1))),DEGREES(ATAN(TAN(RADIANS(Parametros!$E$14-omega*e_base))*(T417/sref)^(Parametros!$B$14-1))),DEGREES(ATAN(TAN(RADIANS(Parametros!$E$15-omega*e_base))*(T417/sref)^(Parametros!$B$15-1))),DEGREES(ATAN(TAN(RADIANS(Parametros!$E$16-omega*e_base))*(T417/sref)^(Parametros!$B$16-1))))))</f>
        <v/>
      </c>
      <c r="BE417">
        <f>Base_mundial!C416</f>
        <v/>
      </c>
      <c r="BF417">
        <f>Base_mundial!E416-omega*(e_base-Base_mundial!B416)</f>
        <v/>
      </c>
      <c r="BG417">
        <f>BE417*TAN(RADIANS(BF417))</f>
        <v/>
      </c>
    </row>
    <row r="418">
      <c r="T418" t="n">
        <v>12.25218934911243</v>
      </c>
      <c r="U418">
        <f>T418*TAN(RADIANS(MAX(DEGREES(ATAN(TAN(RADIANS(Parametros!$F$12-omega*e_base))*(T418/sref)^(Parametros!$B$12-1))),DEGREES(ATAN(TAN(RADIANS(Parametros!$F$13-omega*e_base))*(T418/sref)^(Parametros!$B$13-1))),DEGREES(ATAN(TAN(RADIANS(Parametros!$F$14-omega*e_base))*(T418/sref)^(Parametros!$B$14-1))),DEGREES(ATAN(TAN(RADIANS(Parametros!$F$15-omega*e_base))*(T418/sref)^(Parametros!$B$15-1))),DEGREES(ATAN(TAN(RADIANS(Parametros!$F$16-omega*e_base))*(T418/sref)^(Parametros!$B$16-1))))))</f>
        <v/>
      </c>
      <c r="BE418">
        <f>Base_mundial!C417</f>
        <v/>
      </c>
      <c r="BF418">
        <f>Base_mundial!E417-omega*(e_base-Base_mundial!B417)</f>
        <v/>
      </c>
      <c r="BG418">
        <f>BE418*TAN(RADIANS(BF418))</f>
        <v/>
      </c>
    </row>
    <row r="419">
      <c r="BE419">
        <f>Base_mundial!C418</f>
        <v/>
      </c>
      <c r="BF419">
        <f>Base_mundial!E418-omega*(e_base-Base_mundial!B418)</f>
        <v/>
      </c>
      <c r="BG419">
        <f>BE419*TAN(RADIANS(BF419))</f>
        <v/>
      </c>
    </row>
    <row r="420">
      <c r="T420" t="n">
        <v>12.34082840236686</v>
      </c>
      <c r="U420">
        <f>T420*TAN(RADIANS(MIN(DEGREES(ATAN(TAN(RADIANS(Parametros!$E$12-omega*e_base))*(T420/sref)^(Parametros!$B$12-1))),DEGREES(ATAN(TAN(RADIANS(Parametros!$E$13-omega*e_base))*(T420/sref)^(Parametros!$B$13-1))),DEGREES(ATAN(TAN(RADIANS(Parametros!$E$14-omega*e_base))*(T420/sref)^(Parametros!$B$14-1))),DEGREES(ATAN(TAN(RADIANS(Parametros!$E$15-omega*e_base))*(T420/sref)^(Parametros!$B$15-1))),DEGREES(ATAN(TAN(RADIANS(Parametros!$E$16-omega*e_base))*(T420/sref)^(Parametros!$B$16-1))))))</f>
        <v/>
      </c>
      <c r="BE420">
        <f>Base_mundial!C419</f>
        <v/>
      </c>
      <c r="BF420">
        <f>Base_mundial!E419-omega*(e_base-Base_mundial!B419)</f>
        <v/>
      </c>
      <c r="BG420">
        <f>BE420*TAN(RADIANS(BF420))</f>
        <v/>
      </c>
    </row>
    <row r="421">
      <c r="T421" t="n">
        <v>12.34082840236686</v>
      </c>
      <c r="U421">
        <f>T421*TAN(RADIANS(MAX(DEGREES(ATAN(TAN(RADIANS(Parametros!$F$12-omega*e_base))*(T421/sref)^(Parametros!$B$12-1))),DEGREES(ATAN(TAN(RADIANS(Parametros!$F$13-omega*e_base))*(T421/sref)^(Parametros!$B$13-1))),DEGREES(ATAN(TAN(RADIANS(Parametros!$F$14-omega*e_base))*(T421/sref)^(Parametros!$B$14-1))),DEGREES(ATAN(TAN(RADIANS(Parametros!$F$15-omega*e_base))*(T421/sref)^(Parametros!$B$15-1))),DEGREES(ATAN(TAN(RADIANS(Parametros!$F$16-omega*e_base))*(T421/sref)^(Parametros!$B$16-1))))))</f>
        <v/>
      </c>
      <c r="BE421">
        <f>Base_mundial!C420</f>
        <v/>
      </c>
      <c r="BF421">
        <f>Base_mundial!E420-omega*(e_base-Base_mundial!B420)</f>
        <v/>
      </c>
      <c r="BG421">
        <f>BE421*TAN(RADIANS(BF421))</f>
        <v/>
      </c>
    </row>
    <row r="422">
      <c r="BE422">
        <f>Base_mundial!C421</f>
        <v/>
      </c>
      <c r="BF422">
        <f>Base_mundial!E421-omega*(e_base-Base_mundial!B421)</f>
        <v/>
      </c>
      <c r="BG422">
        <f>BE422*TAN(RADIANS(BF422))</f>
        <v/>
      </c>
    </row>
    <row r="423">
      <c r="T423" t="n">
        <v>12.4294674556213</v>
      </c>
      <c r="U423">
        <f>T423*TAN(RADIANS(MIN(DEGREES(ATAN(TAN(RADIANS(Parametros!$E$12-omega*e_base))*(T423/sref)^(Parametros!$B$12-1))),DEGREES(ATAN(TAN(RADIANS(Parametros!$E$13-omega*e_base))*(T423/sref)^(Parametros!$B$13-1))),DEGREES(ATAN(TAN(RADIANS(Parametros!$E$14-omega*e_base))*(T423/sref)^(Parametros!$B$14-1))),DEGREES(ATAN(TAN(RADIANS(Parametros!$E$15-omega*e_base))*(T423/sref)^(Parametros!$B$15-1))),DEGREES(ATAN(TAN(RADIANS(Parametros!$E$16-omega*e_base))*(T423/sref)^(Parametros!$B$16-1))))))</f>
        <v/>
      </c>
      <c r="BE423">
        <f>Base_mundial!C422</f>
        <v/>
      </c>
      <c r="BF423">
        <f>Base_mundial!E422-omega*(e_base-Base_mundial!B422)</f>
        <v/>
      </c>
      <c r="BG423">
        <f>BE423*TAN(RADIANS(BF423))</f>
        <v/>
      </c>
    </row>
    <row r="424">
      <c r="T424" t="n">
        <v>12.4294674556213</v>
      </c>
      <c r="U424">
        <f>T424*TAN(RADIANS(MAX(DEGREES(ATAN(TAN(RADIANS(Parametros!$F$12-omega*e_base))*(T424/sref)^(Parametros!$B$12-1))),DEGREES(ATAN(TAN(RADIANS(Parametros!$F$13-omega*e_base))*(T424/sref)^(Parametros!$B$13-1))),DEGREES(ATAN(TAN(RADIANS(Parametros!$F$14-omega*e_base))*(T424/sref)^(Parametros!$B$14-1))),DEGREES(ATAN(TAN(RADIANS(Parametros!$F$15-omega*e_base))*(T424/sref)^(Parametros!$B$15-1))),DEGREES(ATAN(TAN(RADIANS(Parametros!$F$16-omega*e_base))*(T424/sref)^(Parametros!$B$16-1))))))</f>
        <v/>
      </c>
      <c r="BE424">
        <f>Base_mundial!C423</f>
        <v/>
      </c>
      <c r="BF424">
        <f>Base_mundial!E423-omega*(e_base-Base_mundial!B423)</f>
        <v/>
      </c>
      <c r="BG424">
        <f>BE424*TAN(RADIANS(BF424))</f>
        <v/>
      </c>
    </row>
    <row r="425">
      <c r="BE425">
        <f>Base_mundial!C424</f>
        <v/>
      </c>
      <c r="BF425">
        <f>Base_mundial!E424-omega*(e_base-Base_mundial!B424)</f>
        <v/>
      </c>
      <c r="BG425">
        <f>BE425*TAN(RADIANS(BF425))</f>
        <v/>
      </c>
    </row>
    <row r="426">
      <c r="T426" t="n">
        <v>12.51810650887574</v>
      </c>
      <c r="U426">
        <f>T426*TAN(RADIANS(MIN(DEGREES(ATAN(TAN(RADIANS(Parametros!$E$12-omega*e_base))*(T426/sref)^(Parametros!$B$12-1))),DEGREES(ATAN(TAN(RADIANS(Parametros!$E$13-omega*e_base))*(T426/sref)^(Parametros!$B$13-1))),DEGREES(ATAN(TAN(RADIANS(Parametros!$E$14-omega*e_base))*(T426/sref)^(Parametros!$B$14-1))),DEGREES(ATAN(TAN(RADIANS(Parametros!$E$15-omega*e_base))*(T426/sref)^(Parametros!$B$15-1))),DEGREES(ATAN(TAN(RADIANS(Parametros!$E$16-omega*e_base))*(T426/sref)^(Parametros!$B$16-1))))))</f>
        <v/>
      </c>
      <c r="BE426">
        <f>Base_mundial!C425</f>
        <v/>
      </c>
      <c r="BF426">
        <f>Base_mundial!E425-omega*(e_base-Base_mundial!B425)</f>
        <v/>
      </c>
      <c r="BG426">
        <f>BE426*TAN(RADIANS(BF426))</f>
        <v/>
      </c>
    </row>
    <row r="427">
      <c r="T427" t="n">
        <v>12.51810650887574</v>
      </c>
      <c r="U427">
        <f>T427*TAN(RADIANS(MAX(DEGREES(ATAN(TAN(RADIANS(Parametros!$F$12-omega*e_base))*(T427/sref)^(Parametros!$B$12-1))),DEGREES(ATAN(TAN(RADIANS(Parametros!$F$13-omega*e_base))*(T427/sref)^(Parametros!$B$13-1))),DEGREES(ATAN(TAN(RADIANS(Parametros!$F$14-omega*e_base))*(T427/sref)^(Parametros!$B$14-1))),DEGREES(ATAN(TAN(RADIANS(Parametros!$F$15-omega*e_base))*(T427/sref)^(Parametros!$B$15-1))),DEGREES(ATAN(TAN(RADIANS(Parametros!$F$16-omega*e_base))*(T427/sref)^(Parametros!$B$16-1))))))</f>
        <v/>
      </c>
      <c r="BE427">
        <f>Base_mundial!C426</f>
        <v/>
      </c>
      <c r="BF427">
        <f>Base_mundial!E426-omega*(e_base-Base_mundial!B426)</f>
        <v/>
      </c>
      <c r="BG427">
        <f>BE427*TAN(RADIANS(BF427))</f>
        <v/>
      </c>
    </row>
    <row r="428">
      <c r="BE428">
        <f>Base_mundial!C427</f>
        <v/>
      </c>
      <c r="BF428">
        <f>Base_mundial!E427-omega*(e_base-Base_mundial!B427)</f>
        <v/>
      </c>
      <c r="BG428">
        <f>BE428*TAN(RADIANS(BF428))</f>
        <v/>
      </c>
    </row>
    <row r="429">
      <c r="T429" t="n">
        <v>12.60674556213018</v>
      </c>
      <c r="U429">
        <f>T429*TAN(RADIANS(MIN(DEGREES(ATAN(TAN(RADIANS(Parametros!$E$12-omega*e_base))*(T429/sref)^(Parametros!$B$12-1))),DEGREES(ATAN(TAN(RADIANS(Parametros!$E$13-omega*e_base))*(T429/sref)^(Parametros!$B$13-1))),DEGREES(ATAN(TAN(RADIANS(Parametros!$E$14-omega*e_base))*(T429/sref)^(Parametros!$B$14-1))),DEGREES(ATAN(TAN(RADIANS(Parametros!$E$15-omega*e_base))*(T429/sref)^(Parametros!$B$15-1))),DEGREES(ATAN(TAN(RADIANS(Parametros!$E$16-omega*e_base))*(T429/sref)^(Parametros!$B$16-1))))))</f>
        <v/>
      </c>
      <c r="BE429">
        <f>Base_mundial!C428</f>
        <v/>
      </c>
      <c r="BF429">
        <f>Base_mundial!E428-omega*(e_base-Base_mundial!B428)</f>
        <v/>
      </c>
      <c r="BG429">
        <f>BE429*TAN(RADIANS(BF429))</f>
        <v/>
      </c>
    </row>
    <row r="430">
      <c r="T430" t="n">
        <v>12.60674556213018</v>
      </c>
      <c r="U430">
        <f>T430*TAN(RADIANS(MAX(DEGREES(ATAN(TAN(RADIANS(Parametros!$F$12-omega*e_base))*(T430/sref)^(Parametros!$B$12-1))),DEGREES(ATAN(TAN(RADIANS(Parametros!$F$13-omega*e_base))*(T430/sref)^(Parametros!$B$13-1))),DEGREES(ATAN(TAN(RADIANS(Parametros!$F$14-omega*e_base))*(T430/sref)^(Parametros!$B$14-1))),DEGREES(ATAN(TAN(RADIANS(Parametros!$F$15-omega*e_base))*(T430/sref)^(Parametros!$B$15-1))),DEGREES(ATAN(TAN(RADIANS(Parametros!$F$16-omega*e_base))*(T430/sref)^(Parametros!$B$16-1))))))</f>
        <v/>
      </c>
      <c r="BE430">
        <f>Base_mundial!C429</f>
        <v/>
      </c>
      <c r="BF430">
        <f>Base_mundial!E429-omega*(e_base-Base_mundial!B429)</f>
        <v/>
      </c>
      <c r="BG430">
        <f>BE430*TAN(RADIANS(BF430))</f>
        <v/>
      </c>
    </row>
    <row r="431">
      <c r="BE431">
        <f>Base_mundial!C430</f>
        <v/>
      </c>
      <c r="BF431">
        <f>Base_mundial!E430-omega*(e_base-Base_mundial!B430)</f>
        <v/>
      </c>
      <c r="BG431">
        <f>BE431*TAN(RADIANS(BF431))</f>
        <v/>
      </c>
    </row>
    <row r="432">
      <c r="T432" t="n">
        <v>12.69538461538462</v>
      </c>
      <c r="U432">
        <f>T432*TAN(RADIANS(MIN(DEGREES(ATAN(TAN(RADIANS(Parametros!$E$12-omega*e_base))*(T432/sref)^(Parametros!$B$12-1))),DEGREES(ATAN(TAN(RADIANS(Parametros!$E$13-omega*e_base))*(T432/sref)^(Parametros!$B$13-1))),DEGREES(ATAN(TAN(RADIANS(Parametros!$E$14-omega*e_base))*(T432/sref)^(Parametros!$B$14-1))),DEGREES(ATAN(TAN(RADIANS(Parametros!$E$15-omega*e_base))*(T432/sref)^(Parametros!$B$15-1))),DEGREES(ATAN(TAN(RADIANS(Parametros!$E$16-omega*e_base))*(T432/sref)^(Parametros!$B$16-1))))))</f>
        <v/>
      </c>
      <c r="BE432">
        <f>Base_mundial!C431</f>
        <v/>
      </c>
      <c r="BF432">
        <f>Base_mundial!E431-omega*(e_base-Base_mundial!B431)</f>
        <v/>
      </c>
      <c r="BG432">
        <f>BE432*TAN(RADIANS(BF432))</f>
        <v/>
      </c>
    </row>
    <row r="433">
      <c r="T433" t="n">
        <v>12.69538461538462</v>
      </c>
      <c r="U433">
        <f>T433*TAN(RADIANS(MAX(DEGREES(ATAN(TAN(RADIANS(Parametros!$F$12-omega*e_base))*(T433/sref)^(Parametros!$B$12-1))),DEGREES(ATAN(TAN(RADIANS(Parametros!$F$13-omega*e_base))*(T433/sref)^(Parametros!$B$13-1))),DEGREES(ATAN(TAN(RADIANS(Parametros!$F$14-omega*e_base))*(T433/sref)^(Parametros!$B$14-1))),DEGREES(ATAN(TAN(RADIANS(Parametros!$F$15-omega*e_base))*(T433/sref)^(Parametros!$B$15-1))),DEGREES(ATAN(TAN(RADIANS(Parametros!$F$16-omega*e_base))*(T433/sref)^(Parametros!$B$16-1))))))</f>
        <v/>
      </c>
      <c r="BE433">
        <f>Base_mundial!C432</f>
        <v/>
      </c>
      <c r="BF433">
        <f>Base_mundial!E432-omega*(e_base-Base_mundial!B432)</f>
        <v/>
      </c>
      <c r="BG433">
        <f>BE433*TAN(RADIANS(BF433))</f>
        <v/>
      </c>
    </row>
    <row r="434">
      <c r="BE434">
        <f>Base_mundial!C433</f>
        <v/>
      </c>
      <c r="BF434">
        <f>Base_mundial!E433-omega*(e_base-Base_mundial!B433)</f>
        <v/>
      </c>
      <c r="BG434">
        <f>BE434*TAN(RADIANS(BF434))</f>
        <v/>
      </c>
    </row>
    <row r="435">
      <c r="T435" t="n">
        <v>12.78402366863905</v>
      </c>
      <c r="U435">
        <f>T435*TAN(RADIANS(MIN(DEGREES(ATAN(TAN(RADIANS(Parametros!$E$12-omega*e_base))*(T435/sref)^(Parametros!$B$12-1))),DEGREES(ATAN(TAN(RADIANS(Parametros!$E$13-omega*e_base))*(T435/sref)^(Parametros!$B$13-1))),DEGREES(ATAN(TAN(RADIANS(Parametros!$E$14-omega*e_base))*(T435/sref)^(Parametros!$B$14-1))),DEGREES(ATAN(TAN(RADIANS(Parametros!$E$15-omega*e_base))*(T435/sref)^(Parametros!$B$15-1))),DEGREES(ATAN(TAN(RADIANS(Parametros!$E$16-omega*e_base))*(T435/sref)^(Parametros!$B$16-1))))))</f>
        <v/>
      </c>
      <c r="BE435">
        <f>Base_mundial!C434</f>
        <v/>
      </c>
      <c r="BF435">
        <f>Base_mundial!E434-omega*(e_base-Base_mundial!B434)</f>
        <v/>
      </c>
      <c r="BG435">
        <f>BE435*TAN(RADIANS(BF435))</f>
        <v/>
      </c>
    </row>
    <row r="436">
      <c r="T436" t="n">
        <v>12.78402366863905</v>
      </c>
      <c r="U436">
        <f>T436*TAN(RADIANS(MAX(DEGREES(ATAN(TAN(RADIANS(Parametros!$F$12-omega*e_base))*(T436/sref)^(Parametros!$B$12-1))),DEGREES(ATAN(TAN(RADIANS(Parametros!$F$13-omega*e_base))*(T436/sref)^(Parametros!$B$13-1))),DEGREES(ATAN(TAN(RADIANS(Parametros!$F$14-omega*e_base))*(T436/sref)^(Parametros!$B$14-1))),DEGREES(ATAN(TAN(RADIANS(Parametros!$F$15-omega*e_base))*(T436/sref)^(Parametros!$B$15-1))),DEGREES(ATAN(TAN(RADIANS(Parametros!$F$16-omega*e_base))*(T436/sref)^(Parametros!$B$16-1))))))</f>
        <v/>
      </c>
      <c r="BE436">
        <f>Base_mundial!C435</f>
        <v/>
      </c>
      <c r="BF436">
        <f>Base_mundial!E435-omega*(e_base-Base_mundial!B435)</f>
        <v/>
      </c>
      <c r="BG436">
        <f>BE436*TAN(RADIANS(BF436))</f>
        <v/>
      </c>
    </row>
    <row r="437">
      <c r="BE437">
        <f>Base_mundial!C436</f>
        <v/>
      </c>
      <c r="BF437">
        <f>Base_mundial!E436-omega*(e_base-Base_mundial!B436)</f>
        <v/>
      </c>
      <c r="BG437">
        <f>BE437*TAN(RADIANS(BF437))</f>
        <v/>
      </c>
    </row>
    <row r="438">
      <c r="T438" t="n">
        <v>12.87266272189349</v>
      </c>
      <c r="U438">
        <f>T438*TAN(RADIANS(MIN(DEGREES(ATAN(TAN(RADIANS(Parametros!$E$12-omega*e_base))*(T438/sref)^(Parametros!$B$12-1))),DEGREES(ATAN(TAN(RADIANS(Parametros!$E$13-omega*e_base))*(T438/sref)^(Parametros!$B$13-1))),DEGREES(ATAN(TAN(RADIANS(Parametros!$E$14-omega*e_base))*(T438/sref)^(Parametros!$B$14-1))),DEGREES(ATAN(TAN(RADIANS(Parametros!$E$15-omega*e_base))*(T438/sref)^(Parametros!$B$15-1))),DEGREES(ATAN(TAN(RADIANS(Parametros!$E$16-omega*e_base))*(T438/sref)^(Parametros!$B$16-1))))))</f>
        <v/>
      </c>
      <c r="BE438">
        <f>Base_mundial!C437</f>
        <v/>
      </c>
      <c r="BF438">
        <f>Base_mundial!E437-omega*(e_base-Base_mundial!B437)</f>
        <v/>
      </c>
      <c r="BG438">
        <f>BE438*TAN(RADIANS(BF438))</f>
        <v/>
      </c>
    </row>
    <row r="439">
      <c r="T439" t="n">
        <v>12.87266272189349</v>
      </c>
      <c r="U439">
        <f>T439*TAN(RADIANS(MAX(DEGREES(ATAN(TAN(RADIANS(Parametros!$F$12-omega*e_base))*(T439/sref)^(Parametros!$B$12-1))),DEGREES(ATAN(TAN(RADIANS(Parametros!$F$13-omega*e_base))*(T439/sref)^(Parametros!$B$13-1))),DEGREES(ATAN(TAN(RADIANS(Parametros!$F$14-omega*e_base))*(T439/sref)^(Parametros!$B$14-1))),DEGREES(ATAN(TAN(RADIANS(Parametros!$F$15-omega*e_base))*(T439/sref)^(Parametros!$B$15-1))),DEGREES(ATAN(TAN(RADIANS(Parametros!$F$16-omega*e_base))*(T439/sref)^(Parametros!$B$16-1))))))</f>
        <v/>
      </c>
      <c r="BE439">
        <f>Base_mundial!C438</f>
        <v/>
      </c>
      <c r="BF439">
        <f>Base_mundial!E438-omega*(e_base-Base_mundial!B438)</f>
        <v/>
      </c>
      <c r="BG439">
        <f>BE439*TAN(RADIANS(BF439))</f>
        <v/>
      </c>
    </row>
    <row r="440">
      <c r="BE440">
        <f>Base_mundial!C439</f>
        <v/>
      </c>
      <c r="BF440">
        <f>Base_mundial!E439-omega*(e_base-Base_mundial!B439)</f>
        <v/>
      </c>
      <c r="BG440">
        <f>BE440*TAN(RADIANS(BF440))</f>
        <v/>
      </c>
    </row>
    <row r="441">
      <c r="T441" t="n">
        <v>12.96130177514793</v>
      </c>
      <c r="U441">
        <f>T441*TAN(RADIANS(MIN(DEGREES(ATAN(TAN(RADIANS(Parametros!$E$12-omega*e_base))*(T441/sref)^(Parametros!$B$12-1))),DEGREES(ATAN(TAN(RADIANS(Parametros!$E$13-omega*e_base))*(T441/sref)^(Parametros!$B$13-1))),DEGREES(ATAN(TAN(RADIANS(Parametros!$E$14-omega*e_base))*(T441/sref)^(Parametros!$B$14-1))),DEGREES(ATAN(TAN(RADIANS(Parametros!$E$15-omega*e_base))*(T441/sref)^(Parametros!$B$15-1))),DEGREES(ATAN(TAN(RADIANS(Parametros!$E$16-omega*e_base))*(T441/sref)^(Parametros!$B$16-1))))))</f>
        <v/>
      </c>
      <c r="BE441">
        <f>Base_mundial!C440</f>
        <v/>
      </c>
      <c r="BF441">
        <f>Base_mundial!E440-omega*(e_base-Base_mundial!B440)</f>
        <v/>
      </c>
      <c r="BG441">
        <f>BE441*TAN(RADIANS(BF441))</f>
        <v/>
      </c>
    </row>
    <row r="442">
      <c r="T442" t="n">
        <v>12.96130177514793</v>
      </c>
      <c r="U442">
        <f>T442*TAN(RADIANS(MAX(DEGREES(ATAN(TAN(RADIANS(Parametros!$F$12-omega*e_base))*(T442/sref)^(Parametros!$B$12-1))),DEGREES(ATAN(TAN(RADIANS(Parametros!$F$13-omega*e_base))*(T442/sref)^(Parametros!$B$13-1))),DEGREES(ATAN(TAN(RADIANS(Parametros!$F$14-omega*e_base))*(T442/sref)^(Parametros!$B$14-1))),DEGREES(ATAN(TAN(RADIANS(Parametros!$F$15-omega*e_base))*(T442/sref)^(Parametros!$B$15-1))),DEGREES(ATAN(TAN(RADIANS(Parametros!$F$16-omega*e_base))*(T442/sref)^(Parametros!$B$16-1))))))</f>
        <v/>
      </c>
      <c r="BE442">
        <f>Base_mundial!C441</f>
        <v/>
      </c>
      <c r="BF442">
        <f>Base_mundial!E441-omega*(e_base-Base_mundial!B441)</f>
        <v/>
      </c>
      <c r="BG442">
        <f>BE442*TAN(RADIANS(BF442))</f>
        <v/>
      </c>
    </row>
    <row r="443">
      <c r="BE443">
        <f>Base_mundial!C442</f>
        <v/>
      </c>
      <c r="BF443">
        <f>Base_mundial!E442-omega*(e_base-Base_mundial!B442)</f>
        <v/>
      </c>
      <c r="BG443">
        <f>BE443*TAN(RADIANS(BF443))</f>
        <v/>
      </c>
    </row>
    <row r="444">
      <c r="T444" t="n">
        <v>13.04994082840237</v>
      </c>
      <c r="U444">
        <f>T444*TAN(RADIANS(MIN(DEGREES(ATAN(TAN(RADIANS(Parametros!$E$12-omega*e_base))*(T444/sref)^(Parametros!$B$12-1))),DEGREES(ATAN(TAN(RADIANS(Parametros!$E$13-omega*e_base))*(T444/sref)^(Parametros!$B$13-1))),DEGREES(ATAN(TAN(RADIANS(Parametros!$E$14-omega*e_base))*(T444/sref)^(Parametros!$B$14-1))),DEGREES(ATAN(TAN(RADIANS(Parametros!$E$15-omega*e_base))*(T444/sref)^(Parametros!$B$15-1))),DEGREES(ATAN(TAN(RADIANS(Parametros!$E$16-omega*e_base))*(T444/sref)^(Parametros!$B$16-1))))))</f>
        <v/>
      </c>
      <c r="BE444">
        <f>Base_mundial!C443</f>
        <v/>
      </c>
      <c r="BF444">
        <f>Base_mundial!E443-omega*(e_base-Base_mundial!B443)</f>
        <v/>
      </c>
      <c r="BG444">
        <f>BE444*TAN(RADIANS(BF444))</f>
        <v/>
      </c>
    </row>
    <row r="445">
      <c r="T445" t="n">
        <v>13.04994082840237</v>
      </c>
      <c r="U445">
        <f>T445*TAN(RADIANS(MAX(DEGREES(ATAN(TAN(RADIANS(Parametros!$F$12-omega*e_base))*(T445/sref)^(Parametros!$B$12-1))),DEGREES(ATAN(TAN(RADIANS(Parametros!$F$13-omega*e_base))*(T445/sref)^(Parametros!$B$13-1))),DEGREES(ATAN(TAN(RADIANS(Parametros!$F$14-omega*e_base))*(T445/sref)^(Parametros!$B$14-1))),DEGREES(ATAN(TAN(RADIANS(Parametros!$F$15-omega*e_base))*(T445/sref)^(Parametros!$B$15-1))),DEGREES(ATAN(TAN(RADIANS(Parametros!$F$16-omega*e_base))*(T445/sref)^(Parametros!$B$16-1))))))</f>
        <v/>
      </c>
      <c r="BE445">
        <f>Base_mundial!C444</f>
        <v/>
      </c>
      <c r="BF445">
        <f>Base_mundial!E444-omega*(e_base-Base_mundial!B444)</f>
        <v/>
      </c>
      <c r="BG445">
        <f>BE445*TAN(RADIANS(BF445))</f>
        <v/>
      </c>
    </row>
    <row r="446">
      <c r="BE446">
        <f>Base_mundial!C445</f>
        <v/>
      </c>
      <c r="BF446">
        <f>Base_mundial!E445-omega*(e_base-Base_mundial!B445)</f>
        <v/>
      </c>
      <c r="BG446">
        <f>BE446*TAN(RADIANS(BF446))</f>
        <v/>
      </c>
    </row>
    <row r="447">
      <c r="T447" t="n">
        <v>13.1385798816568</v>
      </c>
      <c r="U447">
        <f>T447*TAN(RADIANS(MIN(DEGREES(ATAN(TAN(RADIANS(Parametros!$E$12-omega*e_base))*(T447/sref)^(Parametros!$B$12-1))),DEGREES(ATAN(TAN(RADIANS(Parametros!$E$13-omega*e_base))*(T447/sref)^(Parametros!$B$13-1))),DEGREES(ATAN(TAN(RADIANS(Parametros!$E$14-omega*e_base))*(T447/sref)^(Parametros!$B$14-1))),DEGREES(ATAN(TAN(RADIANS(Parametros!$E$15-omega*e_base))*(T447/sref)^(Parametros!$B$15-1))),DEGREES(ATAN(TAN(RADIANS(Parametros!$E$16-omega*e_base))*(T447/sref)^(Parametros!$B$16-1))))))</f>
        <v/>
      </c>
      <c r="BE447">
        <f>Base_mundial!C446</f>
        <v/>
      </c>
      <c r="BF447">
        <f>Base_mundial!E446-omega*(e_base-Base_mundial!B446)</f>
        <v/>
      </c>
      <c r="BG447">
        <f>BE447*TAN(RADIANS(BF447))</f>
        <v/>
      </c>
    </row>
    <row r="448">
      <c r="T448" t="n">
        <v>13.1385798816568</v>
      </c>
      <c r="U448">
        <f>T448*TAN(RADIANS(MAX(DEGREES(ATAN(TAN(RADIANS(Parametros!$F$12-omega*e_base))*(T448/sref)^(Parametros!$B$12-1))),DEGREES(ATAN(TAN(RADIANS(Parametros!$F$13-omega*e_base))*(T448/sref)^(Parametros!$B$13-1))),DEGREES(ATAN(TAN(RADIANS(Parametros!$F$14-omega*e_base))*(T448/sref)^(Parametros!$B$14-1))),DEGREES(ATAN(TAN(RADIANS(Parametros!$F$15-omega*e_base))*(T448/sref)^(Parametros!$B$15-1))),DEGREES(ATAN(TAN(RADIANS(Parametros!$F$16-omega*e_base))*(T448/sref)^(Parametros!$B$16-1))))))</f>
        <v/>
      </c>
      <c r="BE448">
        <f>Base_mundial!C447</f>
        <v/>
      </c>
      <c r="BF448">
        <f>Base_mundial!E447-omega*(e_base-Base_mundial!B447)</f>
        <v/>
      </c>
      <c r="BG448">
        <f>BE448*TAN(RADIANS(BF448))</f>
        <v/>
      </c>
    </row>
    <row r="449">
      <c r="BE449">
        <f>Base_mundial!C448</f>
        <v/>
      </c>
      <c r="BF449">
        <f>Base_mundial!E448-omega*(e_base-Base_mundial!B448)</f>
        <v/>
      </c>
      <c r="BG449">
        <f>BE449*TAN(RADIANS(BF449))</f>
        <v/>
      </c>
    </row>
    <row r="450">
      <c r="T450" t="n">
        <v>13.22721893491124</v>
      </c>
      <c r="U450">
        <f>T450*TAN(RADIANS(MIN(DEGREES(ATAN(TAN(RADIANS(Parametros!$E$12-omega*e_base))*(T450/sref)^(Parametros!$B$12-1))),DEGREES(ATAN(TAN(RADIANS(Parametros!$E$13-omega*e_base))*(T450/sref)^(Parametros!$B$13-1))),DEGREES(ATAN(TAN(RADIANS(Parametros!$E$14-omega*e_base))*(T450/sref)^(Parametros!$B$14-1))),DEGREES(ATAN(TAN(RADIANS(Parametros!$E$15-omega*e_base))*(T450/sref)^(Parametros!$B$15-1))),DEGREES(ATAN(TAN(RADIANS(Parametros!$E$16-omega*e_base))*(T450/sref)^(Parametros!$B$16-1))))))</f>
        <v/>
      </c>
      <c r="BE450">
        <f>Base_mundial!C449</f>
        <v/>
      </c>
      <c r="BF450">
        <f>Base_mundial!E449-omega*(e_base-Base_mundial!B449)</f>
        <v/>
      </c>
      <c r="BG450">
        <f>BE450*TAN(RADIANS(BF450))</f>
        <v/>
      </c>
    </row>
    <row r="451">
      <c r="T451" t="n">
        <v>13.22721893491124</v>
      </c>
      <c r="U451">
        <f>T451*TAN(RADIANS(MAX(DEGREES(ATAN(TAN(RADIANS(Parametros!$F$12-omega*e_base))*(T451/sref)^(Parametros!$B$12-1))),DEGREES(ATAN(TAN(RADIANS(Parametros!$F$13-omega*e_base))*(T451/sref)^(Parametros!$B$13-1))),DEGREES(ATAN(TAN(RADIANS(Parametros!$F$14-omega*e_base))*(T451/sref)^(Parametros!$B$14-1))),DEGREES(ATAN(TAN(RADIANS(Parametros!$F$15-omega*e_base))*(T451/sref)^(Parametros!$B$15-1))),DEGREES(ATAN(TAN(RADIANS(Parametros!$F$16-omega*e_base))*(T451/sref)^(Parametros!$B$16-1))))))</f>
        <v/>
      </c>
      <c r="BE451">
        <f>Base_mundial!C450</f>
        <v/>
      </c>
      <c r="BF451">
        <f>Base_mundial!E450-omega*(e_base-Base_mundial!B450)</f>
        <v/>
      </c>
      <c r="BG451">
        <f>BE451*TAN(RADIANS(BF451))</f>
        <v/>
      </c>
    </row>
    <row r="452">
      <c r="BE452">
        <f>Base_mundial!C451</f>
        <v/>
      </c>
      <c r="BF452">
        <f>Base_mundial!E451-omega*(e_base-Base_mundial!B451)</f>
        <v/>
      </c>
      <c r="BG452">
        <f>BE452*TAN(RADIANS(BF452))</f>
        <v/>
      </c>
    </row>
    <row r="453">
      <c r="T453" t="n">
        <v>13.31585798816568</v>
      </c>
      <c r="U453">
        <f>T453*TAN(RADIANS(MIN(DEGREES(ATAN(TAN(RADIANS(Parametros!$E$12-omega*e_base))*(T453/sref)^(Parametros!$B$12-1))),DEGREES(ATAN(TAN(RADIANS(Parametros!$E$13-omega*e_base))*(T453/sref)^(Parametros!$B$13-1))),DEGREES(ATAN(TAN(RADIANS(Parametros!$E$14-omega*e_base))*(T453/sref)^(Parametros!$B$14-1))),DEGREES(ATAN(TAN(RADIANS(Parametros!$E$15-omega*e_base))*(T453/sref)^(Parametros!$B$15-1))),DEGREES(ATAN(TAN(RADIANS(Parametros!$E$16-omega*e_base))*(T453/sref)^(Parametros!$B$16-1))))))</f>
        <v/>
      </c>
      <c r="BE453">
        <f>Base_mundial!C452</f>
        <v/>
      </c>
      <c r="BF453">
        <f>Base_mundial!E452-omega*(e_base-Base_mundial!B452)</f>
        <v/>
      </c>
      <c r="BG453">
        <f>BE453*TAN(RADIANS(BF453))</f>
        <v/>
      </c>
    </row>
    <row r="454">
      <c r="T454" t="n">
        <v>13.31585798816568</v>
      </c>
      <c r="U454">
        <f>T454*TAN(RADIANS(MAX(DEGREES(ATAN(TAN(RADIANS(Parametros!$F$12-omega*e_base))*(T454/sref)^(Parametros!$B$12-1))),DEGREES(ATAN(TAN(RADIANS(Parametros!$F$13-omega*e_base))*(T454/sref)^(Parametros!$B$13-1))),DEGREES(ATAN(TAN(RADIANS(Parametros!$F$14-omega*e_base))*(T454/sref)^(Parametros!$B$14-1))),DEGREES(ATAN(TAN(RADIANS(Parametros!$F$15-omega*e_base))*(T454/sref)^(Parametros!$B$15-1))),DEGREES(ATAN(TAN(RADIANS(Parametros!$F$16-omega*e_base))*(T454/sref)^(Parametros!$B$16-1))))))</f>
        <v/>
      </c>
      <c r="BE454">
        <f>Base_mundial!C453</f>
        <v/>
      </c>
      <c r="BF454">
        <f>Base_mundial!E453-omega*(e_base-Base_mundial!B453)</f>
        <v/>
      </c>
      <c r="BG454">
        <f>BE454*TAN(RADIANS(BF454))</f>
        <v/>
      </c>
    </row>
    <row r="455">
      <c r="BE455">
        <f>Base_mundial!C454</f>
        <v/>
      </c>
      <c r="BF455">
        <f>Base_mundial!E454-omega*(e_base-Base_mundial!B454)</f>
        <v/>
      </c>
      <c r="BG455">
        <f>BE455*TAN(RADIANS(BF455))</f>
        <v/>
      </c>
    </row>
    <row r="456">
      <c r="T456" t="n">
        <v>13.40449704142012</v>
      </c>
      <c r="U456">
        <f>T456*TAN(RADIANS(MIN(DEGREES(ATAN(TAN(RADIANS(Parametros!$E$12-omega*e_base))*(T456/sref)^(Parametros!$B$12-1))),DEGREES(ATAN(TAN(RADIANS(Parametros!$E$13-omega*e_base))*(T456/sref)^(Parametros!$B$13-1))),DEGREES(ATAN(TAN(RADIANS(Parametros!$E$14-omega*e_base))*(T456/sref)^(Parametros!$B$14-1))),DEGREES(ATAN(TAN(RADIANS(Parametros!$E$15-omega*e_base))*(T456/sref)^(Parametros!$B$15-1))),DEGREES(ATAN(TAN(RADIANS(Parametros!$E$16-omega*e_base))*(T456/sref)^(Parametros!$B$16-1))))))</f>
        <v/>
      </c>
      <c r="BE456">
        <f>Base_mundial!C455</f>
        <v/>
      </c>
      <c r="BF456">
        <f>Base_mundial!E455-omega*(e_base-Base_mundial!B455)</f>
        <v/>
      </c>
      <c r="BG456">
        <f>BE456*TAN(RADIANS(BF456))</f>
        <v/>
      </c>
    </row>
    <row r="457">
      <c r="T457" t="n">
        <v>13.40449704142012</v>
      </c>
      <c r="U457">
        <f>T457*TAN(RADIANS(MAX(DEGREES(ATAN(TAN(RADIANS(Parametros!$F$12-omega*e_base))*(T457/sref)^(Parametros!$B$12-1))),DEGREES(ATAN(TAN(RADIANS(Parametros!$F$13-omega*e_base))*(T457/sref)^(Parametros!$B$13-1))),DEGREES(ATAN(TAN(RADIANS(Parametros!$F$14-omega*e_base))*(T457/sref)^(Parametros!$B$14-1))),DEGREES(ATAN(TAN(RADIANS(Parametros!$F$15-omega*e_base))*(T457/sref)^(Parametros!$B$15-1))),DEGREES(ATAN(TAN(RADIANS(Parametros!$F$16-omega*e_base))*(T457/sref)^(Parametros!$B$16-1))))))</f>
        <v/>
      </c>
      <c r="BE457">
        <f>Base_mundial!C456</f>
        <v/>
      </c>
      <c r="BF457">
        <f>Base_mundial!E456-omega*(e_base-Base_mundial!B456)</f>
        <v/>
      </c>
      <c r="BG457">
        <f>BE457*TAN(RADIANS(BF457))</f>
        <v/>
      </c>
    </row>
    <row r="458">
      <c r="BE458">
        <f>Base_mundial!C457</f>
        <v/>
      </c>
      <c r="BF458">
        <f>Base_mundial!E457-omega*(e_base-Base_mundial!B457)</f>
        <v/>
      </c>
      <c r="BG458">
        <f>BE458*TAN(RADIANS(BF458))</f>
        <v/>
      </c>
    </row>
    <row r="459">
      <c r="T459" t="n">
        <v>13.49313609467456</v>
      </c>
      <c r="U459">
        <f>T459*TAN(RADIANS(MIN(DEGREES(ATAN(TAN(RADIANS(Parametros!$E$12-omega*e_base))*(T459/sref)^(Parametros!$B$12-1))),DEGREES(ATAN(TAN(RADIANS(Parametros!$E$13-omega*e_base))*(T459/sref)^(Parametros!$B$13-1))),DEGREES(ATAN(TAN(RADIANS(Parametros!$E$14-omega*e_base))*(T459/sref)^(Parametros!$B$14-1))),DEGREES(ATAN(TAN(RADIANS(Parametros!$E$15-omega*e_base))*(T459/sref)^(Parametros!$B$15-1))),DEGREES(ATAN(TAN(RADIANS(Parametros!$E$16-omega*e_base))*(T459/sref)^(Parametros!$B$16-1))))))</f>
        <v/>
      </c>
      <c r="BE459">
        <f>Base_mundial!C458</f>
        <v/>
      </c>
      <c r="BF459">
        <f>Base_mundial!E458-omega*(e_base-Base_mundial!B458)</f>
        <v/>
      </c>
      <c r="BG459">
        <f>BE459*TAN(RADIANS(BF459))</f>
        <v/>
      </c>
    </row>
    <row r="460">
      <c r="T460" t="n">
        <v>13.49313609467456</v>
      </c>
      <c r="U460">
        <f>T460*TAN(RADIANS(MAX(DEGREES(ATAN(TAN(RADIANS(Parametros!$F$12-omega*e_base))*(T460/sref)^(Parametros!$B$12-1))),DEGREES(ATAN(TAN(RADIANS(Parametros!$F$13-omega*e_base))*(T460/sref)^(Parametros!$B$13-1))),DEGREES(ATAN(TAN(RADIANS(Parametros!$F$14-omega*e_base))*(T460/sref)^(Parametros!$B$14-1))),DEGREES(ATAN(TAN(RADIANS(Parametros!$F$15-omega*e_base))*(T460/sref)^(Parametros!$B$15-1))),DEGREES(ATAN(TAN(RADIANS(Parametros!$F$16-omega*e_base))*(T460/sref)^(Parametros!$B$16-1))))))</f>
        <v/>
      </c>
      <c r="BE460">
        <f>Base_mundial!C459</f>
        <v/>
      </c>
      <c r="BF460">
        <f>Base_mundial!E459-omega*(e_base-Base_mundial!B459)</f>
        <v/>
      </c>
      <c r="BG460">
        <f>BE460*TAN(RADIANS(BF460))</f>
        <v/>
      </c>
    </row>
    <row r="461">
      <c r="BE461">
        <f>Base_mundial!C460</f>
        <v/>
      </c>
      <c r="BF461">
        <f>Base_mundial!E460-omega*(e_base-Base_mundial!B460)</f>
        <v/>
      </c>
      <c r="BG461">
        <f>BE461*TAN(RADIANS(BF461))</f>
        <v/>
      </c>
    </row>
    <row r="462">
      <c r="T462" t="n">
        <v>13.58177514792899</v>
      </c>
      <c r="U462">
        <f>T462*TAN(RADIANS(MIN(DEGREES(ATAN(TAN(RADIANS(Parametros!$E$12-omega*e_base))*(T462/sref)^(Parametros!$B$12-1))),DEGREES(ATAN(TAN(RADIANS(Parametros!$E$13-omega*e_base))*(T462/sref)^(Parametros!$B$13-1))),DEGREES(ATAN(TAN(RADIANS(Parametros!$E$14-omega*e_base))*(T462/sref)^(Parametros!$B$14-1))),DEGREES(ATAN(TAN(RADIANS(Parametros!$E$15-omega*e_base))*(T462/sref)^(Parametros!$B$15-1))),DEGREES(ATAN(TAN(RADIANS(Parametros!$E$16-omega*e_base))*(T462/sref)^(Parametros!$B$16-1))))))</f>
        <v/>
      </c>
      <c r="BE462">
        <f>Base_mundial!C461</f>
        <v/>
      </c>
      <c r="BF462">
        <f>Base_mundial!E461-omega*(e_base-Base_mundial!B461)</f>
        <v/>
      </c>
      <c r="BG462">
        <f>BE462*TAN(RADIANS(BF462))</f>
        <v/>
      </c>
    </row>
    <row r="463">
      <c r="T463" t="n">
        <v>13.58177514792899</v>
      </c>
      <c r="U463">
        <f>T463*TAN(RADIANS(MAX(DEGREES(ATAN(TAN(RADIANS(Parametros!$F$12-omega*e_base))*(T463/sref)^(Parametros!$B$12-1))),DEGREES(ATAN(TAN(RADIANS(Parametros!$F$13-omega*e_base))*(T463/sref)^(Parametros!$B$13-1))),DEGREES(ATAN(TAN(RADIANS(Parametros!$F$14-omega*e_base))*(T463/sref)^(Parametros!$B$14-1))),DEGREES(ATAN(TAN(RADIANS(Parametros!$F$15-omega*e_base))*(T463/sref)^(Parametros!$B$15-1))),DEGREES(ATAN(TAN(RADIANS(Parametros!$F$16-omega*e_base))*(T463/sref)^(Parametros!$B$16-1))))))</f>
        <v/>
      </c>
      <c r="BE463">
        <f>Base_mundial!C462</f>
        <v/>
      </c>
      <c r="BF463">
        <f>Base_mundial!E462-omega*(e_base-Base_mundial!B462)</f>
        <v/>
      </c>
      <c r="BG463">
        <f>BE463*TAN(RADIANS(BF463))</f>
        <v/>
      </c>
    </row>
    <row r="464">
      <c r="BE464">
        <f>Base_mundial!C463</f>
        <v/>
      </c>
      <c r="BF464">
        <f>Base_mundial!E463-omega*(e_base-Base_mundial!B463)</f>
        <v/>
      </c>
      <c r="BG464">
        <f>BE464*TAN(RADIANS(BF464))</f>
        <v/>
      </c>
    </row>
    <row r="465">
      <c r="T465" t="n">
        <v>13.67041420118343</v>
      </c>
      <c r="U465">
        <f>T465*TAN(RADIANS(MIN(DEGREES(ATAN(TAN(RADIANS(Parametros!$E$12-omega*e_base))*(T465/sref)^(Parametros!$B$12-1))),DEGREES(ATAN(TAN(RADIANS(Parametros!$E$13-omega*e_base))*(T465/sref)^(Parametros!$B$13-1))),DEGREES(ATAN(TAN(RADIANS(Parametros!$E$14-omega*e_base))*(T465/sref)^(Parametros!$B$14-1))),DEGREES(ATAN(TAN(RADIANS(Parametros!$E$15-omega*e_base))*(T465/sref)^(Parametros!$B$15-1))),DEGREES(ATAN(TAN(RADIANS(Parametros!$E$16-omega*e_base))*(T465/sref)^(Parametros!$B$16-1))))))</f>
        <v/>
      </c>
      <c r="BE465">
        <f>Base_mundial!C464</f>
        <v/>
      </c>
      <c r="BF465">
        <f>Base_mundial!E464-omega*(e_base-Base_mundial!B464)</f>
        <v/>
      </c>
      <c r="BG465">
        <f>BE465*TAN(RADIANS(BF465))</f>
        <v/>
      </c>
    </row>
    <row r="466">
      <c r="T466" t="n">
        <v>13.67041420118343</v>
      </c>
      <c r="U466">
        <f>T466*TAN(RADIANS(MAX(DEGREES(ATAN(TAN(RADIANS(Parametros!$F$12-omega*e_base))*(T466/sref)^(Parametros!$B$12-1))),DEGREES(ATAN(TAN(RADIANS(Parametros!$F$13-omega*e_base))*(T466/sref)^(Parametros!$B$13-1))),DEGREES(ATAN(TAN(RADIANS(Parametros!$F$14-omega*e_base))*(T466/sref)^(Parametros!$B$14-1))),DEGREES(ATAN(TAN(RADIANS(Parametros!$F$15-omega*e_base))*(T466/sref)^(Parametros!$B$15-1))),DEGREES(ATAN(TAN(RADIANS(Parametros!$F$16-omega*e_base))*(T466/sref)^(Parametros!$B$16-1))))))</f>
        <v/>
      </c>
      <c r="BE466">
        <f>Base_mundial!C465</f>
        <v/>
      </c>
      <c r="BF466">
        <f>Base_mundial!E465-omega*(e_base-Base_mundial!B465)</f>
        <v/>
      </c>
      <c r="BG466">
        <f>BE466*TAN(RADIANS(BF466))</f>
        <v/>
      </c>
    </row>
    <row r="467">
      <c r="BE467">
        <f>Base_mundial!C466</f>
        <v/>
      </c>
      <c r="BF467">
        <f>Base_mundial!E466-omega*(e_base-Base_mundial!B466)</f>
        <v/>
      </c>
      <c r="BG467">
        <f>BE467*TAN(RADIANS(BF467))</f>
        <v/>
      </c>
    </row>
    <row r="468">
      <c r="T468" t="n">
        <v>13.75905325443787</v>
      </c>
      <c r="U468">
        <f>T468*TAN(RADIANS(MIN(DEGREES(ATAN(TAN(RADIANS(Parametros!$E$12-omega*e_base))*(T468/sref)^(Parametros!$B$12-1))),DEGREES(ATAN(TAN(RADIANS(Parametros!$E$13-omega*e_base))*(T468/sref)^(Parametros!$B$13-1))),DEGREES(ATAN(TAN(RADIANS(Parametros!$E$14-omega*e_base))*(T468/sref)^(Parametros!$B$14-1))),DEGREES(ATAN(TAN(RADIANS(Parametros!$E$15-omega*e_base))*(T468/sref)^(Parametros!$B$15-1))),DEGREES(ATAN(TAN(RADIANS(Parametros!$E$16-omega*e_base))*(T468/sref)^(Parametros!$B$16-1))))))</f>
        <v/>
      </c>
      <c r="BE468">
        <f>Base_mundial!C467</f>
        <v/>
      </c>
      <c r="BF468">
        <f>Base_mundial!E467-omega*(e_base-Base_mundial!B467)</f>
        <v/>
      </c>
      <c r="BG468">
        <f>BE468*TAN(RADIANS(BF468))</f>
        <v/>
      </c>
    </row>
    <row r="469">
      <c r="T469" t="n">
        <v>13.75905325443787</v>
      </c>
      <c r="U469">
        <f>T469*TAN(RADIANS(MAX(DEGREES(ATAN(TAN(RADIANS(Parametros!$F$12-omega*e_base))*(T469/sref)^(Parametros!$B$12-1))),DEGREES(ATAN(TAN(RADIANS(Parametros!$F$13-omega*e_base))*(T469/sref)^(Parametros!$B$13-1))),DEGREES(ATAN(TAN(RADIANS(Parametros!$F$14-omega*e_base))*(T469/sref)^(Parametros!$B$14-1))),DEGREES(ATAN(TAN(RADIANS(Parametros!$F$15-omega*e_base))*(T469/sref)^(Parametros!$B$15-1))),DEGREES(ATAN(TAN(RADIANS(Parametros!$F$16-omega*e_base))*(T469/sref)^(Parametros!$B$16-1))))))</f>
        <v/>
      </c>
      <c r="BE469">
        <f>Base_mundial!C468</f>
        <v/>
      </c>
      <c r="BF469">
        <f>Base_mundial!E468-omega*(e_base-Base_mundial!B468)</f>
        <v/>
      </c>
      <c r="BG469">
        <f>BE469*TAN(RADIANS(BF469))</f>
        <v/>
      </c>
    </row>
    <row r="470">
      <c r="BE470">
        <f>Base_mundial!C469</f>
        <v/>
      </c>
      <c r="BF470">
        <f>Base_mundial!E469-omega*(e_base-Base_mundial!B469)</f>
        <v/>
      </c>
      <c r="BG470">
        <f>BE470*TAN(RADIANS(BF470))</f>
        <v/>
      </c>
    </row>
    <row r="471">
      <c r="T471" t="n">
        <v>13.84769230769231</v>
      </c>
      <c r="U471">
        <f>T471*TAN(RADIANS(MIN(DEGREES(ATAN(TAN(RADIANS(Parametros!$E$12-omega*e_base))*(T471/sref)^(Parametros!$B$12-1))),DEGREES(ATAN(TAN(RADIANS(Parametros!$E$13-omega*e_base))*(T471/sref)^(Parametros!$B$13-1))),DEGREES(ATAN(TAN(RADIANS(Parametros!$E$14-omega*e_base))*(T471/sref)^(Parametros!$B$14-1))),DEGREES(ATAN(TAN(RADIANS(Parametros!$E$15-omega*e_base))*(T471/sref)^(Parametros!$B$15-1))),DEGREES(ATAN(TAN(RADIANS(Parametros!$E$16-omega*e_base))*(T471/sref)^(Parametros!$B$16-1))))))</f>
        <v/>
      </c>
      <c r="BE471">
        <f>Base_mundial!C470</f>
        <v/>
      </c>
      <c r="BF471">
        <f>Base_mundial!E470-omega*(e_base-Base_mundial!B470)</f>
        <v/>
      </c>
      <c r="BG471">
        <f>BE471*TAN(RADIANS(BF471))</f>
        <v/>
      </c>
    </row>
    <row r="472">
      <c r="T472" t="n">
        <v>13.84769230769231</v>
      </c>
      <c r="U472">
        <f>T472*TAN(RADIANS(MAX(DEGREES(ATAN(TAN(RADIANS(Parametros!$F$12-omega*e_base))*(T472/sref)^(Parametros!$B$12-1))),DEGREES(ATAN(TAN(RADIANS(Parametros!$F$13-omega*e_base))*(T472/sref)^(Parametros!$B$13-1))),DEGREES(ATAN(TAN(RADIANS(Parametros!$F$14-omega*e_base))*(T472/sref)^(Parametros!$B$14-1))),DEGREES(ATAN(TAN(RADIANS(Parametros!$F$15-omega*e_base))*(T472/sref)^(Parametros!$B$15-1))),DEGREES(ATAN(TAN(RADIANS(Parametros!$F$16-omega*e_base))*(T472/sref)^(Parametros!$B$16-1))))))</f>
        <v/>
      </c>
      <c r="BE472">
        <f>Base_mundial!C471</f>
        <v/>
      </c>
      <c r="BF472">
        <f>Base_mundial!E471-omega*(e_base-Base_mundial!B471)</f>
        <v/>
      </c>
      <c r="BG472">
        <f>BE472*TAN(RADIANS(BF472))</f>
        <v/>
      </c>
    </row>
    <row r="473">
      <c r="BE473">
        <f>Base_mundial!C472</f>
        <v/>
      </c>
      <c r="BF473">
        <f>Base_mundial!E472-omega*(e_base-Base_mundial!B472)</f>
        <v/>
      </c>
      <c r="BG473">
        <f>BE473*TAN(RADIANS(BF473))</f>
        <v/>
      </c>
    </row>
    <row r="474">
      <c r="T474" t="n">
        <v>13.93633136094675</v>
      </c>
      <c r="U474">
        <f>T474*TAN(RADIANS(MIN(DEGREES(ATAN(TAN(RADIANS(Parametros!$E$12-omega*e_base))*(T474/sref)^(Parametros!$B$12-1))),DEGREES(ATAN(TAN(RADIANS(Parametros!$E$13-omega*e_base))*(T474/sref)^(Parametros!$B$13-1))),DEGREES(ATAN(TAN(RADIANS(Parametros!$E$14-omega*e_base))*(T474/sref)^(Parametros!$B$14-1))),DEGREES(ATAN(TAN(RADIANS(Parametros!$E$15-omega*e_base))*(T474/sref)^(Parametros!$B$15-1))),DEGREES(ATAN(TAN(RADIANS(Parametros!$E$16-omega*e_base))*(T474/sref)^(Parametros!$B$16-1))))))</f>
        <v/>
      </c>
      <c r="BE474">
        <f>Base_mundial!C473</f>
        <v/>
      </c>
      <c r="BF474">
        <f>Base_mundial!E473-omega*(e_base-Base_mundial!B473)</f>
        <v/>
      </c>
      <c r="BG474">
        <f>BE474*TAN(RADIANS(BF474))</f>
        <v/>
      </c>
    </row>
    <row r="475">
      <c r="T475" t="n">
        <v>13.93633136094675</v>
      </c>
      <c r="U475">
        <f>T475*TAN(RADIANS(MAX(DEGREES(ATAN(TAN(RADIANS(Parametros!$F$12-omega*e_base))*(T475/sref)^(Parametros!$B$12-1))),DEGREES(ATAN(TAN(RADIANS(Parametros!$F$13-omega*e_base))*(T475/sref)^(Parametros!$B$13-1))),DEGREES(ATAN(TAN(RADIANS(Parametros!$F$14-omega*e_base))*(T475/sref)^(Parametros!$B$14-1))),DEGREES(ATAN(TAN(RADIANS(Parametros!$F$15-omega*e_base))*(T475/sref)^(Parametros!$B$15-1))),DEGREES(ATAN(TAN(RADIANS(Parametros!$F$16-omega*e_base))*(T475/sref)^(Parametros!$B$16-1))))))</f>
        <v/>
      </c>
      <c r="BE475">
        <f>Base_mundial!C474</f>
        <v/>
      </c>
      <c r="BF475">
        <f>Base_mundial!E474-omega*(e_base-Base_mundial!B474)</f>
        <v/>
      </c>
      <c r="BG475">
        <f>BE475*TAN(RADIANS(BF475))</f>
        <v/>
      </c>
    </row>
    <row r="476">
      <c r="BE476">
        <f>Base_mundial!C475</f>
        <v/>
      </c>
      <c r="BF476">
        <f>Base_mundial!E475-omega*(e_base-Base_mundial!B475)</f>
        <v/>
      </c>
      <c r="BG476">
        <f>BE476*TAN(RADIANS(BF476))</f>
        <v/>
      </c>
    </row>
    <row r="477">
      <c r="T477" t="n">
        <v>14.02497041420118</v>
      </c>
      <c r="U477">
        <f>T477*TAN(RADIANS(MIN(DEGREES(ATAN(TAN(RADIANS(Parametros!$E$12-omega*e_base))*(T477/sref)^(Parametros!$B$12-1))),DEGREES(ATAN(TAN(RADIANS(Parametros!$E$13-omega*e_base))*(T477/sref)^(Parametros!$B$13-1))),DEGREES(ATAN(TAN(RADIANS(Parametros!$E$14-omega*e_base))*(T477/sref)^(Parametros!$B$14-1))),DEGREES(ATAN(TAN(RADIANS(Parametros!$E$15-omega*e_base))*(T477/sref)^(Parametros!$B$15-1))),DEGREES(ATAN(TAN(RADIANS(Parametros!$E$16-omega*e_base))*(T477/sref)^(Parametros!$B$16-1))))))</f>
        <v/>
      </c>
      <c r="BE477">
        <f>Base_mundial!C476</f>
        <v/>
      </c>
      <c r="BF477">
        <f>Base_mundial!E476-omega*(e_base-Base_mundial!B476)</f>
        <v/>
      </c>
      <c r="BG477">
        <f>BE477*TAN(RADIANS(BF477))</f>
        <v/>
      </c>
    </row>
    <row r="478">
      <c r="T478" t="n">
        <v>14.02497041420118</v>
      </c>
      <c r="U478">
        <f>T478*TAN(RADIANS(MAX(DEGREES(ATAN(TAN(RADIANS(Parametros!$F$12-omega*e_base))*(T478/sref)^(Parametros!$B$12-1))),DEGREES(ATAN(TAN(RADIANS(Parametros!$F$13-omega*e_base))*(T478/sref)^(Parametros!$B$13-1))),DEGREES(ATAN(TAN(RADIANS(Parametros!$F$14-omega*e_base))*(T478/sref)^(Parametros!$B$14-1))),DEGREES(ATAN(TAN(RADIANS(Parametros!$F$15-omega*e_base))*(T478/sref)^(Parametros!$B$15-1))),DEGREES(ATAN(TAN(RADIANS(Parametros!$F$16-omega*e_base))*(T478/sref)^(Parametros!$B$16-1))))))</f>
        <v/>
      </c>
      <c r="BE478">
        <f>Base_mundial!C477</f>
        <v/>
      </c>
      <c r="BF478">
        <f>Base_mundial!E477-omega*(e_base-Base_mundial!B477)</f>
        <v/>
      </c>
      <c r="BG478">
        <f>BE478*TAN(RADIANS(BF478))</f>
        <v/>
      </c>
    </row>
    <row r="479">
      <c r="BE479">
        <f>Base_mundial!C478</f>
        <v/>
      </c>
      <c r="BF479">
        <f>Base_mundial!E478-omega*(e_base-Base_mundial!B478)</f>
        <v/>
      </c>
      <c r="BG479">
        <f>BE479*TAN(RADIANS(BF479))</f>
        <v/>
      </c>
    </row>
    <row r="480">
      <c r="T480" t="n">
        <v>14.11360946745562</v>
      </c>
      <c r="U480">
        <f>T480*TAN(RADIANS(MIN(DEGREES(ATAN(TAN(RADIANS(Parametros!$E$12-omega*e_base))*(T480/sref)^(Parametros!$B$12-1))),DEGREES(ATAN(TAN(RADIANS(Parametros!$E$13-omega*e_base))*(T480/sref)^(Parametros!$B$13-1))),DEGREES(ATAN(TAN(RADIANS(Parametros!$E$14-omega*e_base))*(T480/sref)^(Parametros!$B$14-1))),DEGREES(ATAN(TAN(RADIANS(Parametros!$E$15-omega*e_base))*(T480/sref)^(Parametros!$B$15-1))),DEGREES(ATAN(TAN(RADIANS(Parametros!$E$16-omega*e_base))*(T480/sref)^(Parametros!$B$16-1))))))</f>
        <v/>
      </c>
      <c r="BE480">
        <f>Base_mundial!C479</f>
        <v/>
      </c>
      <c r="BF480">
        <f>Base_mundial!E479-omega*(e_base-Base_mundial!B479)</f>
        <v/>
      </c>
      <c r="BG480">
        <f>BE480*TAN(RADIANS(BF480))</f>
        <v/>
      </c>
    </row>
    <row r="481">
      <c r="T481" t="n">
        <v>14.11360946745562</v>
      </c>
      <c r="U481">
        <f>T481*TAN(RADIANS(MAX(DEGREES(ATAN(TAN(RADIANS(Parametros!$F$12-omega*e_base))*(T481/sref)^(Parametros!$B$12-1))),DEGREES(ATAN(TAN(RADIANS(Parametros!$F$13-omega*e_base))*(T481/sref)^(Parametros!$B$13-1))),DEGREES(ATAN(TAN(RADIANS(Parametros!$F$14-omega*e_base))*(T481/sref)^(Parametros!$B$14-1))),DEGREES(ATAN(TAN(RADIANS(Parametros!$F$15-omega*e_base))*(T481/sref)^(Parametros!$B$15-1))),DEGREES(ATAN(TAN(RADIANS(Parametros!$F$16-omega*e_base))*(T481/sref)^(Parametros!$B$16-1))))))</f>
        <v/>
      </c>
      <c r="BE481">
        <f>Base_mundial!C480</f>
        <v/>
      </c>
      <c r="BF481">
        <f>Base_mundial!E480-omega*(e_base-Base_mundial!B480)</f>
        <v/>
      </c>
      <c r="BG481">
        <f>BE481*TAN(RADIANS(BF481))</f>
        <v/>
      </c>
    </row>
    <row r="482">
      <c r="BE482">
        <f>Base_mundial!C481</f>
        <v/>
      </c>
      <c r="BF482">
        <f>Base_mundial!E481-omega*(e_base-Base_mundial!B481)</f>
        <v/>
      </c>
      <c r="BG482">
        <f>BE482*TAN(RADIANS(BF482))</f>
        <v/>
      </c>
    </row>
    <row r="483">
      <c r="T483" t="n">
        <v>14.20224852071006</v>
      </c>
      <c r="U483">
        <f>T483*TAN(RADIANS(MIN(DEGREES(ATAN(TAN(RADIANS(Parametros!$E$12-omega*e_base))*(T483/sref)^(Parametros!$B$12-1))),DEGREES(ATAN(TAN(RADIANS(Parametros!$E$13-omega*e_base))*(T483/sref)^(Parametros!$B$13-1))),DEGREES(ATAN(TAN(RADIANS(Parametros!$E$14-omega*e_base))*(T483/sref)^(Parametros!$B$14-1))),DEGREES(ATAN(TAN(RADIANS(Parametros!$E$15-omega*e_base))*(T483/sref)^(Parametros!$B$15-1))),DEGREES(ATAN(TAN(RADIANS(Parametros!$E$16-omega*e_base))*(T483/sref)^(Parametros!$B$16-1))))))</f>
        <v/>
      </c>
      <c r="BE483">
        <f>Base_mundial!C482</f>
        <v/>
      </c>
      <c r="BF483">
        <f>Base_mundial!E482-omega*(e_base-Base_mundial!B482)</f>
        <v/>
      </c>
      <c r="BG483">
        <f>BE483*TAN(RADIANS(BF483))</f>
        <v/>
      </c>
    </row>
    <row r="484">
      <c r="T484" t="n">
        <v>14.20224852071006</v>
      </c>
      <c r="U484">
        <f>T484*TAN(RADIANS(MAX(DEGREES(ATAN(TAN(RADIANS(Parametros!$F$12-omega*e_base))*(T484/sref)^(Parametros!$B$12-1))),DEGREES(ATAN(TAN(RADIANS(Parametros!$F$13-omega*e_base))*(T484/sref)^(Parametros!$B$13-1))),DEGREES(ATAN(TAN(RADIANS(Parametros!$F$14-omega*e_base))*(T484/sref)^(Parametros!$B$14-1))),DEGREES(ATAN(TAN(RADIANS(Parametros!$F$15-omega*e_base))*(T484/sref)^(Parametros!$B$15-1))),DEGREES(ATAN(TAN(RADIANS(Parametros!$F$16-omega*e_base))*(T484/sref)^(Parametros!$B$16-1))))))</f>
        <v/>
      </c>
      <c r="BE484">
        <f>Base_mundial!C483</f>
        <v/>
      </c>
      <c r="BF484">
        <f>Base_mundial!E483-omega*(e_base-Base_mundial!B483)</f>
        <v/>
      </c>
      <c r="BG484">
        <f>BE484*TAN(RADIANS(BF484))</f>
        <v/>
      </c>
    </row>
    <row r="485">
      <c r="BE485">
        <f>Base_mundial!C484</f>
        <v/>
      </c>
      <c r="BF485">
        <f>Base_mundial!E484-omega*(e_base-Base_mundial!B484)</f>
        <v/>
      </c>
      <c r="BG485">
        <f>BE485*TAN(RADIANS(BF485))</f>
        <v/>
      </c>
    </row>
    <row r="486">
      <c r="T486" t="n">
        <v>14.2908875739645</v>
      </c>
      <c r="U486">
        <f>T486*TAN(RADIANS(MIN(DEGREES(ATAN(TAN(RADIANS(Parametros!$E$12-omega*e_base))*(T486/sref)^(Parametros!$B$12-1))),DEGREES(ATAN(TAN(RADIANS(Parametros!$E$13-omega*e_base))*(T486/sref)^(Parametros!$B$13-1))),DEGREES(ATAN(TAN(RADIANS(Parametros!$E$14-omega*e_base))*(T486/sref)^(Parametros!$B$14-1))),DEGREES(ATAN(TAN(RADIANS(Parametros!$E$15-omega*e_base))*(T486/sref)^(Parametros!$B$15-1))),DEGREES(ATAN(TAN(RADIANS(Parametros!$E$16-omega*e_base))*(T486/sref)^(Parametros!$B$16-1))))))</f>
        <v/>
      </c>
      <c r="BE486">
        <f>Base_mundial!C485</f>
        <v/>
      </c>
      <c r="BF486">
        <f>Base_mundial!E485-omega*(e_base-Base_mundial!B485)</f>
        <v/>
      </c>
      <c r="BG486">
        <f>BE486*TAN(RADIANS(BF486))</f>
        <v/>
      </c>
    </row>
    <row r="487">
      <c r="T487" t="n">
        <v>14.2908875739645</v>
      </c>
      <c r="U487">
        <f>T487*TAN(RADIANS(MAX(DEGREES(ATAN(TAN(RADIANS(Parametros!$F$12-omega*e_base))*(T487/sref)^(Parametros!$B$12-1))),DEGREES(ATAN(TAN(RADIANS(Parametros!$F$13-omega*e_base))*(T487/sref)^(Parametros!$B$13-1))),DEGREES(ATAN(TAN(RADIANS(Parametros!$F$14-omega*e_base))*(T487/sref)^(Parametros!$B$14-1))),DEGREES(ATAN(TAN(RADIANS(Parametros!$F$15-omega*e_base))*(T487/sref)^(Parametros!$B$15-1))),DEGREES(ATAN(TAN(RADIANS(Parametros!$F$16-omega*e_base))*(T487/sref)^(Parametros!$B$16-1))))))</f>
        <v/>
      </c>
      <c r="BE487">
        <f>Base_mundial!C486</f>
        <v/>
      </c>
      <c r="BF487">
        <f>Base_mundial!E486-omega*(e_base-Base_mundial!B486)</f>
        <v/>
      </c>
      <c r="BG487">
        <f>BE487*TAN(RADIANS(BF487))</f>
        <v/>
      </c>
    </row>
    <row r="488">
      <c r="BE488">
        <f>Base_mundial!C487</f>
        <v/>
      </c>
      <c r="BF488">
        <f>Base_mundial!E487-omega*(e_base-Base_mundial!B487)</f>
        <v/>
      </c>
      <c r="BG488">
        <f>BE488*TAN(RADIANS(BF488))</f>
        <v/>
      </c>
    </row>
    <row r="489">
      <c r="T489" t="n">
        <v>14.37952662721893</v>
      </c>
      <c r="U489">
        <f>T489*TAN(RADIANS(MIN(DEGREES(ATAN(TAN(RADIANS(Parametros!$E$12-omega*e_base))*(T489/sref)^(Parametros!$B$12-1))),DEGREES(ATAN(TAN(RADIANS(Parametros!$E$13-omega*e_base))*(T489/sref)^(Parametros!$B$13-1))),DEGREES(ATAN(TAN(RADIANS(Parametros!$E$14-omega*e_base))*(T489/sref)^(Parametros!$B$14-1))),DEGREES(ATAN(TAN(RADIANS(Parametros!$E$15-omega*e_base))*(T489/sref)^(Parametros!$B$15-1))),DEGREES(ATAN(TAN(RADIANS(Parametros!$E$16-omega*e_base))*(T489/sref)^(Parametros!$B$16-1))))))</f>
        <v/>
      </c>
      <c r="BE489">
        <f>Base_mundial!C488</f>
        <v/>
      </c>
      <c r="BF489">
        <f>Base_mundial!E488-omega*(e_base-Base_mundial!B488)</f>
        <v/>
      </c>
      <c r="BG489">
        <f>BE489*TAN(RADIANS(BF489))</f>
        <v/>
      </c>
    </row>
    <row r="490">
      <c r="T490" t="n">
        <v>14.37952662721893</v>
      </c>
      <c r="U490">
        <f>T490*TAN(RADIANS(MAX(DEGREES(ATAN(TAN(RADIANS(Parametros!$F$12-omega*e_base))*(T490/sref)^(Parametros!$B$12-1))),DEGREES(ATAN(TAN(RADIANS(Parametros!$F$13-omega*e_base))*(T490/sref)^(Parametros!$B$13-1))),DEGREES(ATAN(TAN(RADIANS(Parametros!$F$14-omega*e_base))*(T490/sref)^(Parametros!$B$14-1))),DEGREES(ATAN(TAN(RADIANS(Parametros!$F$15-omega*e_base))*(T490/sref)^(Parametros!$B$15-1))),DEGREES(ATAN(TAN(RADIANS(Parametros!$F$16-omega*e_base))*(T490/sref)^(Parametros!$B$16-1))))))</f>
        <v/>
      </c>
      <c r="BE490">
        <f>Base_mundial!C489</f>
        <v/>
      </c>
      <c r="BF490">
        <f>Base_mundial!E489-omega*(e_base-Base_mundial!B489)</f>
        <v/>
      </c>
      <c r="BG490">
        <f>BE490*TAN(RADIANS(BF490))</f>
        <v/>
      </c>
    </row>
    <row r="491">
      <c r="BE491">
        <f>Base_mundial!C490</f>
        <v/>
      </c>
      <c r="BF491">
        <f>Base_mundial!E490-omega*(e_base-Base_mundial!B490)</f>
        <v/>
      </c>
      <c r="BG491">
        <f>BE491*TAN(RADIANS(BF491))</f>
        <v/>
      </c>
    </row>
    <row r="492">
      <c r="T492" t="n">
        <v>14.46816568047337</v>
      </c>
      <c r="U492">
        <f>T492*TAN(RADIANS(MIN(DEGREES(ATAN(TAN(RADIANS(Parametros!$E$12-omega*e_base))*(T492/sref)^(Parametros!$B$12-1))),DEGREES(ATAN(TAN(RADIANS(Parametros!$E$13-omega*e_base))*(T492/sref)^(Parametros!$B$13-1))),DEGREES(ATAN(TAN(RADIANS(Parametros!$E$14-omega*e_base))*(T492/sref)^(Parametros!$B$14-1))),DEGREES(ATAN(TAN(RADIANS(Parametros!$E$15-omega*e_base))*(T492/sref)^(Parametros!$B$15-1))),DEGREES(ATAN(TAN(RADIANS(Parametros!$E$16-omega*e_base))*(T492/sref)^(Parametros!$B$16-1))))))</f>
        <v/>
      </c>
      <c r="BE492">
        <f>Base_mundial!C491</f>
        <v/>
      </c>
      <c r="BF492">
        <f>Base_mundial!E491-omega*(e_base-Base_mundial!B491)</f>
        <v/>
      </c>
      <c r="BG492">
        <f>BE492*TAN(RADIANS(BF492))</f>
        <v/>
      </c>
    </row>
    <row r="493">
      <c r="T493" t="n">
        <v>14.46816568047337</v>
      </c>
      <c r="U493">
        <f>T493*TAN(RADIANS(MAX(DEGREES(ATAN(TAN(RADIANS(Parametros!$F$12-omega*e_base))*(T493/sref)^(Parametros!$B$12-1))),DEGREES(ATAN(TAN(RADIANS(Parametros!$F$13-omega*e_base))*(T493/sref)^(Parametros!$B$13-1))),DEGREES(ATAN(TAN(RADIANS(Parametros!$F$14-omega*e_base))*(T493/sref)^(Parametros!$B$14-1))),DEGREES(ATAN(TAN(RADIANS(Parametros!$F$15-omega*e_base))*(T493/sref)^(Parametros!$B$15-1))),DEGREES(ATAN(TAN(RADIANS(Parametros!$F$16-omega*e_base))*(T493/sref)^(Parametros!$B$16-1))))))</f>
        <v/>
      </c>
      <c r="BE493">
        <f>Base_mundial!C492</f>
        <v/>
      </c>
      <c r="BF493">
        <f>Base_mundial!E492-omega*(e_base-Base_mundial!B492)</f>
        <v/>
      </c>
      <c r="BG493">
        <f>BE493*TAN(RADIANS(BF493))</f>
        <v/>
      </c>
    </row>
    <row r="494">
      <c r="BE494">
        <f>Base_mundial!C493</f>
        <v/>
      </c>
      <c r="BF494">
        <f>Base_mundial!E493-omega*(e_base-Base_mundial!B493)</f>
        <v/>
      </c>
      <c r="BG494">
        <f>BE494*TAN(RADIANS(BF494))</f>
        <v/>
      </c>
    </row>
    <row r="495">
      <c r="T495" t="n">
        <v>14.55680473372781</v>
      </c>
      <c r="U495">
        <f>T495*TAN(RADIANS(MIN(DEGREES(ATAN(TAN(RADIANS(Parametros!$E$12-omega*e_base))*(T495/sref)^(Parametros!$B$12-1))),DEGREES(ATAN(TAN(RADIANS(Parametros!$E$13-omega*e_base))*(T495/sref)^(Parametros!$B$13-1))),DEGREES(ATAN(TAN(RADIANS(Parametros!$E$14-omega*e_base))*(T495/sref)^(Parametros!$B$14-1))),DEGREES(ATAN(TAN(RADIANS(Parametros!$E$15-omega*e_base))*(T495/sref)^(Parametros!$B$15-1))),DEGREES(ATAN(TAN(RADIANS(Parametros!$E$16-omega*e_base))*(T495/sref)^(Parametros!$B$16-1))))))</f>
        <v/>
      </c>
      <c r="BE495">
        <f>Base_mundial!C494</f>
        <v/>
      </c>
      <c r="BF495">
        <f>Base_mundial!E494-omega*(e_base-Base_mundial!B494)</f>
        <v/>
      </c>
      <c r="BG495">
        <f>BE495*TAN(RADIANS(BF495))</f>
        <v/>
      </c>
    </row>
    <row r="496">
      <c r="T496" t="n">
        <v>14.55680473372781</v>
      </c>
      <c r="U496">
        <f>T496*TAN(RADIANS(MAX(DEGREES(ATAN(TAN(RADIANS(Parametros!$F$12-omega*e_base))*(T496/sref)^(Parametros!$B$12-1))),DEGREES(ATAN(TAN(RADIANS(Parametros!$F$13-omega*e_base))*(T496/sref)^(Parametros!$B$13-1))),DEGREES(ATAN(TAN(RADIANS(Parametros!$F$14-omega*e_base))*(T496/sref)^(Parametros!$B$14-1))),DEGREES(ATAN(TAN(RADIANS(Parametros!$F$15-omega*e_base))*(T496/sref)^(Parametros!$B$15-1))),DEGREES(ATAN(TAN(RADIANS(Parametros!$F$16-omega*e_base))*(T496/sref)^(Parametros!$B$16-1))))))</f>
        <v/>
      </c>
      <c r="BE496">
        <f>Base_mundial!C495</f>
        <v/>
      </c>
      <c r="BF496">
        <f>Base_mundial!E495-omega*(e_base-Base_mundial!B495)</f>
        <v/>
      </c>
      <c r="BG496">
        <f>BE496*TAN(RADIANS(BF496))</f>
        <v/>
      </c>
    </row>
    <row r="497">
      <c r="BE497">
        <f>Base_mundial!C496</f>
        <v/>
      </c>
      <c r="BF497">
        <f>Base_mundial!E496-omega*(e_base-Base_mundial!B496)</f>
        <v/>
      </c>
      <c r="BG497">
        <f>BE497*TAN(RADIANS(BF497))</f>
        <v/>
      </c>
    </row>
    <row r="498">
      <c r="T498" t="n">
        <v>14.64544378698225</v>
      </c>
      <c r="U498">
        <f>T498*TAN(RADIANS(MIN(DEGREES(ATAN(TAN(RADIANS(Parametros!$E$12-omega*e_base))*(T498/sref)^(Parametros!$B$12-1))),DEGREES(ATAN(TAN(RADIANS(Parametros!$E$13-omega*e_base))*(T498/sref)^(Parametros!$B$13-1))),DEGREES(ATAN(TAN(RADIANS(Parametros!$E$14-omega*e_base))*(T498/sref)^(Parametros!$B$14-1))),DEGREES(ATAN(TAN(RADIANS(Parametros!$E$15-omega*e_base))*(T498/sref)^(Parametros!$B$15-1))),DEGREES(ATAN(TAN(RADIANS(Parametros!$E$16-omega*e_base))*(T498/sref)^(Parametros!$B$16-1))))))</f>
        <v/>
      </c>
      <c r="BE498">
        <f>Base_mundial!C497</f>
        <v/>
      </c>
      <c r="BF498">
        <f>Base_mundial!E497-omega*(e_base-Base_mundial!B497)</f>
        <v/>
      </c>
      <c r="BG498">
        <f>BE498*TAN(RADIANS(BF498))</f>
        <v/>
      </c>
    </row>
    <row r="499">
      <c r="T499" t="n">
        <v>14.64544378698225</v>
      </c>
      <c r="U499">
        <f>T499*TAN(RADIANS(MAX(DEGREES(ATAN(TAN(RADIANS(Parametros!$F$12-omega*e_base))*(T499/sref)^(Parametros!$B$12-1))),DEGREES(ATAN(TAN(RADIANS(Parametros!$F$13-omega*e_base))*(T499/sref)^(Parametros!$B$13-1))),DEGREES(ATAN(TAN(RADIANS(Parametros!$F$14-omega*e_base))*(T499/sref)^(Parametros!$B$14-1))),DEGREES(ATAN(TAN(RADIANS(Parametros!$F$15-omega*e_base))*(T499/sref)^(Parametros!$B$15-1))),DEGREES(ATAN(TAN(RADIANS(Parametros!$F$16-omega*e_base))*(T499/sref)^(Parametros!$B$16-1))))))</f>
        <v/>
      </c>
      <c r="BE499">
        <f>Base_mundial!C498</f>
        <v/>
      </c>
      <c r="BF499">
        <f>Base_mundial!E498-omega*(e_base-Base_mundial!B498)</f>
        <v/>
      </c>
      <c r="BG499">
        <f>BE499*TAN(RADIANS(BF499))</f>
        <v/>
      </c>
    </row>
    <row r="500">
      <c r="BE500">
        <f>Base_mundial!C499</f>
        <v/>
      </c>
      <c r="BF500">
        <f>Base_mundial!E499-omega*(e_base-Base_mundial!B499)</f>
        <v/>
      </c>
      <c r="BG500">
        <f>BE500*TAN(RADIANS(BF500))</f>
        <v/>
      </c>
    </row>
    <row r="501">
      <c r="T501" t="n">
        <v>14.73408284023669</v>
      </c>
      <c r="U501">
        <f>T501*TAN(RADIANS(MIN(DEGREES(ATAN(TAN(RADIANS(Parametros!$E$12-omega*e_base))*(T501/sref)^(Parametros!$B$12-1))),DEGREES(ATAN(TAN(RADIANS(Parametros!$E$13-omega*e_base))*(T501/sref)^(Parametros!$B$13-1))),DEGREES(ATAN(TAN(RADIANS(Parametros!$E$14-omega*e_base))*(T501/sref)^(Parametros!$B$14-1))),DEGREES(ATAN(TAN(RADIANS(Parametros!$E$15-omega*e_base))*(T501/sref)^(Parametros!$B$15-1))),DEGREES(ATAN(TAN(RADIANS(Parametros!$E$16-omega*e_base))*(T501/sref)^(Parametros!$B$16-1))))))</f>
        <v/>
      </c>
      <c r="BE501">
        <f>Base_mundial!C500</f>
        <v/>
      </c>
      <c r="BF501">
        <f>Base_mundial!E500-omega*(e_base-Base_mundial!B500)</f>
        <v/>
      </c>
      <c r="BG501">
        <f>BE501*TAN(RADIANS(BF501))</f>
        <v/>
      </c>
    </row>
    <row r="502">
      <c r="T502" t="n">
        <v>14.73408284023669</v>
      </c>
      <c r="U502">
        <f>T502*TAN(RADIANS(MAX(DEGREES(ATAN(TAN(RADIANS(Parametros!$F$12-omega*e_base))*(T502/sref)^(Parametros!$B$12-1))),DEGREES(ATAN(TAN(RADIANS(Parametros!$F$13-omega*e_base))*(T502/sref)^(Parametros!$B$13-1))),DEGREES(ATAN(TAN(RADIANS(Parametros!$F$14-omega*e_base))*(T502/sref)^(Parametros!$B$14-1))),DEGREES(ATAN(TAN(RADIANS(Parametros!$F$15-omega*e_base))*(T502/sref)^(Parametros!$B$15-1))),DEGREES(ATAN(TAN(RADIANS(Parametros!$F$16-omega*e_base))*(T502/sref)^(Parametros!$B$16-1))))))</f>
        <v/>
      </c>
      <c r="BE502">
        <f>Base_mundial!C501</f>
        <v/>
      </c>
      <c r="BF502">
        <f>Base_mundial!E501-omega*(e_base-Base_mundial!B501)</f>
        <v/>
      </c>
      <c r="BG502">
        <f>BE502*TAN(RADIANS(BF502))</f>
        <v/>
      </c>
    </row>
    <row r="503">
      <c r="BE503">
        <f>Base_mundial!C502</f>
        <v/>
      </c>
      <c r="BF503">
        <f>Base_mundial!E502-omega*(e_base-Base_mundial!B502)</f>
        <v/>
      </c>
      <c r="BG503">
        <f>BE503*TAN(RADIANS(BF503))</f>
        <v/>
      </c>
    </row>
    <row r="504">
      <c r="T504" t="n">
        <v>14.82272189349112</v>
      </c>
      <c r="U504">
        <f>T504*TAN(RADIANS(MIN(DEGREES(ATAN(TAN(RADIANS(Parametros!$E$12-omega*e_base))*(T504/sref)^(Parametros!$B$12-1))),DEGREES(ATAN(TAN(RADIANS(Parametros!$E$13-omega*e_base))*(T504/sref)^(Parametros!$B$13-1))),DEGREES(ATAN(TAN(RADIANS(Parametros!$E$14-omega*e_base))*(T504/sref)^(Parametros!$B$14-1))),DEGREES(ATAN(TAN(RADIANS(Parametros!$E$15-omega*e_base))*(T504/sref)^(Parametros!$B$15-1))),DEGREES(ATAN(TAN(RADIANS(Parametros!$E$16-omega*e_base))*(T504/sref)^(Parametros!$B$16-1))))))</f>
        <v/>
      </c>
      <c r="BE504">
        <f>Base_mundial!C503</f>
        <v/>
      </c>
      <c r="BF504">
        <f>Base_mundial!E503-omega*(e_base-Base_mundial!B503)</f>
        <v/>
      </c>
      <c r="BG504">
        <f>BE504*TAN(RADIANS(BF504))</f>
        <v/>
      </c>
    </row>
    <row r="505">
      <c r="T505" t="n">
        <v>14.82272189349112</v>
      </c>
      <c r="U505">
        <f>T505*TAN(RADIANS(MAX(DEGREES(ATAN(TAN(RADIANS(Parametros!$F$12-omega*e_base))*(T505/sref)^(Parametros!$B$12-1))),DEGREES(ATAN(TAN(RADIANS(Parametros!$F$13-omega*e_base))*(T505/sref)^(Parametros!$B$13-1))),DEGREES(ATAN(TAN(RADIANS(Parametros!$F$14-omega*e_base))*(T505/sref)^(Parametros!$B$14-1))),DEGREES(ATAN(TAN(RADIANS(Parametros!$F$15-omega*e_base))*(T505/sref)^(Parametros!$B$15-1))),DEGREES(ATAN(TAN(RADIANS(Parametros!$F$16-omega*e_base))*(T505/sref)^(Parametros!$B$16-1))))))</f>
        <v/>
      </c>
      <c r="BE505">
        <f>Base_mundial!C504</f>
        <v/>
      </c>
      <c r="BF505">
        <f>Base_mundial!E504-omega*(e_base-Base_mundial!B504)</f>
        <v/>
      </c>
      <c r="BG505">
        <f>BE505*TAN(RADIANS(BF505))</f>
        <v/>
      </c>
    </row>
    <row r="506">
      <c r="BE506">
        <f>Base_mundial!C505</f>
        <v/>
      </c>
      <c r="BF506">
        <f>Base_mundial!E505-omega*(e_base-Base_mundial!B505)</f>
        <v/>
      </c>
      <c r="BG506">
        <f>BE506*TAN(RADIANS(BF506))</f>
        <v/>
      </c>
    </row>
    <row r="507">
      <c r="T507" t="n">
        <v>14.91136094674556</v>
      </c>
      <c r="U507">
        <f>T507*TAN(RADIANS(MIN(DEGREES(ATAN(TAN(RADIANS(Parametros!$E$12-omega*e_base))*(T507/sref)^(Parametros!$B$12-1))),DEGREES(ATAN(TAN(RADIANS(Parametros!$E$13-omega*e_base))*(T507/sref)^(Parametros!$B$13-1))),DEGREES(ATAN(TAN(RADIANS(Parametros!$E$14-omega*e_base))*(T507/sref)^(Parametros!$B$14-1))),DEGREES(ATAN(TAN(RADIANS(Parametros!$E$15-omega*e_base))*(T507/sref)^(Parametros!$B$15-1))),DEGREES(ATAN(TAN(RADIANS(Parametros!$E$16-omega*e_base))*(T507/sref)^(Parametros!$B$16-1))))))</f>
        <v/>
      </c>
      <c r="BE507">
        <f>Base_mundial!C506</f>
        <v/>
      </c>
      <c r="BF507">
        <f>Base_mundial!E506-omega*(e_base-Base_mundial!B506)</f>
        <v/>
      </c>
      <c r="BG507">
        <f>BE507*TAN(RADIANS(BF507))</f>
        <v/>
      </c>
    </row>
    <row r="508">
      <c r="T508" t="n">
        <v>14.91136094674556</v>
      </c>
      <c r="U508">
        <f>T508*TAN(RADIANS(MAX(DEGREES(ATAN(TAN(RADIANS(Parametros!$F$12-omega*e_base))*(T508/sref)^(Parametros!$B$12-1))),DEGREES(ATAN(TAN(RADIANS(Parametros!$F$13-omega*e_base))*(T508/sref)^(Parametros!$B$13-1))),DEGREES(ATAN(TAN(RADIANS(Parametros!$F$14-omega*e_base))*(T508/sref)^(Parametros!$B$14-1))),DEGREES(ATAN(TAN(RADIANS(Parametros!$F$15-omega*e_base))*(T508/sref)^(Parametros!$B$15-1))),DEGREES(ATAN(TAN(RADIANS(Parametros!$F$16-omega*e_base))*(T508/sref)^(Parametros!$B$16-1))))))</f>
        <v/>
      </c>
      <c r="BE508">
        <f>Base_mundial!C507</f>
        <v/>
      </c>
      <c r="BF508">
        <f>Base_mundial!E507-omega*(e_base-Base_mundial!B507)</f>
        <v/>
      </c>
      <c r="BG508">
        <f>BE508*TAN(RADIANS(BF508))</f>
        <v/>
      </c>
    </row>
    <row r="509">
      <c r="BE509">
        <f>Base_mundial!C508</f>
        <v/>
      </c>
      <c r="BF509">
        <f>Base_mundial!E508-omega*(e_base-Base_mundial!B508)</f>
        <v/>
      </c>
      <c r="BG509">
        <f>BE509*TAN(RADIANS(BF509))</f>
        <v/>
      </c>
    </row>
    <row r="510">
      <c r="T510" t="n">
        <v>15</v>
      </c>
      <c r="U510">
        <f>T510*TAN(RADIANS(MIN(DEGREES(ATAN(TAN(RADIANS(Parametros!$E$12-omega*e_base))*(T510/sref)^(Parametros!$B$12-1))),DEGREES(ATAN(TAN(RADIANS(Parametros!$E$13-omega*e_base))*(T510/sref)^(Parametros!$B$13-1))),DEGREES(ATAN(TAN(RADIANS(Parametros!$E$14-omega*e_base))*(T510/sref)^(Parametros!$B$14-1))),DEGREES(ATAN(TAN(RADIANS(Parametros!$E$15-omega*e_base))*(T510/sref)^(Parametros!$B$15-1))),DEGREES(ATAN(TAN(RADIANS(Parametros!$E$16-omega*e_base))*(T510/sref)^(Parametros!$B$16-1))))))</f>
        <v/>
      </c>
      <c r="BE510">
        <f>Base_mundial!C509</f>
        <v/>
      </c>
      <c r="BF510">
        <f>Base_mundial!E509-omega*(e_base-Base_mundial!B509)</f>
        <v/>
      </c>
      <c r="BG510">
        <f>BE510*TAN(RADIANS(BF510))</f>
        <v/>
      </c>
    </row>
    <row r="511">
      <c r="T511" t="n">
        <v>15</v>
      </c>
      <c r="U511">
        <f>T511*TAN(RADIANS(MAX(DEGREES(ATAN(TAN(RADIANS(Parametros!$F$12-omega*e_base))*(T511/sref)^(Parametros!$B$12-1))),DEGREES(ATAN(TAN(RADIANS(Parametros!$F$13-omega*e_base))*(T511/sref)^(Parametros!$B$13-1))),DEGREES(ATAN(TAN(RADIANS(Parametros!$F$14-omega*e_base))*(T511/sref)^(Parametros!$B$14-1))),DEGREES(ATAN(TAN(RADIANS(Parametros!$F$15-omega*e_base))*(T511/sref)^(Parametros!$B$15-1))),DEGREES(ATAN(TAN(RADIANS(Parametros!$F$16-omega*e_base))*(T511/sref)^(Parametros!$B$16-1))))))</f>
        <v/>
      </c>
      <c r="BE511">
        <f>Base_mundial!C510</f>
        <v/>
      </c>
      <c r="BF511">
        <f>Base_mundial!E510-omega*(e_base-Base_mundial!B510)</f>
        <v/>
      </c>
      <c r="BG511">
        <f>BE511*TAN(RADIANS(BF511))</f>
        <v/>
      </c>
    </row>
    <row r="512">
      <c r="BE512">
        <f>Base_mundial!C511</f>
        <v/>
      </c>
      <c r="BF512">
        <f>Base_mundial!E511-omega*(e_base-Base_mundial!B511)</f>
        <v/>
      </c>
      <c r="BG512">
        <f>BE512*TAN(RADIANS(BF512))</f>
        <v/>
      </c>
    </row>
    <row r="513">
      <c r="BE513">
        <f>Base_mundial!C512</f>
        <v/>
      </c>
      <c r="BF513">
        <f>Base_mundial!E512-omega*(e_base-Base_mundial!B512)</f>
        <v/>
      </c>
      <c r="BG513">
        <f>BE513*TAN(RADIANS(BF513))</f>
        <v/>
      </c>
    </row>
    <row r="514">
      <c r="BE514">
        <f>Base_mundial!C513</f>
        <v/>
      </c>
      <c r="BF514">
        <f>Base_mundial!E513-omega*(e_base-Base_mundial!B513)</f>
        <v/>
      </c>
      <c r="BG514">
        <f>BE514*TAN(RADIANS(BF514))</f>
        <v/>
      </c>
    </row>
    <row r="515">
      <c r="BE515">
        <f>Base_mundial!C514</f>
        <v/>
      </c>
      <c r="BF515">
        <f>Base_mundial!E514-omega*(e_base-Base_mundial!B514)</f>
        <v/>
      </c>
      <c r="BG515">
        <f>BE515*TAN(RADIANS(BF515))</f>
        <v/>
      </c>
    </row>
    <row r="516">
      <c r="BE516">
        <f>Base_mundial!C515</f>
        <v/>
      </c>
      <c r="BF516">
        <f>Base_mundial!E515-omega*(e_base-Base_mundial!B515)</f>
        <v/>
      </c>
      <c r="BG516">
        <f>BE516*TAN(RADIANS(BF516))</f>
        <v/>
      </c>
    </row>
    <row r="517">
      <c r="BE517">
        <f>Base_mundial!C516</f>
        <v/>
      </c>
      <c r="BF517">
        <f>Base_mundial!E516-omega*(e_base-Base_mundial!B516)</f>
        <v/>
      </c>
      <c r="BG517">
        <f>BE517*TAN(RADIANS(BF517))</f>
        <v/>
      </c>
    </row>
    <row r="518">
      <c r="BE518">
        <f>Base_mundial!C517</f>
        <v/>
      </c>
      <c r="BF518">
        <f>Base_mundial!E517-omega*(e_base-Base_mundial!B517)</f>
        <v/>
      </c>
      <c r="BG518">
        <f>BE518*TAN(RADIANS(BF518))</f>
        <v/>
      </c>
    </row>
    <row r="519">
      <c r="BE519">
        <f>Base_mundial!C518</f>
        <v/>
      </c>
      <c r="BF519">
        <f>Base_mundial!E518-omega*(e_base-Base_mundial!B518)</f>
        <v/>
      </c>
      <c r="BG519">
        <f>BE519*TAN(RADIANS(BF519))</f>
        <v/>
      </c>
    </row>
    <row r="520">
      <c r="BE520">
        <f>Base_mundial!C519</f>
        <v/>
      </c>
      <c r="BF520">
        <f>Base_mundial!E519-omega*(e_base-Base_mundial!B519)</f>
        <v/>
      </c>
      <c r="BG520">
        <f>BE520*TAN(RADIANS(BF520))</f>
        <v/>
      </c>
    </row>
    <row r="521">
      <c r="BE521">
        <f>Base_mundial!C520</f>
        <v/>
      </c>
      <c r="BF521">
        <f>Base_mundial!E520-omega*(e_base-Base_mundial!B520)</f>
        <v/>
      </c>
      <c r="BG521">
        <f>BE521*TAN(RADIANS(BF521))</f>
        <v/>
      </c>
    </row>
    <row r="522">
      <c r="BE522">
        <f>Base_mundial!C521</f>
        <v/>
      </c>
      <c r="BF522">
        <f>Base_mundial!E521-omega*(e_base-Base_mundial!B521)</f>
        <v/>
      </c>
      <c r="BG522">
        <f>BE522*TAN(RADIANS(BF522))</f>
        <v/>
      </c>
    </row>
    <row r="523">
      <c r="BE523">
        <f>Base_mundial!C522</f>
        <v/>
      </c>
      <c r="BF523">
        <f>Base_mundial!E522-omega*(e_base-Base_mundial!B522)</f>
        <v/>
      </c>
      <c r="BG523">
        <f>BE523*TAN(RADIANS(BF523))</f>
        <v/>
      </c>
    </row>
    <row r="524">
      <c r="BE524">
        <f>Base_mundial!C523</f>
        <v/>
      </c>
      <c r="BF524">
        <f>Base_mundial!E523-omega*(e_base-Base_mundial!B523)</f>
        <v/>
      </c>
      <c r="BG524">
        <f>BE524*TAN(RADIANS(BF524))</f>
        <v/>
      </c>
    </row>
    <row r="525">
      <c r="BE525">
        <f>Base_mundial!C524</f>
        <v/>
      </c>
      <c r="BF525">
        <f>Base_mundial!E524-omega*(e_base-Base_mundial!B524)</f>
        <v/>
      </c>
      <c r="BG525">
        <f>BE525*TAN(RADIANS(BF525))</f>
        <v/>
      </c>
    </row>
    <row r="526">
      <c r="BE526">
        <f>Base_mundial!C525</f>
        <v/>
      </c>
      <c r="BF526">
        <f>Base_mundial!E525-omega*(e_base-Base_mundial!B525)</f>
        <v/>
      </c>
      <c r="BG526">
        <f>BE526*TAN(RADIANS(BF526))</f>
        <v/>
      </c>
    </row>
    <row r="527">
      <c r="BE527">
        <f>Base_mundial!C526</f>
        <v/>
      </c>
      <c r="BF527">
        <f>Base_mundial!E526-omega*(e_base-Base_mundial!B526)</f>
        <v/>
      </c>
      <c r="BG527">
        <f>BE527*TAN(RADIANS(BF527))</f>
        <v/>
      </c>
    </row>
    <row r="528">
      <c r="BE528">
        <f>Base_mundial!C527</f>
        <v/>
      </c>
      <c r="BF528">
        <f>Base_mundial!E527-omega*(e_base-Base_mundial!B527)</f>
        <v/>
      </c>
      <c r="BG528">
        <f>BE528*TAN(RADIANS(BF528))</f>
        <v/>
      </c>
    </row>
    <row r="529">
      <c r="BE529">
        <f>Base_mundial!C528</f>
        <v/>
      </c>
      <c r="BF529">
        <f>Base_mundial!E528-omega*(e_base-Base_mundial!B528)</f>
        <v/>
      </c>
      <c r="BG529">
        <f>BE529*TAN(RADIANS(BF529))</f>
        <v/>
      </c>
    </row>
    <row r="530">
      <c r="BE530">
        <f>Base_mundial!C529</f>
        <v/>
      </c>
      <c r="BF530">
        <f>Base_mundial!E529-omega*(e_base-Base_mundial!B529)</f>
        <v/>
      </c>
      <c r="BG530">
        <f>BE530*TAN(RADIANS(BF530))</f>
        <v/>
      </c>
    </row>
    <row r="531">
      <c r="BE531">
        <f>Base_mundial!C530</f>
        <v/>
      </c>
      <c r="BF531">
        <f>Base_mundial!E530-omega*(e_base-Base_mundial!B530)</f>
        <v/>
      </c>
      <c r="BG531">
        <f>BE531*TAN(RADIANS(BF531))</f>
        <v/>
      </c>
    </row>
    <row r="532">
      <c r="BE532">
        <f>Base_mundial!C531</f>
        <v/>
      </c>
      <c r="BF532">
        <f>Base_mundial!E531-omega*(e_base-Base_mundial!B531)</f>
        <v/>
      </c>
      <c r="BG532">
        <f>BE532*TAN(RADIANS(BF532))</f>
        <v/>
      </c>
    </row>
    <row r="533">
      <c r="BE533">
        <f>Base_mundial!C532</f>
        <v/>
      </c>
      <c r="BF533">
        <f>Base_mundial!E532-omega*(e_base-Base_mundial!B532)</f>
        <v/>
      </c>
      <c r="BG533">
        <f>BE533*TAN(RADIANS(BF533))</f>
        <v/>
      </c>
    </row>
    <row r="534">
      <c r="BE534">
        <f>Base_mundial!C533</f>
        <v/>
      </c>
      <c r="BF534">
        <f>Base_mundial!E533-omega*(e_base-Base_mundial!B533)</f>
        <v/>
      </c>
      <c r="BG534">
        <f>BE534*TAN(RADIANS(BF534))</f>
        <v/>
      </c>
    </row>
    <row r="535">
      <c r="BE535">
        <f>Base_mundial!C534</f>
        <v/>
      </c>
      <c r="BF535">
        <f>Base_mundial!E534-omega*(e_base-Base_mundial!B534)</f>
        <v/>
      </c>
      <c r="BG535">
        <f>BE535*TAN(RADIANS(BF535))</f>
        <v/>
      </c>
    </row>
    <row r="536">
      <c r="BE536">
        <f>Base_mundial!C535</f>
        <v/>
      </c>
      <c r="BF536">
        <f>Base_mundial!E535-omega*(e_base-Base_mundial!B535)</f>
        <v/>
      </c>
      <c r="BG536">
        <f>BE536*TAN(RADIANS(BF536))</f>
        <v/>
      </c>
    </row>
    <row r="537">
      <c r="BE537">
        <f>Base_mundial!C536</f>
        <v/>
      </c>
      <c r="BF537">
        <f>Base_mundial!E536-omega*(e_base-Base_mundial!B536)</f>
        <v/>
      </c>
      <c r="BG537">
        <f>BE537*TAN(RADIANS(BF537))</f>
        <v/>
      </c>
    </row>
    <row r="538">
      <c r="BE538">
        <f>Base_mundial!C537</f>
        <v/>
      </c>
      <c r="BF538">
        <f>Base_mundial!E537-omega*(e_base-Base_mundial!B537)</f>
        <v/>
      </c>
      <c r="BG538">
        <f>BE538*TAN(RADIANS(BF538))</f>
        <v/>
      </c>
    </row>
    <row r="539">
      <c r="BE539">
        <f>Base_mundial!C538</f>
        <v/>
      </c>
      <c r="BF539">
        <f>Base_mundial!E538-omega*(e_base-Base_mundial!B538)</f>
        <v/>
      </c>
      <c r="BG539">
        <f>BE539*TAN(RADIANS(BF539))</f>
        <v/>
      </c>
    </row>
    <row r="540">
      <c r="BE540">
        <f>Base_mundial!C539</f>
        <v/>
      </c>
      <c r="BF540">
        <f>Base_mundial!E539-omega*(e_base-Base_mundial!B539)</f>
        <v/>
      </c>
      <c r="BG540">
        <f>BE540*TAN(RADIANS(BF540))</f>
        <v/>
      </c>
    </row>
    <row r="541">
      <c r="BE541">
        <f>Base_mundial!C540</f>
        <v/>
      </c>
      <c r="BF541">
        <f>Base_mundial!E540-omega*(e_base-Base_mundial!B540)</f>
        <v/>
      </c>
      <c r="BG541">
        <f>BE541*TAN(RADIANS(BF541))</f>
        <v/>
      </c>
    </row>
    <row r="542">
      <c r="BE542">
        <f>Base_mundial!C541</f>
        <v/>
      </c>
      <c r="BF542">
        <f>Base_mundial!E541-omega*(e_base-Base_mundial!B541)</f>
        <v/>
      </c>
      <c r="BG542">
        <f>BE542*TAN(RADIANS(BF542))</f>
        <v/>
      </c>
    </row>
    <row r="543">
      <c r="BE543">
        <f>Base_mundial!C542</f>
        <v/>
      </c>
      <c r="BF543">
        <f>Base_mundial!E542-omega*(e_base-Base_mundial!B542)</f>
        <v/>
      </c>
      <c r="BG543">
        <f>BE543*TAN(RADIANS(BF543))</f>
        <v/>
      </c>
    </row>
    <row r="544">
      <c r="BE544">
        <f>Base_mundial!C543</f>
        <v/>
      </c>
      <c r="BF544">
        <f>Base_mundial!E543-omega*(e_base-Base_mundial!B543)</f>
        <v/>
      </c>
      <c r="BG544">
        <f>BE544*TAN(RADIANS(BF544))</f>
        <v/>
      </c>
    </row>
    <row r="545">
      <c r="BE545">
        <f>Base_mundial!C544</f>
        <v/>
      </c>
      <c r="BF545">
        <f>Base_mundial!E544-omega*(e_base-Base_mundial!B544)</f>
        <v/>
      </c>
      <c r="BG545">
        <f>BE545*TAN(RADIANS(BF545))</f>
        <v/>
      </c>
    </row>
    <row r="546">
      <c r="BE546">
        <f>Base_mundial!C545</f>
        <v/>
      </c>
      <c r="BF546">
        <f>Base_mundial!E545-omega*(e_base-Base_mundial!B545)</f>
        <v/>
      </c>
      <c r="BG546">
        <f>BE546*TAN(RADIANS(BF546))</f>
        <v/>
      </c>
    </row>
    <row r="547">
      <c r="BE547">
        <f>Base_mundial!C546</f>
        <v/>
      </c>
      <c r="BF547">
        <f>Base_mundial!E546-omega*(e_base-Base_mundial!B546)</f>
        <v/>
      </c>
      <c r="BG547">
        <f>BE547*TAN(RADIANS(BF547))</f>
        <v/>
      </c>
    </row>
    <row r="548">
      <c r="BE548">
        <f>Base_mundial!C547</f>
        <v/>
      </c>
      <c r="BF548">
        <f>Base_mundial!E547-omega*(e_base-Base_mundial!B547)</f>
        <v/>
      </c>
      <c r="BG548">
        <f>BE548*TAN(RADIANS(BF548))</f>
        <v/>
      </c>
    </row>
    <row r="549">
      <c r="BE549">
        <f>Base_mundial!C548</f>
        <v/>
      </c>
      <c r="BF549">
        <f>Base_mundial!E548-omega*(e_base-Base_mundial!B548)</f>
        <v/>
      </c>
      <c r="BG549">
        <f>BE549*TAN(RADIANS(BF549))</f>
        <v/>
      </c>
    </row>
    <row r="550">
      <c r="BE550">
        <f>Base_mundial!C549</f>
        <v/>
      </c>
      <c r="BF550">
        <f>Base_mundial!E549-omega*(e_base-Base_mundial!B549)</f>
        <v/>
      </c>
      <c r="BG550">
        <f>BE550*TAN(RADIANS(BF550))</f>
        <v/>
      </c>
    </row>
    <row r="551">
      <c r="BE551">
        <f>Base_mundial!C550</f>
        <v/>
      </c>
      <c r="BF551">
        <f>Base_mundial!E550-omega*(e_base-Base_mundial!B550)</f>
        <v/>
      </c>
      <c r="BG551">
        <f>BE551*TAN(RADIANS(BF551))</f>
        <v/>
      </c>
    </row>
    <row r="552">
      <c r="BE552">
        <f>Base_mundial!C551</f>
        <v/>
      </c>
      <c r="BF552">
        <f>Base_mundial!E551-omega*(e_base-Base_mundial!B551)</f>
        <v/>
      </c>
      <c r="BG552">
        <f>BE552*TAN(RADIANS(BF552))</f>
        <v/>
      </c>
    </row>
    <row r="553">
      <c r="BE553">
        <f>Base_mundial!C552</f>
        <v/>
      </c>
      <c r="BF553">
        <f>Base_mundial!E552-omega*(e_base-Base_mundial!B552)</f>
        <v/>
      </c>
      <c r="BG553">
        <f>BE553*TAN(RADIANS(BF553))</f>
        <v/>
      </c>
    </row>
    <row r="554">
      <c r="BE554">
        <f>Base_mundial!C553</f>
        <v/>
      </c>
      <c r="BF554">
        <f>Base_mundial!E553-omega*(e_base-Base_mundial!B553)</f>
        <v/>
      </c>
      <c r="BG554">
        <f>BE554*TAN(RADIANS(BF554))</f>
        <v/>
      </c>
    </row>
    <row r="555">
      <c r="BE555">
        <f>Base_mundial!C554</f>
        <v/>
      </c>
      <c r="BF555">
        <f>Base_mundial!E554-omega*(e_base-Base_mundial!B554)</f>
        <v/>
      </c>
      <c r="BG555">
        <f>BE555*TAN(RADIANS(BF555))</f>
        <v/>
      </c>
    </row>
    <row r="556">
      <c r="BE556">
        <f>Base_mundial!C555</f>
        <v/>
      </c>
      <c r="BF556">
        <f>Base_mundial!E555-omega*(e_base-Base_mundial!B555)</f>
        <v/>
      </c>
      <c r="BG556">
        <f>BE556*TAN(RADIANS(BF556))</f>
        <v/>
      </c>
    </row>
    <row r="557">
      <c r="BE557">
        <f>Base_mundial!C556</f>
        <v/>
      </c>
      <c r="BF557">
        <f>Base_mundial!E556-omega*(e_base-Base_mundial!B556)</f>
        <v/>
      </c>
      <c r="BG557">
        <f>BE557*TAN(RADIANS(BF557))</f>
        <v/>
      </c>
    </row>
    <row r="558">
      <c r="BE558">
        <f>Base_mundial!C557</f>
        <v/>
      </c>
      <c r="BF558">
        <f>Base_mundial!E557-omega*(e_base-Base_mundial!B557)</f>
        <v/>
      </c>
      <c r="BG558">
        <f>BE558*TAN(RADIANS(BF558))</f>
        <v/>
      </c>
    </row>
    <row r="559">
      <c r="BE559">
        <f>Base_mundial!C558</f>
        <v/>
      </c>
      <c r="BF559">
        <f>Base_mundial!E558-omega*(e_base-Base_mundial!B558)</f>
        <v/>
      </c>
      <c r="BG559">
        <f>BE559*TAN(RADIANS(BF559))</f>
        <v/>
      </c>
    </row>
    <row r="560">
      <c r="BE560">
        <f>Base_mundial!C559</f>
        <v/>
      </c>
      <c r="BF560">
        <f>Base_mundial!E559-omega*(e_base-Base_mundial!B559)</f>
        <v/>
      </c>
      <c r="BG560">
        <f>BE560*TAN(RADIANS(BF560))</f>
        <v/>
      </c>
    </row>
    <row r="561">
      <c r="BE561">
        <f>Base_mundial!C560</f>
        <v/>
      </c>
      <c r="BF561">
        <f>Base_mundial!E560-omega*(e_base-Base_mundial!B560)</f>
        <v/>
      </c>
      <c r="BG561">
        <f>BE561*TAN(RADIANS(BF561))</f>
        <v/>
      </c>
    </row>
    <row r="562">
      <c r="BE562">
        <f>Base_mundial!C561</f>
        <v/>
      </c>
      <c r="BF562">
        <f>Base_mundial!E561-omega*(e_base-Base_mundial!B561)</f>
        <v/>
      </c>
      <c r="BG562">
        <f>BE562*TAN(RADIANS(BF562))</f>
        <v/>
      </c>
    </row>
    <row r="563">
      <c r="BE563">
        <f>Base_mundial!C562</f>
        <v/>
      </c>
      <c r="BF563">
        <f>Base_mundial!E562-omega*(e_base-Base_mundial!B562)</f>
        <v/>
      </c>
      <c r="BG563">
        <f>BE563*TAN(RADIANS(BF563))</f>
        <v/>
      </c>
    </row>
    <row r="564">
      <c r="BE564">
        <f>Base_mundial!C563</f>
        <v/>
      </c>
      <c r="BF564">
        <f>Base_mundial!E563-omega*(e_base-Base_mundial!B563)</f>
        <v/>
      </c>
      <c r="BG564">
        <f>BE564*TAN(RADIANS(BF564))</f>
        <v/>
      </c>
    </row>
    <row r="565">
      <c r="BE565">
        <f>Base_mundial!C564</f>
        <v/>
      </c>
      <c r="BF565">
        <f>Base_mundial!E564-omega*(e_base-Base_mundial!B564)</f>
        <v/>
      </c>
      <c r="BG565">
        <f>BE565*TAN(RADIANS(BF565))</f>
        <v/>
      </c>
    </row>
    <row r="566">
      <c r="BE566">
        <f>Base_mundial!C565</f>
        <v/>
      </c>
      <c r="BF566">
        <f>Base_mundial!E565-omega*(e_base-Base_mundial!B565)</f>
        <v/>
      </c>
      <c r="BG566">
        <f>BE566*TAN(RADIANS(BF566))</f>
        <v/>
      </c>
    </row>
    <row r="567">
      <c r="BE567">
        <f>Base_mundial!C566</f>
        <v/>
      </c>
      <c r="BF567">
        <f>Base_mundial!E566-omega*(e_base-Base_mundial!B566)</f>
        <v/>
      </c>
      <c r="BG567">
        <f>BE567*TAN(RADIANS(BF567))</f>
        <v/>
      </c>
    </row>
    <row r="568">
      <c r="BE568">
        <f>Base_mundial!C567</f>
        <v/>
      </c>
      <c r="BF568">
        <f>Base_mundial!E567-omega*(e_base-Base_mundial!B567)</f>
        <v/>
      </c>
      <c r="BG568">
        <f>BE568*TAN(RADIANS(BF568))</f>
        <v/>
      </c>
    </row>
    <row r="569">
      <c r="BE569">
        <f>Base_mundial!C568</f>
        <v/>
      </c>
      <c r="BF569">
        <f>Base_mundial!E568-omega*(e_base-Base_mundial!B568)</f>
        <v/>
      </c>
      <c r="BG569">
        <f>BE569*TAN(RADIANS(BF569))</f>
        <v/>
      </c>
    </row>
    <row r="570">
      <c r="BE570">
        <f>Base_mundial!C569</f>
        <v/>
      </c>
      <c r="BF570">
        <f>Base_mundial!E569-omega*(e_base-Base_mundial!B569)</f>
        <v/>
      </c>
      <c r="BG570">
        <f>BE570*TAN(RADIANS(BF570))</f>
        <v/>
      </c>
    </row>
    <row r="571">
      <c r="BE571">
        <f>Base_mundial!C570</f>
        <v/>
      </c>
      <c r="BF571">
        <f>Base_mundial!E570-omega*(e_base-Base_mundial!B570)</f>
        <v/>
      </c>
      <c r="BG571">
        <f>BE571*TAN(RADIANS(BF571))</f>
        <v/>
      </c>
    </row>
    <row r="572">
      <c r="BE572">
        <f>Base_mundial!C571</f>
        <v/>
      </c>
      <c r="BF572">
        <f>Base_mundial!E571-omega*(e_base-Base_mundial!B571)</f>
        <v/>
      </c>
      <c r="BG572">
        <f>BE572*TAN(RADIANS(BF572))</f>
        <v/>
      </c>
    </row>
    <row r="573">
      <c r="BE573">
        <f>Base_mundial!C572</f>
        <v/>
      </c>
      <c r="BF573">
        <f>Base_mundial!E572-omega*(e_base-Base_mundial!B572)</f>
        <v/>
      </c>
      <c r="BG573">
        <f>BE573*TAN(RADIANS(BF573))</f>
        <v/>
      </c>
    </row>
    <row r="574">
      <c r="BE574">
        <f>Base_mundial!C573</f>
        <v/>
      </c>
      <c r="BF574">
        <f>Base_mundial!E573-omega*(e_base-Base_mundial!B573)</f>
        <v/>
      </c>
      <c r="BG574">
        <f>BE574*TAN(RADIANS(BF574))</f>
        <v/>
      </c>
    </row>
    <row r="575">
      <c r="BE575">
        <f>Base_mundial!C574</f>
        <v/>
      </c>
      <c r="BF575">
        <f>Base_mundial!E574-omega*(e_base-Base_mundial!B574)</f>
        <v/>
      </c>
      <c r="BG575">
        <f>BE575*TAN(RADIANS(BF575))</f>
        <v/>
      </c>
    </row>
    <row r="576">
      <c r="BE576">
        <f>Base_mundial!C575</f>
        <v/>
      </c>
      <c r="BF576">
        <f>Base_mundial!E575-omega*(e_base-Base_mundial!B575)</f>
        <v/>
      </c>
      <c r="BG576">
        <f>BE576*TAN(RADIANS(BF576))</f>
        <v/>
      </c>
    </row>
    <row r="577">
      <c r="BE577">
        <f>Base_mundial!C576</f>
        <v/>
      </c>
      <c r="BF577">
        <f>Base_mundial!E576-omega*(e_base-Base_mundial!B576)</f>
        <v/>
      </c>
      <c r="BG577">
        <f>BE577*TAN(RADIANS(BF577))</f>
        <v/>
      </c>
    </row>
    <row r="578">
      <c r="BE578">
        <f>Base_mundial!C577</f>
        <v/>
      </c>
      <c r="BF578">
        <f>Base_mundial!E577-omega*(e_base-Base_mundial!B577)</f>
        <v/>
      </c>
      <c r="BG578">
        <f>BE578*TAN(RADIANS(BF578))</f>
        <v/>
      </c>
    </row>
    <row r="579">
      <c r="BE579">
        <f>Base_mundial!C578</f>
        <v/>
      </c>
      <c r="BF579">
        <f>Base_mundial!E578-omega*(e_base-Base_mundial!B578)</f>
        <v/>
      </c>
      <c r="BG579">
        <f>BE579*TAN(RADIANS(BF579))</f>
        <v/>
      </c>
    </row>
    <row r="580">
      <c r="BE580">
        <f>Base_mundial!C579</f>
        <v/>
      </c>
      <c r="BF580">
        <f>Base_mundial!E579-omega*(e_base-Base_mundial!B579)</f>
        <v/>
      </c>
      <c r="BG580">
        <f>BE580*TAN(RADIANS(BF580))</f>
        <v/>
      </c>
    </row>
    <row r="581">
      <c r="BE581">
        <f>Base_mundial!C580</f>
        <v/>
      </c>
      <c r="BF581">
        <f>Base_mundial!E580-omega*(e_base-Base_mundial!B580)</f>
        <v/>
      </c>
      <c r="BG581">
        <f>BE581*TAN(RADIANS(BF581))</f>
        <v/>
      </c>
    </row>
    <row r="582">
      <c r="BE582">
        <f>Base_mundial!C581</f>
        <v/>
      </c>
      <c r="BF582">
        <f>Base_mundial!E581-omega*(e_base-Base_mundial!B581)</f>
        <v/>
      </c>
      <c r="BG582">
        <f>BE582*TAN(RADIANS(BF582))</f>
        <v/>
      </c>
    </row>
    <row r="583">
      <c r="BE583">
        <f>Base_mundial!C582</f>
        <v/>
      </c>
      <c r="BF583">
        <f>Base_mundial!E582-omega*(e_base-Base_mundial!B582)</f>
        <v/>
      </c>
      <c r="BG583">
        <f>BE583*TAN(RADIANS(BF583))</f>
        <v/>
      </c>
    </row>
    <row r="584">
      <c r="BE584">
        <f>Base_mundial!C583</f>
        <v/>
      </c>
      <c r="BF584">
        <f>Base_mundial!E583-omega*(e_base-Base_mundial!B583)</f>
        <v/>
      </c>
      <c r="BG584">
        <f>BE584*TAN(RADIANS(BF584))</f>
        <v/>
      </c>
    </row>
    <row r="585">
      <c r="BE585">
        <f>Base_mundial!C584</f>
        <v/>
      </c>
      <c r="BF585">
        <f>Base_mundial!E584-omega*(e_base-Base_mundial!B584)</f>
        <v/>
      </c>
      <c r="BG585">
        <f>BE585*TAN(RADIANS(BF585))</f>
        <v/>
      </c>
    </row>
    <row r="586">
      <c r="BE586">
        <f>Base_mundial!C585</f>
        <v/>
      </c>
      <c r="BF586">
        <f>Base_mundial!E585-omega*(e_base-Base_mundial!B585)</f>
        <v/>
      </c>
      <c r="BG586">
        <f>BE586*TAN(RADIANS(BF586))</f>
        <v/>
      </c>
    </row>
    <row r="587">
      <c r="BE587">
        <f>Base_mundial!C586</f>
        <v/>
      </c>
      <c r="BF587">
        <f>Base_mundial!E586-omega*(e_base-Base_mundial!B586)</f>
        <v/>
      </c>
      <c r="BG587">
        <f>BE587*TAN(RADIANS(BF587))</f>
        <v/>
      </c>
    </row>
    <row r="588">
      <c r="BE588">
        <f>Base_mundial!C587</f>
        <v/>
      </c>
      <c r="BF588">
        <f>Base_mundial!E587-omega*(e_base-Base_mundial!B587)</f>
        <v/>
      </c>
      <c r="BG588">
        <f>BE588*TAN(RADIANS(BF588))</f>
        <v/>
      </c>
    </row>
    <row r="589">
      <c r="BE589">
        <f>Base_mundial!C588</f>
        <v/>
      </c>
      <c r="BF589">
        <f>Base_mundial!E588-omega*(e_base-Base_mundial!B588)</f>
        <v/>
      </c>
      <c r="BG589">
        <f>BE589*TAN(RADIANS(BF589))</f>
        <v/>
      </c>
    </row>
    <row r="590">
      <c r="BE590">
        <f>Base_mundial!C589</f>
        <v/>
      </c>
      <c r="BF590">
        <f>Base_mundial!E589-omega*(e_base-Base_mundial!B589)</f>
        <v/>
      </c>
      <c r="BG590">
        <f>BE590*TAN(RADIANS(BF590))</f>
        <v/>
      </c>
    </row>
    <row r="591">
      <c r="BE591">
        <f>Base_mundial!C590</f>
        <v/>
      </c>
      <c r="BF591">
        <f>Base_mundial!E590-omega*(e_base-Base_mundial!B590)</f>
        <v/>
      </c>
      <c r="BG591">
        <f>BE591*TAN(RADIANS(BF591))</f>
        <v/>
      </c>
    </row>
    <row r="592">
      <c r="BE592">
        <f>Base_mundial!C591</f>
        <v/>
      </c>
      <c r="BF592">
        <f>Base_mundial!E591-omega*(e_base-Base_mundial!B591)</f>
        <v/>
      </c>
      <c r="BG592">
        <f>BE592*TAN(RADIANS(BF592))</f>
        <v/>
      </c>
    </row>
    <row r="593">
      <c r="BE593">
        <f>Base_mundial!C592</f>
        <v/>
      </c>
      <c r="BF593">
        <f>Base_mundial!E592-omega*(e_base-Base_mundial!B592)</f>
        <v/>
      </c>
      <c r="BG593">
        <f>BE593*TAN(RADIANS(BF593))</f>
        <v/>
      </c>
    </row>
    <row r="594">
      <c r="BE594">
        <f>Base_mundial!C593</f>
        <v/>
      </c>
      <c r="BF594">
        <f>Base_mundial!E593-omega*(e_base-Base_mundial!B593)</f>
        <v/>
      </c>
      <c r="BG594">
        <f>BE594*TAN(RADIANS(BF594))</f>
        <v/>
      </c>
    </row>
    <row r="595">
      <c r="BE595">
        <f>Base_mundial!C594</f>
        <v/>
      </c>
      <c r="BF595">
        <f>Base_mundial!E594-omega*(e_base-Base_mundial!B594)</f>
        <v/>
      </c>
      <c r="BG595">
        <f>BE595*TAN(RADIANS(BF595))</f>
        <v/>
      </c>
    </row>
    <row r="596">
      <c r="BE596">
        <f>Base_mundial!C595</f>
        <v/>
      </c>
      <c r="BF596">
        <f>Base_mundial!E595-omega*(e_base-Base_mundial!B595)</f>
        <v/>
      </c>
      <c r="BG596">
        <f>BE596*TAN(RADIANS(BF596))</f>
        <v/>
      </c>
    </row>
    <row r="597">
      <c r="BE597">
        <f>Base_mundial!C596</f>
        <v/>
      </c>
      <c r="BF597">
        <f>Base_mundial!E596-omega*(e_base-Base_mundial!B596)</f>
        <v/>
      </c>
      <c r="BG597">
        <f>BE597*TAN(RADIANS(BF597))</f>
        <v/>
      </c>
    </row>
    <row r="598">
      <c r="BE598">
        <f>Base_mundial!C597</f>
        <v/>
      </c>
      <c r="BF598">
        <f>Base_mundial!E597-omega*(e_base-Base_mundial!B597)</f>
        <v/>
      </c>
      <c r="BG598">
        <f>BE598*TAN(RADIANS(BF598))</f>
        <v/>
      </c>
    </row>
    <row r="599">
      <c r="BE599">
        <f>Base_mundial!C598</f>
        <v/>
      </c>
      <c r="BF599">
        <f>Base_mundial!E598-omega*(e_base-Base_mundial!B598)</f>
        <v/>
      </c>
      <c r="BG599">
        <f>BE599*TAN(RADIANS(BF599))</f>
        <v/>
      </c>
    </row>
    <row r="600">
      <c r="BE600">
        <f>Base_mundial!C599</f>
        <v/>
      </c>
      <c r="BF600">
        <f>Base_mundial!E599-omega*(e_base-Base_mundial!B599)</f>
        <v/>
      </c>
      <c r="BG600">
        <f>BE600*TAN(RADIANS(BF600))</f>
        <v/>
      </c>
    </row>
    <row r="601">
      <c r="BE601">
        <f>Base_mundial!C600</f>
        <v/>
      </c>
      <c r="BF601">
        <f>Base_mundial!E600-omega*(e_base-Base_mundial!B600)</f>
        <v/>
      </c>
      <c r="BG601">
        <f>BE601*TAN(RADIANS(BF601))</f>
        <v/>
      </c>
    </row>
    <row r="602">
      <c r="BE602">
        <f>Base_mundial!C601</f>
        <v/>
      </c>
      <c r="BF602">
        <f>Base_mundial!E601-omega*(e_base-Base_mundial!B601)</f>
        <v/>
      </c>
      <c r="BG602">
        <f>BE602*TAN(RADIANS(BF602))</f>
        <v/>
      </c>
    </row>
    <row r="603">
      <c r="BE603">
        <f>Base_mundial!C602</f>
        <v/>
      </c>
      <c r="BF603">
        <f>Base_mundial!E602-omega*(e_base-Base_mundial!B602)</f>
        <v/>
      </c>
      <c r="BG603">
        <f>BE603*TAN(RADIANS(BF603))</f>
        <v/>
      </c>
    </row>
    <row r="604">
      <c r="BE604">
        <f>Base_mundial!C603</f>
        <v/>
      </c>
      <c r="BF604">
        <f>Base_mundial!E603-omega*(e_base-Base_mundial!B603)</f>
        <v/>
      </c>
      <c r="BG604">
        <f>BE604*TAN(RADIANS(BF604))</f>
        <v/>
      </c>
    </row>
    <row r="605">
      <c r="BE605">
        <f>Base_mundial!C604</f>
        <v/>
      </c>
      <c r="BF605">
        <f>Base_mundial!E604-omega*(e_base-Base_mundial!B604)</f>
        <v/>
      </c>
      <c r="BG605">
        <f>BE605*TAN(RADIANS(BF605))</f>
        <v/>
      </c>
    </row>
    <row r="606">
      <c r="BE606">
        <f>Base_mundial!C605</f>
        <v/>
      </c>
      <c r="BF606">
        <f>Base_mundial!E605-omega*(e_base-Base_mundial!B605)</f>
        <v/>
      </c>
      <c r="BG606">
        <f>BE606*TAN(RADIANS(BF606))</f>
        <v/>
      </c>
    </row>
    <row r="607">
      <c r="BE607">
        <f>Base_mundial!C606</f>
        <v/>
      </c>
      <c r="BF607">
        <f>Base_mundial!E606-omega*(e_base-Base_mundial!B606)</f>
        <v/>
      </c>
      <c r="BG607">
        <f>BE607*TAN(RADIANS(BF607))</f>
        <v/>
      </c>
    </row>
    <row r="608">
      <c r="BE608">
        <f>Base_mundial!C607</f>
        <v/>
      </c>
      <c r="BF608">
        <f>Base_mundial!E607-omega*(e_base-Base_mundial!B607)</f>
        <v/>
      </c>
      <c r="BG608">
        <f>BE608*TAN(RADIANS(BF608))</f>
        <v/>
      </c>
    </row>
    <row r="609">
      <c r="BE609">
        <f>Base_mundial!C608</f>
        <v/>
      </c>
      <c r="BF609">
        <f>Base_mundial!E608-omega*(e_base-Base_mundial!B608)</f>
        <v/>
      </c>
      <c r="BG609">
        <f>BE609*TAN(RADIANS(BF609))</f>
        <v/>
      </c>
    </row>
    <row r="610">
      <c r="BE610">
        <f>Base_mundial!C609</f>
        <v/>
      </c>
      <c r="BF610">
        <f>Base_mundial!E609-omega*(e_base-Base_mundial!B609)</f>
        <v/>
      </c>
      <c r="BG610">
        <f>BE610*TAN(RADIANS(BF610))</f>
        <v/>
      </c>
    </row>
    <row r="611">
      <c r="BE611">
        <f>Base_mundial!C610</f>
        <v/>
      </c>
      <c r="BF611">
        <f>Base_mundial!E610-omega*(e_base-Base_mundial!B610)</f>
        <v/>
      </c>
      <c r="BG611">
        <f>BE611*TAN(RADIANS(BF611))</f>
        <v/>
      </c>
    </row>
    <row r="612">
      <c r="BE612">
        <f>Base_mundial!C611</f>
        <v/>
      </c>
      <c r="BF612">
        <f>Base_mundial!E611-omega*(e_base-Base_mundial!B611)</f>
        <v/>
      </c>
      <c r="BG612">
        <f>BE612*TAN(RADIANS(BF612))</f>
        <v/>
      </c>
    </row>
    <row r="613">
      <c r="BE613">
        <f>Base_mundial!C612</f>
        <v/>
      </c>
      <c r="BF613">
        <f>Base_mundial!E612-omega*(e_base-Base_mundial!B612)</f>
        <v/>
      </c>
      <c r="BG613">
        <f>BE613*TAN(RADIANS(BF613))</f>
        <v/>
      </c>
    </row>
    <row r="614">
      <c r="BE614">
        <f>Base_mundial!C613</f>
        <v/>
      </c>
      <c r="BF614">
        <f>Base_mundial!E613-omega*(e_base-Base_mundial!B613)</f>
        <v/>
      </c>
      <c r="BG614">
        <f>BE614*TAN(RADIANS(BF614))</f>
        <v/>
      </c>
    </row>
    <row r="615">
      <c r="BE615">
        <f>Base_mundial!C614</f>
        <v/>
      </c>
      <c r="BF615">
        <f>Base_mundial!E614-omega*(e_base-Base_mundial!B614)</f>
        <v/>
      </c>
      <c r="BG615">
        <f>BE615*TAN(RADIANS(BF615))</f>
        <v/>
      </c>
    </row>
    <row r="616">
      <c r="BE616">
        <f>Base_mundial!C615</f>
        <v/>
      </c>
      <c r="BF616">
        <f>Base_mundial!E615-omega*(e_base-Base_mundial!B615)</f>
        <v/>
      </c>
      <c r="BG616">
        <f>BE616*TAN(RADIANS(BF616))</f>
        <v/>
      </c>
    </row>
    <row r="617">
      <c r="BE617">
        <f>Base_mundial!C616</f>
        <v/>
      </c>
      <c r="BF617">
        <f>Base_mundial!E616-omega*(e_base-Base_mundial!B616)</f>
        <v/>
      </c>
      <c r="BG617">
        <f>BE617*TAN(RADIANS(BF617))</f>
        <v/>
      </c>
    </row>
    <row r="618">
      <c r="BE618">
        <f>Base_mundial!C617</f>
        <v/>
      </c>
      <c r="BF618">
        <f>Base_mundial!E617-omega*(e_base-Base_mundial!B617)</f>
        <v/>
      </c>
      <c r="BG618">
        <f>BE618*TAN(RADIANS(BF618))</f>
        <v/>
      </c>
    </row>
    <row r="619">
      <c r="BE619">
        <f>Base_mundial!C618</f>
        <v/>
      </c>
      <c r="BF619">
        <f>Base_mundial!E618-omega*(e_base-Base_mundial!B618)</f>
        <v/>
      </c>
      <c r="BG619">
        <f>BE619*TAN(RADIANS(BF619))</f>
        <v/>
      </c>
    </row>
    <row r="620">
      <c r="BE620">
        <f>Base_mundial!C619</f>
        <v/>
      </c>
      <c r="BF620">
        <f>Base_mundial!E619-omega*(e_base-Base_mundial!B619)</f>
        <v/>
      </c>
      <c r="BG620">
        <f>BE620*TAN(RADIANS(BF620))</f>
        <v/>
      </c>
    </row>
    <row r="621">
      <c r="BE621">
        <f>Base_mundial!C620</f>
        <v/>
      </c>
      <c r="BF621">
        <f>Base_mundial!E620-omega*(e_base-Base_mundial!B620)</f>
        <v/>
      </c>
      <c r="BG621">
        <f>BE621*TAN(RADIANS(BF621))</f>
        <v/>
      </c>
    </row>
    <row r="622">
      <c r="BE622">
        <f>Base_mundial!C621</f>
        <v/>
      </c>
      <c r="BF622">
        <f>Base_mundial!E621-omega*(e_base-Base_mundial!B621)</f>
        <v/>
      </c>
      <c r="BG622">
        <f>BE622*TAN(RADIANS(BF622))</f>
        <v/>
      </c>
    </row>
    <row r="623">
      <c r="BE623">
        <f>Base_mundial!C622</f>
        <v/>
      </c>
      <c r="BF623">
        <f>Base_mundial!E622-omega*(e_base-Base_mundial!B622)</f>
        <v/>
      </c>
      <c r="BG623">
        <f>BE623*TAN(RADIANS(BF623))</f>
        <v/>
      </c>
    </row>
    <row r="624">
      <c r="BE624">
        <f>Base_mundial!C623</f>
        <v/>
      </c>
      <c r="BF624">
        <f>Base_mundial!E623-omega*(e_base-Base_mundial!B623)</f>
        <v/>
      </c>
      <c r="BG624">
        <f>BE624*TAN(RADIANS(BF624))</f>
        <v/>
      </c>
    </row>
    <row r="625">
      <c r="BE625">
        <f>Base_mundial!C624</f>
        <v/>
      </c>
      <c r="BF625">
        <f>Base_mundial!E624-omega*(e_base-Base_mundial!B624)</f>
        <v/>
      </c>
      <c r="BG625">
        <f>BE625*TAN(RADIANS(BF625))</f>
        <v/>
      </c>
    </row>
    <row r="626">
      <c r="BE626">
        <f>Base_mundial!C625</f>
        <v/>
      </c>
      <c r="BF626">
        <f>Base_mundial!E625-omega*(e_base-Base_mundial!B625)</f>
        <v/>
      </c>
      <c r="BG626">
        <f>BE626*TAN(RADIANS(BF626))</f>
        <v/>
      </c>
    </row>
    <row r="627">
      <c r="BE627">
        <f>Base_mundial!C626</f>
        <v/>
      </c>
      <c r="BF627">
        <f>Base_mundial!E626-omega*(e_base-Base_mundial!B626)</f>
        <v/>
      </c>
      <c r="BG627">
        <f>BE627*TAN(RADIANS(BF627))</f>
        <v/>
      </c>
    </row>
    <row r="628">
      <c r="BE628">
        <f>Base_mundial!C627</f>
        <v/>
      </c>
      <c r="BF628">
        <f>Base_mundial!E627-omega*(e_base-Base_mundial!B627)</f>
        <v/>
      </c>
      <c r="BG628">
        <f>BE628*TAN(RADIANS(BF628))</f>
        <v/>
      </c>
    </row>
    <row r="629">
      <c r="BE629">
        <f>Base_mundial!C628</f>
        <v/>
      </c>
      <c r="BF629">
        <f>Base_mundial!E628-omega*(e_base-Base_mundial!B628)</f>
        <v/>
      </c>
      <c r="BG629">
        <f>BE629*TAN(RADIANS(BF629))</f>
        <v/>
      </c>
    </row>
    <row r="630">
      <c r="BE630">
        <f>Base_mundial!C629</f>
        <v/>
      </c>
      <c r="BF630">
        <f>Base_mundial!E629-omega*(e_base-Base_mundial!B629)</f>
        <v/>
      </c>
      <c r="BG630">
        <f>BE630*TAN(RADIANS(BF630))</f>
        <v/>
      </c>
    </row>
    <row r="631">
      <c r="BE631">
        <f>Base_mundial!C630</f>
        <v/>
      </c>
      <c r="BF631">
        <f>Base_mundial!E630-omega*(e_base-Base_mundial!B630)</f>
        <v/>
      </c>
      <c r="BG631">
        <f>BE631*TAN(RADIANS(BF631))</f>
        <v/>
      </c>
    </row>
    <row r="632">
      <c r="BE632">
        <f>Base_mundial!C631</f>
        <v/>
      </c>
      <c r="BF632">
        <f>Base_mundial!E631-omega*(e_base-Base_mundial!B631)</f>
        <v/>
      </c>
      <c r="BG632">
        <f>BE632*TAN(RADIANS(BF632))</f>
        <v/>
      </c>
    </row>
    <row r="633">
      <c r="BE633">
        <f>Base_mundial!C632</f>
        <v/>
      </c>
      <c r="BF633">
        <f>Base_mundial!E632-omega*(e_base-Base_mundial!B632)</f>
        <v/>
      </c>
      <c r="BG633">
        <f>BE633*TAN(RADIANS(BF633))</f>
        <v/>
      </c>
    </row>
    <row r="634">
      <c r="BE634">
        <f>Base_mundial!C633</f>
        <v/>
      </c>
      <c r="BF634">
        <f>Base_mundial!E633-omega*(e_base-Base_mundial!B633)</f>
        <v/>
      </c>
      <c r="BG634">
        <f>BE634*TAN(RADIANS(BF634))</f>
        <v/>
      </c>
    </row>
    <row r="635">
      <c r="BE635">
        <f>Base_mundial!C634</f>
        <v/>
      </c>
      <c r="BF635">
        <f>Base_mundial!E634-omega*(e_base-Base_mundial!B634)</f>
        <v/>
      </c>
      <c r="BG635">
        <f>BE635*TAN(RADIANS(BF635))</f>
        <v/>
      </c>
    </row>
    <row r="636">
      <c r="BE636">
        <f>Base_mundial!C635</f>
        <v/>
      </c>
      <c r="BF636">
        <f>Base_mundial!E635-omega*(e_base-Base_mundial!B635)</f>
        <v/>
      </c>
      <c r="BG636">
        <f>BE636*TAN(RADIANS(BF636))</f>
        <v/>
      </c>
    </row>
    <row r="637">
      <c r="BE637">
        <f>Base_mundial!C636</f>
        <v/>
      </c>
      <c r="BF637">
        <f>Base_mundial!E636-omega*(e_base-Base_mundial!B636)</f>
        <v/>
      </c>
      <c r="BG637">
        <f>BE637*TAN(RADIANS(BF637))</f>
        <v/>
      </c>
    </row>
    <row r="638">
      <c r="BE638">
        <f>Base_mundial!C637</f>
        <v/>
      </c>
      <c r="BF638">
        <f>Base_mundial!E637-omega*(e_base-Base_mundial!B637)</f>
        <v/>
      </c>
      <c r="BG638">
        <f>BE638*TAN(RADIANS(BF638))</f>
        <v/>
      </c>
    </row>
    <row r="639">
      <c r="BE639">
        <f>Base_mundial!C638</f>
        <v/>
      </c>
      <c r="BF639">
        <f>Base_mundial!E638-omega*(e_base-Base_mundial!B638)</f>
        <v/>
      </c>
      <c r="BG639">
        <f>BE639*TAN(RADIANS(BF639))</f>
        <v/>
      </c>
    </row>
    <row r="640">
      <c r="BE640">
        <f>Base_mundial!C639</f>
        <v/>
      </c>
      <c r="BF640">
        <f>Base_mundial!E639-omega*(e_base-Base_mundial!B639)</f>
        <v/>
      </c>
      <c r="BG640">
        <f>BE640*TAN(RADIANS(BF640))</f>
        <v/>
      </c>
    </row>
    <row r="641">
      <c r="BE641">
        <f>Base_mundial!C640</f>
        <v/>
      </c>
      <c r="BF641">
        <f>Base_mundial!E640-omega*(e_base-Base_mundial!B640)</f>
        <v/>
      </c>
      <c r="BG641">
        <f>BE641*TAN(RADIANS(BF641))</f>
        <v/>
      </c>
    </row>
    <row r="642">
      <c r="BE642">
        <f>Base_mundial!C641</f>
        <v/>
      </c>
      <c r="BF642">
        <f>Base_mundial!E641-omega*(e_base-Base_mundial!B641)</f>
        <v/>
      </c>
      <c r="BG642">
        <f>BE642*TAN(RADIANS(BF642))</f>
        <v/>
      </c>
    </row>
    <row r="643">
      <c r="BE643">
        <f>Base_mundial!C642</f>
        <v/>
      </c>
      <c r="BF643">
        <f>Base_mundial!E642-omega*(e_base-Base_mundial!B642)</f>
        <v/>
      </c>
      <c r="BG643">
        <f>BE643*TAN(RADIANS(BF643))</f>
        <v/>
      </c>
    </row>
    <row r="644">
      <c r="BE644">
        <f>Base_mundial!C643</f>
        <v/>
      </c>
      <c r="BF644">
        <f>Base_mundial!E643-omega*(e_base-Base_mundial!B643)</f>
        <v/>
      </c>
      <c r="BG644">
        <f>BE644*TAN(RADIANS(BF644))</f>
        <v/>
      </c>
    </row>
    <row r="645">
      <c r="BE645">
        <f>Base_mundial!C644</f>
        <v/>
      </c>
      <c r="BF645">
        <f>Base_mundial!E644-omega*(e_base-Base_mundial!B644)</f>
        <v/>
      </c>
      <c r="BG645">
        <f>BE645*TAN(RADIANS(BF645))</f>
        <v/>
      </c>
    </row>
    <row r="646">
      <c r="BE646">
        <f>Base_mundial!C645</f>
        <v/>
      </c>
      <c r="BF646">
        <f>Base_mundial!E645-omega*(e_base-Base_mundial!B645)</f>
        <v/>
      </c>
      <c r="BG646">
        <f>BE646*TAN(RADIANS(BF646))</f>
        <v/>
      </c>
    </row>
    <row r="647">
      <c r="BE647">
        <f>Base_mundial!C646</f>
        <v/>
      </c>
      <c r="BF647">
        <f>Base_mundial!E646-omega*(e_base-Base_mundial!B646)</f>
        <v/>
      </c>
      <c r="BG647">
        <f>BE647*TAN(RADIANS(BF647))</f>
        <v/>
      </c>
    </row>
    <row r="648">
      <c r="BE648">
        <f>Base_mundial!C647</f>
        <v/>
      </c>
      <c r="BF648">
        <f>Base_mundial!E647-omega*(e_base-Base_mundial!B647)</f>
        <v/>
      </c>
      <c r="BG648">
        <f>BE648*TAN(RADIANS(BF648))</f>
        <v/>
      </c>
    </row>
    <row r="649">
      <c r="BE649">
        <f>Base_mundial!C648</f>
        <v/>
      </c>
      <c r="BF649">
        <f>Base_mundial!E648-omega*(e_base-Base_mundial!B648)</f>
        <v/>
      </c>
      <c r="BG649">
        <f>BE649*TAN(RADIANS(BF649))</f>
        <v/>
      </c>
    </row>
    <row r="650">
      <c r="BE650">
        <f>Base_mundial!C649</f>
        <v/>
      </c>
      <c r="BF650">
        <f>Base_mundial!E649-omega*(e_base-Base_mundial!B649)</f>
        <v/>
      </c>
      <c r="BG650">
        <f>BE650*TAN(RADIANS(BF650))</f>
        <v/>
      </c>
    </row>
    <row r="651">
      <c r="BE651">
        <f>Base_mundial!C650</f>
        <v/>
      </c>
      <c r="BF651">
        <f>Base_mundial!E650-omega*(e_base-Base_mundial!B650)</f>
        <v/>
      </c>
      <c r="BG651">
        <f>BE651*TAN(RADIANS(BF651))</f>
        <v/>
      </c>
    </row>
    <row r="652">
      <c r="BE652">
        <f>Base_mundial!C651</f>
        <v/>
      </c>
      <c r="BF652">
        <f>Base_mundial!E651-omega*(e_base-Base_mundial!B651)</f>
        <v/>
      </c>
      <c r="BG652">
        <f>BE652*TAN(RADIANS(BF652))</f>
        <v/>
      </c>
    </row>
    <row r="653">
      <c r="BE653">
        <f>Base_mundial!C652</f>
        <v/>
      </c>
      <c r="BF653">
        <f>Base_mundial!E652-omega*(e_base-Base_mundial!B652)</f>
        <v/>
      </c>
      <c r="BG653">
        <f>BE653*TAN(RADIANS(BF653))</f>
        <v/>
      </c>
    </row>
    <row r="654">
      <c r="BE654">
        <f>Base_mundial!C653</f>
        <v/>
      </c>
      <c r="BF654">
        <f>Base_mundial!E653-omega*(e_base-Base_mundial!B653)</f>
        <v/>
      </c>
      <c r="BG654">
        <f>BE654*TAN(RADIANS(BF654))</f>
        <v/>
      </c>
    </row>
    <row r="655">
      <c r="BE655">
        <f>Base_mundial!C654</f>
        <v/>
      </c>
      <c r="BF655">
        <f>Base_mundial!E654-omega*(e_base-Base_mundial!B654)</f>
        <v/>
      </c>
      <c r="BG655">
        <f>BE655*TAN(RADIANS(BF655))</f>
        <v/>
      </c>
    </row>
    <row r="656">
      <c r="BE656">
        <f>Base_mundial!C655</f>
        <v/>
      </c>
      <c r="BF656">
        <f>Base_mundial!E655-omega*(e_base-Base_mundial!B655)</f>
        <v/>
      </c>
      <c r="BG656">
        <f>BE656*TAN(RADIANS(BF656))</f>
        <v/>
      </c>
    </row>
    <row r="657">
      <c r="BE657">
        <f>Base_mundial!C656</f>
        <v/>
      </c>
      <c r="BF657">
        <f>Base_mundial!E656-omega*(e_base-Base_mundial!B656)</f>
        <v/>
      </c>
      <c r="BG657">
        <f>BE657*TAN(RADIANS(BF657))</f>
        <v/>
      </c>
    </row>
    <row r="658">
      <c r="BE658">
        <f>Base_mundial!C657</f>
        <v/>
      </c>
      <c r="BF658">
        <f>Base_mundial!E657-omega*(e_base-Base_mundial!B657)</f>
        <v/>
      </c>
      <c r="BG658">
        <f>BE658*TAN(RADIANS(BF658))</f>
        <v/>
      </c>
    </row>
    <row r="659">
      <c r="BE659">
        <f>Base_mundial!C658</f>
        <v/>
      </c>
      <c r="BF659">
        <f>Base_mundial!E658-omega*(e_base-Base_mundial!B658)</f>
        <v/>
      </c>
      <c r="BG659">
        <f>BE659*TAN(RADIANS(BF659))</f>
        <v/>
      </c>
    </row>
    <row r="660">
      <c r="BE660">
        <f>Base_mundial!C659</f>
        <v/>
      </c>
      <c r="BF660">
        <f>Base_mundial!E659-omega*(e_base-Base_mundial!B659)</f>
        <v/>
      </c>
      <c r="BG660">
        <f>BE660*TAN(RADIANS(BF660))</f>
        <v/>
      </c>
    </row>
    <row r="661">
      <c r="BE661">
        <f>Base_mundial!C660</f>
        <v/>
      </c>
      <c r="BF661">
        <f>Base_mundial!E660-omega*(e_base-Base_mundial!B660)</f>
        <v/>
      </c>
      <c r="BG661">
        <f>BE661*TAN(RADIANS(BF661))</f>
        <v/>
      </c>
    </row>
    <row r="662">
      <c r="BE662">
        <f>Base_mundial!C661</f>
        <v/>
      </c>
      <c r="BF662">
        <f>Base_mundial!E661-omega*(e_base-Base_mundial!B661)</f>
        <v/>
      </c>
      <c r="BG662">
        <f>BE662*TAN(RADIANS(BF662))</f>
        <v/>
      </c>
    </row>
    <row r="663">
      <c r="BE663">
        <f>Base_mundial!C662</f>
        <v/>
      </c>
      <c r="BF663">
        <f>Base_mundial!E662-omega*(e_base-Base_mundial!B662)</f>
        <v/>
      </c>
      <c r="BG663">
        <f>BE663*TAN(RADIANS(BF663))</f>
        <v/>
      </c>
    </row>
    <row r="664">
      <c r="BE664">
        <f>Base_mundial!C663</f>
        <v/>
      </c>
      <c r="BF664">
        <f>Base_mundial!E663-omega*(e_base-Base_mundial!B663)</f>
        <v/>
      </c>
      <c r="BG664">
        <f>BE664*TAN(RADIANS(BF664))</f>
        <v/>
      </c>
    </row>
    <row r="665">
      <c r="BE665">
        <f>Base_mundial!C664</f>
        <v/>
      </c>
      <c r="BF665">
        <f>Base_mundial!E664-omega*(e_base-Base_mundial!B664)</f>
        <v/>
      </c>
      <c r="BG665">
        <f>BE665*TAN(RADIANS(BF665))</f>
        <v/>
      </c>
    </row>
    <row r="666">
      <c r="BE666">
        <f>Base_mundial!C665</f>
        <v/>
      </c>
      <c r="BF666">
        <f>Base_mundial!E665-omega*(e_base-Base_mundial!B665)</f>
        <v/>
      </c>
      <c r="BG666">
        <f>BE666*TAN(RADIANS(BF666))</f>
        <v/>
      </c>
    </row>
    <row r="667">
      <c r="BE667">
        <f>Base_mundial!C666</f>
        <v/>
      </c>
      <c r="BF667">
        <f>Base_mundial!E666-omega*(e_base-Base_mundial!B666)</f>
        <v/>
      </c>
      <c r="BG667">
        <f>BE667*TAN(RADIANS(BF667))</f>
        <v/>
      </c>
    </row>
    <row r="668">
      <c r="BE668">
        <f>Base_mundial!C667</f>
        <v/>
      </c>
      <c r="BF668">
        <f>Base_mundial!E667-omega*(e_base-Base_mundial!B667)</f>
        <v/>
      </c>
      <c r="BG668">
        <f>BE668*TAN(RADIANS(BF668))</f>
        <v/>
      </c>
    </row>
    <row r="669">
      <c r="BE669">
        <f>Base_mundial!C668</f>
        <v/>
      </c>
      <c r="BF669">
        <f>Base_mundial!E668-omega*(e_base-Base_mundial!B668)</f>
        <v/>
      </c>
      <c r="BG669">
        <f>BE669*TAN(RADIANS(BF669))</f>
        <v/>
      </c>
    </row>
    <row r="670">
      <c r="BE670">
        <f>Base_mundial!C669</f>
        <v/>
      </c>
      <c r="BF670">
        <f>Base_mundial!E669-omega*(e_base-Base_mundial!B669)</f>
        <v/>
      </c>
      <c r="BG670">
        <f>BE670*TAN(RADIANS(BF670))</f>
        <v/>
      </c>
    </row>
    <row r="671">
      <c r="BE671">
        <f>Base_mundial!C670</f>
        <v/>
      </c>
      <c r="BF671">
        <f>Base_mundial!E670-omega*(e_base-Base_mundial!B670)</f>
        <v/>
      </c>
      <c r="BG671">
        <f>BE671*TAN(RADIANS(BF671))</f>
        <v/>
      </c>
    </row>
    <row r="672">
      <c r="BE672">
        <f>Base_mundial!C671</f>
        <v/>
      </c>
      <c r="BF672">
        <f>Base_mundial!E671-omega*(e_base-Base_mundial!B671)</f>
        <v/>
      </c>
      <c r="BG672">
        <f>BE672*TAN(RADIANS(BF672))</f>
        <v/>
      </c>
    </row>
    <row r="673">
      <c r="BE673">
        <f>Base_mundial!C672</f>
        <v/>
      </c>
      <c r="BF673">
        <f>Base_mundial!E672-omega*(e_base-Base_mundial!B672)</f>
        <v/>
      </c>
      <c r="BG673">
        <f>BE673*TAN(RADIANS(BF673))</f>
        <v/>
      </c>
    </row>
    <row r="674">
      <c r="BE674">
        <f>Base_mundial!C673</f>
        <v/>
      </c>
      <c r="BF674">
        <f>Base_mundial!E673-omega*(e_base-Base_mundial!B673)</f>
        <v/>
      </c>
      <c r="BG674">
        <f>BE674*TAN(RADIANS(BF674))</f>
        <v/>
      </c>
    </row>
    <row r="675">
      <c r="BE675">
        <f>Base_mundial!C674</f>
        <v/>
      </c>
      <c r="BF675">
        <f>Base_mundial!E674-omega*(e_base-Base_mundial!B674)</f>
        <v/>
      </c>
      <c r="BG675">
        <f>BE675*TAN(RADIANS(BF675))</f>
        <v/>
      </c>
    </row>
    <row r="676">
      <c r="BE676">
        <f>Base_mundial!C675</f>
        <v/>
      </c>
      <c r="BF676">
        <f>Base_mundial!E675-omega*(e_base-Base_mundial!B675)</f>
        <v/>
      </c>
      <c r="BG676">
        <f>BE676*TAN(RADIANS(BF676))</f>
        <v/>
      </c>
    </row>
    <row r="677">
      <c r="BE677">
        <f>Base_mundial!C676</f>
        <v/>
      </c>
      <c r="BF677">
        <f>Base_mundial!E676-omega*(e_base-Base_mundial!B676)</f>
        <v/>
      </c>
      <c r="BG677">
        <f>BE677*TAN(RADIANS(BF677))</f>
        <v/>
      </c>
    </row>
    <row r="678">
      <c r="BE678">
        <f>Base_mundial!C677</f>
        <v/>
      </c>
      <c r="BF678">
        <f>Base_mundial!E677-omega*(e_base-Base_mundial!B677)</f>
        <v/>
      </c>
      <c r="BG678">
        <f>BE678*TAN(RADIANS(BF678))</f>
        <v/>
      </c>
    </row>
    <row r="679">
      <c r="BE679">
        <f>Base_mundial!C678</f>
        <v/>
      </c>
      <c r="BF679">
        <f>Base_mundial!E678-omega*(e_base-Base_mundial!B678)</f>
        <v/>
      </c>
      <c r="BG679">
        <f>BE679*TAN(RADIANS(BF679))</f>
        <v/>
      </c>
    </row>
    <row r="680">
      <c r="BE680">
        <f>Base_mundial!C679</f>
        <v/>
      </c>
      <c r="BF680">
        <f>Base_mundial!E679-omega*(e_base-Base_mundial!B679)</f>
        <v/>
      </c>
      <c r="BG680">
        <f>BE680*TAN(RADIANS(BF680))</f>
        <v/>
      </c>
    </row>
    <row r="681">
      <c r="BE681">
        <f>Base_mundial!C680</f>
        <v/>
      </c>
      <c r="BF681">
        <f>Base_mundial!E680-omega*(e_base-Base_mundial!B680)</f>
        <v/>
      </c>
      <c r="BG681">
        <f>BE681*TAN(RADIANS(BF681))</f>
        <v/>
      </c>
    </row>
    <row r="682">
      <c r="BE682">
        <f>Base_mundial!C681</f>
        <v/>
      </c>
      <c r="BF682">
        <f>Base_mundial!E681-omega*(e_base-Base_mundial!B681)</f>
        <v/>
      </c>
      <c r="BG682">
        <f>BE682*TAN(RADIANS(BF682))</f>
        <v/>
      </c>
    </row>
    <row r="683">
      <c r="BE683">
        <f>Base_mundial!C682</f>
        <v/>
      </c>
      <c r="BF683">
        <f>Base_mundial!E682-omega*(e_base-Base_mundial!B682)</f>
        <v/>
      </c>
      <c r="BG683">
        <f>BE683*TAN(RADIANS(BF683))</f>
        <v/>
      </c>
    </row>
    <row r="684">
      <c r="BE684">
        <f>Base_mundial!C683</f>
        <v/>
      </c>
      <c r="BF684">
        <f>Base_mundial!E683-omega*(e_base-Base_mundial!B683)</f>
        <v/>
      </c>
      <c r="BG684">
        <f>BE684*TAN(RADIANS(BF684))</f>
        <v/>
      </c>
    </row>
    <row r="685">
      <c r="BE685">
        <f>Base_mundial!C684</f>
        <v/>
      </c>
      <c r="BF685">
        <f>Base_mundial!E684-omega*(e_base-Base_mundial!B684)</f>
        <v/>
      </c>
      <c r="BG685">
        <f>BE685*TAN(RADIANS(BF685))</f>
        <v/>
      </c>
    </row>
    <row r="686">
      <c r="BE686">
        <f>Base_mundial!C685</f>
        <v/>
      </c>
      <c r="BF686">
        <f>Base_mundial!E685-omega*(e_base-Base_mundial!B685)</f>
        <v/>
      </c>
      <c r="BG686">
        <f>BE686*TAN(RADIANS(BF686))</f>
        <v/>
      </c>
    </row>
    <row r="687">
      <c r="BE687">
        <f>Base_mundial!C686</f>
        <v/>
      </c>
      <c r="BF687">
        <f>Base_mundial!E686-omega*(e_base-Base_mundial!B686)</f>
        <v/>
      </c>
      <c r="BG687">
        <f>BE687*TAN(RADIANS(BF687))</f>
        <v/>
      </c>
    </row>
    <row r="688">
      <c r="BE688">
        <f>Base_mundial!C687</f>
        <v/>
      </c>
      <c r="BF688">
        <f>Base_mundial!E687-omega*(e_base-Base_mundial!B687)</f>
        <v/>
      </c>
      <c r="BG688">
        <f>BE688*TAN(RADIANS(BF688))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2026-10-13T19:49:28Z</dcterms:created>
  <dcterms:modified xmlns:dcterms="http://purl.org/dc/terms/" xmlns:xsi="http://www.w3.org/2001/XMLSchema-instance" xsi:type="dcterms:W3CDTF">2026-10-13T19:49:29Z</dcterms:modified>
</cp:coreProperties>
</file>