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Hipotesis_m" sheetId="7" state="visible" r:id="rId7"/>
    <sheet xmlns:r="http://schemas.openxmlformats.org/officeDocument/2006/relationships" name="Base_mundial" sheetId="8" state="visible" r:id="rId8"/>
    <sheet xmlns:r="http://schemas.openxmlformats.org/officeDocument/2006/relationships" name="Ajuste" sheetId="9" state="visible" r:id="rId9"/>
    <sheet xmlns:r="http://schemas.openxmlformats.org/officeDocument/2006/relationships" name="FLAC_tangente" sheetId="10" state="visible" r:id="rId10"/>
    <sheet xmlns:r="http://schemas.openxmlformats.org/officeDocument/2006/relationships" name="Relacion_vacios" sheetId="11" state="visible" r:id="rId11"/>
    <sheet xmlns:r="http://schemas.openxmlformats.org/officeDocument/2006/relationships" name="Perfiles_e" sheetId="12" state="visible" r:id="rId12"/>
    <sheet xmlns:r="http://schemas.openxmlformats.org/officeDocument/2006/relationships" name="Edometros" sheetId="13" state="visible" r:id="rId13"/>
    <sheet xmlns:r="http://schemas.openxmlformats.org/officeDocument/2006/relationships" name="Tamano_particula" sheetId="14" state="visible" r:id="rId14"/>
    <sheet xmlns:r="http://schemas.openxmlformats.org/officeDocument/2006/relationships" name="Datos_figuras" sheetId="15" state="visible" r:id="rId15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2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0.85), con tope de 42°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2"/>
          <order val="2"/>
          <tx>
            <v>Curva sin tope</v>
          </tx>
          <spPr>
            <a:ln xmlns:a="http://schemas.openxmlformats.org/drawingml/2006/main" w="1397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3"/>
          <order val="3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4"/>
          <order val="4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5"/>
          <order val="5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6"/>
          <order val="6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7"/>
          <order val="7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8"/>
          <order val="8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9"/>
          <order val="9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1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2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 con tope de 42°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61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67</row>
      <rowOff>0</rowOff>
    </from>
    <ext cx="612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99</row>
      <rowOff>0</rowOff>
    </from>
    <ext cx="612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125</row>
      <rowOff>0</rowOff>
    </from>
    <ext cx="612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157</row>
      <rowOff>0</rowOff>
    </from>
    <ext cx="30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9</col>
      <colOff>0</colOff>
      <row>157</row>
      <rowOff>0</rowOff>
    </from>
    <ext cx="45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seis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4">
      <c r="A14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5">
      <c r="A15" t="inlineStr">
        <is>
          <t xml:space="preserve">  FLAC_tangente: Mohr-Coulomb tangente a la curva según σ′3 (para verificar la implementación en FLAC2D).</t>
        </is>
      </c>
    </row>
    <row r="16">
      <c r="A16" t="inlineStr">
        <is>
          <t xml:space="preserve">  Relacion_vacios: e de colocación calculada con los pesos unitarios de los estudios de Antamina.</t>
        </is>
      </c>
    </row>
    <row r="17">
      <c r="A17" t="inlineStr">
        <is>
          <t xml:space="preserve">  Perfiles_e: e y σ′v con la profundidad (perfiles A y V).</t>
        </is>
      </c>
    </row>
    <row r="18">
      <c r="A18" t="inlineStr">
        <is>
          <t xml:space="preserve">  Edometros: edómetros de desmonte de Antamina y e resultante con la ley del perfil A.</t>
        </is>
      </c>
    </row>
    <row r="19">
      <c r="A19" t="inlineStr">
        <is>
          <t xml:space="preserve">  Tamano_particula: sensibilidad al tamaño (Frossard et al. 2012).</t>
        </is>
      </c>
    </row>
    <row r="20">
      <c r="A20" t="inlineStr"/>
    </row>
    <row r="21">
      <c r="A21" t="inlineStr">
        <is>
          <t>Fuentes: base de ensayos de Antamina verificada contra los PDF (datos_antamina/base, verificacion_ocr); base mundial de Cylwik et al. (2025);</t>
        </is>
      </c>
    </row>
    <row r="22">
      <c r="A22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Curva propuesta y su banda de incertidumbre, con los ensayos del ajuste y la base mundial llevados a e base</t>
        </is>
      </c>
    </row>
    <row r="67">
      <c r="B67" s="2" t="inlineStr">
        <is>
          <t>Figura 3. Contraste de la curva propuesta con los triaxiales CU de desmonte ROM no usados en el ajuste</t>
        </is>
      </c>
    </row>
    <row r="99">
      <c r="B99" s="2" t="inlineStr">
        <is>
          <t>Figura 4. Índice de rotura de Marsal (1967) en los triaxiales drenados del ajuste</t>
        </is>
      </c>
    </row>
    <row r="125">
      <c r="B125" s="2" t="inlineStr">
        <is>
          <t>Figura 5. Curva propuesta y su banda de incertidumbre en τ–σ′n</t>
        </is>
      </c>
    </row>
    <row r="157">
      <c r="B157" s="2" t="inlineStr">
        <is>
          <t>Figura 6. (a) Relación de vacíos con la profundidad; (b) ángulo de fricción secante de la curva propuesta con cada supuesto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DEGREES(ATAN(TAN(RADIANS(pe0-omega*J2))*(M2/sref)^(m_-1)))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DEGREES(ATAN(TAN(RADIANS(pe0-omega*J3))*(M3/sref)^(m_-1)))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DEGREES(ATAN(TAN(RADIANS(pe0-omega*J4))*(M4/sref)^(m_-1)))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DEGREES(ATAN(TAN(RADIANS(pe0-omega*J5))*(M5/sref)^(m_-1)))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DEGREES(ATAN(TAN(RADIANS(pe0-omega*J6))*(M6/sref)^(m_-1)))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DEGREES(ATAN(TAN(RADIANS(pe0-omega*J7))*(M7/sref)^(m_-1)))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DEGREES(ATAN(TAN(RADIANS(pe0-omega*J8))*(M8/sref)^(m_-1)))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DEGREES(ATAN(TAN(RADIANS(pe0-omega*J9))*(M9/sref)^(m_-1)))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DEGREES(ATAN(TAN(RADIANS(pe0-omega*J10))*(M10/sref)^(m_-1)))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DEGREES(ATAN(TAN(RADIANS(pe0-omega*J11))*(M11/sref)^(m_-1)))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DEGREES(ATAN(TAN(RADIANS(pe0-omega*J12))*(M12/sref)^(m_-1)))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DEGREES(ATAN(TAN(RADIANS(pe0-omega*J13))*(M13/sref)^(m_-1)))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DEGREES(ATAN(TAN(RADIANS(pe0-omega*J14))*(M14/sref)^(m_-1)))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DEGREES(ATAN(TAN(RADIANS(pe0-omega*J15))*(M15/sref)^(m_-1)))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DEGREES(ATAN(TAN(RADIANS(pe0-omega*J16))*(M16/sref)^(m_-1)))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DEGREES(ATAN(TAN(RADIANS(pe0-omega*J17))*(M17/sref)^(m_-1)))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DEGREES(ATAN(TAN(RADIANS(pe0-omega*J18))*(M18/sref)^(m_-1)))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DEGREES(ATAN(TAN(RADIANS(pe0-omega*J19))*(M19/sref)^(m_-1)))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DEGREES(ATAN(TAN(RADIANS(pe0-omega*J20))*(M20/sref)^(m_-1)))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DEGREES(ATAN(TAN(RADIANS(pe0-omega*J21))*(M21/sref)^(m_-1)))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DEGREES(ATAN(TAN(RADIANS(pe0-omega*J22))*(M22/sref)^(m_-1)))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DEGREES(ATAN(TAN(RADIANS(pe0-omega*J23))*(M23/sref)^(m_-1)))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DEGREES(ATAN(TAN(RADIANS(pe0-omega*J24))*(M24/sref)^(m_-1)))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DEGREES(ATAN(TAN(RADIANS(pe0-omega*J25))*(M25/sref)^(m_-1)))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DEGREES(ATAN(TAN(RADIANS(pe0-omega*J26))*(M26/sref)^(m_-1)))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DEGREES(ATAN(TAN(RADIANS(pe0-omega*J27))*(M27/sref)^(m_-1)))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DEGREES(ATAN(TAN(RADIANS(pe0-omega*J28))*(M28/sref)^(m_-1)))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DEGREES(ATAN(TAN(RADIANS(pe0-omega*J29))*(M29/sref)^(m_-1)))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DEGREES(ATAN(TAN(RADIANS(pe0-omega*J30))*(M30/sref)^(m_-1)))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DEGREES(ATAN(TAN(RADIANS(pe0-omega*J31))*(M31/sref)^(m_-1)))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DEGREES(ATAN(TAN(RADIANS(pe0-omega*J32))*(M32/sref)^(m_-1)))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DEGREES(ATAN(TAN(RADIANS(pe0-omega*J33))*(M33/sref)^(m_-1)))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DEGREES(ATAN(TAN(RADIANS(pe0-omega*J34))*(M34/sref)^(m_-1)))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DEGREES(ATAN(TAN(RADIANS(pe0-omega*J35))*(M35/sref)^(m_-1)))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DEGREES(ATAN(TAN(RADIANS(pe0-omega*J36))*(M36/sref)^(m_-1)))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DEGREES(ATAN(TAN(RADIANS(pe0-omega*J37))*(M37/sref)^(m_-1)))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DEGREES(ATAN(TAN(RADIANS(pe0-omega*J38))*(M38/sref)^(m_-1)))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DEGREES(ATAN(TAN(RADIANS(pe0-omega*J39))*(M39/sref)^(m_-1)))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DEGREES(ATAN(TAN(RADIANS(pe0-omega*J40))*(M40/sref)^(m_-1)))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DEGREES(ATAN(TAN(RADIANS(pe0-omega*J41))*(M41/sref)^(m_-1)))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DEGREES(ATAN(TAN(RADIANS(pe0-omega*J42))*(M42/sref)^(m_-1)))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DEGREES(ATAN(TAN(RADIANS(pe0-omega*J43))*(M43/sref)^(m_-1)))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DEGREES(ATAN(TAN(RADIANS(pe0-omega*J44))*(M44/sref)^(m_-1)))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DEGREES(ATAN(TAN(RADIANS(pe0-omega*J45))*(M45/sref)^(m_-1)))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DEGREES(ATAN(TAN(RADIANS(pe0-omega*J46))*(M46/sref)^(m_-1)))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DEGREES(ATAN(TAN(RADIANS(pe0-omega*J47))*(M47/sref)^(m_-1)))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DEGREES(ATAN(TAN(RADIANS(pe0-omega*J48))*(M48/sref)^(m_-1)))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DEGREES(ATAN(TAN(RADIANS(pe0-omega*J49))*(M49/sref)^(m_-1)))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DEGREES(ATAN(TAN(RADIANS(pe0-omega*J50))*(M50/sref)^(m_-1)))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DEGREES(ATAN(TAN(RADIANS(pe0-omega*J51))*(M51/sref)^(m_-1)))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DEGREES(ATAN(TAN(RADIANS(pe0-omega*J52))*(M52/sref)^(m_-1)))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DEGREES(ATAN(TAN(RADIANS(pe0-omega*J53))*(M53/sref)^(m_-1)))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DEGREES(ATAN(TAN(RADIANS(pe0-omega*J54))*(M54/sref)^(m_-1)))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DEGREES(ATAN(TAN(RADIANS(pe0-omega*J55))*(M55/sref)^(m_-1)))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DEGREES(ATAN(TAN(RADIANS(pe0-omega*J56))*(M56/sref)^(m_-1)))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DEGREES(ATAN(TAN(RADIANS(pe0-omega*J57))*(M57/sref)^(m_-1)))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DEGREES(ATAN(TAN(RADIANS(pe0-omega*J58))*(M58/sref)^(m_-1)))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DEGREES(ATAN(TAN(RADIANS(pe0-omega*J59))*(M59/sref)^(m_-1)))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DEGREES(ATAN(TAN(RADIANS(pe0-omega*J60))*(M60/sref)^(m_-1)))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DEGREES(ATAN(TAN(RADIANS(pe0-omega*J61))*(M61/sref)^(m_-1)))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DEGREES(ATAN(TAN(RADIANS(pe0-omega*J62))*(M62/sref)^(m_-1)))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DEGREES(ATAN(TAN(RADIANS(pe0-omega*J63))*(M63/sref)^(m_-1)))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DEGREES(ATAN(TAN(RADIANS(pe0-omega*J64))*(M64/sref)^(m_-1)))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DEGREES(ATAN(TAN(RADIANS(pe0-omega*J65))*(M65/sref)^(m_-1)))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DEGREES(ATAN(TAN(RADIANS(pe0-omega*J66))*(M66/sref)^(m_-1)))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DEGREES(ATAN(TAN(RADIANS(pe0-omega*J67))*(M67/sref)^(m_-1)))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DEGREES(ATAN(TAN(RADIANS(pe0-omega*J68))*(M68/sref)^(m_-1)))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DEGREES(ATAN(TAN(RADIANS(pe0-omega*J69))*(M69/sref)^(m_-1)))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DEGREES(ATAN(TAN(RADIANS(pe0-omega*J70))*(M70/sref)^(m_-1)))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DEGREES(ATAN(TAN(RADIANS(pe0-omega*J71))*(M71/sref)^(m_-1)))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DEGREES(ATAN(TAN(RADIANS(pe0-omega*J72))*(M72/sref)^(m_-1)))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DEGREES(ATAN(TAN(RADIANS(pe0-omega*J73))*(M73/sref)^(m_-1)))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DEGREES(ATAN(TAN(RADIANS(pe0-omega*J74))*(M74/sref)^(m_-1)))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DEGREES(ATAN(TAN(RADIANS(pe0-omega*J75))*(M75/sref)^(m_-1)))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DEGREES(ATAN(TAN(RADIANS(pe0-omega*J76))*(M76/sref)^(m_-1)))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DEGREES(ATAN(TAN(RADIANS(pe0-omega*J77))*(M77/sref)^(m_-1)))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DEGREES(ATAN(TAN(RADIANS(pe0-omega*J78))*(M78/sref)^(m_-1)))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DEGREES(ATAN(TAN(RADIANS(pe0-omega*J79))*(M79/sref)^(m_-1)))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DEGREES(ATAN(TAN(RADIANS(pe0-omega*J80))*(M80/sref)^(m_-1)))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DEGREES(ATAN(TAN(RADIANS(pe0-omega*J81))*(M81/sref)^(m_-1)))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DEGREES(ATAN(TAN(RADIANS(pe0-omega*J82))*(M82/sref)^(m_-1)))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DEGREES(ATAN(TAN(RADIANS(pe0-omega*J83))*(M83/sref)^(m_-1)))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DEGREES(ATAN(TAN(RADIANS(pe0-omega*J84))*(M84/sref)^(m_-1)))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DEGREES(ATAN(TAN(RADIANS(pe0-omega*J85))*(M85/sref)^(m_-1)))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DEGREES(ATAN(TAN(RADIANS(pe0-omega*J86))*(M86/sref)^(m_-1)))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DEGREES(ATAN(TAN(RADIANS(pe0-omega*J87))*(M87/sref)^(m_-1)))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DEGREES(ATAN(TAN(RADIANS(pe0-omega*J88))*(M88/sref)^(m_-1)))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DEGREES(ATAN(TAN(RADIANS(pe0-omega*J89))*(M89/sref)^(m_-1)))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DEGREES(ATAN(TAN(RADIANS(pe0-omega*J90))*(M90/sref)^(m_-1)))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DEGREES(ATAN(TAN(RADIANS(pe0-omega*J91))*(M91/sref)^(m_-1)))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DEGREES(ATAN(TAN(RADIANS(pe0-omega*J92))*(M92/sref)^(m_-1)))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DEGREES(ATAN(TAN(RADIANS(pe0-omega*J93))*(M93/sref)^(m_-1)))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DEGREES(ATAN(TAN(RADIANS(pe0-omega*J94))*(M94/sref)^(m_-1)))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DEGREES(ATAN(TAN(RADIANS(pe0-omega*J95))*(M95/sref)^(m_-1)))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DEGREES(ATAN(TAN(RADIANS(pe0-omega*J96))*(M96/sref)^(m_-1)))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DEGREES(ATAN(TAN(RADIANS(pe0-omega*J97))*(M97/sref)^(m_-1)))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DEGREES(ATAN(TAN(RADIANS(pe0-omega*J98))*(M98/sref)^(m_-1)))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DEGREES(ATAN(TAN(RADIANS(pe0-omega*J99))*(M99/sref)^(m_-1)))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DEGREES(ATAN(TAN(RADIANS(pe0-omega*J100))*(M100/sref)^(m_-1)))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DEGREES(ATAN(TAN(RADIANS(pe0-omega*J101))*(M101/sref)^(m_-1)))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DEGREES(ATAN(TAN(RADIANS(pe0-omega*J102))*(M102/sref)^(m_-1)))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DEGREES(ATAN(TAN(RADIANS(pe0-omega*J103))*(M103/sref)^(m_-1)))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DEGREES(ATAN(TAN(RADIANS(pe0-omega*J104))*(M104/sref)^(m_-1)))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DEGREES(ATAN(TAN(RADIANS(pe0-omega*J105))*(M105/sref)^(m_-1)))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DEGREES(ATAN(TAN(RADIANS(pe0-omega*J106))*(M106/sref)^(m_-1)))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DEGREES(ATAN(TAN(RADIANS(pe0-omega*J107))*(M107/sref)^(m_-1)))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DEGREES(ATAN(TAN(RADIANS(pe0-omega*J108))*(M108/sref)^(m_-1)))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DEGREES(ATAN(TAN(RADIANS(pe0-omega*J109))*(M109/sref)^(m_-1)))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DEGREES(ATAN(TAN(RADIANS(pe0-omega*J110))*(M110/sref)^(m_-1)))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DEGREES(ATAN(TAN(RADIANS(pe0-omega*J111))*(M111/sref)^(m_-1)))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DEGREES(ATAN(TAN(RADIANS(pe0-omega*J112))*(M112/sref)^(m_-1)))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DEGREES(ATAN(TAN(RADIANS(pe0-omega*J113))*(M113/sref)^(m_-1)))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DEGREES(ATAN(TAN(RADIANS(pe0-omega*J114))*(M114/sref)^(m_-1)))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DEGREES(ATAN(TAN(RADIANS(pe0-omega*J115))*(M115/sref)^(m_-1)))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DEGREES(ATAN(TAN(RADIANS(pe0-omega*J116))*(M116/sref)^(m_-1)))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DEGREES(ATAN(TAN(RADIANS(pe0-omega*J117))*(M117/sref)^(m_-1)))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DEGREES(ATAN(TAN(RADIANS(pe0-omega*J118))*(M118/sref)^(m_-1)))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DEGREES(ATAN(TAN(RADIANS(pe0-omega*J119))*(M119/sref)^(m_-1)))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DEGREES(ATAN(TAN(RADIANS(pe0-omega*J120))*(M120/sref)^(m_-1)))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DEGREES(ATAN(TAN(RADIANS(pe0-omega*J121))*(M121/sref)^(m_-1)))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con tope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e base, con tope</t>
        </is>
      </c>
      <c r="CK2" s="2" t="inlineStr">
        <is>
          <t>Perfil A, con tope</t>
        </is>
      </c>
      <c r="CL2" s="2" t="inlineStr">
        <is>
          <t>Perfil V, con tope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20</v>
      </c>
      <c r="Y3" t="n">
        <v>7.860685101959433</v>
      </c>
      <c r="Z3" t="n">
        <v>45.14285714285714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20</v>
      </c>
      <c r="AI3" t="n">
        <v>7.860685101959433</v>
      </c>
      <c r="AJ3" t="n">
        <v>45.14285714285714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MIN(tope,DEGREES(ATAN(TAN(RADIANS(pe0-omega*(e_base)))*(CG3/sref)^(m_-1))))</f>
        <v/>
      </c>
      <c r="CK3">
        <f>MIN(tope,DEGREES(ATAN(TAN(RADIANS(pe0-omega*(CH3)))*(CG3/sref)^(m_-1))))</f>
        <v/>
      </c>
      <c r="CL3">
        <f>IF(ISNUMBER(CI3),MIN(tope,DEGREES(ATAN(TAN(RADIANS(pe0-omega*(CI3)))*(CG3/sref)^(m_-1)))),NA())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60</v>
      </c>
      <c r="Y4" t="n">
        <v>8.620858598234943</v>
      </c>
      <c r="Z4" t="n">
        <v>60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60</v>
      </c>
      <c r="AI4" t="n">
        <v>8.620858598234943</v>
      </c>
      <c r="AJ4" t="n">
        <v>60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MIN(tope,DEGREES(ATAN(TAN(RADIANS(pe0-omega*(e_base)))*(CG4/sref)^(m_-1))))</f>
        <v/>
      </c>
      <c r="CK4">
        <f>MIN(tope,DEGREES(ATAN(TAN(RADIANS(pe0-omega*(CH4)))*(CG4/sref)^(m_-1))))</f>
        <v/>
      </c>
      <c r="CL4">
        <f>IF(ISNUMBER(CI4),MIN(tope,DEGREES(ATAN(TAN(RADIANS(pe0-omega*(CI4)))*(CG4/sref)^(m_-1)))),NA())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MIN(tope,DEGREES(ATAN(TAN(RADIANS(pe0-omega*(e_base)))*(CG5/sref)^(m_-1))))</f>
        <v/>
      </c>
      <c r="CK5">
        <f>MIN(tope,DEGREES(ATAN(TAN(RADIANS(pe0-omega*(CH5)))*(CG5/sref)^(m_-1))))</f>
        <v/>
      </c>
      <c r="CL5">
        <f>IF(ISNUMBER(CI5),MIN(tope,DEGREES(ATAN(TAN(RADIANS(pe0-omega*(CI5)))*(CG5/sref)^(m_-1)))),NA())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20</v>
      </c>
      <c r="Y6" t="n">
        <v>7.860685101959433</v>
      </c>
      <c r="Z6" t="n">
        <v>30.28571428571427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20</v>
      </c>
      <c r="AI6" t="n">
        <v>7.860685101959433</v>
      </c>
      <c r="AJ6" t="n">
        <v>30.28571428571427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MIN(tope,DEGREES(ATAN(TAN(RADIANS(pe0-omega*(e_base)))*(CG6/sref)^(m_-1))))</f>
        <v/>
      </c>
      <c r="CK6">
        <f>MIN(tope,DEGREES(ATAN(TAN(RADIANS(pe0-omega*(CH6)))*(CG6/sref)^(m_-1))))</f>
        <v/>
      </c>
      <c r="CL6">
        <f>IF(ISNUMBER(CI6),MIN(tope,DEGREES(ATAN(TAN(RADIANS(pe0-omega*(CI6)))*(CG6/sref)^(m_-1)))),NA())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60</v>
      </c>
      <c r="Y7" t="n">
        <v>9.454545247237522</v>
      </c>
      <c r="Z7" t="n">
        <v>60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60</v>
      </c>
      <c r="AI7" t="n">
        <v>9.454545247237522</v>
      </c>
      <c r="AJ7" t="n">
        <v>60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MIN(tope,DEGREES(ATAN(TAN(RADIANS(pe0-omega*(e_base)))*(CG7/sref)^(m_-1))))</f>
        <v/>
      </c>
      <c r="CK7">
        <f>MIN(tope,DEGREES(ATAN(TAN(RADIANS(pe0-omega*(CH7)))*(CG7/sref)^(m_-1))))</f>
        <v/>
      </c>
      <c r="CL7">
        <f>IF(ISNUMBER(CI7),MIN(tope,DEGREES(ATAN(TAN(RADIANS(pe0-omega*(CI7)))*(CG7/sref)^(m_-1)))),NA())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MIN(tope,DEGREES(ATAN(TAN(RADIANS(pe0-omega*(e_base)))*(CG8/sref)^(m_-1))))</f>
        <v/>
      </c>
      <c r="CK8">
        <f>MIN(tope,DEGREES(ATAN(TAN(RADIANS(pe0-omega*(CH8)))*(CG8/sref)^(m_-1))))</f>
        <v/>
      </c>
      <c r="CL8">
        <f>IF(ISNUMBER(CI8),MIN(tope,DEGREES(ATAN(TAN(RADIANS(pe0-omega*(CI8)))*(CG8/sref)^(m_-1)))),NA())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20</v>
      </c>
      <c r="Y9" t="n">
        <v>8.087156011252135</v>
      </c>
      <c r="Z9" t="n">
        <v>20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20</v>
      </c>
      <c r="AI9" t="n">
        <v>8.087156011252135</v>
      </c>
      <c r="AJ9" t="n">
        <v>20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MIN(tope,DEGREES(ATAN(TAN(RADIANS(pe0-omega*(e_base)))*(CG9/sref)^(m_-1))))</f>
        <v/>
      </c>
      <c r="CK9">
        <f>MIN(tope,DEGREES(ATAN(TAN(RADIANS(pe0-omega*(CH9)))*(CG9/sref)^(m_-1))))</f>
        <v/>
      </c>
      <c r="CL9">
        <f>IF(ISNUMBER(CI9),MIN(tope,DEGREES(ATAN(TAN(RADIANS(pe0-omega*(CI9)))*(CG9/sref)^(m_-1)))),NA())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60</v>
      </c>
      <c r="Y10" t="n">
        <v>10.36885419398518</v>
      </c>
      <c r="Z10" t="n">
        <v>60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60</v>
      </c>
      <c r="AI10" t="n">
        <v>10.36885419398518</v>
      </c>
      <c r="AJ10" t="n">
        <v>60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MIN(tope,DEGREES(ATAN(TAN(RADIANS(pe0-omega*(e_base)))*(CG10/sref)^(m_-1))))</f>
        <v/>
      </c>
      <c r="CK10">
        <f>MIN(tope,DEGREES(ATAN(TAN(RADIANS(pe0-omega*(CH10)))*(CG10/sref)^(m_-1))))</f>
        <v/>
      </c>
      <c r="CL10">
        <f>IF(ISNUMBER(CI10),MIN(tope,DEGREES(ATAN(TAN(RADIANS(pe0-omega*(CI10)))*(CG10/sref)^(m_-1)))),NA())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MIN(tope,DEGREES(ATAN(TAN(RADIANS(pe0-omega*(e_base)))*(CG11/sref)^(m_-1))))</f>
        <v/>
      </c>
      <c r="CK11">
        <f>MIN(tope,DEGREES(ATAN(TAN(RADIANS(pe0-omega*(CH11)))*(CG11/sref)^(m_-1))))</f>
        <v/>
      </c>
      <c r="CL11">
        <f>IF(ISNUMBER(CI11),MIN(tope,DEGREES(ATAN(TAN(RADIANS(pe0-omega*(CI11)))*(CG11/sref)^(m_-1)))),NA())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20</v>
      </c>
      <c r="Y12" t="n">
        <v>8.869230548046215</v>
      </c>
      <c r="Z12" t="n">
        <v>20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20</v>
      </c>
      <c r="AI12" t="n">
        <v>8.869230548046215</v>
      </c>
      <c r="AJ12" t="n">
        <v>20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MIN(tope,DEGREES(ATAN(TAN(RADIANS(pe0-omega*(e_base)))*(CG12/sref)^(m_-1))))</f>
        <v/>
      </c>
      <c r="CK12">
        <f>MIN(tope,DEGREES(ATAN(TAN(RADIANS(pe0-omega*(CH12)))*(CG12/sref)^(m_-1))))</f>
        <v/>
      </c>
      <c r="CL12">
        <f>IF(ISNUMBER(CI12),MIN(tope,DEGREES(ATAN(TAN(RADIANS(pe0-omega*(CI12)))*(CG12/sref)^(m_-1)))),NA())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60</v>
      </c>
      <c r="Y13" t="n">
        <v>11.37158207874015</v>
      </c>
      <c r="Z13" t="n">
        <v>60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60</v>
      </c>
      <c r="AI13" t="n">
        <v>11.37158207874015</v>
      </c>
      <c r="AJ13" t="n">
        <v>60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MIN(tope,DEGREES(ATAN(TAN(RADIANS(pe0-omega*(e_base)))*(CG13/sref)^(m_-1))))</f>
        <v/>
      </c>
      <c r="CK13">
        <f>MIN(tope,DEGREES(ATAN(TAN(RADIANS(pe0-omega*(CH13)))*(CG13/sref)^(m_-1))))</f>
        <v/>
      </c>
      <c r="CL13">
        <f>IF(ISNUMBER(CI13),MIN(tope,DEGREES(ATAN(TAN(RADIANS(pe0-omega*(CI13)))*(CG13/sref)^(m_-1)))),NA())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MIN(tope,DEGREES(ATAN(TAN(RADIANS(pe0-omega*(e_base)))*(CG14/sref)^(m_-1))))</f>
        <v/>
      </c>
      <c r="CK14">
        <f>MIN(tope,DEGREES(ATAN(TAN(RADIANS(pe0-omega*(CH14)))*(CG14/sref)^(m_-1))))</f>
        <v/>
      </c>
      <c r="CL14">
        <f>IF(ISNUMBER(CI14),MIN(tope,DEGREES(ATAN(TAN(RADIANS(pe0-omega*(CI14)))*(CG14/sref)^(m_-1)))),NA())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20</v>
      </c>
      <c r="Y15" t="n">
        <v>9.726936194250161</v>
      </c>
      <c r="Z15" t="n">
        <v>20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20</v>
      </c>
      <c r="AI15" t="n">
        <v>9.726936194250161</v>
      </c>
      <c r="AJ15" t="n">
        <v>20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MIN(tope,DEGREES(ATAN(TAN(RADIANS(pe0-omega*(e_base)))*(CG15/sref)^(m_-1))))</f>
        <v/>
      </c>
      <c r="CK15">
        <f>MIN(tope,DEGREES(ATAN(TAN(RADIANS(pe0-omega*(CH15)))*(CG15/sref)^(m_-1))))</f>
        <v/>
      </c>
      <c r="CL15">
        <f>IF(ISNUMBER(CI15),MIN(tope,DEGREES(ATAN(TAN(RADIANS(pe0-omega*(CI15)))*(CG15/sref)^(m_-1)))),NA())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60</v>
      </c>
      <c r="Y16" t="n">
        <v>12.47127952175629</v>
      </c>
      <c r="Z16" t="n">
        <v>60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60</v>
      </c>
      <c r="AI16" t="n">
        <v>12.47127952175629</v>
      </c>
      <c r="AJ16" t="n">
        <v>60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MIN(tope,DEGREES(ATAN(TAN(RADIANS(pe0-omega*(e_base)))*(CG16/sref)^(m_-1))))</f>
        <v/>
      </c>
      <c r="CK16">
        <f>MIN(tope,DEGREES(ATAN(TAN(RADIANS(pe0-omega*(CH16)))*(CG16/sref)^(m_-1))))</f>
        <v/>
      </c>
      <c r="CL16">
        <f>IF(ISNUMBER(CI16),MIN(tope,DEGREES(ATAN(TAN(RADIANS(pe0-omega*(CI16)))*(CG16/sref)^(m_-1)))),NA())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MIN(tope,DEGREES(ATAN(TAN(RADIANS(pe0-omega*(e_base)))*(CG17/sref)^(m_-1))))</f>
        <v/>
      </c>
      <c r="CK17">
        <f>MIN(tope,DEGREES(ATAN(TAN(RADIANS(pe0-omega*(CH17)))*(CG17/sref)^(m_-1))))</f>
        <v/>
      </c>
      <c r="CL17">
        <f>IF(ISNUMBER(CI17),MIN(tope,DEGREES(ATAN(TAN(RADIANS(pe0-omega*(CI17)))*(CG17/sref)^(m_-1)))),NA())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20</v>
      </c>
      <c r="Y18" t="n">
        <v>10.66758691348439</v>
      </c>
      <c r="Z18" t="n">
        <v>20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20</v>
      </c>
      <c r="AI18" t="n">
        <v>10.66758691348439</v>
      </c>
      <c r="AJ18" t="n">
        <v>20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MIN(tope,DEGREES(ATAN(TAN(RADIANS(pe0-omega*(e_base)))*(CG18/sref)^(m_-1))))</f>
        <v/>
      </c>
      <c r="CK18">
        <f>MIN(tope,DEGREES(ATAN(TAN(RADIANS(pe0-omega*(CH18)))*(CG18/sref)^(m_-1))))</f>
        <v/>
      </c>
      <c r="CL18">
        <f>IF(ISNUMBER(CI18),MIN(tope,DEGREES(ATAN(TAN(RADIANS(pe0-omega*(CI18)))*(CG18/sref)^(m_-1)))),NA())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60</v>
      </c>
      <c r="Y19" t="n">
        <v>13.67732403748425</v>
      </c>
      <c r="Z19" t="n">
        <v>60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60</v>
      </c>
      <c r="AI19" t="n">
        <v>13.67732403748425</v>
      </c>
      <c r="AJ19" t="n">
        <v>60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MIN(tope,DEGREES(ATAN(TAN(RADIANS(pe0-omega*(e_base)))*(CG19/sref)^(m_-1))))</f>
        <v/>
      </c>
      <c r="CK19">
        <f>MIN(tope,DEGREES(ATAN(TAN(RADIANS(pe0-omega*(CH19)))*(CG19/sref)^(m_-1))))</f>
        <v/>
      </c>
      <c r="CL19">
        <f>IF(ISNUMBER(CI19),MIN(tope,DEGREES(ATAN(TAN(RADIANS(pe0-omega*(CI19)))*(CG19/sref)^(m_-1)))),NA())</f>
        <v/>
      </c>
      <c r="CN19" t="n">
        <v>1.24234030169891</v>
      </c>
      <c r="CP19" t="n">
        <v>35.47327398810495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MIN(tope,DEGREES(ATAN(TAN(RADIANS(pe0-omega*(e_base)))*(CG20/sref)^(m_-1))))</f>
        <v/>
      </c>
      <c r="CK20">
        <f>MIN(tope,DEGREES(ATAN(TAN(RADIANS(pe0-omega*(CH20)))*(CG20/sref)^(m_-1))))</f>
        <v/>
      </c>
      <c r="CL20">
        <f>IF(ISNUMBER(CI20),MIN(tope,DEGREES(ATAN(TAN(RADIANS(pe0-omega*(CI20)))*(CG20/sref)^(m_-1)))),NA())</f>
        <v/>
      </c>
      <c r="CN20" t="n">
        <v>1.488432401040619</v>
      </c>
      <c r="CP20" t="n">
        <v>34.37687043979711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20</v>
      </c>
      <c r="Y21" t="n">
        <v>11.69920397175135</v>
      </c>
      <c r="Z21" t="n">
        <v>20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20</v>
      </c>
      <c r="AI21" t="n">
        <v>11.69920397175135</v>
      </c>
      <c r="AJ21" t="n">
        <v>20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MIN(tope,DEGREES(ATAN(TAN(RADIANS(pe0-omega*(e_base)))*(CG21/sref)^(m_-1))))</f>
        <v/>
      </c>
      <c r="CK21">
        <f>MIN(tope,DEGREES(ATAN(TAN(RADIANS(pe0-omega*(CH21)))*(CG21/sref)^(m_-1))))</f>
        <v/>
      </c>
      <c r="CL21">
        <f>IF(ISNUMBER(CI21),MIN(tope,DEGREES(ATAN(TAN(RADIANS(pe0-omega*(CI21)))*(CG21/sref)^(m_-1)))),NA())</f>
        <v/>
      </c>
      <c r="CN21" t="n">
        <v>0.3726941120440687</v>
      </c>
      <c r="CP21" t="n">
        <v>36.749555030253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60</v>
      </c>
      <c r="Y22" t="n">
        <v>15</v>
      </c>
      <c r="Z22" t="n">
        <v>59.99999999999991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60</v>
      </c>
      <c r="AI22" t="n">
        <v>15</v>
      </c>
      <c r="AJ22" t="n">
        <v>59.99999999999991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MIN(tope,DEGREES(ATAN(TAN(RADIANS(pe0-omega*(e_base)))*(CG22/sref)^(m_-1))))</f>
        <v/>
      </c>
      <c r="CK22">
        <f>MIN(tope,DEGREES(ATAN(TAN(RADIANS(pe0-omega*(CH22)))*(CG22/sref)^(m_-1))))</f>
        <v/>
      </c>
      <c r="CL22">
        <f>IF(ISNUMBER(CI22),MIN(tope,DEGREES(ATAN(TAN(RADIANS(pe0-omega*(CI22)))*(CG22/sref)^(m_-1)))),NA())</f>
        <v/>
      </c>
      <c r="CN22" t="n">
        <v>0.5133912324744615</v>
      </c>
      <c r="CP22" t="n">
        <v>35.19238907709286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MIN(tope,DEGREES(ATAN(TAN(RADIANS(pe0-omega*(e_base)))*(CG23/sref)^(m_-1))))</f>
        <v/>
      </c>
      <c r="CK23">
        <f>MIN(tope,DEGREES(ATAN(TAN(RADIANS(pe0-omega*(CH23)))*(CG23/sref)^(m_-1))))</f>
        <v/>
      </c>
      <c r="CL23">
        <f>IF(ISNUMBER(CI23),MIN(tope,DEGREES(ATAN(TAN(RADIANS(pe0-omega*(CI23)))*(CG23/sref)^(m_-1)))),NA())</f>
        <v/>
      </c>
      <c r="CN23" t="n">
        <v>0.8994900693643617</v>
      </c>
      <c r="CP23" t="n">
        <v>34.53739171935855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20</v>
      </c>
      <c r="Y24" t="n">
        <v>12.83058433764716</v>
      </c>
      <c r="Z24" t="n">
        <v>20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20</v>
      </c>
      <c r="AI24" t="n">
        <v>12.83058433764716</v>
      </c>
      <c r="AJ24" t="n">
        <v>20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MIN(tope,DEGREES(ATAN(TAN(RADIANS(pe0-omega*(e_base)))*(CG24/sref)^(m_-1))))</f>
        <v/>
      </c>
      <c r="CK24">
        <f>MIN(tope,DEGREES(ATAN(TAN(RADIANS(pe0-omega*(CH24)))*(CG24/sref)^(m_-1))))</f>
        <v/>
      </c>
      <c r="CL24">
        <f>IF(ISNUMBER(CI24),MIN(tope,DEGREES(ATAN(TAN(RADIANS(pe0-omega*(CI24)))*(CG24/sref)^(m_-1)))),NA())</f>
        <v/>
      </c>
      <c r="CN24" t="n">
        <v>0.4519818458519786</v>
      </c>
      <c r="CP24" t="n">
        <v>38.2051023854063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60</v>
      </c>
      <c r="Y25" t="n">
        <v>15</v>
      </c>
      <c r="Z25" t="n">
        <v>45.14285714285705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60</v>
      </c>
      <c r="AI25" t="n">
        <v>15</v>
      </c>
      <c r="AJ25" t="n">
        <v>45.14285714285705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MIN(tope,DEGREES(ATAN(TAN(RADIANS(pe0-omega*(e_base)))*(CG25/sref)^(m_-1))))</f>
        <v/>
      </c>
      <c r="CK25">
        <f>MIN(tope,DEGREES(ATAN(TAN(RADIANS(pe0-omega*(CH25)))*(CG25/sref)^(m_-1))))</f>
        <v/>
      </c>
      <c r="CL25">
        <f>IF(ISNUMBER(CI25),MIN(tope,DEGREES(ATAN(TAN(RADIANS(pe0-omega*(CI25)))*(CG25/sref)^(m_-1)))),NA())</f>
        <v/>
      </c>
      <c r="CN25" t="n">
        <v>0.6673006758122464</v>
      </c>
      <c r="CP25" t="n">
        <v>36.51305651135673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MIN(tope,DEGREES(ATAN(TAN(RADIANS(pe0-omega*(e_base)))*(CG26/sref)^(m_-1))))</f>
        <v/>
      </c>
      <c r="CK26">
        <f>MIN(tope,DEGREES(ATAN(TAN(RADIANS(pe0-omega*(CH26)))*(CG26/sref)^(m_-1))))</f>
        <v/>
      </c>
      <c r="CL26">
        <f>IF(ISNUMBER(CI26),MIN(tope,DEGREES(ATAN(TAN(RADIANS(pe0-omega*(CI26)))*(CG26/sref)^(m_-1)))),NA())</f>
        <v/>
      </c>
      <c r="CN26" t="n">
        <v>0.8742420065974921</v>
      </c>
      <c r="CP26" t="n">
        <v>34.39753237074721</v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20</v>
      </c>
      <c r="Y27" t="n">
        <v>14.07137569726743</v>
      </c>
      <c r="Z27" t="n">
        <v>20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20</v>
      </c>
      <c r="AI27" t="n">
        <v>14.07137569726743</v>
      </c>
      <c r="AJ27" t="n">
        <v>20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MIN(tope,DEGREES(ATAN(TAN(RADIANS(pe0-omega*(e_base)))*(CG27/sref)^(m_-1))))</f>
        <v/>
      </c>
      <c r="CK27">
        <f>MIN(tope,DEGREES(ATAN(TAN(RADIANS(pe0-omega*(CH27)))*(CG27/sref)^(m_-1))))</f>
        <v/>
      </c>
      <c r="CL27">
        <f>IF(ISNUMBER(CI27),MIN(tope,DEGREES(ATAN(TAN(RADIANS(pe0-omega*(CI27)))*(CG27/sref)^(m_-1)))),NA())</f>
        <v/>
      </c>
      <c r="CN27" t="n">
        <v>0.2988687251127763</v>
      </c>
      <c r="CP27" t="n">
        <v>30.95993125587627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60</v>
      </c>
      <c r="Y28" t="n">
        <v>15</v>
      </c>
      <c r="Z28" t="n">
        <v>30.28571428571418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60</v>
      </c>
      <c r="AI28" t="n">
        <v>15</v>
      </c>
      <c r="AJ28" t="n">
        <v>30.28571428571418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MIN(tope,DEGREES(ATAN(TAN(RADIANS(pe0-omega*(e_base)))*(CG28/sref)^(m_-1))))</f>
        <v/>
      </c>
      <c r="CK28">
        <f>MIN(tope,DEGREES(ATAN(TAN(RADIANS(pe0-omega*(CH28)))*(CG28/sref)^(m_-1))))</f>
        <v/>
      </c>
      <c r="CL28">
        <f>IF(ISNUMBER(CI28),MIN(tope,DEGREES(ATAN(TAN(RADIANS(pe0-omega*(CI28)))*(CG28/sref)^(m_-1)))),NA())</f>
        <v/>
      </c>
      <c r="CN28" t="n">
        <v>0.4833032042637348</v>
      </c>
      <c r="CP28" t="n">
        <v>29.7275517743612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MIN(tope,DEGREES(ATAN(TAN(RADIANS(pe0-omega*(e_base)))*(CG29/sref)^(m_-1))))</f>
        <v/>
      </c>
      <c r="CK29">
        <f>MIN(tope,DEGREES(ATAN(TAN(RADIANS(pe0-omega*(CH29)))*(CG29/sref)^(m_-1))))</f>
        <v/>
      </c>
      <c r="CL29">
        <f>IF(ISNUMBER(CI29),MIN(tope,DEGREES(ATAN(TAN(RADIANS(pe0-omega*(CI29)))*(CG29/sref)^(m_-1)))),NA())</f>
        <v/>
      </c>
      <c r="CN29" t="n">
        <v>0.7502762606833721</v>
      </c>
      <c r="CP29" t="n">
        <v>30.71880752937584</v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20</v>
      </c>
      <c r="AB30" t="n">
        <v>5.788279305550336</v>
      </c>
      <c r="AC30" t="n">
        <v>0</v>
      </c>
      <c r="AG30" t="n">
        <v>5.59615895169994</v>
      </c>
      <c r="AH30" t="n">
        <v>20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MIN(tope,DEGREES(ATAN(TAN(RADIANS(pe0-omega*(e_base)))*(CG30/sref)^(m_-1))))</f>
        <v/>
      </c>
      <c r="CK30">
        <f>MIN(tope,DEGREES(ATAN(TAN(RADIANS(pe0-omega*(CH30)))*(CG30/sref)^(m_-1))))</f>
        <v/>
      </c>
      <c r="CL30">
        <f>IF(ISNUMBER(CI30),MIN(tope,DEGREES(ATAN(TAN(RADIANS(pe0-omega*(CI30)))*(CG30/sref)^(m_-1)))),NA())</f>
        <v/>
      </c>
      <c r="CN30" t="n">
        <v>0.3955913439355597</v>
      </c>
      <c r="CP30" t="n">
        <v>38.78572747826866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60</v>
      </c>
      <c r="AB31" t="n">
        <v>5.788279305550336</v>
      </c>
      <c r="AC31" t="n">
        <v>10.5</v>
      </c>
      <c r="AG31" t="n">
        <v>5.59615895169994</v>
      </c>
      <c r="AH31" t="n">
        <v>60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MIN(tope,DEGREES(ATAN(TAN(RADIANS(pe0-omega*(e_base)))*(CG31/sref)^(m_-1))))</f>
        <v/>
      </c>
      <c r="CK31">
        <f>MIN(tope,DEGREES(ATAN(TAN(RADIANS(pe0-omega*(CH31)))*(CG31/sref)^(m_-1))))</f>
        <v/>
      </c>
      <c r="CL31">
        <f>IF(ISNUMBER(CI31),MIN(tope,DEGREES(ATAN(TAN(RADIANS(pe0-omega*(CI31)))*(CG31/sref)^(m_-1)))),NA())</f>
        <v/>
      </c>
      <c r="CN31" t="n">
        <v>0.4229967908089778</v>
      </c>
      <c r="CP31" t="n">
        <v>37.95684979270763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MIN(tope,DEGREES(ATAN(TAN(RADIANS(pe0-omega*(e_base)))*(CG32/sref)^(m_-1))))</f>
        <v/>
      </c>
      <c r="CK32">
        <f>MIN(tope,DEGREES(ATAN(TAN(RADIANS(pe0-omega*(CH32)))*(CG32/sref)^(m_-1))))</f>
        <v/>
      </c>
      <c r="CL32">
        <f>IF(ISNUMBER(CI32),MIN(tope,DEGREES(ATAN(TAN(RADIANS(pe0-omega*(CI32)))*(CG32/sref)^(m_-1)))),NA())</f>
        <v/>
      </c>
      <c r="CN32" t="n">
        <v>0.6463389404547389</v>
      </c>
      <c r="CP32" t="n">
        <v>31.0508966571185</v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20</v>
      </c>
      <c r="AB33" t="n">
        <v>5.917804667825905</v>
      </c>
      <c r="AC33" t="n">
        <v>0</v>
      </c>
      <c r="AG33" t="n">
        <v>5.716275988887312</v>
      </c>
      <c r="AH33" t="n">
        <v>20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MIN(tope,DEGREES(ATAN(TAN(RADIANS(pe0-omega*(e_base)))*(CG33/sref)^(m_-1))))</f>
        <v/>
      </c>
      <c r="CK33">
        <f>MIN(tope,DEGREES(ATAN(TAN(RADIANS(pe0-omega*(CH33)))*(CG33/sref)^(m_-1))))</f>
        <v/>
      </c>
      <c r="CL33">
        <f>IF(ISNUMBER(CI33),MIN(tope,DEGREES(ATAN(TAN(RADIANS(pe0-omega*(CI33)))*(CG33/sref)^(m_-1)))),NA())</f>
        <v/>
      </c>
      <c r="CN33" t="n">
        <v>0.1644720516960877</v>
      </c>
      <c r="CP33" t="n">
        <v>34.69699775618999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60</v>
      </c>
      <c r="AB34" t="n">
        <v>5.917804667825905</v>
      </c>
      <c r="AC34" t="n">
        <v>10.5</v>
      </c>
      <c r="AG34" t="n">
        <v>5.716275988887312</v>
      </c>
      <c r="AH34" t="n">
        <v>60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MIN(tope,DEGREES(ATAN(TAN(RADIANS(pe0-omega*(e_base)))*(CG34/sref)^(m_-1))))</f>
        <v/>
      </c>
      <c r="CK34">
        <f>MIN(tope,DEGREES(ATAN(TAN(RADIANS(pe0-omega*(CH34)))*(CG34/sref)^(m_-1))))</f>
        <v/>
      </c>
      <c r="CL34">
        <f>IF(ISNUMBER(CI34),MIN(tope,DEGREES(ATAN(TAN(RADIANS(pe0-omega*(CI34)))*(CG34/sref)^(m_-1)))),NA())</f>
        <v/>
      </c>
      <c r="CN34" t="n">
        <v>0.2828160876285721</v>
      </c>
      <c r="CP34" t="n">
        <v>36.30974705753745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MIN(tope,DEGREES(ATAN(TAN(RADIANS(pe0-omega*(e_base)))*(CG35/sref)^(m_-1))))</f>
        <v/>
      </c>
      <c r="CK35">
        <f>MIN(tope,DEGREES(ATAN(TAN(RADIANS(pe0-omega*(CH35)))*(CG35/sref)^(m_-1))))</f>
        <v/>
      </c>
      <c r="CL35">
        <f>IF(ISNUMBER(CI35),MIN(tope,DEGREES(ATAN(TAN(RADIANS(pe0-omega*(CI35)))*(CG35/sref)^(m_-1)))),NA())</f>
        <v/>
      </c>
      <c r="CN35" t="n">
        <v>0.3204520825679733</v>
      </c>
      <c r="CP35" t="n">
        <v>39.19654350437354</v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20</v>
      </c>
      <c r="AB36" t="n">
        <v>6.047330030101473</v>
      </c>
      <c r="AC36" t="n">
        <v>0</v>
      </c>
      <c r="AG36" t="n">
        <v>5.838971241373282</v>
      </c>
      <c r="AH36" t="n">
        <v>20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MIN(tope,DEGREES(ATAN(TAN(RADIANS(pe0-omega*(e_base)))*(CG36/sref)^(m_-1))))</f>
        <v/>
      </c>
      <c r="CK36">
        <f>MIN(tope,DEGREES(ATAN(TAN(RADIANS(pe0-omega*(CH36)))*(CG36/sref)^(m_-1))))</f>
        <v/>
      </c>
      <c r="CL36">
        <f>IF(ISNUMBER(CI36),MIN(tope,DEGREES(ATAN(TAN(RADIANS(pe0-omega*(CI36)))*(CG36/sref)^(m_-1)))),NA())</f>
        <v/>
      </c>
      <c r="CN36" t="n">
        <v>0.2502143559188182</v>
      </c>
      <c r="CP36" t="n">
        <v>35.07453795620643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60</v>
      </c>
      <c r="AB37" t="n">
        <v>6.047330030101473</v>
      </c>
      <c r="AC37" t="n">
        <v>10.5</v>
      </c>
      <c r="AG37" t="n">
        <v>5.838971241373282</v>
      </c>
      <c r="AH37" t="n">
        <v>60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MIN(tope,DEGREES(ATAN(TAN(RADIANS(pe0-omega*(e_base)))*(CG37/sref)^(m_-1))))</f>
        <v/>
      </c>
      <c r="CK37">
        <f>MIN(tope,DEGREES(ATAN(TAN(RADIANS(pe0-omega*(CH37)))*(CG37/sref)^(m_-1))))</f>
        <v/>
      </c>
      <c r="CL37">
        <f>IF(ISNUMBER(CI37),MIN(tope,DEGREES(ATAN(TAN(RADIANS(pe0-omega*(CI37)))*(CG37/sref)^(m_-1)))),NA())</f>
        <v/>
      </c>
      <c r="CN37" t="n">
        <v>0.3565146060637778</v>
      </c>
      <c r="CP37" t="n">
        <v>33.62035916802434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MIN(tope,DEGREES(ATAN(TAN(RADIANS(pe0-omega*(e_base)))*(CG38/sref)^(m_-1))))</f>
        <v/>
      </c>
      <c r="CK38">
        <f>MIN(tope,DEGREES(ATAN(TAN(RADIANS(pe0-omega*(CH38)))*(CG38/sref)^(m_-1))))</f>
        <v/>
      </c>
      <c r="CL38">
        <f>IF(ISNUMBER(CI38),MIN(tope,DEGREES(ATAN(TAN(RADIANS(pe0-omega*(CI38)))*(CG38/sref)^(m_-1)))),NA())</f>
        <v/>
      </c>
      <c r="CN38" t="n">
        <v>0.5494345034887614</v>
      </c>
      <c r="CP38" t="n">
        <v>33.68064905684869</v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20</v>
      </c>
      <c r="AB39" t="n">
        <v>6.176855392377042</v>
      </c>
      <c r="AC39" t="n">
        <v>0</v>
      </c>
      <c r="AG39" t="n">
        <v>5.964300048469259</v>
      </c>
      <c r="AH39" t="n">
        <v>20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MIN(tope,DEGREES(ATAN(TAN(RADIANS(pe0-omega*(e_base)))*(CG39/sref)^(m_-1))))</f>
        <v/>
      </c>
      <c r="CK39">
        <f>MIN(tope,DEGREES(ATAN(TAN(RADIANS(pe0-omega*(CH39)))*(CG39/sref)^(m_-1))))</f>
        <v/>
      </c>
      <c r="CL39">
        <f>IF(ISNUMBER(CI39),MIN(tope,DEGREES(ATAN(TAN(RADIANS(pe0-omega*(CI39)))*(CG39/sref)^(m_-1)))),NA())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60</v>
      </c>
      <c r="AB40" t="n">
        <v>6.176855392377042</v>
      </c>
      <c r="AC40" t="n">
        <v>10.5</v>
      </c>
      <c r="AG40" t="n">
        <v>5.964300048469259</v>
      </c>
      <c r="AH40" t="n">
        <v>60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MIN(tope,DEGREES(ATAN(TAN(RADIANS(pe0-omega*(e_base)))*(CG40/sref)^(m_-1))))</f>
        <v/>
      </c>
      <c r="CK40">
        <f>MIN(tope,DEGREES(ATAN(TAN(RADIANS(pe0-omega*(CH40)))*(CG40/sref)^(m_-1))))</f>
        <v/>
      </c>
      <c r="CL40">
        <f>IF(ISNUMBER(CI40),MIN(tope,DEGREES(ATAN(TAN(RADIANS(pe0-omega*(CI40)))*(CG40/sref)^(m_-1)))),NA())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MIN(tope,DEGREES(ATAN(TAN(RADIANS(pe0-omega*(e_base)))*(CG41/sref)^(m_-1))))</f>
        <v/>
      </c>
      <c r="CK41">
        <f>MIN(tope,DEGREES(ATAN(TAN(RADIANS(pe0-omega*(CH41)))*(CG41/sref)^(m_-1))))</f>
        <v/>
      </c>
      <c r="CL41">
        <f>IF(ISNUMBER(CI41),MIN(tope,DEGREES(ATAN(TAN(RADIANS(pe0-omega*(CI41)))*(CG41/sref)^(m_-1)))),NA())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20</v>
      </c>
      <c r="AB42" t="n">
        <v>6.30638075465261</v>
      </c>
      <c r="AC42" t="n">
        <v>0</v>
      </c>
      <c r="AG42" t="n">
        <v>6.09231893730032</v>
      </c>
      <c r="AH42" t="n">
        <v>20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MIN(tope,DEGREES(ATAN(TAN(RADIANS(pe0-omega*(e_base)))*(CG42/sref)^(m_-1))))</f>
        <v/>
      </c>
      <c r="CK42">
        <f>MIN(tope,DEGREES(ATAN(TAN(RADIANS(pe0-omega*(CH42)))*(CG42/sref)^(m_-1))))</f>
        <v/>
      </c>
      <c r="CL42">
        <f>IF(ISNUMBER(CI42),MIN(tope,DEGREES(ATAN(TAN(RADIANS(pe0-omega*(CI42)))*(CG42/sref)^(m_-1)))),NA())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60</v>
      </c>
      <c r="AB43" t="n">
        <v>6.30638075465261</v>
      </c>
      <c r="AC43" t="n">
        <v>10.5</v>
      </c>
      <c r="AG43" t="n">
        <v>6.09231893730032</v>
      </c>
      <c r="AH43" t="n">
        <v>60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MIN(tope,DEGREES(ATAN(TAN(RADIANS(pe0-omega*(e_base)))*(CG43/sref)^(m_-1))))</f>
        <v/>
      </c>
      <c r="CK43">
        <f>MIN(tope,DEGREES(ATAN(TAN(RADIANS(pe0-omega*(CH43)))*(CG43/sref)^(m_-1))))</f>
        <v/>
      </c>
      <c r="CL43">
        <f>IF(ISNUMBER(CI43),MIN(tope,DEGREES(ATAN(TAN(RADIANS(pe0-omega*(CI43)))*(CG43/sref)^(m_-1)))),NA())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MIN(tope,DEGREES(ATAN(TAN(RADIANS(pe0-omega*(e_base)))*(CG44/sref)^(m_-1))))</f>
        <v/>
      </c>
      <c r="CK44">
        <f>MIN(tope,DEGREES(ATAN(TAN(RADIANS(pe0-omega*(CH44)))*(CG44/sref)^(m_-1))))</f>
        <v/>
      </c>
      <c r="CL44">
        <f>IF(ISNUMBER(CI44),MIN(tope,DEGREES(ATAN(TAN(RADIANS(pe0-omega*(CI44)))*(CG44/sref)^(m_-1)))),NA())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20</v>
      </c>
      <c r="AB45" t="n">
        <v>6.435906116928178</v>
      </c>
      <c r="AC45" t="n">
        <v>0</v>
      </c>
      <c r="AG45" t="n">
        <v>6.223085648300679</v>
      </c>
      <c r="AH45" t="n">
        <v>20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MIN(tope,DEGREES(ATAN(TAN(RADIANS(pe0-omega*(e_base)))*(CG45/sref)^(m_-1))))</f>
        <v/>
      </c>
      <c r="CK45">
        <f>MIN(tope,DEGREES(ATAN(TAN(RADIANS(pe0-omega*(CH45)))*(CG45/sref)^(m_-1))))</f>
        <v/>
      </c>
      <c r="CL45">
        <f>IF(ISNUMBER(CI45),MIN(tope,DEGREES(ATAN(TAN(RADIANS(pe0-omega*(CI45)))*(CG45/sref)^(m_-1)))),NA())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60</v>
      </c>
      <c r="AB46" t="n">
        <v>6.435906116928178</v>
      </c>
      <c r="AC46" t="n">
        <v>10.5</v>
      </c>
      <c r="AG46" t="n">
        <v>6.223085648300679</v>
      </c>
      <c r="AH46" t="n">
        <v>60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MIN(tope,DEGREES(ATAN(TAN(RADIANS(pe0-omega*(e_base)))*(CG46/sref)^(m_-1))))</f>
        <v/>
      </c>
      <c r="CK46">
        <f>MIN(tope,DEGREES(ATAN(TAN(RADIANS(pe0-omega*(CH46)))*(CG46/sref)^(m_-1))))</f>
        <v/>
      </c>
      <c r="CL46">
        <f>IF(ISNUMBER(CI46),MIN(tope,DEGREES(ATAN(TAN(RADIANS(pe0-omega*(CI46)))*(CG46/sref)^(m_-1)))),NA())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MIN(tope,DEGREES(ATAN(TAN(RADIANS(pe0-omega*(e_base)))*(CG47/sref)^(m_-1))))</f>
        <v/>
      </c>
      <c r="CK47">
        <f>MIN(tope,DEGREES(ATAN(TAN(RADIANS(pe0-omega*(CH47)))*(CG47/sref)^(m_-1))))</f>
        <v/>
      </c>
      <c r="CL47">
        <f>IF(ISNUMBER(CI47),MIN(tope,DEGREES(ATAN(TAN(RADIANS(pe0-omega*(CI47)))*(CG47/sref)^(m_-1)))),NA())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20</v>
      </c>
      <c r="AB48" t="n">
        <v>6.565431479203747</v>
      </c>
      <c r="AC48" t="n">
        <v>0</v>
      </c>
      <c r="AG48" t="n">
        <v>6.356659161256392</v>
      </c>
      <c r="AH48" t="n">
        <v>20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MIN(tope,DEGREES(ATAN(TAN(RADIANS(pe0-omega*(e_base)))*(CG48/sref)^(m_-1))))</f>
        <v/>
      </c>
      <c r="CK48">
        <f>MIN(tope,DEGREES(ATAN(TAN(RADIANS(pe0-omega*(CH48)))*(CG48/sref)^(m_-1))))</f>
        <v/>
      </c>
      <c r="CL48">
        <f>IF(ISNUMBER(CI48),MIN(tope,DEGREES(ATAN(TAN(RADIANS(pe0-omega*(CI48)))*(CG48/sref)^(m_-1)))),NA())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60</v>
      </c>
      <c r="AB49" t="n">
        <v>6.565431479203747</v>
      </c>
      <c r="AC49" t="n">
        <v>10.5</v>
      </c>
      <c r="AG49" t="n">
        <v>6.356659161256392</v>
      </c>
      <c r="AH49" t="n">
        <v>60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MIN(tope,DEGREES(ATAN(TAN(RADIANS(pe0-omega*(e_base)))*(CG49/sref)^(m_-1))))</f>
        <v/>
      </c>
      <c r="CK49">
        <f>MIN(tope,DEGREES(ATAN(TAN(RADIANS(pe0-omega*(CH49)))*(CG49/sref)^(m_-1))))</f>
        <v/>
      </c>
      <c r="CL49">
        <f>IF(ISNUMBER(CI49),MIN(tope,DEGREES(ATAN(TAN(RADIANS(pe0-omega*(CI49)))*(CG49/sref)^(m_-1)))),NA())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MIN(tope,DEGREES(ATAN(TAN(RADIANS(pe0-omega*(e_base)))*(CG50/sref)^(m_-1))))</f>
        <v/>
      </c>
      <c r="CK50">
        <f>MIN(tope,DEGREES(ATAN(TAN(RADIANS(pe0-omega*(CH50)))*(CG50/sref)^(m_-1))))</f>
        <v/>
      </c>
      <c r="CL50">
        <f>IF(ISNUMBER(CI50),MIN(tope,DEGREES(ATAN(TAN(RADIANS(pe0-omega*(CI50)))*(CG50/sref)^(m_-1)))),NA())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20</v>
      </c>
      <c r="AB51" t="n">
        <v>6.694956841479316</v>
      </c>
      <c r="AC51" t="n">
        <v>0</v>
      </c>
      <c r="AG51" t="n">
        <v>6.49309972190704</v>
      </c>
      <c r="AH51" t="n">
        <v>20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MIN(tope,DEGREES(ATAN(TAN(RADIANS(pe0-omega*(e_base)))*(CG51/sref)^(m_-1))))</f>
        <v/>
      </c>
      <c r="CK51">
        <f>MIN(tope,DEGREES(ATAN(TAN(RADIANS(pe0-omega*(CH51)))*(CG51/sref)^(m_-1))))</f>
        <v/>
      </c>
      <c r="CL51">
        <f>IF(ISNUMBER(CI51),MIN(tope,DEGREES(ATAN(TAN(RADIANS(pe0-omega*(CI51)))*(CG51/sref)^(m_-1)))),NA())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60</v>
      </c>
      <c r="AB52" t="n">
        <v>6.694956841479316</v>
      </c>
      <c r="AC52" t="n">
        <v>10.5</v>
      </c>
      <c r="AG52" t="n">
        <v>6.49309972190704</v>
      </c>
      <c r="AH52" t="n">
        <v>60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MIN(tope,DEGREES(ATAN(TAN(RADIANS(pe0-omega*(e_base)))*(CG52/sref)^(m_-1))))</f>
        <v/>
      </c>
      <c r="CK52">
        <f>MIN(tope,DEGREES(ATAN(TAN(RADIANS(pe0-omega*(CH52)))*(CG52/sref)^(m_-1))))</f>
        <v/>
      </c>
      <c r="CL52">
        <f>IF(ISNUMBER(CI52),MIN(tope,DEGREES(ATAN(TAN(RADIANS(pe0-omega*(CI52)))*(CG52/sref)^(m_-1)))),NA())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MIN(tope,DEGREES(ATAN(TAN(RADIANS(pe0-omega*(e_base)))*(CG53/sref)^(m_-1))))</f>
        <v/>
      </c>
      <c r="CK53">
        <f>MIN(tope,DEGREES(ATAN(TAN(RADIANS(pe0-omega*(CH53)))*(CG53/sref)^(m_-1))))</f>
        <v/>
      </c>
      <c r="CL53">
        <f>IF(ISNUMBER(CI53),MIN(tope,DEGREES(ATAN(TAN(RADIANS(pe0-omega*(CI53)))*(CG53/sref)^(m_-1)))),NA())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20</v>
      </c>
      <c r="AB54" t="n">
        <v>6.824482203754885</v>
      </c>
      <c r="AC54" t="n">
        <v>0</v>
      </c>
      <c r="AG54" t="n">
        <v>6.632468869118394</v>
      </c>
      <c r="AH54" t="n">
        <v>20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MIN(tope,DEGREES(ATAN(TAN(RADIANS(pe0-omega*(e_base)))*(CG54/sref)^(m_-1))))</f>
        <v/>
      </c>
      <c r="CK54">
        <f>MIN(tope,DEGREES(ATAN(TAN(RADIANS(pe0-omega*(CH54)))*(CG54/sref)^(m_-1))))</f>
        <v/>
      </c>
      <c r="CL54">
        <f>IF(ISNUMBER(CI54),MIN(tope,DEGREES(ATAN(TAN(RADIANS(pe0-omega*(CI54)))*(CG54/sref)^(m_-1)))),NA())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60</v>
      </c>
      <c r="AB55" t="n">
        <v>6.824482203754885</v>
      </c>
      <c r="AC55" t="n">
        <v>10.5</v>
      </c>
      <c r="AG55" t="n">
        <v>6.632468869118394</v>
      </c>
      <c r="AH55" t="n">
        <v>60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MIN(tope,DEGREES(ATAN(TAN(RADIANS(pe0-omega*(e_base)))*(CG55/sref)^(m_-1))))</f>
        <v/>
      </c>
      <c r="CK55">
        <f>MIN(tope,DEGREES(ATAN(TAN(RADIANS(pe0-omega*(CH55)))*(CG55/sref)^(m_-1))))</f>
        <v/>
      </c>
      <c r="CL55">
        <f>IF(ISNUMBER(CI55),MIN(tope,DEGREES(ATAN(TAN(RADIANS(pe0-omega*(CI55)))*(CG55/sref)^(m_-1)))),NA())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MIN(tope,DEGREES(ATAN(TAN(RADIANS(pe0-omega*(e_base)))*(CG56/sref)^(m_-1))))</f>
        <v/>
      </c>
      <c r="CK56">
        <f>MIN(tope,DEGREES(ATAN(TAN(RADIANS(pe0-omega*(CH56)))*(CG56/sref)^(m_-1))))</f>
        <v/>
      </c>
      <c r="CL56">
        <f>IF(ISNUMBER(CI56),MIN(tope,DEGREES(ATAN(TAN(RADIANS(pe0-omega*(CI56)))*(CG56/sref)^(m_-1)))),NA())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20</v>
      </c>
      <c r="AB57" t="n">
        <v>6.954007566030453</v>
      </c>
      <c r="AC57" t="n">
        <v>0</v>
      </c>
      <c r="AG57" t="n">
        <v>6.774829462638344</v>
      </c>
      <c r="AH57" t="n">
        <v>20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MIN(tope,DEGREES(ATAN(TAN(RADIANS(pe0-omega*(e_base)))*(CG57/sref)^(m_-1))))</f>
        <v/>
      </c>
      <c r="CK57">
        <f>MIN(tope,DEGREES(ATAN(TAN(RADIANS(pe0-omega*(CH57)))*(CG57/sref)^(m_-1))))</f>
        <v/>
      </c>
      <c r="CL57">
        <f>IF(ISNUMBER(CI57),MIN(tope,DEGREES(ATAN(TAN(RADIANS(pe0-omega*(CI57)))*(CG57/sref)^(m_-1)))),NA())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60</v>
      </c>
      <c r="AB58" t="n">
        <v>6.954007566030453</v>
      </c>
      <c r="AC58" t="n">
        <v>10.5</v>
      </c>
      <c r="AG58" t="n">
        <v>6.774829462638344</v>
      </c>
      <c r="AH58" t="n">
        <v>60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MIN(tope,DEGREES(ATAN(TAN(RADIANS(pe0-omega*(e_base)))*(CG58/sref)^(m_-1))))</f>
        <v/>
      </c>
      <c r="CK58">
        <f>MIN(tope,DEGREES(ATAN(TAN(RADIANS(pe0-omega*(CH58)))*(CG58/sref)^(m_-1))))</f>
        <v/>
      </c>
      <c r="CL58">
        <f>IF(ISNUMBER(CI58),MIN(tope,DEGREES(ATAN(TAN(RADIANS(pe0-omega*(CI58)))*(CG58/sref)^(m_-1)))),NA())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MIN(tope,DEGREES(ATAN(TAN(RADIANS(pe0-omega*(e_base)))*(CG59/sref)^(m_-1))))</f>
        <v/>
      </c>
      <c r="CK59">
        <f>MIN(tope,DEGREES(ATAN(TAN(RADIANS(pe0-omega*(CH59)))*(CG59/sref)^(m_-1))))</f>
        <v/>
      </c>
      <c r="CL59">
        <f>IF(ISNUMBER(CI59),MIN(tope,DEGREES(ATAN(TAN(RADIANS(pe0-omega*(CI59)))*(CG59/sref)^(m_-1)))),NA())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20</v>
      </c>
      <c r="AB60" t="n">
        <v>7.083532928306021</v>
      </c>
      <c r="AC60" t="n">
        <v>0</v>
      </c>
      <c r="AG60" t="n">
        <v>6.920245711448542</v>
      </c>
      <c r="AH60" t="n">
        <v>20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MIN(tope,DEGREES(ATAN(TAN(RADIANS(pe0-omega*(e_base)))*(CG60/sref)^(m_-1))))</f>
        <v/>
      </c>
      <c r="CK60">
        <f>MIN(tope,DEGREES(ATAN(TAN(RADIANS(pe0-omega*(CH60)))*(CG60/sref)^(m_-1))))</f>
        <v/>
      </c>
      <c r="CL60">
        <f>IF(ISNUMBER(CI60),MIN(tope,DEGREES(ATAN(TAN(RADIANS(pe0-omega*(CI60)))*(CG60/sref)^(m_-1)))),NA())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60</v>
      </c>
      <c r="AB61" t="n">
        <v>7.083532928306021</v>
      </c>
      <c r="AC61" t="n">
        <v>10.5</v>
      </c>
      <c r="AG61" t="n">
        <v>6.920245711448542</v>
      </c>
      <c r="AH61" t="n">
        <v>60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MIN(tope,DEGREES(ATAN(TAN(RADIANS(pe0-omega*(e_base)))*(CG61/sref)^(m_-1))))</f>
        <v/>
      </c>
      <c r="CK61">
        <f>MIN(tope,DEGREES(ATAN(TAN(RADIANS(pe0-omega*(CH61)))*(CG61/sref)^(m_-1))))</f>
        <v/>
      </c>
      <c r="CL61">
        <f>IF(ISNUMBER(CI61),MIN(tope,DEGREES(ATAN(TAN(RADIANS(pe0-omega*(CI61)))*(CG61/sref)^(m_-1)))),NA())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MIN(tope,DEGREES(ATAN(TAN(RADIANS(pe0-omega*(e_base)))*(CG62/sref)^(m_-1))))</f>
        <v/>
      </c>
      <c r="CK62">
        <f>MIN(tope,DEGREES(ATAN(TAN(RADIANS(pe0-omega*(CH62)))*(CG62/sref)^(m_-1))))</f>
        <v/>
      </c>
      <c r="CL62">
        <f>IF(ISNUMBER(CI62),MIN(tope,DEGREES(ATAN(TAN(RADIANS(pe0-omega*(CI62)))*(CG62/sref)^(m_-1)))),NA())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20</v>
      </c>
      <c r="AB63" t="n">
        <v>7.21305829058159</v>
      </c>
      <c r="AC63" t="n">
        <v>0</v>
      </c>
      <c r="AG63" t="n">
        <v>7.068783202724643</v>
      </c>
      <c r="AH63" t="n">
        <v>20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MIN(tope,DEGREES(ATAN(TAN(RADIANS(pe0-omega*(e_base)))*(CG63/sref)^(m_-1))))</f>
        <v/>
      </c>
      <c r="CK63">
        <f>MIN(tope,DEGREES(ATAN(TAN(RADIANS(pe0-omega*(CH63)))*(CG63/sref)^(m_-1))))</f>
        <v/>
      </c>
      <c r="CL63">
        <f>IF(ISNUMBER(CI63),MIN(tope,DEGREES(ATAN(TAN(RADIANS(pe0-omega*(CI63)))*(CG63/sref)^(m_-1)))),NA())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60</v>
      </c>
      <c r="AB64" t="n">
        <v>7.21305829058159</v>
      </c>
      <c r="AC64" t="n">
        <v>10.5</v>
      </c>
      <c r="AG64" t="n">
        <v>7.068783202724643</v>
      </c>
      <c r="AH64" t="n">
        <v>60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MIN(tope,DEGREES(ATAN(TAN(RADIANS(pe0-omega*(e_base)))*(CG64/sref)^(m_-1))))</f>
        <v/>
      </c>
      <c r="CK64">
        <f>MIN(tope,DEGREES(ATAN(TAN(RADIANS(pe0-omega*(CH64)))*(CG64/sref)^(m_-1))))</f>
        <v/>
      </c>
      <c r="CL64">
        <f>IF(ISNUMBER(CI64),MIN(tope,DEGREES(ATAN(TAN(RADIANS(pe0-omega*(CI64)))*(CG64/sref)^(m_-1)))),NA())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MIN(tope,DEGREES(ATAN(TAN(RADIANS(pe0-omega*(e_base)))*(CG65/sref)^(m_-1))))</f>
        <v/>
      </c>
      <c r="CK65">
        <f>MIN(tope,DEGREES(ATAN(TAN(RADIANS(pe0-omega*(CH65)))*(CG65/sref)^(m_-1))))</f>
        <v/>
      </c>
      <c r="CL65">
        <f>IF(ISNUMBER(CI65),MIN(tope,DEGREES(ATAN(TAN(RADIANS(pe0-omega*(CI65)))*(CG65/sref)^(m_-1)))),NA())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20</v>
      </c>
      <c r="AB66" t="n">
        <v>7.342583652857159</v>
      </c>
      <c r="AC66" t="n">
        <v>0</v>
      </c>
      <c r="AG66" t="n">
        <v>7.220508931418109</v>
      </c>
      <c r="AH66" t="n">
        <v>20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MIN(tope,DEGREES(ATAN(TAN(RADIANS(pe0-omega*(e_base)))*(CG66/sref)^(m_-1))))</f>
        <v/>
      </c>
      <c r="CK66">
        <f>MIN(tope,DEGREES(ATAN(TAN(RADIANS(pe0-omega*(CH66)))*(CG66/sref)^(m_-1))))</f>
        <v/>
      </c>
      <c r="CL66">
        <f>IF(ISNUMBER(CI66),MIN(tope,DEGREES(ATAN(TAN(RADIANS(pe0-omega*(CI66)))*(CG66/sref)^(m_-1)))),NA())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60</v>
      </c>
      <c r="AB67" t="n">
        <v>7.342583652857159</v>
      </c>
      <c r="AC67" t="n">
        <v>10.5</v>
      </c>
      <c r="AG67" t="n">
        <v>7.220508931418109</v>
      </c>
      <c r="AH67" t="n">
        <v>60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MIN(tope,DEGREES(ATAN(TAN(RADIANS(pe0-omega*(e_base)))*(CG67/sref)^(m_-1))))</f>
        <v/>
      </c>
      <c r="CK67">
        <f>MIN(tope,DEGREES(ATAN(TAN(RADIANS(pe0-omega*(CH67)))*(CG67/sref)^(m_-1))))</f>
        <v/>
      </c>
      <c r="CL67">
        <f>IF(ISNUMBER(CI67),MIN(tope,DEGREES(ATAN(TAN(RADIANS(pe0-omega*(CI67)))*(CG67/sref)^(m_-1)))),NA())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MIN(tope,DEGREES(ATAN(TAN(RADIANS(pe0-omega*(e_base)))*(CG68/sref)^(m_-1))))</f>
        <v/>
      </c>
      <c r="CK68">
        <f>MIN(tope,DEGREES(ATAN(TAN(RADIANS(pe0-omega*(CH68)))*(CG68/sref)^(m_-1))))</f>
        <v/>
      </c>
      <c r="CL68">
        <f>IF(ISNUMBER(CI68),MIN(tope,DEGREES(ATAN(TAN(RADIANS(pe0-omega*(CI68)))*(CG68/sref)^(m_-1)))),NA())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20</v>
      </c>
      <c r="AB69" t="n">
        <v>7.472109015132727</v>
      </c>
      <c r="AC69" t="n">
        <v>0</v>
      </c>
      <c r="AG69" t="n">
        <v>7.375491330472989</v>
      </c>
      <c r="AH69" t="n">
        <v>20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MIN(tope,DEGREES(ATAN(TAN(RADIANS(pe0-omega*(e_base)))*(CG69/sref)^(m_-1))))</f>
        <v/>
      </c>
      <c r="CK69">
        <f>MIN(tope,DEGREES(ATAN(TAN(RADIANS(pe0-omega*(CH69)))*(CG69/sref)^(m_-1))))</f>
        <v/>
      </c>
      <c r="CL69">
        <f>IF(ISNUMBER(CI69),MIN(tope,DEGREES(ATAN(TAN(RADIANS(pe0-omega*(CI69)))*(CG69/sref)^(m_-1)))),NA())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60</v>
      </c>
      <c r="AB70" t="n">
        <v>7.472109015132727</v>
      </c>
      <c r="AC70" t="n">
        <v>10.5</v>
      </c>
      <c r="AG70" t="n">
        <v>7.375491330472989</v>
      </c>
      <c r="AH70" t="n">
        <v>60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MIN(tope,DEGREES(ATAN(TAN(RADIANS(pe0-omega*(e_base)))*(CG70/sref)^(m_-1))))</f>
        <v/>
      </c>
      <c r="CK70">
        <f>MIN(tope,DEGREES(ATAN(TAN(RADIANS(pe0-omega*(CH70)))*(CG70/sref)^(m_-1))))</f>
        <v/>
      </c>
      <c r="CL70">
        <f>IF(ISNUMBER(CI70),MIN(tope,DEGREES(ATAN(TAN(RADIANS(pe0-omega*(CI70)))*(CG70/sref)^(m_-1)))),NA())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MIN(tope,DEGREES(ATAN(TAN(RADIANS(pe0-omega*(e_base)))*(CG71/sref)^(m_-1))))</f>
        <v/>
      </c>
      <c r="CK71">
        <f>MIN(tope,DEGREES(ATAN(TAN(RADIANS(pe0-omega*(CH71)))*(CG71/sref)^(m_-1))))</f>
        <v/>
      </c>
      <c r="CL71">
        <f>IF(ISNUMBER(CI71),MIN(tope,DEGREES(ATAN(TAN(RADIANS(pe0-omega*(CI71)))*(CG71/sref)^(m_-1)))),NA())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20</v>
      </c>
      <c r="AB72" t="n">
        <v>7.601634377408296</v>
      </c>
      <c r="AC72" t="n">
        <v>0</v>
      </c>
      <c r="AG72" t="n">
        <v>7.533800301691262</v>
      </c>
      <c r="AH72" t="n">
        <v>20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MIN(tope,DEGREES(ATAN(TAN(RADIANS(pe0-omega*(e_base)))*(CG72/sref)^(m_-1))))</f>
        <v/>
      </c>
      <c r="CK72">
        <f>MIN(tope,DEGREES(ATAN(TAN(RADIANS(pe0-omega*(CH72)))*(CG72/sref)^(m_-1))))</f>
        <v/>
      </c>
      <c r="CL72">
        <f>IF(ISNUMBER(CI72),MIN(tope,DEGREES(ATAN(TAN(RADIANS(pe0-omega*(CI72)))*(CG72/sref)^(m_-1)))),NA())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60</v>
      </c>
      <c r="AB73" t="n">
        <v>7.601634377408296</v>
      </c>
      <c r="AC73" t="n">
        <v>10.5</v>
      </c>
      <c r="AG73" t="n">
        <v>7.533800301691262</v>
      </c>
      <c r="AH73" t="n">
        <v>60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MIN(tope,DEGREES(ATAN(TAN(RADIANS(pe0-omega*(e_base)))*(CG73/sref)^(m_-1))))</f>
        <v/>
      </c>
      <c r="CK73">
        <f>MIN(tope,DEGREES(ATAN(TAN(RADIANS(pe0-omega*(CH73)))*(CG73/sref)^(m_-1))))</f>
        <v/>
      </c>
      <c r="CL73">
        <f>IF(ISNUMBER(CI73),MIN(tope,DEGREES(ATAN(TAN(RADIANS(pe0-omega*(CI73)))*(CG73/sref)^(m_-1)))),NA())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MIN(tope,DEGREES(ATAN(TAN(RADIANS(pe0-omega*(e_base)))*(CG74/sref)^(m_-1))))</f>
        <v/>
      </c>
      <c r="CK74">
        <f>MIN(tope,DEGREES(ATAN(TAN(RADIANS(pe0-omega*(CH74)))*(CG74/sref)^(m_-1))))</f>
        <v/>
      </c>
      <c r="CL74">
        <f>IF(ISNUMBER(CI74),MIN(tope,DEGREES(ATAN(TAN(RADIANS(pe0-omega*(CI74)))*(CG74/sref)^(m_-1)))),NA())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20</v>
      </c>
      <c r="AB75" t="n">
        <v>7.731159739683864</v>
      </c>
      <c r="AC75" t="n">
        <v>0</v>
      </c>
      <c r="AG75" t="n">
        <v>7.695507247260703</v>
      </c>
      <c r="AH75" t="n">
        <v>20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MIN(tope,DEGREES(ATAN(TAN(RADIANS(pe0-omega*(e_base)))*(CG75/sref)^(m_-1))))</f>
        <v/>
      </c>
      <c r="CK75">
        <f>MIN(tope,DEGREES(ATAN(TAN(RADIANS(pe0-omega*(CH75)))*(CG75/sref)^(m_-1))))</f>
        <v/>
      </c>
      <c r="CL75">
        <f>IF(ISNUMBER(CI75),MIN(tope,DEGREES(ATAN(TAN(RADIANS(pe0-omega*(CI75)))*(CG75/sref)^(m_-1)))),NA())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60</v>
      </c>
      <c r="AB76" t="n">
        <v>7.731159739683864</v>
      </c>
      <c r="AC76" t="n">
        <v>10.5</v>
      </c>
      <c r="AG76" t="n">
        <v>7.695507247260703</v>
      </c>
      <c r="AH76" t="n">
        <v>60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MIN(tope,DEGREES(ATAN(TAN(RADIANS(pe0-omega*(e_base)))*(CG76/sref)^(m_-1))))</f>
        <v/>
      </c>
      <c r="CK76">
        <f>MIN(tope,DEGREES(ATAN(TAN(RADIANS(pe0-omega*(CH76)))*(CG76/sref)^(m_-1))))</f>
        <v/>
      </c>
      <c r="CL76">
        <f>IF(ISNUMBER(CI76),MIN(tope,DEGREES(ATAN(TAN(RADIANS(pe0-omega*(CI76)))*(CG76/sref)^(m_-1)))),NA())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MIN(tope,DEGREES(ATAN(TAN(RADIANS(pe0-omega*(e_base)))*(CG77/sref)^(m_-1))))</f>
        <v/>
      </c>
      <c r="CK77">
        <f>MIN(tope,DEGREES(ATAN(TAN(RADIANS(pe0-omega*(CH77)))*(CG77/sref)^(m_-1))))</f>
        <v/>
      </c>
      <c r="CL77">
        <f>IF(ISNUMBER(CI77),MIN(tope,DEGREES(ATAN(TAN(RADIANS(pe0-omega*(CI77)))*(CG77/sref)^(m_-1)))),NA())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20</v>
      </c>
      <c r="AB78" t="n">
        <v>7.860685101959433</v>
      </c>
      <c r="AC78" t="n">
        <v>0</v>
      </c>
      <c r="AG78" t="n">
        <v>7.860685101959433</v>
      </c>
      <c r="AH78" t="n">
        <v>20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MIN(tope,DEGREES(ATAN(TAN(RADIANS(pe0-omega*(e_base)))*(CG78/sref)^(m_-1))))</f>
        <v/>
      </c>
      <c r="CK78">
        <f>MIN(tope,DEGREES(ATAN(TAN(RADIANS(pe0-omega*(CH78)))*(CG78/sref)^(m_-1))))</f>
        <v/>
      </c>
      <c r="CL78">
        <f>IF(ISNUMBER(CI78),MIN(tope,DEGREES(ATAN(TAN(RADIANS(pe0-omega*(CI78)))*(CG78/sref)^(m_-1)))),NA())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60</v>
      </c>
      <c r="AB79" t="n">
        <v>7.860685101959433</v>
      </c>
      <c r="AC79" t="n">
        <v>10.5</v>
      </c>
      <c r="AG79" t="n">
        <v>7.860685101959433</v>
      </c>
      <c r="AH79" t="n">
        <v>60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MIN(tope,DEGREES(ATAN(TAN(RADIANS(pe0-omega*(e_base)))*(CG79/sref)^(m_-1))))</f>
        <v/>
      </c>
      <c r="CK79">
        <f>MIN(tope,DEGREES(ATAN(TAN(RADIANS(pe0-omega*(CH79)))*(CG79/sref)^(m_-1))))</f>
        <v/>
      </c>
      <c r="CL79">
        <f>IF(ISNUMBER(CI79),MIN(tope,DEGREES(ATAN(TAN(RADIANS(pe0-omega*(CI79)))*(CG79/sref)^(m_-1)))),NA())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MIN(tope,DEGREES(ATAN(TAN(RADIANS(pe0-omega*(e_base)))*(CG80/sref)^(m_-1))))</f>
        <v/>
      </c>
      <c r="CK80">
        <f>MIN(tope,DEGREES(ATAN(TAN(RADIANS(pe0-omega*(CH80)))*(CG80/sref)^(m_-1))))</f>
        <v/>
      </c>
      <c r="CL80">
        <f>IF(ISNUMBER(CI80),MIN(tope,DEGREES(ATAN(TAN(RADIANS(pe0-omega*(CI80)))*(CG80/sref)^(m_-1)))),NA())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MIN(tope,DEGREES(ATAN(TAN(RADIANS(pe0-omega*(e_base)))*(CG81/sref)^(m_-1))))</f>
        <v/>
      </c>
      <c r="CK81">
        <f>MIN(tope,DEGREES(ATAN(TAN(RADIANS(pe0-omega*(CH81)))*(CG81/sref)^(m_-1))))</f>
        <v/>
      </c>
      <c r="CL81">
        <f>IF(ISNUMBER(CI81),MIN(tope,DEGREES(ATAN(TAN(RADIANS(pe0-omega*(CI81)))*(CG81/sref)^(m_-1)))),NA())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MIN(tope,DEGREES(ATAN(TAN(RADIANS(pe0-omega*(e_base)))*(CG82/sref)^(m_-1))))</f>
        <v/>
      </c>
      <c r="CK82">
        <f>MIN(tope,DEGREES(ATAN(TAN(RADIANS(pe0-omega*(CH82)))*(CG82/sref)^(m_-1))))</f>
        <v/>
      </c>
      <c r="CL82">
        <f>IF(ISNUMBER(CI82),MIN(tope,DEGREES(ATAN(TAN(RADIANS(pe0-omega*(CI82)))*(CG82/sref)^(m_-1)))),NA())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MIN(tope,DEGREES(ATAN(TAN(RADIANS(pe0-omega*(e_base)))*(CG83/sref)^(m_-1))))</f>
        <v/>
      </c>
      <c r="CK83">
        <f>MIN(tope,DEGREES(ATAN(TAN(RADIANS(pe0-omega*(CH83)))*(CG83/sref)^(m_-1))))</f>
        <v/>
      </c>
      <c r="CL83">
        <f>IF(ISNUMBER(CI83),MIN(tope,DEGREES(ATAN(TAN(RADIANS(pe0-omega*(CI83)))*(CG83/sref)^(m_-1)))),NA())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MIN(tope,DEGREES(ATAN(TAN(RADIANS(pe0-omega*(e_base)))*(CG84/sref)^(m_-1))))</f>
        <v/>
      </c>
      <c r="CK84">
        <f>MIN(tope,DEGREES(ATAN(TAN(RADIANS(pe0-omega*(CH84)))*(CG84/sref)^(m_-1))))</f>
        <v/>
      </c>
      <c r="CL84">
        <f>IF(ISNUMBER(CI84),MIN(tope,DEGREES(ATAN(TAN(RADIANS(pe0-omega*(CI84)))*(CG84/sref)^(m_-1)))),NA())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MIN(tope,DEGREES(ATAN(TAN(RADIANS(pe0-omega*(e_base)))*(CG85/sref)^(m_-1))))</f>
        <v/>
      </c>
      <c r="CK85">
        <f>MIN(tope,DEGREES(ATAN(TAN(RADIANS(pe0-omega*(CH85)))*(CG85/sref)^(m_-1))))</f>
        <v/>
      </c>
      <c r="CL85">
        <f>IF(ISNUMBER(CI85),MIN(tope,DEGREES(ATAN(TAN(RADIANS(pe0-omega*(CI85)))*(CG85/sref)^(m_-1)))),NA())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MIN(tope,DEGREES(ATAN(TAN(RADIANS(pe0-omega*(e_base)))*(CG86/sref)^(m_-1))))</f>
        <v/>
      </c>
      <c r="CK86">
        <f>MIN(tope,DEGREES(ATAN(TAN(RADIANS(pe0-omega*(CH86)))*(CG86/sref)^(m_-1))))</f>
        <v/>
      </c>
      <c r="CL86">
        <f>IF(ISNUMBER(CI86),MIN(tope,DEGREES(ATAN(TAN(RADIANS(pe0-omega*(CI86)))*(CG86/sref)^(m_-1)))),NA())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MIN(tope,DEGREES(ATAN(TAN(RADIANS(pe0-omega*(e_base)))*(CG87/sref)^(m_-1))))</f>
        <v/>
      </c>
      <c r="CK87">
        <f>MIN(tope,DEGREES(ATAN(TAN(RADIANS(pe0-omega*(CH87)))*(CG87/sref)^(m_-1))))</f>
        <v/>
      </c>
      <c r="CL87">
        <f>IF(ISNUMBER(CI87),MIN(tope,DEGREES(ATAN(TAN(RADIANS(pe0-omega*(CI87)))*(CG87/sref)^(m_-1)))),NA())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MIN(tope,DEGREES(ATAN(TAN(RADIANS(pe0-omega*(e_base)))*(CG88/sref)^(m_-1))))</f>
        <v/>
      </c>
      <c r="CK88">
        <f>MIN(tope,DEGREES(ATAN(TAN(RADIANS(pe0-omega*(CH88)))*(CG88/sref)^(m_-1))))</f>
        <v/>
      </c>
      <c r="CL88">
        <f>IF(ISNUMBER(CI88),MIN(tope,DEGREES(ATAN(TAN(RADIANS(pe0-omega*(CI88)))*(CG88/sref)^(m_-1)))),NA())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MIN(tope,DEGREES(ATAN(TAN(RADIANS(pe0-omega*(e_base)))*(CG89/sref)^(m_-1))))</f>
        <v/>
      </c>
      <c r="CK89">
        <f>MIN(tope,DEGREES(ATAN(TAN(RADIANS(pe0-omega*(CH89)))*(CG89/sref)^(m_-1))))</f>
        <v/>
      </c>
      <c r="CL89">
        <f>IF(ISNUMBER(CI89),MIN(tope,DEGREES(ATAN(TAN(RADIANS(pe0-omega*(CI89)))*(CG89/sref)^(m_-1)))),NA())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MIN(tope,DEGREES(ATAN(TAN(RADIANS(pe0-omega*(e_base)))*(CG90/sref)^(m_-1))))</f>
        <v/>
      </c>
      <c r="CK90">
        <f>MIN(tope,DEGREES(ATAN(TAN(RADIANS(pe0-omega*(CH90)))*(CG90/sref)^(m_-1))))</f>
        <v/>
      </c>
      <c r="CL90">
        <f>IF(ISNUMBER(CI90),MIN(tope,DEGREES(ATAN(TAN(RADIANS(pe0-omega*(CI90)))*(CG90/sref)^(m_-1)))),NA())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MIN(tope,DEGREES(ATAN(TAN(RADIANS(pe0-omega*(e_base)))*(CG91/sref)^(m_-1))))</f>
        <v/>
      </c>
      <c r="CK91">
        <f>MIN(tope,DEGREES(ATAN(TAN(RADIANS(pe0-omega*(CH91)))*(CG91/sref)^(m_-1))))</f>
        <v/>
      </c>
      <c r="CL91">
        <f>IF(ISNUMBER(CI91),MIN(tope,DEGREES(ATAN(TAN(RADIANS(pe0-omega*(CI91)))*(CG91/sref)^(m_-1)))),NA())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MIN(tope,DEGREES(ATAN(TAN(RADIANS(pe0-omega*(e_base)))*(CG92/sref)^(m_-1))))</f>
        <v/>
      </c>
      <c r="CK92">
        <f>MIN(tope,DEGREES(ATAN(TAN(RADIANS(pe0-omega*(CH92)))*(CG92/sref)^(m_-1))))</f>
        <v/>
      </c>
      <c r="CL92">
        <f>IF(ISNUMBER(CI92),MIN(tope,DEGREES(ATAN(TAN(RADIANS(pe0-omega*(CI92)))*(CG92/sref)^(m_-1)))),NA())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2026-10-13T19:46:10Z</dcterms:created>
  <dcterms:modified xmlns:dcterms="http://purl.org/dc/terms/" xmlns:xsi="http://www.w3.org/2001/XMLSchema-instance" xsi:type="dcterms:W3CDTF">2026-10-13T19:46:11Z</dcterms:modified>
</cp:coreProperties>
</file>