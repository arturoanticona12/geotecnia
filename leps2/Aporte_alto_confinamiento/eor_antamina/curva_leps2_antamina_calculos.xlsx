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Rotura_Bg" sheetId="8" state="visible" r:id="rId8"/>
    <sheet xmlns:r="http://schemas.openxmlformats.org/officeDocument/2006/relationships" name="Hipotesis_m" sheetId="9" state="visible" r:id="rId9"/>
    <sheet xmlns:r="http://schemas.openxmlformats.org/officeDocument/2006/relationships" name="Base_mundial" sheetId="10" state="visible" r:id="rId10"/>
    <sheet xmlns:r="http://schemas.openxmlformats.org/officeDocument/2006/relationships" name="Ajuste" sheetId="11" state="visible" r:id="rId11"/>
    <sheet xmlns:r="http://schemas.openxmlformats.org/officeDocument/2006/relationships" name="FLAC_tangente" sheetId="12" state="visible" r:id="rId12"/>
    <sheet xmlns:r="http://schemas.openxmlformats.org/officeDocument/2006/relationships" name="Relacion_vacios" sheetId="13" state="visible" r:id="rId13"/>
    <sheet xmlns:r="http://schemas.openxmlformats.org/officeDocument/2006/relationships" name="Perfiles_e" sheetId="14" state="visible" r:id="rId14"/>
    <sheet xmlns:r="http://schemas.openxmlformats.org/officeDocument/2006/relationships" name="Edometros" sheetId="15" state="visible" r:id="rId15"/>
    <sheet xmlns:r="http://schemas.openxmlformats.org/officeDocument/2006/relationships" name="Tamano_particula" sheetId="16" state="visible" r:id="rId16"/>
    <sheet xmlns:r="http://schemas.openxmlformats.org/officeDocument/2006/relationships" name="Datos_figuras" sheetId="17" state="visible" r:id="rId17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5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  <fill>
      <patternFill patternType="solid">
        <fgColor rgb="00FBE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Residuo de la curva propuesta, cada ensayo a su e0. Base mundial, 3–8 MPa, mediana por clase: buena +5.3° (29), moderada +2.9° (30), baja +1.4° (7)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'Datos_figuras'!$JS$3:$JS$4</f>
            </numRef>
          </xVal>
          <yVal>
            <numRef>
              <f>'Datos_figuras'!$JT$3:$JT$4</f>
            </numRef>
          </yVal>
          <smooth val="0"/>
        </ser>
        <ser>
          <idx val="1"/>
          <order val="1"/>
          <tx>
            <v>Base mundial de Leps 2.0, ensayos (686; Cylwik et al., 2025)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FCEC9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'Datos_figuras'!$II$3:$II$688</f>
            </numRef>
          </yVal>
          <smooth val="0"/>
        </ser>
        <ser>
          <idx val="2"/>
          <order val="2"/>
          <tx>
            <v>Mediana por rango de σ′n, clase buena (137 ensayos)</v>
          </tx>
          <spPr>
            <a:ln xmlns:a="http://schemas.openxmlformats.org/drawingml/2006/main" w="20320">
              <a:solidFill>
                <a:srgbClr val="1F4E9E"/>
              </a:solidFill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F4E9E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'Datos_figuras'!$JX$3:$JX$10</f>
            </numRef>
          </xVal>
          <yVal>
            <numRef>
              <f>'Datos_figuras'!$JY$3:$JY$10</f>
            </numRef>
          </yVal>
          <smooth val="0"/>
        </ser>
        <ser>
          <idx val="3"/>
          <order val="3"/>
          <tx>
            <v>Mediana por rango de σ′n, clase moderada (294 ensayos)</v>
          </tx>
          <spPr>
            <a:ln xmlns:a="http://schemas.openxmlformats.org/drawingml/2006/main" w="20320">
              <a:solidFill>
                <a:srgbClr val="1B8A3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1B8A3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'Datos_figuras'!$KD$3:$KD$10</f>
            </numRef>
          </xVal>
          <yVal>
            <numRef>
              <f>'Datos_figuras'!$KE$3:$KE$10</f>
            </numRef>
          </yVal>
          <smooth val="0"/>
        </ser>
        <ser>
          <idx val="4"/>
          <order val="4"/>
          <tx>
            <v>Mediana por rango de σ′n, clase baja (255 ensayos)</v>
          </tx>
          <spPr>
            <a:ln xmlns:a="http://schemas.openxmlformats.org/drawingml/2006/main" w="20320">
              <a:solidFill>
                <a:srgbClr val="8C5A1E"/>
              </a:solidFill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8C5A1E"/>
                </a:solidFill>
                <a:prstDash val="solid"/>
              </a:ln>
            </spPr>
          </marker>
          <xVal>
            <numRef>
              <f>'Datos_figuras'!$KJ$3:$KJ$9</f>
            </numRef>
          </xVal>
          <yVal>
            <numRef>
              <f>'Datos_figuras'!$KK$3:$KK$9</f>
            </numRef>
          </yVal>
          <smooth val="0"/>
        </ser>
        <ser>
          <idx val="5"/>
          <order val="5"/>
          <tx>
            <v>Antamina, ensayos del ajuste (37)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'Datos_figuras'!$IW$3:$IW$39</f>
            </numRef>
          </xVal>
          <yVal>
            <numRef>
              <f>'Datos_figuras'!$IX$3:$IX$39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ensayado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Residuo dentro de cada set (menos la media del set), σ′n &gt; 1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'Datos_figuras'!$JS$3:$JS$4</f>
            </numRef>
          </xVal>
          <yVal>
            <numRef>
              <f>'Datos_figuras'!$JT$3:$JT$4</f>
            </numRef>
          </yVal>
          <smooth val="0"/>
        </ser>
        <ser>
          <idx val="1"/>
          <order val="1"/>
          <tx>
            <v>Base mundial de Leps 2.0, ensayos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FCEC9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'Datos_figuras'!$IM$3:$IM$688</f>
            </numRef>
          </yVal>
          <smooth val="0"/>
        </ser>
        <ser>
          <idx val="2"/>
          <order val="2"/>
          <tx>
            <v>Mediana por rango, clase buena; tendencia −0.83°, p &lt; 0.001</v>
          </tx>
          <spPr>
            <a:ln xmlns:a="http://schemas.openxmlformats.org/drawingml/2006/main" w="20320">
              <a:solidFill>
                <a:srgbClr val="1F4E9E"/>
              </a:solidFill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F4E9E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'Datos_figuras'!$KP$3:$KP$5</f>
            </numRef>
          </xVal>
          <yVal>
            <numRef>
              <f>'Datos_figuras'!$KQ$3:$KQ$5</f>
            </numRef>
          </yVal>
          <smooth val="0"/>
        </ser>
        <ser>
          <idx val="3"/>
          <order val="3"/>
          <tx>
            <v>Mediana por rango, clase moderada; tendencia +0.25°, p = 0.03</v>
          </tx>
          <spPr>
            <a:ln xmlns:a="http://schemas.openxmlformats.org/drawingml/2006/main" w="20320">
              <a:solidFill>
                <a:srgbClr val="1B8A3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1B8A3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'Datos_figuras'!$KV$3:$KV$7</f>
            </numRef>
          </xVal>
          <yVal>
            <numRef>
              <f>'Datos_figuras'!$KW$3:$KW$7</f>
            </numRef>
          </yVal>
          <smooth val="0"/>
        </ser>
        <ser>
          <idx val="4"/>
          <order val="4"/>
          <tx>
            <v>Mediana por rango, clase baja; tendencia −0.45°, p = 0.22</v>
          </tx>
          <spPr>
            <a:ln xmlns:a="http://schemas.openxmlformats.org/drawingml/2006/main" w="20320">
              <a:solidFill>
                <a:srgbClr val="8C5A1E"/>
              </a:solidFill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8C5A1E"/>
                </a:solidFill>
                <a:prstDash val="solid"/>
              </a:ln>
            </spPr>
          </marker>
          <xVal>
            <numRef>
              <f>'Datos_figuras'!$LB$3:$LB$6</f>
            </numRef>
          </xVal>
          <yVal>
            <numRef>
              <f>'Datos_figuras'!$LC$3:$LC$6</f>
            </numRef>
          </yVal>
          <smooth val="0"/>
        </ser>
        <ser>
          <idx val="5"/>
          <order val="5"/>
          <tx>
            <v>Antamina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'Datos_figuras'!$IW$3:$IW$39</f>
            </numRef>
          </xVal>
          <yVal>
            <numRef>
              <f>'Datos_figuras'!$JB$3:$JB$39</f>
            </numRef>
          </yVal>
          <smooth val="0"/>
        </ser>
        <ser>
          <idx val="6"/>
          <order val="6"/>
          <tx>
            <v>Tendencia base mundial, todas las clases: −0.11° por unidad de ln σ′n, p = 0.31 (82 sets)</v>
          </tx>
          <spPr>
            <a:ln xmlns:a="http://schemas.openxmlformats.org/drawingml/2006/main" w="20320">
              <a:solidFill>
                <a:srgbClr val="3B3A3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'Datos_figuras'!$JK$3:$JK$4</f>
            </numRef>
          </xVal>
          <yVal>
            <numRef>
              <f>'Datos_figuras'!$JL$3:$JL$4</f>
            </numRef>
          </yVal>
          <smooth val="0"/>
        </ser>
        <ser>
          <idx val="7"/>
          <order val="7"/>
          <tx>
            <v>Tendencia Antamina: +6.3° por unidad de ln σ′n, p &lt; 0.001 (5 sets)</v>
          </tx>
          <spPr>
            <a:ln xmlns:a="http://schemas.openxmlformats.org/drawingml/2006/main" w="2032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'Datos_figuras'!$JM$3:$JM$4</f>
            </numRef>
          </xVal>
          <yVal>
            <numRef>
              <f>'Datos_figuras'!$JN$3:$JN$4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8"/>
          <min val="-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centrado en el set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8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396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157</row>
      <rowOff>0</rowOff>
    </from>
    <ext cx="6120000" cy="396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183</row>
      <rowOff>0</rowOff>
    </from>
    <ext cx="6120000" cy="54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217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249</row>
      <rowOff>0</rowOff>
    </from>
    <ext cx="6120000" cy="396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275</row>
      <rowOff>0</rowOff>
    </from>
    <ext cx="6120000" cy="50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307</row>
      <rowOff>0</rowOff>
    </from>
    <ext cx="306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9</col>
      <colOff>0</colOff>
      <row>307</row>
      <rowOff>0</rowOff>
    </from>
    <ext cx="45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(fórmula), corrección a e base (Ec. 27) e índice de rotura Bg (columna X, de la hoja Rotura_Bg).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Rotura_Bg: índice de rotura de Marsal (Bg) de todos los ensayos con su fuente, página y uso en la figura del memo.</t>
        </is>
      </c>
    </row>
    <row r="20">
      <c r="A20" t="inlineStr">
        <is>
          <t xml:space="preserve">  Edometros: edómetros de desmonte de Antamina y e resultante con la ley del perfil A.</t>
        </is>
      </c>
    </row>
    <row r="21">
      <c r="A21" t="inlineStr">
        <is>
          <t xml:space="preserve">  Tamano_particula: sensibilidad al tamaño (Frossard et al. 2012).</t>
        </is>
      </c>
    </row>
    <row r="22">
      <c r="A22" t="inlineStr"/>
    </row>
    <row r="23">
      <c r="A23" t="inlineStr">
        <is>
          <t>Fuentes: base de ensayos de Antamina verificada contra los PDF (datos_antamina/base, verificacion_ocr); base mundial de Cylwik et al. (2025);</t>
        </is>
      </c>
    </row>
    <row r="24">
      <c r="A24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30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Residuos de la curva propuesta en Antamina y en la base mundial: (a) cada ensayo, (b) dentro de cada set</t>
        </is>
      </c>
    </row>
    <row r="183">
      <c r="B183" s="2" t="inlineStr">
        <is>
          <t>Figura 5. Curva propuesta y su banda de incertidumbre, con los ensayos del ajuste y la base mundial llevados a e base</t>
        </is>
      </c>
    </row>
    <row r="217">
      <c r="B217" s="2" t="inlineStr">
        <is>
          <t>Figura 6. Contraste de la curva propuesta con los triaxiales CU de desmonte ROM no usados en el ajuste</t>
        </is>
      </c>
    </row>
    <row r="249">
      <c r="B249" s="2" t="inlineStr">
        <is>
          <t>Figura 7. Índice de rotura de Marsal (1967) en los triaxiales drenados del ajuste</t>
        </is>
      </c>
    </row>
    <row r="275">
      <c r="B275" s="2" t="inlineStr">
        <is>
          <t>Figura 8. Curva propuesta y su banda de incertidumbre en τ–σ′n</t>
        </is>
      </c>
    </row>
    <row r="307">
      <c r="B307" s="2" t="inlineStr">
        <is>
          <t>Figura 9.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  <col width="14" customWidth="1" min="24" max="24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  <c r="X1" s="3" t="inlineStr">
        <is>
          <t>Bg (%) (índice de rotura de Marsal; hoja Rotura_Bg)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  <c r="X2">
        <f>Rotura_Bg!H3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  <c r="X3">
        <f>Rotura_Bg!H5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  <c r="X4">
        <f>Rotura_Bg!H7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  <c r="X5">
        <f>Rotura_Bg!H9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  <c r="X6">
        <f>Rotura_Bg!H11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  <c r="X7" t="inlineStr">
        <is>
          <t>no informado</t>
        </is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  <c r="X8" t="inlineStr">
        <is>
          <t>no informado</t>
        </is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  <c r="X9" t="inlineStr">
        <is>
          <t>no informado</t>
        </is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  <c r="X10">
        <f>Rotura_Bg!H14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  <c r="X11">
        <f>Rotura_Bg!H16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  <c r="X12">
        <f>Rotura_Bg!H18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  <c r="X13">
        <f>Rotura_Bg!H20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  <c r="X14">
        <f>Rotura_Bg!H22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  <c r="X15">
        <f>Rotura_Bg!H24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  <c r="X16">
        <f>Rotura_Bg!H28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  <c r="X17">
        <f>Rotura_Bg!H37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  <c r="X18">
        <f>Rotura_Bg!H43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  <c r="X19">
        <f>Rotura_Bg!H44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  <c r="X20">
        <f>Rotura_Bg!H45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  <c r="X21" t="inlineStr">
        <is>
          <t>no informado</t>
        </is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  <c r="X22" t="inlineStr">
        <is>
          <t>no informado</t>
        </is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  <c r="X23" t="inlineStr">
        <is>
          <t>no informado</t>
        </is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0" customWidth="1" min="3" max="3"/>
    <col width="15" customWidth="1" min="4" max="4"/>
    <col width="11" customWidth="1" min="5" max="5"/>
    <col width="12" customWidth="1" min="6" max="6"/>
    <col width="12" customWidth="1" min="7" max="7"/>
    <col width="9" customWidth="1" min="8" max="8"/>
    <col width="12" customWidth="1" min="9" max="9"/>
    <col width="46" customWidth="1" min="10" max="10"/>
    <col width="11" customWidth="1" min="11" max="11"/>
    <col width="60" customWidth="1" min="12" max="12"/>
    <col width="10" customWidth="1" min="13" max="1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Probeta</t>
        </is>
      </c>
      <c r="D1" s="3" t="inlineStr">
        <is>
          <t>Tipo</t>
        </is>
      </c>
      <c r="E1" s="3" t="inlineStr">
        <is>
          <t>Litología</t>
        </is>
      </c>
      <c r="F1" s="3" t="inlineStr">
        <is>
          <t>Escala de la probeta</t>
        </is>
      </c>
      <c r="G1" s="3" t="inlineStr">
        <is>
          <t>σ′3 o σ′v máx. (MPa)</t>
        </is>
      </c>
      <c r="H1" s="3" t="inlineStr">
        <is>
          <t>Bg (%)</t>
        </is>
      </c>
      <c r="I1" s="3" t="inlineStr">
        <is>
          <t>Σ|ΔW| informado (%)</t>
        </is>
      </c>
      <c r="J1" s="3" t="inlineStr">
        <is>
          <t>Origen del valor</t>
        </is>
      </c>
      <c r="K1" s="3" t="inlineStr">
        <is>
          <t>Página del PDF</t>
        </is>
      </c>
      <c r="L1" s="3" t="inlineStr">
        <is>
          <t>Nota</t>
        </is>
      </c>
      <c r="M1" s="3" t="inlineStr">
        <is>
          <t>En la Fig. del memo</t>
        </is>
      </c>
    </row>
    <row r="2">
      <c r="A2" t="inlineStr">
        <is>
          <t>Golder Associates Perú (2012)</t>
        </is>
      </c>
      <c r="B2" t="inlineStr">
        <is>
          <t>G2012-MN-C</t>
        </is>
      </c>
      <c r="C2" t="inlineStr">
        <is>
          <t>Test 1 (monótono)</t>
        </is>
      </c>
      <c r="D2" t="inlineStr">
        <is>
          <t>Triaxial drenado</t>
        </is>
      </c>
      <c r="E2" t="inlineStr">
        <is>
          <t>Mármol</t>
        </is>
      </c>
      <c r="F2" t="inlineStr">
        <is>
          <t>1.0 m</t>
        </is>
      </c>
      <c r="G2" t="n">
        <v>0.4903</v>
      </c>
      <c r="I2" t="n">
        <v>26.8</v>
      </c>
      <c r="J2" t="inlineStr">
        <is>
          <t>informado (Tabla 5)</t>
        </is>
      </c>
      <c r="K2" t="inlineStr">
        <is>
          <t>17</t>
        </is>
      </c>
      <c r="L2" t="inlineStr">
        <is>
          <t>Valor = Σ|ΔW| = 2·Bg; el propio texto define Bg como suma de diferencias positivas</t>
        </is>
      </c>
      <c r="M2" t="inlineStr"/>
    </row>
    <row r="3">
      <c r="A3" t="inlineStr">
        <is>
          <t>Golder Associates Perú (2012)</t>
        </is>
      </c>
      <c r="B3" t="inlineStr">
        <is>
          <t>G2012-MN-C</t>
        </is>
      </c>
      <c r="C3" t="inlineStr">
        <is>
          <t>Test 1 (monótono)</t>
        </is>
      </c>
      <c r="D3" t="inlineStr">
        <is>
          <t>Triaxial drenado</t>
        </is>
      </c>
      <c r="E3" t="inlineStr">
        <is>
          <t>Mármol</t>
        </is>
      </c>
      <c r="F3" t="inlineStr">
        <is>
          <t>1.0 m</t>
        </is>
      </c>
      <c r="G3" t="n">
        <v>0.4903</v>
      </c>
      <c r="H3">
        <f>I2/2</f>
        <v/>
      </c>
      <c r="I3">
        <f>I2</f>
        <v/>
      </c>
      <c r="J3" t="inlineStr">
        <is>
          <t>calculado (Marsal, granulometrías IDIEM antes/después)</t>
        </is>
      </c>
      <c r="K3" t="inlineStr">
        <is>
          <t>27;28</t>
        </is>
      </c>
      <c r="L3" t="inlineStr">
        <is>
          <t>Σ|ΔW| calculado = 26.8</t>
        </is>
      </c>
      <c r="M3" t="inlineStr">
        <is>
          <t>sí</t>
        </is>
      </c>
    </row>
    <row r="4">
      <c r="A4" t="inlineStr">
        <is>
          <t>Golder Associates Perú (2012)</t>
        </is>
      </c>
      <c r="B4" t="inlineStr">
        <is>
          <t>G2012-MN-C</t>
        </is>
      </c>
      <c r="C4" t="inlineStr">
        <is>
          <t>Test 2 (carga-descarga)</t>
        </is>
      </c>
      <c r="D4" t="inlineStr">
        <is>
          <t>Triaxial drenado</t>
        </is>
      </c>
      <c r="E4" t="inlineStr">
        <is>
          <t>Mármol</t>
        </is>
      </c>
      <c r="F4" t="inlineStr">
        <is>
          <t>1.0 m</t>
        </is>
      </c>
      <c r="G4" t="n">
        <v>0.4903</v>
      </c>
      <c r="I4" t="n">
        <v>28.6</v>
      </c>
      <c r="J4" t="inlineStr">
        <is>
          <t>informado (Tabla 5)</t>
        </is>
      </c>
      <c r="K4" t="inlineStr">
        <is>
          <t>17</t>
        </is>
      </c>
      <c r="L4" t="inlineStr">
        <is>
          <t>Valor = Σ|ΔW| = 2·Bg; el propio texto define Bg como suma de diferencias positivas</t>
        </is>
      </c>
      <c r="M4" t="inlineStr"/>
    </row>
    <row r="5">
      <c r="A5" t="inlineStr">
        <is>
          <t>Golder Associates Perú (2012)</t>
        </is>
      </c>
      <c r="B5" t="inlineStr">
        <is>
          <t>G2012-MN-C</t>
        </is>
      </c>
      <c r="C5" t="inlineStr">
        <is>
          <t>Test 2 (carga-descarga)</t>
        </is>
      </c>
      <c r="D5" t="inlineStr">
        <is>
          <t>Triaxial drenado</t>
        </is>
      </c>
      <c r="E5" t="inlineStr">
        <is>
          <t>Mármol</t>
        </is>
      </c>
      <c r="F5" t="inlineStr">
        <is>
          <t>1.0 m</t>
        </is>
      </c>
      <c r="G5" t="n">
        <v>0.4903</v>
      </c>
      <c r="H5">
        <f>I4/2</f>
        <v/>
      </c>
      <c r="I5">
        <f>I4</f>
        <v/>
      </c>
      <c r="J5" t="inlineStr">
        <is>
          <t>calculado (Marsal, granulometrías IDIEM antes/después)</t>
        </is>
      </c>
      <c r="K5" t="inlineStr">
        <is>
          <t>27;28</t>
        </is>
      </c>
      <c r="L5" t="inlineStr">
        <is>
          <t>Σ|ΔW| calculado = 28.6</t>
        </is>
      </c>
      <c r="M5" t="inlineStr">
        <is>
          <t>sí</t>
        </is>
      </c>
    </row>
    <row r="6">
      <c r="A6" t="inlineStr">
        <is>
          <t>Golder Associates Perú (2012)</t>
        </is>
      </c>
      <c r="B6" t="inlineStr">
        <is>
          <t>G2012-MN-C</t>
        </is>
      </c>
      <c r="C6" t="inlineStr">
        <is>
          <t>Test 3 (carga-descarga)</t>
        </is>
      </c>
      <c r="D6" t="inlineStr">
        <is>
          <t>Triaxial drenado</t>
        </is>
      </c>
      <c r="E6" t="inlineStr">
        <is>
          <t>Mármol</t>
        </is>
      </c>
      <c r="F6" t="inlineStr">
        <is>
          <t>1.0 m</t>
        </is>
      </c>
      <c r="G6" t="n">
        <v>0.9807</v>
      </c>
      <c r="I6" t="n">
        <v>40.8</v>
      </c>
      <c r="J6" t="inlineStr">
        <is>
          <t>informado (Tabla 5)</t>
        </is>
      </c>
      <c r="K6" t="inlineStr">
        <is>
          <t>17</t>
        </is>
      </c>
      <c r="L6" t="inlineStr">
        <is>
          <t>Valor = Σ|ΔW| = 2·Bg; el propio texto define Bg como suma de diferencias positivas</t>
        </is>
      </c>
      <c r="M6" t="inlineStr"/>
    </row>
    <row r="7">
      <c r="A7" t="inlineStr">
        <is>
          <t>Golder Associates Perú (2012)</t>
        </is>
      </c>
      <c r="B7" t="inlineStr">
        <is>
          <t>G2012-MN-C</t>
        </is>
      </c>
      <c r="C7" t="inlineStr">
        <is>
          <t>Test 3 (carga-descarga)</t>
        </is>
      </c>
      <c r="D7" t="inlineStr">
        <is>
          <t>Triaxial drenado</t>
        </is>
      </c>
      <c r="E7" t="inlineStr">
        <is>
          <t>Mármol</t>
        </is>
      </c>
      <c r="F7" t="inlineStr">
        <is>
          <t>1.0 m</t>
        </is>
      </c>
      <c r="G7" t="n">
        <v>0.9807</v>
      </c>
      <c r="H7">
        <f>I6/2</f>
        <v/>
      </c>
      <c r="I7">
        <f>I6</f>
        <v/>
      </c>
      <c r="J7" t="inlineStr">
        <is>
          <t>calculado (Marsal, granulometrías IDIEM antes/después)</t>
        </is>
      </c>
      <c r="K7" t="inlineStr">
        <is>
          <t>27;28</t>
        </is>
      </c>
      <c r="L7" t="inlineStr">
        <is>
          <t>Σ|ΔW| calculado = 40.8</t>
        </is>
      </c>
      <c r="M7" t="inlineStr">
        <is>
          <t>sí</t>
        </is>
      </c>
    </row>
    <row r="8">
      <c r="A8" t="inlineStr">
        <is>
          <t>Golder Associates Perú (2012)</t>
        </is>
      </c>
      <c r="B8" t="inlineStr">
        <is>
          <t>G2012-MN-C</t>
        </is>
      </c>
      <c r="C8" t="inlineStr">
        <is>
          <t>Test 4 (monótono)</t>
        </is>
      </c>
      <c r="D8" t="inlineStr">
        <is>
          <t>Triaxial drenado</t>
        </is>
      </c>
      <c r="E8" t="inlineStr">
        <is>
          <t>Mármol</t>
        </is>
      </c>
      <c r="F8" t="inlineStr">
        <is>
          <t>1.0 m</t>
        </is>
      </c>
      <c r="G8" t="n">
        <v>1.9613</v>
      </c>
      <c r="I8" t="n">
        <v>50.2</v>
      </c>
      <c r="J8" t="inlineStr">
        <is>
          <t>informado (Tabla 5)</t>
        </is>
      </c>
      <c r="K8" t="inlineStr">
        <is>
          <t>17</t>
        </is>
      </c>
      <c r="L8" t="inlineStr">
        <is>
          <t>Valor = Σ|ΔW| = 2·Bg; el propio texto define Bg como suma de diferencias positivas</t>
        </is>
      </c>
      <c r="M8" t="inlineStr"/>
    </row>
    <row r="9">
      <c r="A9" t="inlineStr">
        <is>
          <t>Golder Associates Perú (2012)</t>
        </is>
      </c>
      <c r="B9" t="inlineStr">
        <is>
          <t>G2012-MN-C</t>
        </is>
      </c>
      <c r="C9" t="inlineStr">
        <is>
          <t>Test 4 (monótono)</t>
        </is>
      </c>
      <c r="D9" t="inlineStr">
        <is>
          <t>Triaxial drenado</t>
        </is>
      </c>
      <c r="E9" t="inlineStr">
        <is>
          <t>Mármol</t>
        </is>
      </c>
      <c r="F9" t="inlineStr">
        <is>
          <t>1.0 m</t>
        </is>
      </c>
      <c r="G9" t="n">
        <v>1.9613</v>
      </c>
      <c r="H9">
        <f>I8/2</f>
        <v/>
      </c>
      <c r="I9">
        <f>I8</f>
        <v/>
      </c>
      <c r="J9" t="inlineStr">
        <is>
          <t>calculado (Marsal, granulometrías IDIEM antes/después)</t>
        </is>
      </c>
      <c r="K9" t="inlineStr">
        <is>
          <t>27;28</t>
        </is>
      </c>
      <c r="L9" t="inlineStr">
        <is>
          <t>Σ|ΔW| calculado = 50.2</t>
        </is>
      </c>
      <c r="M9" t="inlineStr">
        <is>
          <t>sí</t>
        </is>
      </c>
    </row>
    <row r="10">
      <c r="A10" t="inlineStr">
        <is>
          <t>Golder Associates Perú (2012)</t>
        </is>
      </c>
      <c r="B10" t="inlineStr">
        <is>
          <t>G2012-MN-C</t>
        </is>
      </c>
      <c r="C10" t="inlineStr">
        <is>
          <t>Test 5 (carga-descarga)</t>
        </is>
      </c>
      <c r="D10" t="inlineStr">
        <is>
          <t>Triaxial drenado</t>
        </is>
      </c>
      <c r="E10" t="inlineStr">
        <is>
          <t>Mármol</t>
        </is>
      </c>
      <c r="F10" t="inlineStr">
        <is>
          <t>1.0 m</t>
        </is>
      </c>
      <c r="G10" t="n">
        <v>1.9613</v>
      </c>
      <c r="I10" t="n">
        <v>55.4</v>
      </c>
      <c r="J10" t="inlineStr">
        <is>
          <t>informado (Tabla 5)</t>
        </is>
      </c>
      <c r="K10" t="inlineStr">
        <is>
          <t>17</t>
        </is>
      </c>
      <c r="L10" t="inlineStr">
        <is>
          <t>Valor = Σ|ΔW| = 2·Bg; el propio texto define Bg como suma de diferencias positivas</t>
        </is>
      </c>
      <c r="M10" t="inlineStr"/>
    </row>
    <row r="11">
      <c r="A11" t="inlineStr">
        <is>
          <t>Golder Associates Perú (2012)</t>
        </is>
      </c>
      <c r="B11" t="inlineStr">
        <is>
          <t>G2012-MN-C</t>
        </is>
      </c>
      <c r="C11" t="inlineStr">
        <is>
          <t>Test 5 (carga-descarga)</t>
        </is>
      </c>
      <c r="D11" t="inlineStr">
        <is>
          <t>Triaxial drenado</t>
        </is>
      </c>
      <c r="E11" t="inlineStr">
        <is>
          <t>Mármol</t>
        </is>
      </c>
      <c r="F11" t="inlineStr">
        <is>
          <t>1.0 m</t>
        </is>
      </c>
      <c r="G11" t="n">
        <v>1.9613</v>
      </c>
      <c r="H11">
        <f>I10/2</f>
        <v/>
      </c>
      <c r="I11">
        <f>I10</f>
        <v/>
      </c>
      <c r="J11" t="inlineStr">
        <is>
          <t>calculado (Marsal, granulometrías IDIEM antes/después)</t>
        </is>
      </c>
      <c r="K11" t="inlineStr">
        <is>
          <t>27;28</t>
        </is>
      </c>
      <c r="L11" t="inlineStr">
        <is>
          <t>Σ|ΔW| calculado = 55.4</t>
        </is>
      </c>
      <c r="M11" t="inlineStr">
        <is>
          <t>sí</t>
        </is>
      </c>
    </row>
    <row r="12">
      <c r="A12" t="inlineStr">
        <is>
          <t>Golder Associates Perú (2012)</t>
        </is>
      </c>
      <c r="B12" t="inlineStr">
        <is>
          <t>G2012-MN-C</t>
        </is>
      </c>
      <c r="C12" t="inlineStr">
        <is>
          <t>Probeta 6 edómetro (σv 60 kg/cm²)</t>
        </is>
      </c>
      <c r="D12" t="inlineStr">
        <is>
          <t>Edómetro</t>
        </is>
      </c>
      <c r="E12" t="inlineStr">
        <is>
          <t>Mármol</t>
        </is>
      </c>
      <c r="F12" t="inlineStr">
        <is>
          <t>1.0 m</t>
        </is>
      </c>
      <c r="G12" t="n">
        <v>5.884</v>
      </c>
      <c r="I12" t="n">
        <v>28.8</v>
      </c>
      <c r="J12" t="inlineStr">
        <is>
          <t>informado (Tabla 5)</t>
        </is>
      </c>
      <c r="K12" t="inlineStr">
        <is>
          <t>17</t>
        </is>
      </c>
      <c r="L12" t="inlineStr">
        <is>
          <t>edómetro, no triaxial; σ = σv máx 60 kg/cm² nominal</t>
        </is>
      </c>
      <c r="M12" t="inlineStr"/>
    </row>
    <row r="13">
      <c r="A13" t="inlineStr">
        <is>
          <t>Golder Associates Perú (2012)</t>
        </is>
      </c>
      <c r="B13" t="inlineStr">
        <is>
          <t>G2012-MN-C</t>
        </is>
      </c>
      <c r="C13" t="inlineStr">
        <is>
          <t>Probeta 6 edómetro (σv 60 kg/cm²)</t>
        </is>
      </c>
      <c r="D13" t="inlineStr">
        <is>
          <t>Edómetro</t>
        </is>
      </c>
      <c r="E13" t="inlineStr">
        <is>
          <t>Mármol</t>
        </is>
      </c>
      <c r="F13" t="inlineStr">
        <is>
          <t>1.0 m</t>
        </is>
      </c>
      <c r="G13" t="n">
        <v>5.884</v>
      </c>
      <c r="H13">
        <f>I12/2</f>
        <v/>
      </c>
      <c r="I13">
        <f>I12</f>
        <v/>
      </c>
      <c r="J13" t="inlineStr">
        <is>
          <t>calculado</t>
        </is>
      </c>
      <c r="K13" t="inlineStr">
        <is>
          <t>27;28</t>
        </is>
      </c>
      <c r="L13" t="inlineStr">
        <is>
          <t>edómetro</t>
        </is>
      </c>
      <c r="M13" t="inlineStr"/>
    </row>
    <row r="14">
      <c r="A14" t="inlineStr">
        <is>
          <t>Golder Associates Perú (2022)</t>
        </is>
      </c>
      <c r="B14" t="inlineStr">
        <is>
          <t>HF-1.0m-IDIEM-mono</t>
        </is>
      </c>
      <c r="C14" t="inlineStr">
        <is>
          <t>Hornfels P1 (B.2 P1)</t>
        </is>
      </c>
      <c r="D14" t="inlineStr">
        <is>
          <t>Triaxial drenado</t>
        </is>
      </c>
      <c r="E14" t="inlineStr">
        <is>
          <t>Hornfels</t>
        </is>
      </c>
      <c r="F14" t="inlineStr">
        <is>
          <t>1.0 m</t>
        </is>
      </c>
      <c r="G14" t="n">
        <v>0.9807</v>
      </c>
      <c r="H14" t="n">
        <v>20</v>
      </c>
      <c r="J14" t="inlineStr">
        <is>
          <t>informado (Tabla 7)</t>
        </is>
      </c>
      <c r="K14" t="inlineStr">
        <is>
          <t>41</t>
        </is>
      </c>
      <c r="M14" t="inlineStr">
        <is>
          <t>sí</t>
        </is>
      </c>
    </row>
    <row r="15">
      <c r="A15" t="inlineStr">
        <is>
          <t>Golder Associates Perú (2022)</t>
        </is>
      </c>
      <c r="B15" t="inlineStr">
        <is>
          <t>HF-1.0m-IDIEM-mono</t>
        </is>
      </c>
      <c r="C15" t="inlineStr">
        <is>
          <t>Hornfels P1 (B.2 P1)</t>
        </is>
      </c>
      <c r="D15" t="inlineStr">
        <is>
          <t>Triaxial drenado</t>
        </is>
      </c>
      <c r="E15" t="inlineStr">
        <is>
          <t>Hornfels</t>
        </is>
      </c>
      <c r="F15" t="inlineStr">
        <is>
          <t>1.0 m</t>
        </is>
      </c>
      <c r="G15" t="n">
        <v>0.9807</v>
      </c>
      <c r="H15" t="n">
        <v>20.3</v>
      </c>
      <c r="J15" t="inlineStr">
        <is>
          <t>calculado (Marsal; inicial p62 col.1)</t>
        </is>
      </c>
      <c r="K15" t="inlineStr">
        <is>
          <t>62;63</t>
        </is>
      </c>
      <c r="L15" t="inlineStr">
        <is>
          <t>62 col.3</t>
        </is>
      </c>
      <c r="M15" t="inlineStr"/>
    </row>
    <row r="16">
      <c r="A16" t="inlineStr">
        <is>
          <t>Golder Associates Perú (2022)</t>
        </is>
      </c>
      <c r="B16" t="inlineStr">
        <is>
          <t>HF-1.0m-IDIEM-mono</t>
        </is>
      </c>
      <c r="C16" t="inlineStr">
        <is>
          <t>Hornfels P2 (B.2 P2)</t>
        </is>
      </c>
      <c r="D16" t="inlineStr">
        <is>
          <t>Triaxial drenado</t>
        </is>
      </c>
      <c r="E16" t="inlineStr">
        <is>
          <t>Hornfels</t>
        </is>
      </c>
      <c r="F16" t="inlineStr">
        <is>
          <t>1.0 m</t>
        </is>
      </c>
      <c r="G16" t="n">
        <v>1.9613</v>
      </c>
      <c r="H16" t="n">
        <v>29</v>
      </c>
      <c r="J16" t="inlineStr">
        <is>
          <t>informado (Tabla 7)</t>
        </is>
      </c>
      <c r="K16" t="inlineStr">
        <is>
          <t>41</t>
        </is>
      </c>
      <c r="M16" t="inlineStr">
        <is>
          <t>sí</t>
        </is>
      </c>
    </row>
    <row r="17">
      <c r="A17" t="inlineStr">
        <is>
          <t>Golder Associates Perú (2022)</t>
        </is>
      </c>
      <c r="B17" t="inlineStr">
        <is>
          <t>HF-1.0m-IDIEM-mono</t>
        </is>
      </c>
      <c r="C17" t="inlineStr">
        <is>
          <t>Hornfels P2 (B.2 P2)</t>
        </is>
      </c>
      <c r="D17" t="inlineStr">
        <is>
          <t>Triaxial drenado</t>
        </is>
      </c>
      <c r="E17" t="inlineStr">
        <is>
          <t>Hornfels</t>
        </is>
      </c>
      <c r="F17" t="inlineStr">
        <is>
          <t>1.0 m</t>
        </is>
      </c>
      <c r="G17" t="n">
        <v>1.9613</v>
      </c>
      <c r="H17" t="n">
        <v>29.3</v>
      </c>
      <c r="J17" t="inlineStr">
        <is>
          <t>calculado (Marsal; inicial p62 col.1)</t>
        </is>
      </c>
      <c r="K17" t="inlineStr">
        <is>
          <t>62;63</t>
        </is>
      </c>
      <c r="L17" t="inlineStr">
        <is>
          <t>63 col.1 (asignación por coincidencia con Tabla 7; rótulo solo dice 20 kgf/cm²)</t>
        </is>
      </c>
      <c r="M17" t="inlineStr"/>
    </row>
    <row r="18">
      <c r="A18" t="inlineStr">
        <is>
          <t>Golder Associates Perú (2022)</t>
        </is>
      </c>
      <c r="B18" t="inlineStr">
        <is>
          <t>HF-1.0m-IDIEM-mono</t>
        </is>
      </c>
      <c r="C18" t="inlineStr">
        <is>
          <t>Hornfels P3 (B.2 P3)</t>
        </is>
      </c>
      <c r="D18" t="inlineStr">
        <is>
          <t>Triaxial drenado</t>
        </is>
      </c>
      <c r="E18" t="inlineStr">
        <is>
          <t>Hornfels</t>
        </is>
      </c>
      <c r="F18" t="inlineStr">
        <is>
          <t>1.0 m</t>
        </is>
      </c>
      <c r="G18" t="n">
        <v>2.4517</v>
      </c>
      <c r="H18" t="n">
        <v>37</v>
      </c>
      <c r="J18" t="inlineStr">
        <is>
          <t>informado (Tabla 7)</t>
        </is>
      </c>
      <c r="K18" t="inlineStr">
        <is>
          <t>41</t>
        </is>
      </c>
      <c r="M18" t="inlineStr">
        <is>
          <t>sí</t>
        </is>
      </c>
    </row>
    <row r="19">
      <c r="A19" t="inlineStr">
        <is>
          <t>Golder Associates Perú (2022)</t>
        </is>
      </c>
      <c r="B19" t="inlineStr">
        <is>
          <t>HF-1.0m-IDIEM-mono</t>
        </is>
      </c>
      <c r="C19" t="inlineStr">
        <is>
          <t>Hornfels P3 (B.2 P3)</t>
        </is>
      </c>
      <c r="D19" t="inlineStr">
        <is>
          <t>Triaxial drenado</t>
        </is>
      </c>
      <c r="E19" t="inlineStr">
        <is>
          <t>Hornfels</t>
        </is>
      </c>
      <c r="F19" t="inlineStr">
        <is>
          <t>1.0 m</t>
        </is>
      </c>
      <c r="G19" t="n">
        <v>2.4517</v>
      </c>
      <c r="H19" t="n">
        <v>36.5</v>
      </c>
      <c r="J19" t="inlineStr">
        <is>
          <t>calculado (Marsal; inicial p62 col.1)</t>
        </is>
      </c>
      <c r="K19" t="inlineStr">
        <is>
          <t>62;63</t>
        </is>
      </c>
      <c r="L19" t="inlineStr">
        <is>
          <t>63 col.3</t>
        </is>
      </c>
      <c r="M19" t="inlineStr"/>
    </row>
    <row r="20">
      <c r="A20" t="inlineStr">
        <is>
          <t>Golder Associates Perú (2022)</t>
        </is>
      </c>
      <c r="B20" t="inlineStr">
        <is>
          <t>HF-1.0m-IDIEM-cd</t>
        </is>
      </c>
      <c r="C20" t="inlineStr">
        <is>
          <t>Hornfels P4 (E P1, carga-descarga)</t>
        </is>
      </c>
      <c r="D20" t="inlineStr">
        <is>
          <t>Triaxial drenado</t>
        </is>
      </c>
      <c r="E20" t="inlineStr">
        <is>
          <t>Hornfels</t>
        </is>
      </c>
      <c r="F20" t="inlineStr">
        <is>
          <t>1.0 m</t>
        </is>
      </c>
      <c r="G20" t="n">
        <v>0.9807</v>
      </c>
      <c r="H20" t="n">
        <v>24</v>
      </c>
      <c r="J20" t="inlineStr">
        <is>
          <t>informado (Tabla 7)</t>
        </is>
      </c>
      <c r="K20" t="inlineStr">
        <is>
          <t>41</t>
        </is>
      </c>
      <c r="M20" t="inlineStr">
        <is>
          <t>sí</t>
        </is>
      </c>
    </row>
    <row r="21">
      <c r="A21" t="inlineStr">
        <is>
          <t>Golder Associates Perú (2022)</t>
        </is>
      </c>
      <c r="B21" t="inlineStr">
        <is>
          <t>HF-1.0m-IDIEM-cd</t>
        </is>
      </c>
      <c r="C21" t="inlineStr">
        <is>
          <t>Hornfels P4 (E P1, carga-descarga)</t>
        </is>
      </c>
      <c r="D21" t="inlineStr">
        <is>
          <t>Triaxial drenado</t>
        </is>
      </c>
      <c r="E21" t="inlineStr">
        <is>
          <t>Hornfels</t>
        </is>
      </c>
      <c r="F21" t="inlineStr">
        <is>
          <t>1.0 m</t>
        </is>
      </c>
      <c r="G21" t="n">
        <v>0.9807</v>
      </c>
      <c r="H21" t="n">
        <v>24.2</v>
      </c>
      <c r="J21" t="inlineStr">
        <is>
          <t>calculado (Marsal; inicial p62 col.1)</t>
        </is>
      </c>
      <c r="K21" t="inlineStr">
        <is>
          <t>62;63</t>
        </is>
      </c>
      <c r="L21" t="inlineStr">
        <is>
          <t>62 col.4</t>
        </is>
      </c>
      <c r="M21" t="inlineStr"/>
    </row>
    <row r="22">
      <c r="A22" t="inlineStr">
        <is>
          <t>Golder Associates Perú (2022)</t>
        </is>
      </c>
      <c r="B22" t="inlineStr">
        <is>
          <t>HF-1.0m-IDIEM-cd</t>
        </is>
      </c>
      <c r="C22" t="inlineStr">
        <is>
          <t>Hornfels P5 (E P2, carga-descarga)</t>
        </is>
      </c>
      <c r="D22" t="inlineStr">
        <is>
          <t>Triaxial drenado</t>
        </is>
      </c>
      <c r="E22" t="inlineStr">
        <is>
          <t>Hornfels</t>
        </is>
      </c>
      <c r="F22" t="inlineStr">
        <is>
          <t>1.0 m</t>
        </is>
      </c>
      <c r="G22" t="n">
        <v>1.9613</v>
      </c>
      <c r="H22" t="n">
        <v>36</v>
      </c>
      <c r="J22" t="inlineStr">
        <is>
          <t>informado (Tabla 7)</t>
        </is>
      </c>
      <c r="K22" t="inlineStr">
        <is>
          <t>41</t>
        </is>
      </c>
      <c r="M22" t="inlineStr">
        <is>
          <t>sí</t>
        </is>
      </c>
    </row>
    <row r="23">
      <c r="A23" t="inlineStr">
        <is>
          <t>Golder Associates Perú (2022)</t>
        </is>
      </c>
      <c r="B23" t="inlineStr">
        <is>
          <t>HF-1.0m-IDIEM-cd</t>
        </is>
      </c>
      <c r="C23" t="inlineStr">
        <is>
          <t>Hornfels P5 (E P2, carga-descarga)</t>
        </is>
      </c>
      <c r="D23" t="inlineStr">
        <is>
          <t>Triaxial drenado</t>
        </is>
      </c>
      <c r="E23" t="inlineStr">
        <is>
          <t>Hornfels</t>
        </is>
      </c>
      <c r="F23" t="inlineStr">
        <is>
          <t>1.0 m</t>
        </is>
      </c>
      <c r="G23" t="n">
        <v>1.9613</v>
      </c>
      <c r="H23" t="n">
        <v>35.5</v>
      </c>
      <c r="J23" t="inlineStr">
        <is>
          <t>calculado (Marsal; inicial p62 col.1)</t>
        </is>
      </c>
      <c r="K23" t="inlineStr">
        <is>
          <t>62;63</t>
        </is>
      </c>
      <c r="L23" t="inlineStr">
        <is>
          <t>63 col.2 (asignación por coincidencia con Tabla 7)</t>
        </is>
      </c>
      <c r="M23" t="inlineStr"/>
    </row>
    <row r="24">
      <c r="A24" t="inlineStr">
        <is>
          <t>Golder Associates Perú (2022)</t>
        </is>
      </c>
      <c r="B24" t="inlineStr">
        <is>
          <t>HF-1.0m-IDIEM-cd</t>
        </is>
      </c>
      <c r="C24" t="inlineStr">
        <is>
          <t>Hornfels P6 (E P3, carga-descarga)</t>
        </is>
      </c>
      <c r="D24" t="inlineStr">
        <is>
          <t>Triaxial drenado</t>
        </is>
      </c>
      <c r="E24" t="inlineStr">
        <is>
          <t>Hornfels</t>
        </is>
      </c>
      <c r="F24" t="inlineStr">
        <is>
          <t>1.0 m</t>
        </is>
      </c>
      <c r="G24" t="n">
        <v>2.4517</v>
      </c>
      <c r="H24" t="n">
        <v>39</v>
      </c>
      <c r="J24" t="inlineStr">
        <is>
          <t>informado (Tabla 7)</t>
        </is>
      </c>
      <c r="K24" t="inlineStr">
        <is>
          <t>41</t>
        </is>
      </c>
      <c r="M24" t="inlineStr">
        <is>
          <t>sí</t>
        </is>
      </c>
    </row>
    <row r="25">
      <c r="A25" t="inlineStr">
        <is>
          <t>Golder Associates Perú (2022)</t>
        </is>
      </c>
      <c r="B25" t="inlineStr">
        <is>
          <t>HF-1.0m-IDIEM-cd</t>
        </is>
      </c>
      <c r="C25" t="inlineStr">
        <is>
          <t>Hornfels P6 (E P3, carga-descarga)</t>
        </is>
      </c>
      <c r="D25" t="inlineStr">
        <is>
          <t>Triaxial drenado</t>
        </is>
      </c>
      <c r="E25" t="inlineStr">
        <is>
          <t>Hornfels</t>
        </is>
      </c>
      <c r="F25" t="inlineStr">
        <is>
          <t>1.0 m</t>
        </is>
      </c>
      <c r="G25" t="n">
        <v>2.4517</v>
      </c>
      <c r="H25" t="n">
        <v>38.9</v>
      </c>
      <c r="J25" t="inlineStr">
        <is>
          <t>calculado (Marsal; inicial p62 col.1)</t>
        </is>
      </c>
      <c r="K25" t="inlineStr">
        <is>
          <t>62;63</t>
        </is>
      </c>
      <c r="L25" t="inlineStr">
        <is>
          <t>63 col.4</t>
        </is>
      </c>
      <c r="M25" t="inlineStr"/>
    </row>
    <row r="26">
      <c r="A26" t="inlineStr">
        <is>
          <t>Golder Associates Perú (2022)</t>
        </is>
      </c>
      <c r="B26" t="inlineStr">
        <is>
          <t>HF-edo-1.0m</t>
        </is>
      </c>
      <c r="C26" t="inlineStr">
        <is>
          <t>Hornfels edómetro 1.0 m</t>
        </is>
      </c>
      <c r="D26" t="inlineStr">
        <is>
          <t>Edómetro</t>
        </is>
      </c>
      <c r="E26" t="inlineStr">
        <is>
          <t>Hornfels</t>
        </is>
      </c>
      <c r="F26" t="inlineStr">
        <is>
          <t>1.0 m</t>
        </is>
      </c>
      <c r="G26" t="n">
        <v>6.8</v>
      </c>
      <c r="H26" t="n">
        <v>23</v>
      </c>
      <c r="J26" t="inlineStr">
        <is>
          <t>informado (Tabla 7)</t>
        </is>
      </c>
      <c r="K26" t="inlineStr">
        <is>
          <t>41</t>
        </is>
      </c>
      <c r="L26" t="inlineStr">
        <is>
          <t>edómetro; σ nominal de Tabla 7</t>
        </is>
      </c>
      <c r="M26" t="inlineStr"/>
    </row>
    <row r="27">
      <c r="A27" t="inlineStr">
        <is>
          <t>Golder Associates Perú (2022)</t>
        </is>
      </c>
      <c r="B27" t="inlineStr">
        <is>
          <t>HF-edo-1.0m</t>
        </is>
      </c>
      <c r="C27" t="inlineStr">
        <is>
          <t>Hornfels edómetro 1.0 m</t>
        </is>
      </c>
      <c r="D27" t="inlineStr">
        <is>
          <t>Edómetro</t>
        </is>
      </c>
      <c r="E27" t="inlineStr">
        <is>
          <t>Hornfels</t>
        </is>
      </c>
      <c r="F27" t="inlineStr">
        <is>
          <t>1.0 m</t>
        </is>
      </c>
      <c r="G27" t="n">
        <v>6.8</v>
      </c>
      <c r="H27" t="n">
        <v>23</v>
      </c>
      <c r="J27" t="inlineStr">
        <is>
          <t>calculado</t>
        </is>
      </c>
      <c r="K27" t="inlineStr">
        <is>
          <t>62</t>
        </is>
      </c>
      <c r="L27" t="inlineStr">
        <is>
          <t>edómetro</t>
        </is>
      </c>
      <c r="M27" t="inlineStr"/>
    </row>
    <row r="28">
      <c r="A28" t="inlineStr">
        <is>
          <t>Golder Associates Perú (2022)</t>
        </is>
      </c>
      <c r="B28" t="inlineStr">
        <is>
          <t>HF-0.15m-Golder</t>
        </is>
      </c>
      <c r="C28" t="inlineStr">
        <is>
          <t>Hornfels P7 Golder 6" (carga-descarga)</t>
        </is>
      </c>
      <c r="D28" t="inlineStr">
        <is>
          <t>Triaxial drenado</t>
        </is>
      </c>
      <c r="E28" t="inlineStr">
        <is>
          <t>Hornfels</t>
        </is>
      </c>
      <c r="F28" t="inlineStr">
        <is>
          <t>6 in</t>
        </is>
      </c>
      <c r="G28" t="n">
        <v>0.977</v>
      </c>
      <c r="H28" t="n">
        <v>15</v>
      </c>
      <c r="J28" t="inlineStr">
        <is>
          <t>informado (Tabla 7)</t>
        </is>
      </c>
      <c r="K28" t="inlineStr">
        <is>
          <t>41</t>
        </is>
      </c>
      <c r="L28" t="inlineStr">
        <is>
          <t>sin granulometrías tabuladas para recalcular</t>
        </is>
      </c>
      <c r="M28" t="inlineStr">
        <is>
          <t>sí</t>
        </is>
      </c>
    </row>
    <row r="29">
      <c r="A29" t="inlineStr">
        <is>
          <t>Golder Associates Perú (2022)</t>
        </is>
      </c>
      <c r="B29" t="inlineStr">
        <is>
          <t>HF-cic</t>
        </is>
      </c>
      <c r="C29" t="inlineStr">
        <is>
          <t>Hornfels P8-P10 cíclicos 0.15/0.10 m (un solo valor)</t>
        </is>
      </c>
      <c r="D29" t="inlineStr">
        <is>
          <t>Triaxial cíclico</t>
        </is>
      </c>
      <c r="E29" t="inlineStr">
        <is>
          <t>Hornfels</t>
        </is>
      </c>
      <c r="F29" t="inlineStr">
        <is>
          <t>0.10–0.15 m</t>
        </is>
      </c>
      <c r="G29" t="n">
        <v>0.35</v>
      </c>
      <c r="H29" t="n">
        <v>8</v>
      </c>
      <c r="J29" t="inlineStr">
        <is>
          <t>informado (Tabla 7)</t>
        </is>
      </c>
      <c r="K29" t="inlineStr">
        <is>
          <t>41</t>
        </is>
      </c>
      <c r="L29" t="inlineStr">
        <is>
          <t>sin granulometrías tabuladas para recalcular</t>
        </is>
      </c>
      <c r="M29" t="inlineStr"/>
    </row>
    <row r="30">
      <c r="A30" t="inlineStr">
        <is>
          <t>Golder Associates Perú (2022)</t>
        </is>
      </c>
      <c r="B30" t="inlineStr">
        <is>
          <t>HF-edo-0.24m</t>
        </is>
      </c>
      <c r="C30" t="inlineStr">
        <is>
          <t>Hornfels edómetro 0.24 m 2.3 t/m³</t>
        </is>
      </c>
      <c r="D30" t="inlineStr">
        <is>
          <t>Edómetro</t>
        </is>
      </c>
      <c r="E30" t="inlineStr">
        <is>
          <t>Hornfels</t>
        </is>
      </c>
      <c r="F30" t="inlineStr">
        <is>
          <t>0.24 m</t>
        </is>
      </c>
      <c r="G30" t="n">
        <v>4.8</v>
      </c>
      <c r="H30" t="n">
        <v>12</v>
      </c>
      <c r="J30" t="inlineStr">
        <is>
          <t>informado (Tabla 7)</t>
        </is>
      </c>
      <c r="K30" t="inlineStr">
        <is>
          <t>41</t>
        </is>
      </c>
      <c r="L30" t="inlineStr">
        <is>
          <t>sin granulometrías tabuladas para recalcular</t>
        </is>
      </c>
      <c r="M30" t="inlineStr"/>
    </row>
    <row r="31">
      <c r="A31" t="inlineStr">
        <is>
          <t>Golder Associates Perú (2022)</t>
        </is>
      </c>
      <c r="B31" t="inlineStr">
        <is>
          <t>HF-edo-0.24m</t>
        </is>
      </c>
      <c r="C31" t="inlineStr">
        <is>
          <t>Hornfels edómetro 0.24 m 1.8 t/m³</t>
        </is>
      </c>
      <c r="D31" t="inlineStr">
        <is>
          <t>Edómetro</t>
        </is>
      </c>
      <c r="E31" t="inlineStr">
        <is>
          <t>Hornfels</t>
        </is>
      </c>
      <c r="F31" t="inlineStr">
        <is>
          <t>0.24 m</t>
        </is>
      </c>
      <c r="G31" t="n">
        <v>4.8</v>
      </c>
      <c r="H31" t="n">
        <v>8</v>
      </c>
      <c r="J31" t="inlineStr">
        <is>
          <t>informado (Tabla 7)</t>
        </is>
      </c>
      <c r="K31" t="inlineStr">
        <is>
          <t>41</t>
        </is>
      </c>
      <c r="L31" t="inlineStr">
        <is>
          <t>sin granulometrías tabuladas para recalcular</t>
        </is>
      </c>
      <c r="M31" t="inlineStr"/>
    </row>
    <row r="32">
      <c r="A32" t="inlineStr">
        <is>
          <t>Golder Associates Perú (2022)</t>
        </is>
      </c>
      <c r="B32" t="inlineStr">
        <is>
          <t>MN-1.0m-2011</t>
        </is>
      </c>
      <c r="C32" t="inlineStr">
        <is>
          <t>Mármol P1 monótono 490 (=G2012 Test 1)</t>
        </is>
      </c>
      <c r="D32" t="inlineStr">
        <is>
          <t>Triaxial drenado</t>
        </is>
      </c>
      <c r="E32" t="inlineStr">
        <is>
          <t>Mármol</t>
        </is>
      </c>
      <c r="F32" t="inlineStr">
        <is>
          <t>1.0 m</t>
        </is>
      </c>
      <c r="G32" t="n">
        <v>0.49</v>
      </c>
      <c r="H32" t="n">
        <v>13</v>
      </c>
      <c r="J32" t="inlineStr">
        <is>
          <t>informado (Tabla 7)</t>
        </is>
      </c>
      <c r="K32" t="inlineStr">
        <is>
          <t>41</t>
        </is>
      </c>
      <c r="M32" t="inlineStr"/>
    </row>
    <row r="33">
      <c r="A33" t="inlineStr">
        <is>
          <t>Golder Associates Perú (2022)</t>
        </is>
      </c>
      <c r="B33" t="inlineStr">
        <is>
          <t>MN-1.0m-2011</t>
        </is>
      </c>
      <c r="C33" t="inlineStr">
        <is>
          <t>Mármol P2 monótono 1961 (=G2012 Test 4)</t>
        </is>
      </c>
      <c r="D33" t="inlineStr">
        <is>
          <t>Triaxial drenado</t>
        </is>
      </c>
      <c r="E33" t="inlineStr">
        <is>
          <t>Mármol</t>
        </is>
      </c>
      <c r="F33" t="inlineStr">
        <is>
          <t>1.0 m</t>
        </is>
      </c>
      <c r="G33" t="n">
        <v>1.961</v>
      </c>
      <c r="H33" t="n">
        <v>25</v>
      </c>
      <c r="J33" t="inlineStr">
        <is>
          <t>informado (Tabla 7)</t>
        </is>
      </c>
      <c r="K33" t="inlineStr">
        <is>
          <t>41</t>
        </is>
      </c>
      <c r="M33" t="inlineStr"/>
    </row>
    <row r="34">
      <c r="A34" t="inlineStr">
        <is>
          <t>Golder Associates Perú (2022)</t>
        </is>
      </c>
      <c r="B34" t="inlineStr">
        <is>
          <t>MN-1.0m-2011</t>
        </is>
      </c>
      <c r="C34" t="inlineStr">
        <is>
          <t>Mármol P3 c-d 490 (=G2012 Test 2)</t>
        </is>
      </c>
      <c r="D34" t="inlineStr">
        <is>
          <t>Triaxial drenado</t>
        </is>
      </c>
      <c r="E34" t="inlineStr">
        <is>
          <t>Mármol</t>
        </is>
      </c>
      <c r="F34" t="inlineStr">
        <is>
          <t>1.0 m</t>
        </is>
      </c>
      <c r="G34" t="n">
        <v>0.49</v>
      </c>
      <c r="H34" t="n">
        <v>14</v>
      </c>
      <c r="J34" t="inlineStr">
        <is>
          <t>informado (Tabla 7)</t>
        </is>
      </c>
      <c r="K34" t="inlineStr">
        <is>
          <t>41</t>
        </is>
      </c>
      <c r="M34" t="inlineStr"/>
    </row>
    <row r="35">
      <c r="A35" t="inlineStr">
        <is>
          <t>Golder Associates Perú (2022)</t>
        </is>
      </c>
      <c r="B35" t="inlineStr">
        <is>
          <t>MN-1.0m-2011</t>
        </is>
      </c>
      <c r="C35" t="inlineStr">
        <is>
          <t>Mármol P4 c-d 981 (=G2012 Test 3)</t>
        </is>
      </c>
      <c r="D35" t="inlineStr">
        <is>
          <t>Triaxial drenado</t>
        </is>
      </c>
      <c r="E35" t="inlineStr">
        <is>
          <t>Mármol</t>
        </is>
      </c>
      <c r="F35" t="inlineStr">
        <is>
          <t>1.0 m</t>
        </is>
      </c>
      <c r="G35" t="n">
        <v>0.981</v>
      </c>
      <c r="H35" t="n">
        <v>20</v>
      </c>
      <c r="J35" t="inlineStr">
        <is>
          <t>informado (Tabla 7)</t>
        </is>
      </c>
      <c r="K35" t="inlineStr">
        <is>
          <t>41</t>
        </is>
      </c>
      <c r="M35" t="inlineStr"/>
    </row>
    <row r="36">
      <c r="A36" t="inlineStr">
        <is>
          <t>Golder Associates Perú (2022)</t>
        </is>
      </c>
      <c r="B36" t="inlineStr">
        <is>
          <t>MN-1.0m-2011</t>
        </is>
      </c>
      <c r="C36" t="inlineStr">
        <is>
          <t>Mármol P5 c-d 1961 (=G2012 Test 5)</t>
        </is>
      </c>
      <c r="D36" t="inlineStr">
        <is>
          <t>Triaxial drenado</t>
        </is>
      </c>
      <c r="E36" t="inlineStr">
        <is>
          <t>Mármol</t>
        </is>
      </c>
      <c r="F36" t="inlineStr">
        <is>
          <t>1.0 m</t>
        </is>
      </c>
      <c r="G36" t="n">
        <v>1.961</v>
      </c>
      <c r="H36" t="n">
        <v>28</v>
      </c>
      <c r="J36" t="inlineStr">
        <is>
          <t>informado (Tabla 7)</t>
        </is>
      </c>
      <c r="K36" t="inlineStr">
        <is>
          <t>41</t>
        </is>
      </c>
      <c r="M36" t="inlineStr"/>
    </row>
    <row r="37">
      <c r="A37" t="inlineStr">
        <is>
          <t>Golder Associates Perú (2022)</t>
        </is>
      </c>
      <c r="B37" t="inlineStr">
        <is>
          <t>MN-0.15m-Golder</t>
        </is>
      </c>
      <c r="C37" t="inlineStr">
        <is>
          <t>Mármol P6 Golder 6" (carga-descarga)</t>
        </is>
      </c>
      <c r="D37" t="inlineStr">
        <is>
          <t>Triaxial drenado</t>
        </is>
      </c>
      <c r="E37" t="inlineStr">
        <is>
          <t>Mármol</t>
        </is>
      </c>
      <c r="F37" t="inlineStr">
        <is>
          <t>6 in</t>
        </is>
      </c>
      <c r="G37" t="n">
        <v>0.982</v>
      </c>
      <c r="H37" t="n">
        <v>30</v>
      </c>
      <c r="J37" t="inlineStr">
        <is>
          <t>informado (Tabla 7)</t>
        </is>
      </c>
      <c r="K37" t="inlineStr">
        <is>
          <t>41</t>
        </is>
      </c>
      <c r="L37" t="inlineStr">
        <is>
          <t>sin granulometrías tabuladas para recalcular</t>
        </is>
      </c>
      <c r="M37" t="inlineStr">
        <is>
          <t>sí</t>
        </is>
      </c>
    </row>
    <row r="38">
      <c r="A38" t="inlineStr">
        <is>
          <t>Golder Associates Perú (2022)</t>
        </is>
      </c>
      <c r="B38" t="inlineStr">
        <is>
          <t>MN-cic</t>
        </is>
      </c>
      <c r="C38" t="inlineStr">
        <is>
          <t>Mármol P7-P9 cíclicos (un solo valor)</t>
        </is>
      </c>
      <c r="D38" t="inlineStr">
        <is>
          <t>Triaxial cíclico</t>
        </is>
      </c>
      <c r="E38" t="inlineStr">
        <is>
          <t>Mármol</t>
        </is>
      </c>
      <c r="F38" t="inlineStr">
        <is>
          <t>0.10–0.15 m</t>
        </is>
      </c>
      <c r="G38" t="n">
        <v>0.35</v>
      </c>
      <c r="H38" t="n">
        <v>6</v>
      </c>
      <c r="J38" t="inlineStr">
        <is>
          <t>informado (Tabla 7)</t>
        </is>
      </c>
      <c r="K38" t="inlineStr">
        <is>
          <t>41</t>
        </is>
      </c>
      <c r="L38" t="inlineStr">
        <is>
          <t>sin granulometrías tabuladas para recalcular</t>
        </is>
      </c>
      <c r="M38" t="inlineStr"/>
    </row>
    <row r="39">
      <c r="A39" t="inlineStr">
        <is>
          <t>Golder Associates Perú (2022)</t>
        </is>
      </c>
      <c r="B39" t="inlineStr">
        <is>
          <t>MN-edo</t>
        </is>
      </c>
      <c r="C39" t="inlineStr">
        <is>
          <t>Mármol edómetro 1.0 m 2011</t>
        </is>
      </c>
      <c r="D39" t="inlineStr">
        <is>
          <t>Edómetro</t>
        </is>
      </c>
      <c r="E39" t="inlineStr">
        <is>
          <t>Mármol</t>
        </is>
      </c>
      <c r="F39" t="inlineStr">
        <is>
          <t>1.0 m</t>
        </is>
      </c>
      <c r="G39" t="n">
        <v>6.8</v>
      </c>
      <c r="H39" t="n">
        <v>14</v>
      </c>
      <c r="J39" t="inlineStr">
        <is>
          <t>informado (Tabla 7)</t>
        </is>
      </c>
      <c r="K39" t="inlineStr">
        <is>
          <t>41</t>
        </is>
      </c>
      <c r="M39" t="inlineStr"/>
    </row>
    <row r="40">
      <c r="A40" t="inlineStr">
        <is>
          <t>Golder Associates Perú (2022)</t>
        </is>
      </c>
      <c r="B40" t="inlineStr">
        <is>
          <t>MN-edo</t>
        </is>
      </c>
      <c r="C40" t="inlineStr">
        <is>
          <t>Mármol edómetro 1.0 m 2021</t>
        </is>
      </c>
      <c r="D40" t="inlineStr">
        <is>
          <t>Edómetro</t>
        </is>
      </c>
      <c r="E40" t="inlineStr">
        <is>
          <t>Mármol</t>
        </is>
      </c>
      <c r="F40" t="inlineStr">
        <is>
          <t>1.0 m</t>
        </is>
      </c>
      <c r="G40" t="n">
        <v>6.8</v>
      </c>
      <c r="H40" t="n">
        <v>45</v>
      </c>
      <c r="J40" t="inlineStr">
        <is>
          <t>informado (Tabla 7)</t>
        </is>
      </c>
      <c r="K40" t="inlineStr">
        <is>
          <t>41</t>
        </is>
      </c>
      <c r="M40" t="inlineStr"/>
    </row>
    <row r="41">
      <c r="A41" t="inlineStr">
        <is>
          <t>Golder Associates Perú (2022)</t>
        </is>
      </c>
      <c r="B41" t="inlineStr">
        <is>
          <t>MN-edo</t>
        </is>
      </c>
      <c r="C41" t="inlineStr">
        <is>
          <t>Mármol edómetro 0.24 m 2.3 t/m³</t>
        </is>
      </c>
      <c r="D41" t="inlineStr">
        <is>
          <t>Edómetro</t>
        </is>
      </c>
      <c r="E41" t="inlineStr">
        <is>
          <t>Mármol</t>
        </is>
      </c>
      <c r="F41" t="inlineStr">
        <is>
          <t>0.24 m</t>
        </is>
      </c>
      <c r="G41" t="n">
        <v>4.8</v>
      </c>
      <c r="J41" t="inlineStr">
        <is>
          <t>informado (Tabla 7)</t>
        </is>
      </c>
      <c r="K41" t="inlineStr">
        <is>
          <t>41</t>
        </is>
      </c>
      <c r="L41" t="inlineStr">
        <is>
          <t>sin granulometrías tabuladas para recalcular</t>
        </is>
      </c>
      <c r="M41" t="inlineStr"/>
    </row>
    <row r="42">
      <c r="A42" t="inlineStr">
        <is>
          <t>Golder Associates Perú (2022)</t>
        </is>
      </c>
      <c r="B42" t="inlineStr">
        <is>
          <t>MN-edo</t>
        </is>
      </c>
      <c r="C42" t="inlineStr">
        <is>
          <t>Mármol edómetro 0.24 m 1.8 t/m³</t>
        </is>
      </c>
      <c r="D42" t="inlineStr">
        <is>
          <t>Edómetro</t>
        </is>
      </c>
      <c r="E42" t="inlineStr">
        <is>
          <t>Mármol</t>
        </is>
      </c>
      <c r="F42" t="inlineStr">
        <is>
          <t>0.24 m</t>
        </is>
      </c>
      <c r="G42" t="n">
        <v>4.8</v>
      </c>
      <c r="H42" t="n">
        <v>21</v>
      </c>
      <c r="J42" t="inlineStr">
        <is>
          <t>informado (Tabla 7)</t>
        </is>
      </c>
      <c r="K42" t="inlineStr">
        <is>
          <t>41</t>
        </is>
      </c>
      <c r="L42" t="inlineStr">
        <is>
          <t>sin granulometrías tabuladas para recalcular</t>
        </is>
      </c>
      <c r="M42" t="inlineStr"/>
    </row>
    <row r="43">
      <c r="A43" t="inlineStr">
        <is>
          <t>WSP Perú (2024)</t>
        </is>
      </c>
      <c r="B43" t="inlineStr">
        <is>
          <t>WSP24_C4_MON</t>
        </is>
      </c>
      <c r="C43" t="inlineStr">
        <is>
          <t>Probeta 1</t>
        </is>
      </c>
      <c r="D43" t="inlineStr">
        <is>
          <t>Triaxial drenado</t>
        </is>
      </c>
      <c r="E43" t="inlineStr">
        <is>
          <t>Intrusivo</t>
        </is>
      </c>
      <c r="F43" t="inlineStr">
        <is>
          <t>0.6 m</t>
        </is>
      </c>
      <c r="G43" t="n">
        <v>0.49</v>
      </c>
      <c r="H43" t="n">
        <v>8.300000000000001</v>
      </c>
      <c r="J43" t="inlineStr">
        <is>
          <t>informado (Tabla 15)</t>
        </is>
      </c>
      <c r="K43" t="inlineStr">
        <is>
          <t>36</t>
        </is>
      </c>
      <c r="L43" t="inlineStr">
        <is>
          <t>sin relave</t>
        </is>
      </c>
      <c r="M43" t="inlineStr">
        <is>
          <t>sí</t>
        </is>
      </c>
    </row>
    <row r="44">
      <c r="A44" t="inlineStr">
        <is>
          <t>WSP Perú (2024)</t>
        </is>
      </c>
      <c r="B44" t="inlineStr">
        <is>
          <t>WSP24_C4_MON</t>
        </is>
      </c>
      <c r="C44" t="inlineStr">
        <is>
          <t>Probeta 2</t>
        </is>
      </c>
      <c r="D44" t="inlineStr">
        <is>
          <t>Triaxial drenado</t>
        </is>
      </c>
      <c r="E44" t="inlineStr">
        <is>
          <t>Intrusivo</t>
        </is>
      </c>
      <c r="F44" t="inlineStr">
        <is>
          <t>0.6 m</t>
        </is>
      </c>
      <c r="G44" t="n">
        <v>0.98</v>
      </c>
      <c r="H44" t="n">
        <v>8.5</v>
      </c>
      <c r="J44" t="inlineStr">
        <is>
          <t>informado (Tabla 15)</t>
        </is>
      </c>
      <c r="K44" t="inlineStr">
        <is>
          <t>36</t>
        </is>
      </c>
      <c r="L44" t="inlineStr">
        <is>
          <t>sin relave</t>
        </is>
      </c>
      <c r="M44" t="inlineStr">
        <is>
          <t>sí</t>
        </is>
      </c>
    </row>
    <row r="45">
      <c r="A45" t="inlineStr">
        <is>
          <t>WSP Perú (2024)</t>
        </is>
      </c>
      <c r="B45" t="inlineStr">
        <is>
          <t>WSP24_C4_MON</t>
        </is>
      </c>
      <c r="C45" t="inlineStr">
        <is>
          <t>Probeta 3</t>
        </is>
      </c>
      <c r="D45" t="inlineStr">
        <is>
          <t>Triaxial drenado</t>
        </is>
      </c>
      <c r="E45" t="inlineStr">
        <is>
          <t>Intrusivo</t>
        </is>
      </c>
      <c r="F45" t="inlineStr">
        <is>
          <t>0.6 m</t>
        </is>
      </c>
      <c r="G45" t="n">
        <v>1.96</v>
      </c>
      <c r="H45" t="n">
        <v>17.6</v>
      </c>
      <c r="J45" t="inlineStr">
        <is>
          <t>informado (Tabla 15)</t>
        </is>
      </c>
      <c r="K45" t="inlineStr">
        <is>
          <t>36</t>
        </is>
      </c>
      <c r="L45" t="inlineStr">
        <is>
          <t>sin relave</t>
        </is>
      </c>
      <c r="M45" t="inlineStr">
        <is>
          <t>sí</t>
        </is>
      </c>
    </row>
    <row r="46">
      <c r="A46" t="inlineStr">
        <is>
          <t>WSP Perú (2024)</t>
        </is>
      </c>
      <c r="B46" t="inlineStr">
        <is>
          <t>WSP24_C4_EDO</t>
        </is>
      </c>
      <c r="C46" t="inlineStr">
        <is>
          <t>edómetro 0.60 m</t>
        </is>
      </c>
      <c r="D46" t="inlineStr">
        <is>
          <t>Edómetro</t>
        </is>
      </c>
      <c r="E46" t="inlineStr">
        <is>
          <t>Intrusivo</t>
        </is>
      </c>
      <c r="F46" t="inlineStr">
        <is>
          <t>0.6 m</t>
        </is>
      </c>
      <c r="G46" t="n">
        <v>5.88</v>
      </c>
      <c r="H46" t="n">
        <v>9.199999999999999</v>
      </c>
      <c r="J46" t="inlineStr">
        <is>
          <t>informado (Tabla 15)</t>
        </is>
      </c>
      <c r="K46" t="inlineStr">
        <is>
          <t>36</t>
        </is>
      </c>
      <c r="L46" t="inlineStr">
        <is>
          <t>sin relave</t>
        </is>
      </c>
      <c r="M46" t="inlineStr"/>
    </row>
    <row r="47">
      <c r="A47" t="inlineStr">
        <is>
          <t>WSP Perú (2024)</t>
        </is>
      </c>
      <c r="B47" t="inlineStr">
        <is>
          <t>WSP24_C4_MON</t>
        </is>
      </c>
      <c r="C47" t="inlineStr">
        <is>
          <t>Probeta 1</t>
        </is>
      </c>
      <c r="D47" t="inlineStr">
        <is>
          <t>Triaxial drenado</t>
        </is>
      </c>
      <c r="E47" t="inlineStr">
        <is>
          <t>Intrusivo</t>
        </is>
      </c>
      <c r="F47" t="inlineStr">
        <is>
          <t>0.6 m</t>
        </is>
      </c>
      <c r="G47" t="n">
        <v>0.4903</v>
      </c>
      <c r="H47" t="n">
        <v>8.300000000000001</v>
      </c>
      <c r="J47" t="inlineStr">
        <is>
          <t>calculado (inicial = desmonte p93 truncado a 4" y renormalizado; supuesto)</t>
        </is>
      </c>
      <c r="K47" t="inlineStr">
        <is>
          <t>93;108;120</t>
        </is>
      </c>
      <c r="L47" t="inlineStr">
        <is>
          <t>la curva inicial de montaje solo está en gráfico (p108); Bg calculado aproximado</t>
        </is>
      </c>
      <c r="M47" t="inlineStr"/>
    </row>
    <row r="48">
      <c r="A48" t="inlineStr">
        <is>
          <t>WSP Perú (2024)</t>
        </is>
      </c>
      <c r="B48" t="inlineStr">
        <is>
          <t>WSP24_C4_MON</t>
        </is>
      </c>
      <c r="C48" t="inlineStr">
        <is>
          <t>Probeta 2</t>
        </is>
      </c>
      <c r="D48" t="inlineStr">
        <is>
          <t>Triaxial drenado</t>
        </is>
      </c>
      <c r="E48" t="inlineStr">
        <is>
          <t>Intrusivo</t>
        </is>
      </c>
      <c r="F48" t="inlineStr">
        <is>
          <t>0.6 m</t>
        </is>
      </c>
      <c r="G48" t="n">
        <v>0.9807</v>
      </c>
      <c r="H48" t="n">
        <v>8.5</v>
      </c>
      <c r="J48" t="inlineStr">
        <is>
          <t>calculado (inicial = desmonte p93 truncado a 4" y renormalizado; supuesto)</t>
        </is>
      </c>
      <c r="K48" t="inlineStr">
        <is>
          <t>93;108;120</t>
        </is>
      </c>
      <c r="L48" t="inlineStr">
        <is>
          <t>la curva inicial de montaje solo está en gráfico (p108); Bg calculado aproximado</t>
        </is>
      </c>
      <c r="M48" t="inlineStr"/>
    </row>
    <row r="49">
      <c r="A49" t="inlineStr">
        <is>
          <t>WSP Perú (2024)</t>
        </is>
      </c>
      <c r="B49" t="inlineStr">
        <is>
          <t>WSP24_C4_MON</t>
        </is>
      </c>
      <c r="C49" t="inlineStr">
        <is>
          <t>Probeta 3</t>
        </is>
      </c>
      <c r="D49" t="inlineStr">
        <is>
          <t>Triaxial drenado</t>
        </is>
      </c>
      <c r="E49" t="inlineStr">
        <is>
          <t>Intrusivo</t>
        </is>
      </c>
      <c r="F49" t="inlineStr">
        <is>
          <t>0.6 m</t>
        </is>
      </c>
      <c r="G49" t="n">
        <v>1.9613</v>
      </c>
      <c r="H49" t="n">
        <v>17.6</v>
      </c>
      <c r="J49" t="inlineStr">
        <is>
          <t>calculado (inicial = desmonte p93 truncado a 4" y renormalizado; supuesto)</t>
        </is>
      </c>
      <c r="K49" t="inlineStr">
        <is>
          <t>93;108;120</t>
        </is>
      </c>
      <c r="L49" t="inlineStr">
        <is>
          <t>la curva inicial de montaje solo está en gráfico (p108); Bg calculado aproximado</t>
        </is>
      </c>
      <c r="M49" t="inlineStr"/>
    </row>
    <row r="50">
      <c r="A50" t="inlineStr">
        <is>
          <t>Golder Associates Perú (2021)</t>
        </is>
      </c>
      <c r="B50" t="inlineStr">
        <is>
          <t>todos</t>
        </is>
      </c>
      <c r="C50" t="inlineStr">
        <is>
          <t>—</t>
        </is>
      </c>
      <c r="D50" t="inlineStr">
        <is>
          <t>—</t>
        </is>
      </c>
      <c r="E50" t="inlineStr">
        <is>
          <t>—</t>
        </is>
      </c>
      <c r="F50" t="inlineStr">
        <is>
          <t>—</t>
        </is>
      </c>
      <c r="J50" t="inlineStr">
        <is>
          <t>—</t>
        </is>
      </c>
      <c r="K50" t="inlineStr">
        <is>
          <t>—</t>
        </is>
      </c>
      <c r="L50" t="inlineStr">
        <is>
          <t>G2021 no informa granulometrías post-ensayo ni Bg</t>
        </is>
      </c>
      <c r="M50" t="inlineStr"/>
    </row>
    <row r="51">
      <c r="A51" t="inlineStr">
        <is>
          <t>IDIEM (2025)</t>
        </is>
      </c>
      <c r="B51" t="inlineStr">
        <is>
          <t>Codisposal 1 (100% Intrusivo)</t>
        </is>
      </c>
      <c r="C51" t="inlineStr">
        <is>
          <t>P1-P3</t>
        </is>
      </c>
      <c r="D51" t="inlineStr">
        <is>
          <t>—</t>
        </is>
      </c>
      <c r="E51" t="inlineStr">
        <is>
          <t>Intrusivo</t>
        </is>
      </c>
      <c r="F51" t="inlineStr">
        <is>
          <t>—</t>
        </is>
      </c>
      <c r="J51" t="inlineStr">
        <is>
          <t>—</t>
        </is>
      </c>
      <c r="K51" t="inlineStr">
        <is>
          <t>4;29</t>
        </is>
      </c>
      <c r="L51" t="inlineStr">
        <is>
          <t>Granulometrías post-TX figuran en el programa (Tabla 1, ítems 29-31) con «---» (no ensayadas en este informe)</t>
        </is>
      </c>
      <c r="M51" t="inlineStr"/>
    </row>
    <row r="53">
      <c r="A53" t="inlineStr">
        <is>
          <t>Bg: índice de rotura de Marsal (1967), suma de las diferencias positivas entre las granulometrías antes y después del ensayo, en %. Golder (2012, Tabla 5) informa la suma de las diferencias en valor absoluto, Σ|ΔW| = 2·Bg; su Bg se calcula como Σ|ΔW|/2 (columna H, fórmula).</t>
        </is>
      </c>
    </row>
    <row r="54">
      <c r="A54" t="inlineStr">
        <is>
          <t>Fuente: datos_antamina/verificacion_ocr/rotura_bg.csv, verificado contra las páginas citadas. Sin las mezclas con relave. «sí» en la última columna: ensayos de la figura del índice de rotura del memo (triaxiales drenados del ajuste, valor adoptado).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  <col width="13" customWidth="1" min="8" max="8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H1" s="3" t="inlineStr">
        <is>
          <t>Bg (%) (base de Leps 2.0)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  <c r="H79" t="n">
        <v>57.45630833333335</v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  <c r="H80" t="n">
        <v>64.50428215555556</v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  <c r="H81" t="n">
        <v>53.7791046</v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  <c r="H90" t="n">
        <v>13.8</v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  <c r="H93" t="n">
        <v>10.8</v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  <c r="H94" t="n">
        <v>8.800000000000001</v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  <c r="H95" t="n">
        <v>15.1</v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  <c r="H96" t="n">
        <v>10.6</v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  <c r="H98" t="n">
        <v>6.3</v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  <c r="H99" t="n">
        <v>15.3</v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  <c r="H100" t="n">
        <v>14.3</v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  <c r="H101" t="n">
        <v>14.1</v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  <c r="H102" t="n">
        <v>21.2</v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  <c r="H103" t="n">
        <v>18.1</v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  <c r="H104" t="n">
        <v>24.4</v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  <c r="H105" t="n">
        <v>3.4</v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  <c r="H106" t="n">
        <v>8.1</v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  <c r="H107" t="n">
        <v>12.3</v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  <c r="H108" t="n">
        <v>14.2</v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  <c r="H110" t="n">
        <v>7.5</v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  <c r="H112" t="n">
        <v>8.9</v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  <c r="H115" t="n">
        <v>14.68714285714286</v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  <c r="H116" t="n">
        <v>18.6024</v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  <c r="H117" t="n">
        <v>27.45138461538462</v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  <c r="H118" t="n">
        <v>27.54000000000001</v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  <c r="H119" t="n">
        <v>17.204</v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  <c r="H120" t="n">
        <v>14.973</v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  <c r="H121" t="n">
        <v>20.5436</v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  <c r="H122" t="n">
        <v>18.538</v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  <c r="H123" t="n">
        <v>7.132277227722772</v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  <c r="H124" t="n">
        <v>8</v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  <c r="H125" t="n">
        <v>9.5</v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  <c r="H126" t="n">
        <v>8.719875</v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  <c r="H127" t="n">
        <v>13.61025</v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  <c r="H128" t="n">
        <v>21.41178947368421</v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  <c r="H129" t="n">
        <v>15.06</v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  <c r="H130" t="n">
        <v>13.62952941176471</v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  <c r="H131" t="n">
        <v>23.15494736842106</v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  <c r="H132" t="n">
        <v>11.75434</v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  <c r="H133" t="n">
        <v>16.128112</v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  <c r="H134" t="n">
        <v>20.59299411764706</v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  <c r="H135" t="n">
        <v>10.81401904761905</v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  <c r="H136" t="n">
        <v>15.47442962962963</v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  <c r="H137" t="n">
        <v>8.1215875</v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  <c r="H138" t="n">
        <v>21.465</v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  <c r="H139" t="n">
        <v>18.861375</v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  <c r="H140" t="n">
        <v>29.7118</v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  <c r="H141" t="n">
        <v>31.18414</v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  <c r="H142" t="n">
        <v>39.37899999999999</v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  <c r="H143" t="n">
        <v>47.05181</v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  <c r="H144" t="n">
        <v>8.824121428571427</v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  <c r="H145" t="n">
        <v>27.4063</v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  <c r="H146" t="n">
        <v>6.740041176470586</v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  <c r="H147" t="n">
        <v>8.627264285714284</v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  <c r="H148" t="n">
        <v>14.71015</v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  <c r="H149" t="n">
        <v>21.7982375</v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  <c r="H150" t="n">
        <v>36.60312500000001</v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  <c r="H151" t="n">
        <v>27.88153333333333</v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  <c r="H152" t="n">
        <v>38.99014736842105</v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  <c r="H153" t="n">
        <v>7.42341935483871</v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  <c r="H154" t="n">
        <v>54.034825</v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  <c r="H155" t="n">
        <v>56.14723636363637</v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  <c r="H156" t="n">
        <v>83.48383333333332</v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  <c r="H157" t="n">
        <v>92.07159999999999</v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  <c r="H158" t="n">
        <v>26.553</v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  <c r="H159" t="n">
        <v>30.316</v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  <c r="H160" t="n">
        <v>38.97860909090908</v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  <c r="H161" t="n">
        <v>23.55395714285714</v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  <c r="H162" t="n">
        <v>33.23411764705882</v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  <c r="H163" t="n">
        <v>43.16585</v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  <c r="H164" t="n">
        <v>47.73871304347825</v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  <c r="H165" t="n">
        <v>17.43575294117646</v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  <c r="H166" t="n">
        <v>18.53665185185185</v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  <c r="H167" t="n">
        <v>30.77533333333333</v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  <c r="H168" t="n">
        <v>39.4161</v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  <c r="H169" t="n">
        <v>21.36884285714286</v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  <c r="H170" t="n">
        <v>23.36962727272727</v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  <c r="H171" t="n">
        <v>40.98861</v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  <c r="H172" t="n">
        <v>35.31481379310345</v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  <c r="H173" t="n">
        <v>14.87514736842105</v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  <c r="H174" t="n">
        <v>27.70505263157895</v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  <c r="H175" t="n">
        <v>35.09880833333333</v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  <c r="H176" t="n">
        <v>45.42606956521739</v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  <c r="H177" t="n">
        <v>22.5216875</v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  <c r="H178" t="n">
        <v>25.41583199999999</v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  <c r="H179" t="n">
        <v>35.31252592592593</v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  <c r="H180" t="n">
        <v>18.76255789473684</v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  <c r="H181" t="n">
        <v>21.38360714285714</v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  <c r="H182" t="n">
        <v>33.93452592592593</v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  <c r="H183" t="n">
        <v>16.07010476190476</v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  <c r="H184" t="n">
        <v>22.34157391304348</v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  <c r="H185" t="n">
        <v>32.07294999999999</v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  <c r="H186" t="n">
        <v>35.82799999999999</v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  <c r="H187" t="n">
        <v>42.93096363636363</v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  <c r="H188" t="n">
        <v>20.4030125</v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  <c r="H189" t="n">
        <v>22.513075</v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  <c r="H190" t="n">
        <v>36.15752173913042</v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  <c r="H191" t="n">
        <v>35.16144000000001</v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  <c r="H192" t="n">
        <v>15.36991573333333</v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  <c r="H193" t="n">
        <v>18.52565835294118</v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  <c r="H194" t="n">
        <v>18.53505010526316</v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  <c r="H195" t="n">
        <v>24.36021333333334</v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  <c r="H196" t="n">
        <v>15.86696914285714</v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  <c r="H197" t="n">
        <v>41.3126774025974</v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  <c r="H198" t="n">
        <v>16.02564977777778</v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  <c r="H199" t="n">
        <v>16.42885073170732</v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  <c r="H200" t="n">
        <v>32.55779011764706</v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  <c r="H201" t="n">
        <v>7.057034482758622</v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  <c r="H202" t="n">
        <v>9.096500000000001</v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  <c r="H203" s="7" t="n">
        <v>150.42</v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  <c r="H204" s="7" t="n">
        <v>209.15625</v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  <c r="H205" t="n">
        <v>59.69880000000001</v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  <c r="H206" t="n">
        <v>61.21285714285714</v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  <c r="H207" t="n">
        <v>91.218</v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  <c r="H208" s="7" t="n">
        <v>101.68875</v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  <c r="H209" t="n">
        <v>2.602</v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  <c r="H210" t="n">
        <v>6.196645161290324</v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  <c r="H211" t="n">
        <v>67.6062</v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  <c r="H212" t="n">
        <v>71.15625</v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  <c r="H213" t="n">
        <v>31.12666666666667</v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  <c r="H214" t="n">
        <v>28.15199999999999</v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  <c r="H215" t="n">
        <v>50.32071428571428</v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  <c r="H216" t="n">
        <v>64.03200000000001</v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  <c r="H217" t="n">
        <v>28.3868</v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  <c r="H218" t="n">
        <v>33.054775</v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  <c r="H219" t="n">
        <v>43.87551999999999</v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  <c r="H220" t="n">
        <v>55.03043</v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  <c r="H250" t="n">
        <v>31.35576363636363</v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  <c r="H251" t="n">
        <v>46.07113333333333</v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  <c r="H252" t="n">
        <v>48.67402222222221</v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  <c r="H253" t="n">
        <v>57.62215789473684</v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  <c r="H254" t="n">
        <v>12.51377111111111</v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  <c r="H255" t="n">
        <v>2</v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  <c r="H256" t="n">
        <v>8</v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  <c r="H257" t="n">
        <v>10</v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  <c r="H258" t="n">
        <v>3</v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  <c r="H259" t="n">
        <v>7</v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  <c r="H260" t="n">
        <v>6</v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  <c r="H261" t="n">
        <v>11</v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  <c r="H262" t="n">
        <v>14.84302857142857</v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  <c r="H263" t="n">
        <v>20.98497142857143</v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  <c r="H264" t="n">
        <v>41.7534</v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  <c r="H265" t="n">
        <v>68.47170270270269</v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  <c r="H266" t="n">
        <v>2.220699999999999</v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  <c r="H267" t="n">
        <v>3.160213333333334</v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  <c r="H268" t="n">
        <v>5.484440000000002</v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  <c r="H269" t="n">
        <v>20</v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  <c r="H270" t="n">
        <v>11</v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  <c r="H271" t="n">
        <v>16</v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  <c r="H272" t="n">
        <v>9</v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  <c r="H273" t="n">
        <v>8</v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  <c r="H274" t="n">
        <v>11</v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  <c r="H275" t="n">
        <v>12</v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  <c r="H276" t="n">
        <v>14</v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  <c r="H277" t="n">
        <v>4.249999999999999</v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  <c r="H278" t="n">
        <v>11.72857142857143</v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  <c r="H279" t="n">
        <v>3.377777777777778</v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  <c r="H280" t="n">
        <v>9.637499999999999</v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  <c r="H281" t="n">
        <v>3.266666666666667</v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  <c r="H282" t="n">
        <v>10.18333333333333</v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  <c r="H283" t="n">
        <v>11.46666666666667</v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  <c r="H284" t="n">
        <v>23.9</v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  <c r="H285" t="n">
        <v>52.63</v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  <c r="H286" t="n">
        <v>47.53571428571428</v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  <c r="H287" t="n">
        <v>2.825</v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  <c r="H288" t="n">
        <v>11.01538461538462</v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  <c r="H289" t="n">
        <v>8.5</v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  <c r="H290" t="n">
        <v>14.8</v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  <c r="H291" t="n">
        <v>4.5</v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  <c r="H292" t="n">
        <v>9.9</v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  <c r="H293" t="n">
        <v>21.6</v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  <c r="H294" t="n">
        <v>5.2</v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  <c r="H295" t="n">
        <v>10.4</v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  <c r="H296" t="n">
        <v>18.2</v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  <c r="H297" t="n">
        <v>20.5</v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  <c r="H298" t="n">
        <v>2.2</v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  <c r="H299" t="n">
        <v>6.4</v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  <c r="H300" t="n">
        <v>14</v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  <c r="H301" t="n">
        <v>18</v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  <c r="H302" t="n">
        <v>2.7</v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  <c r="H303" t="n">
        <v>6.3</v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  <c r="H304" t="n">
        <v>10.1</v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  <c r="H305" t="n">
        <v>13.6</v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  <c r="H306" t="n">
        <v>2.1</v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  <c r="H307" t="n">
        <v>5</v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  <c r="H308" t="n">
        <v>7.2</v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  <c r="H309" t="n">
        <v>9.5</v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  <c r="H310" t="n">
        <v>13.6</v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  <c r="H311" t="n">
        <v>21.3</v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  <c r="H312" t="n">
        <v>10.8</v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  <c r="H313" t="n">
        <v>17</v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  <c r="H314" t="n">
        <v>6.7</v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  <c r="H315" t="n">
        <v>12.7</v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  <c r="H316" t="n">
        <v>22.3</v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  <c r="H317" t="n">
        <v>29.6</v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  <c r="H318" t="n">
        <v>4.86</v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  <c r="H319" t="n">
        <v>11.13095238095238</v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  <c r="H320" t="n">
        <v>13.3</v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  <c r="H321" t="n">
        <v>15.3</v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  <c r="H322" t="n">
        <v>14.3</v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  <c r="H323" t="n">
        <v>10.6</v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  <c r="H324" t="n">
        <v>8.9</v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  <c r="H325" t="n">
        <v>9.6</v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  <c r="H326" t="n">
        <v>10.23076923076923</v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  <c r="H327" t="n">
        <v>17.8</v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  <c r="H328" t="n">
        <v>25.1</v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  <c r="H329" t="n">
        <v>10.5</v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  <c r="H330" t="n">
        <v>16.8</v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  <c r="H331" t="n">
        <v>19</v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  <c r="H332" t="n">
        <v>23.9</v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  <c r="H333" t="n">
        <v>32.9</v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  <c r="H334" t="n">
        <v>53.4</v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  <c r="H335" t="n">
        <v>15.5</v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  <c r="H336" t="n">
        <v>16.4</v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  <c r="H337" t="n">
        <v>21.1</v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  <c r="H338" t="n">
        <v>22</v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  <c r="H339" t="n">
        <v>37.4</v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  <c r="H340" t="n">
        <v>46</v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  <c r="H341" t="n">
        <v>45.9</v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  <c r="H342" t="n">
        <v>10.8</v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  <c r="H343" t="n">
        <v>8.800000000000001</v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  <c r="H344" t="n">
        <v>14</v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  <c r="H345" t="n">
        <v>21.2</v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  <c r="H346" t="n">
        <v>18.1</v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  <c r="H347" t="n">
        <v>20.7</v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  <c r="H348" t="n">
        <v>28.40909090909091</v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  <c r="H349" t="n">
        <v>26.72706681766705</v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  <c r="H350" s="7" t="n">
        <v>109.2838196286472</v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  <c r="H351" t="n">
        <v>6.3</v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  <c r="H352" t="n">
        <v>4.5</v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  <c r="H353" t="n">
        <v>3.4</v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  <c r="H354" t="n">
        <v>2.1</v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  <c r="H355" t="n">
        <v>8.1</v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  <c r="H356" t="n">
        <v>8.9</v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  <c r="H357" t="n">
        <v>12.3</v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  <c r="H358" t="n">
        <v>8.300000000000001</v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  <c r="H359" t="n">
        <v>7.7</v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  <c r="H360" t="n">
        <v>15</v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  <c r="H361" t="n">
        <v>13.6</v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  <c r="H362" t="n">
        <v>11.4</v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  <c r="H363" t="n">
        <v>12.6</v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  <c r="H364" t="n">
        <v>8.4</v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  <c r="H365" t="n">
        <v>14.5</v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  <c r="H366" t="n">
        <v>22.6</v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  <c r="H367" t="n">
        <v>25.4</v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  <c r="H368" t="n">
        <v>7.1</v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  <c r="H369" t="n">
        <v>9.9</v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  <c r="H370" t="n">
        <v>13.7</v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  <c r="H371" t="n">
        <v>16.2</v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  <c r="H372" t="n">
        <v>23</v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  <c r="H373" t="n">
        <v>9.800000000000001</v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  <c r="H374" t="n">
        <v>13.3</v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  <c r="H375" t="n">
        <v>18</v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  <c r="H376" t="n">
        <v>21.7</v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  <c r="H377" t="n">
        <v>32.4</v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  <c r="H378" t="n">
        <v>15.038</v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  <c r="H379" t="n">
        <v>20.76148148148148</v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  <c r="H380" t="n">
        <v>26.05142857142857</v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  <c r="H381" t="n">
        <v>11.70538461538461</v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  <c r="H382" t="n">
        <v>16.64580645161291</v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  <c r="H383" t="n">
        <v>25.49222222222222</v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  <c r="H384" t="n">
        <v>16.27181818181818</v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  <c r="H385" t="n">
        <v>36.06470588235294</v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  <c r="H386" t="n">
        <v>30.781875</v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  <c r="H387" t="n">
        <v>9.868124999999999</v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  <c r="H388" t="n">
        <v>14.11837837837838</v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  <c r="H389" t="n">
        <v>15.55818181818182</v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  <c r="H390" t="n">
        <v>24.0336</v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  <c r="H391" t="n">
        <v>35.91481481481482</v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  <c r="H392" t="n">
        <v>12.87230769230769</v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  <c r="H393" t="n">
        <v>20.28551724137931</v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  <c r="H394" t="n">
        <v>29.61090909090909</v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  <c r="H399" t="n">
        <v>15.52054794520548</v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  <c r="H400" t="n">
        <v>23.36144578313253</v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  <c r="H401" t="n">
        <v>18.02985074626865</v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  <c r="H402" t="n">
        <v>29.48936170212766</v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  <c r="H403" t="n">
        <v>38.42696629213483</v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  <c r="H404" t="n">
        <v>47.5531914893617</v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  <c r="H405" t="n">
        <v>24.63333333333333</v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  <c r="H406" t="n">
        <v>25.61676646706587</v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  <c r="H407" t="n">
        <v>58.20895522388059</v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  <c r="H408" t="n">
        <v>54.02173913043478</v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  <c r="H409" t="n">
        <v>30.46753246753246</v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  <c r="H410" t="n">
        <v>44.44660194174757</v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  <c r="H411" t="n">
        <v>66.6412213740458</v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  <c r="H412" t="n">
        <v>84.87804878048779</v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  <c r="H413" t="n">
        <v>52.59459459459459</v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  <c r="H414" t="n">
        <v>90.97435897435898</v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  <c r="H415" t="n">
        <v>87.36842105263159</v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  <c r="H416" t="n">
        <v>81.35593220338983</v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  <c r="H417" t="n">
        <v>25.1</v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  <c r="H418" t="n">
        <v>41.31343283582089</v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  <c r="H419" t="n">
        <v>38.50931677018633</v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  <c r="H420" t="n">
        <v>36.26923076923077</v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  <c r="H421" t="n">
        <v>54.72131147540984</v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  <c r="H422" t="n">
        <v>51.35338345864661</v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  <c r="H423" t="n">
        <v>59.50920245398773</v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  <c r="H424" t="n">
        <v>13.92079207920792</v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  <c r="H425" t="n">
        <v>15.51162790697674</v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  <c r="H426" t="n">
        <v>28.47727272727272</v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  <c r="H427" t="n">
        <v>37.59633027522936</v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  <c r="H428" t="n">
        <v>46.78362573099415</v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  <c r="H429" t="n">
        <v>71.32450331125828</v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  <c r="H430" t="n">
        <v>33.475</v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  <c r="H431" t="n">
        <v>43.9278350515464</v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  <c r="H432" t="n">
        <v>49.66257668711657</v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  <c r="H433" t="n">
        <v>67.66666666666667</v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  <c r="H434" t="n">
        <v>16.31746031746032</v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  <c r="H435" t="n">
        <v>20.41975308641975</v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  <c r="H436" t="n">
        <v>20.47422680412371</v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  <c r="H437" t="n">
        <v>21.7888198757764</v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  <c r="H450" t="n">
        <v>5.025696367469879</v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  <c r="H451" t="n">
        <v>5.365374538181817</v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  <c r="H452" t="n">
        <v>9.568804647297295</v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  <c r="H453" t="n">
        <v>4.658380691025641</v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  <c r="H454" t="n">
        <v>4.699799744065935</v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  <c r="H455" t="n">
        <v>5.028626616373626</v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  <c r="H456" t="n">
        <v>6.1190968375</v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  <c r="H457" t="n">
        <v>25.52</v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  <c r="H458" t="n">
        <v>18.43076923076923</v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  <c r="H459" t="n">
        <v>38.41666666666667</v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  <c r="H460" t="n">
        <v>14.38333333333333</v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  <c r="H461" t="n">
        <v>31.12258064516129</v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  <c r="H462" t="n">
        <v>23.875</v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  <c r="H463" t="n">
        <v>25.51304347826087</v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  <c r="H464" t="n">
        <v>35.02068965517242</v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  <c r="H465" t="n">
        <v>8.731249999999999</v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  <c r="H466" t="n">
        <v>11.82702702702703</v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  <c r="H467" t="n">
        <v>20.16129032258064</v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  <c r="H468" t="n">
        <v>4.56</v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  <c r="H469" t="n">
        <v>6.096</v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  <c r="H470" t="n">
        <v>10.43333333333333</v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  <c r="H471" t="n">
        <v>10.12</v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  <c r="H472" t="n">
        <v>18.92307692307692</v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  <c r="H473" t="n">
        <v>11.95238095238095</v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  <c r="H474" t="n">
        <v>13.1</v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  <c r="H475" t="n">
        <v>11.9741935483871</v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  <c r="H476" t="n">
        <v>14.76666666666667</v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  <c r="H477" t="n">
        <v>20.43448275862069</v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  <c r="H478" t="n">
        <v>45.88695652173912</v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  <c r="H479" t="n">
        <v>20.02222222222222</v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  <c r="H480" t="n">
        <v>30.16363636363636</v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  <c r="H481" t="n">
        <v>42.216</v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  <c r="H482" t="n">
        <v>17.2</v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  <c r="H483" t="n">
        <v>26.78095238095239</v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  <c r="H484" t="n">
        <v>42.72173913043478</v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  <c r="H485" t="n">
        <v>24.1</v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  <c r="H486" t="n">
        <v>27.3</v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  <c r="H487" t="n">
        <v>35.68181818181819</v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  <c r="H488" t="n">
        <v>14.77272727272727</v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  <c r="H489" t="n">
        <v>22.05833333333333</v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  <c r="H490" t="n">
        <v>34.69230769230769</v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  <c r="H491" t="n">
        <v>14.75294117647059</v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  <c r="H492" t="n">
        <v>27.29473684210526</v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  <c r="H493" t="n">
        <v>23.75384615384615</v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  <c r="H494" t="n">
        <v>36.03809523809524</v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  <c r="H495" t="n">
        <v>18.27058823529412</v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  <c r="H496" t="n">
        <v>25</v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  <c r="H497" t="n">
        <v>32.36923076923077</v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  <c r="H498" t="n">
        <v>14.92173913043478</v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  <c r="H499" t="n">
        <v>25.49090909090909</v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  <c r="H500" t="n">
        <v>49.21</v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  <c r="H501" t="n">
        <v>23.18888888888889</v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  <c r="H502" t="n">
        <v>30.83898305084746</v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  <c r="H503" t="n">
        <v>34.96195652173913</v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  <c r="H504" t="n">
        <v>31.82666666666667</v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  <c r="H505" t="n">
        <v>38.32407407407407</v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  <c r="H506" t="n">
        <v>46.62091503267973</v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  <c r="H507" t="n">
        <v>58.57988165680474</v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  <c r="H508" t="n">
        <v>55.51923076923077</v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  <c r="H509" t="n">
        <v>65.33802816901409</v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  <c r="H510" t="n">
        <v>67.77499999999999</v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  <c r="H511" t="n">
        <v>9.9</v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  <c r="H512" t="n">
        <v>35.52857142857142</v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  <c r="H513" t="n">
        <v>40.57843137254903</v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  <c r="H514" t="n">
        <v>54.45774647887325</v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  <c r="H515" t="n">
        <v>17</v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  <c r="H516" t="n">
        <v>13.38888888888889</v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  <c r="H517" t="n">
        <v>18.6441717791411</v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  <c r="H518" t="n">
        <v>17.83760683760684</v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  <c r="H519" t="n">
        <v>21.59333333333333</v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  <c r="H520" t="n">
        <v>24.59139784946237</v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  <c r="H521" t="n">
        <v>30.46825396825397</v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  <c r="H522" t="n">
        <v>42.11377245508982</v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  <c r="H523" t="n">
        <v>52.1978021978022</v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  <c r="H524" t="n">
        <v>48.11666666666667</v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  <c r="H525" t="n">
        <v>59.01219512195123</v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  <c r="H526" t="n">
        <v>68.00806451612902</v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  <c r="H527" t="n">
        <v>83.08823529411765</v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  <c r="H528" t="n">
        <v>26.67073170731708</v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  <c r="H529" t="n">
        <v>33.67543859649123</v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  <c r="H530" t="n">
        <v>43.87974683544304</v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  <c r="H531" t="n">
        <v>55.61797752808988</v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  <c r="H532" t="n">
        <v>35.43835616438356</v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  <c r="H533" t="n">
        <v>43.34665334665335</v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  <c r="H534" t="n">
        <v>55.71532846715328</v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  <c r="H535" t="n">
        <v>66.22516556291392</v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  <c r="H536" t="n">
        <v>23.32258064516129</v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  <c r="H537" t="n">
        <v>32.91176470588235</v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  <c r="H538" t="n">
        <v>45.61904761904761</v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  <c r="H539" t="n">
        <v>8.430555555555554</v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  <c r="H540" t="n">
        <v>17.91071428571429</v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  <c r="H541" t="n">
        <v>21.02222222222222</v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  <c r="H542" t="n">
        <v>10.83333333333333</v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  <c r="H543" t="n">
        <v>17.57142857142857</v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  <c r="H544" t="n">
        <v>12.14285714285714</v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  <c r="H582" t="n">
        <v>14.34375</v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  <c r="H583" t="n">
        <v>39.02380952380953</v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  <c r="H584" t="n">
        <v>33.7</v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  <c r="H585" t="n">
        <v>57.40307692307692</v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  <c r="H586" t="n">
        <v>11.96226440677966</v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  <c r="H587" t="n">
        <v>19.02312</v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  <c r="H588" t="n">
        <v>16.41819008264463</v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  <c r="H589" t="n">
        <v>11.79150967741935</v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  <c r="H590" t="n">
        <v>19.25512</v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  <c r="H591" t="n">
        <v>16.41819008264463</v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  <c r="H592" t="n">
        <v>19.33677272727273</v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  <c r="H593" t="n">
        <v>22.55725434782609</v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  <c r="H594" t="n">
        <v>31.65980158730159</v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  <c r="H595" t="n">
        <v>19.19131818181818</v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  <c r="H596" t="n">
        <v>24.41377608695652</v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  <c r="H597" t="n">
        <v>32.83916666666667</v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  <c r="H598" t="n">
        <v>9.800627240143369</v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  <c r="H599" t="n">
        <v>7.738677093515803</v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  <c r="H600" t="n">
        <v>7.764821272885788</v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  <c r="H601" t="n">
        <v>8.974574372759857</v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  <c r="H602" t="n">
        <v>9.433492632417364</v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  <c r="H603" t="n">
        <v>17.3</v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  <c r="H604" t="n">
        <v>10.13664874551971</v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  <c r="H605" t="n">
        <v>8.418222976796832</v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  <c r="H606" t="n">
        <v>7.467144563918759</v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  <c r="H607" t="n">
        <v>8.797653958944281</v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  <c r="H608" t="n">
        <v>9.540375289900906</v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  <c r="H609" t="n">
        <v>25.1</v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  <c r="H610" t="n">
        <v>3.2</v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  <c r="H611" t="n">
        <v>4.62</v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  <c r="H612" t="n">
        <v>6.31</v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  <c r="H613" t="n">
        <v>10.06</v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  <c r="H614" t="n">
        <v>4.45</v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  <c r="H615" t="n">
        <v>5.63</v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  <c r="H616" t="n">
        <v>7.41</v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  <c r="H617" t="n">
        <v>7.81</v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  <c r="H618" t="n">
        <v>2.902593486127865</v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  <c r="H619" t="n">
        <v>5.842882991556091</v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  <c r="H620" t="n">
        <v>10.08745476477684</v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  <c r="H621" t="n">
        <v>3.633896260554885</v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  <c r="H622" t="n">
        <v>4.056091676718938</v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  <c r="H623" t="n">
        <v>10.58</v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  <c r="H624" t="n">
        <v>4.523522316043426</v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  <c r="H625" t="n">
        <v>7.463811821471652</v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  <c r="H626" t="n">
        <v>8.443908323281061</v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  <c r="H627" t="n">
        <v>2.035585042219541</v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  <c r="H628" t="n">
        <v>4.734620024125452</v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  <c r="H629" t="n">
        <v>7.343184559710494</v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  <c r="H630" t="n">
        <v>3.80729794933655</v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  <c r="H631" t="n">
        <v>6.483715319662243</v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  <c r="H675" t="n">
        <v>10.05041574198469</v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  <c r="H676" t="n">
        <v>19.87282229656615</v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  <c r="H677" t="n">
        <v>13.75601840610694</v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  <c r="H684" t="n">
        <v>4</v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  <c r="H685" t="n">
        <v>11</v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  <c r="H686" t="n">
        <v>14</v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  <row r="689">
      <c r="A689" t="inlineStr">
        <is>
          <t>Bg: índice de rotura de Marsal (1967), en %, tal como figura en la base de Leps 2.0 (Cylwik et al., 2025); informado en 462 de los 686 ensayos (143 sets).</t>
        </is>
      </c>
    </row>
    <row r="690">
      <c r="A690" t="inlineStr">
        <is>
          <t>Celdas sombreadas: 4 valores mayores que 100 % (Marsal (1973) | M3, SMHEA(1967) | ACXII/F2-a, SMHEA(1967) | ACXII/F2-b), sobre el máximo del Bg de Marsal; probablemente otra definición del índice de rotura. Se dejan como están en la base, sin corregir.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D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9" max="279"/>
    <col width="11" customWidth="1" min="280" max="280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Bg: índice de rotura de Marsal (fórmulas; hoja Rotura_Bg)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  <c r="IG1" s="2" t="inlineStr">
        <is>
          <t>Fig. residuos Antamina y mundo: base mundial (fórmulas; Base_mundial)</t>
        </is>
      </c>
      <c r="IV1" s="2" t="inlineStr">
        <is>
          <t>Fig. residuos Antamina y mundo: Antamina (fórmulas; Ensayos)</t>
        </is>
      </c>
      <c r="JK1" s="2" t="inlineStr">
        <is>
          <t>Fig. residuos Antamina y mundo: tendencias (b) (fórmulas)</t>
        </is>
      </c>
      <c r="JS1" s="2" t="inlineStr">
        <is>
          <t>Fig. residuos Antamina y mundo: línea cero</t>
        </is>
      </c>
      <c r="JV1" s="2" t="inlineStr">
        <is>
          <t>Fig. residuos Antamina y mundo (a): mediana por rango, clase buena (fórmulas matriciales)</t>
        </is>
      </c>
      <c r="KB1" s="2" t="inlineStr">
        <is>
          <t>Fig. residuos Antamina y mundo (a): mediana por rango, clase moderada (fórmulas matriciales)</t>
        </is>
      </c>
      <c r="KH1" s="2" t="inlineStr">
        <is>
          <t>Fig. residuos Antamina y mundo (a): mediana por rango, clase baja (fórmulas matriciales)</t>
        </is>
      </c>
      <c r="KN1" s="2" t="inlineStr">
        <is>
          <t>Fig. residuos Antamina y mundo (b): mediana por rango, clase buena (fórmulas matriciales)</t>
        </is>
      </c>
      <c r="KT1" s="2" t="inlineStr">
        <is>
          <t>Fig. residuos Antamina y mundo (b): mediana por rango, clase moderada (fórmulas matriciales)</t>
        </is>
      </c>
      <c r="KZ1" s="2" t="inlineStr">
        <is>
          <t>Fig. residuos Antamina y mundo (b): mediana por rango, clase baja (fórmulas matriciales)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  <c r="IG2" s="2" t="inlineStr">
        <is>
          <t>Set</t>
        </is>
      </c>
      <c r="IH2" s="2" t="inlineStr">
        <is>
          <t>σ′n (MPa)</t>
        </is>
      </c>
      <c r="II2" s="2" t="inlineStr">
        <is>
          <t>Residuo (°)</t>
        </is>
      </c>
      <c r="IJ2" s="2" t="inlineStr">
        <is>
          <t>Entra en (b)</t>
        </is>
      </c>
      <c r="IK2" s="2" t="inlineStr">
        <is>
          <t>ln σ′n (b)</t>
        </is>
      </c>
      <c r="IL2" s="2" t="inlineStr">
        <is>
          <t>Media del set (b)</t>
        </is>
      </c>
      <c r="IM2" s="2" t="inlineStr">
        <is>
          <t>Residuo centrado (b)</t>
        </is>
      </c>
      <c r="IN2" s="2" t="inlineStr">
        <is>
          <t>Clase de roca</t>
        </is>
      </c>
      <c r="IO2" s="2" t="inlineStr">
        <is>
          <t>(a) buena</t>
        </is>
      </c>
      <c r="IP2" s="2" t="inlineStr">
        <is>
          <t>(a) moderada</t>
        </is>
      </c>
      <c r="IQ2" s="2" t="inlineStr">
        <is>
          <t>(a) baja</t>
        </is>
      </c>
      <c r="IR2" s="2" t="inlineStr">
        <is>
          <t>(b) buena</t>
        </is>
      </c>
      <c r="IS2" s="2" t="inlineStr">
        <is>
          <t>(b) moderada</t>
        </is>
      </c>
      <c r="IT2" s="2" t="inlineStr">
        <is>
          <t>(b) baja</t>
        </is>
      </c>
      <c r="IV2" s="2" t="inlineStr">
        <is>
          <t>Set</t>
        </is>
      </c>
      <c r="IW2" s="2" t="inlineStr">
        <is>
          <t>σ′n (MPa)</t>
        </is>
      </c>
      <c r="IX2" s="2" t="inlineStr">
        <is>
          <t>Residuo (°)</t>
        </is>
      </c>
      <c r="IY2" s="2" t="inlineStr">
        <is>
          <t>Entra en (b)</t>
        </is>
      </c>
      <c r="IZ2" s="2" t="inlineStr">
        <is>
          <t>ln σ′n (b)</t>
        </is>
      </c>
      <c r="JA2" s="2" t="inlineStr">
        <is>
          <t>Media del set (b)</t>
        </is>
      </c>
      <c r="JB2" s="2" t="inlineStr">
        <is>
          <t>Residuo centrado (b)</t>
        </is>
      </c>
      <c r="JC2" s="2" t="inlineStr">
        <is>
          <t>Clase de roca</t>
        </is>
      </c>
      <c r="JD2" s="2" t="inlineStr">
        <is>
          <t>(a) buena</t>
        </is>
      </c>
      <c r="JE2" s="2" t="inlineStr">
        <is>
          <t>(a) moderada</t>
        </is>
      </c>
      <c r="JF2" s="2" t="inlineStr">
        <is>
          <t>(a) baja</t>
        </is>
      </c>
      <c r="JG2" s="2" t="inlineStr">
        <is>
          <t>(b) buena</t>
        </is>
      </c>
      <c r="JH2" s="2" t="inlineStr">
        <is>
          <t>(b) moderada</t>
        </is>
      </c>
      <c r="JI2" s="2" t="inlineStr">
        <is>
          <t>(b) baja</t>
        </is>
      </c>
      <c r="JK2" s="2" t="inlineStr">
        <is>
          <t>σ′n mundo</t>
        </is>
      </c>
      <c r="JL2" s="2" t="inlineStr">
        <is>
          <t>Tendencia mundo</t>
        </is>
      </c>
      <c r="JM2" s="2" t="inlineStr">
        <is>
          <t>σ′n Antamina</t>
        </is>
      </c>
      <c r="JN2" s="2" t="inlineStr">
        <is>
          <t>Tendencia Antamina</t>
        </is>
      </c>
      <c r="JO2" s="2" t="inlineStr"/>
      <c r="JP2" s="2" t="inlineStr">
        <is>
          <t>Pendiente mundo</t>
        </is>
      </c>
      <c r="JQ2" s="2" t="inlineStr">
        <is>
          <t>Pendiente Antamina</t>
        </is>
      </c>
      <c r="JS2" s="2" t="inlineStr">
        <is>
          <t>x</t>
        </is>
      </c>
      <c r="JT2" s="2" t="inlineStr">
        <is>
          <t>y</t>
        </is>
      </c>
      <c r="JV2" s="2" t="inlineStr">
        <is>
          <t>Desde (MPa)</t>
        </is>
      </c>
      <c r="JW2" s="2" t="inlineStr">
        <is>
          <t>Hasta (MPa)</t>
        </is>
      </c>
      <c r="JX2" s="2" t="inlineStr">
        <is>
          <t>σ′n media geom. (MPa)</t>
        </is>
      </c>
      <c r="JY2" s="2" t="inlineStr">
        <is>
          <t>Mediana (°)</t>
        </is>
      </c>
      <c r="JZ2" s="2" t="inlineStr">
        <is>
          <t>n</t>
        </is>
      </c>
      <c r="KB2" s="2" t="inlineStr">
        <is>
          <t>Desde (MPa)</t>
        </is>
      </c>
      <c r="KC2" s="2" t="inlineStr">
        <is>
          <t>Hasta (MPa)</t>
        </is>
      </c>
      <c r="KD2" s="2" t="inlineStr">
        <is>
          <t>σ′n media geom. (MPa)</t>
        </is>
      </c>
      <c r="KE2" s="2" t="inlineStr">
        <is>
          <t>Mediana (°)</t>
        </is>
      </c>
      <c r="KF2" s="2" t="inlineStr">
        <is>
          <t>n</t>
        </is>
      </c>
      <c r="KH2" s="2" t="inlineStr">
        <is>
          <t>Desde (MPa)</t>
        </is>
      </c>
      <c r="KI2" s="2" t="inlineStr">
        <is>
          <t>Hasta (MPa)</t>
        </is>
      </c>
      <c r="KJ2" s="2" t="inlineStr">
        <is>
          <t>σ′n media geom. (MPa)</t>
        </is>
      </c>
      <c r="KK2" s="2" t="inlineStr">
        <is>
          <t>Mediana (°)</t>
        </is>
      </c>
      <c r="KL2" s="2" t="inlineStr">
        <is>
          <t>n</t>
        </is>
      </c>
      <c r="KN2" s="2" t="inlineStr">
        <is>
          <t>Desde (MPa)</t>
        </is>
      </c>
      <c r="KO2" s="2" t="inlineStr">
        <is>
          <t>Hasta (MPa)</t>
        </is>
      </c>
      <c r="KP2" s="2" t="inlineStr">
        <is>
          <t>σ′n media geom. (MPa)</t>
        </is>
      </c>
      <c r="KQ2" s="2" t="inlineStr">
        <is>
          <t>Mediana (°)</t>
        </is>
      </c>
      <c r="KR2" s="2" t="inlineStr">
        <is>
          <t>n</t>
        </is>
      </c>
      <c r="KT2" s="2" t="inlineStr">
        <is>
          <t>Desde (MPa)</t>
        </is>
      </c>
      <c r="KU2" s="2" t="inlineStr">
        <is>
          <t>Hasta (MPa)</t>
        </is>
      </c>
      <c r="KV2" s="2" t="inlineStr">
        <is>
          <t>σ′n media geom. (MPa)</t>
        </is>
      </c>
      <c r="KW2" s="2" t="inlineStr">
        <is>
          <t>Mediana (°)</t>
        </is>
      </c>
      <c r="KX2" s="2" t="inlineStr">
        <is>
          <t>n</t>
        </is>
      </c>
      <c r="KZ2" s="2" t="inlineStr">
        <is>
          <t>Desde (MPa)</t>
        </is>
      </c>
      <c r="LA2" s="2" t="inlineStr">
        <is>
          <t>Hasta (MPa)</t>
        </is>
      </c>
      <c r="LB2" s="2" t="inlineStr">
        <is>
          <t>σ′n media geom. (MPa)</t>
        </is>
      </c>
      <c r="LC2" s="2" t="inlineStr">
        <is>
          <t>Mediana (°)</t>
        </is>
      </c>
      <c r="LD2" s="2" t="inlineStr">
        <is>
          <t>n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>
        <f>Rotura_Bg!G3</f>
        <v/>
      </c>
      <c r="CS3">
        <f>Rotura_Bg!H3</f>
        <v/>
      </c>
      <c r="CW3">
        <f>Rotura_Bg!H3</f>
        <v/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8" t="n">
        <v>0.02358024345332574</v>
      </c>
      <c r="IG3">
        <f>Base_mundial!A2</f>
        <v/>
      </c>
      <c r="IH3">
        <f>Base_mundial!C2</f>
        <v/>
      </c>
      <c r="II3">
        <f>Base_mundial!E2-MIN(tope,DEGREES(ATAN(TAN(RADIANS(pe0-omega*Base_mundial!B2))*(Base_mundial!C2/sref)^(m_-1))))</f>
        <v/>
      </c>
      <c r="IJ3" t="n">
        <v>0</v>
      </c>
      <c r="IK3">
        <f>IF(IJ3=1,LN(IH3),"")</f>
        <v/>
      </c>
      <c r="IL3">
        <f>IF(IJ3=1,AVERAGEIFS(II3:II688,IG3:IG688,IG3,IJ3:IJ688,1),"")</f>
        <v/>
      </c>
      <c r="IM3">
        <f>IF(IJ3=1,II3-IL3,"")</f>
        <v/>
      </c>
      <c r="IN3" t="inlineStr">
        <is>
          <t>low</t>
        </is>
      </c>
      <c r="IO3">
        <f>IF(IN3="good",II3,NA())</f>
        <v/>
      </c>
      <c r="IP3">
        <f>IF(IN3="moderate",II3,NA())</f>
        <v/>
      </c>
      <c r="IQ3">
        <f>IF(IN3="low",II3,NA())</f>
        <v/>
      </c>
      <c r="IR3">
        <f>IF(AND(IN3="good",IJ3=1),IM3,NA())</f>
        <v/>
      </c>
      <c r="IS3">
        <f>IF(AND(IN3="moderate",IJ3=1),IM3,NA())</f>
        <v/>
      </c>
      <c r="IT3">
        <f>IF(AND(IN3="low",IJ3=1),IM3,NA())</f>
        <v/>
      </c>
      <c r="IV3">
        <f>Ensayos!A2&amp;"|"&amp;Ensayos!B2</f>
        <v/>
      </c>
      <c r="IW3">
        <f>Ensayos!M2</f>
        <v/>
      </c>
      <c r="IX3">
        <f>Ensayos!R2</f>
        <v/>
      </c>
      <c r="IY3" t="n">
        <v>0</v>
      </c>
      <c r="IZ3">
        <f>IF(IY3=1,LN(IW3),"")</f>
        <v/>
      </c>
      <c r="JA3">
        <f>IF(IY3=1,AVERAGEIFS(IX3:IX39,IV3:IV39,IV3,IY3:IY39,1),"")</f>
        <v/>
      </c>
      <c r="JB3">
        <f>IF(IY3=1,IX3-JA3,"")</f>
        <v/>
      </c>
      <c r="JK3" t="n">
        <v>1.005391189368354</v>
      </c>
      <c r="JL3">
        <f>INTERCEPT(IM3:IM688,IK3:IK688)+SLOPE(IM3:IM688,IK3:IK688)*LN(JK3)</f>
        <v/>
      </c>
      <c r="JM3" t="n">
        <v>1.66058336887046</v>
      </c>
      <c r="JN3">
        <f>INTERCEPT(JB3:JB39,IZ3:IZ39)+SLOPE(JB3:JB39,IZ3:IZ39)*LN(JM3)</f>
        <v/>
      </c>
      <c r="JP3">
        <f>SLOPE(IM3:IM688,IK3:IK688)</f>
        <v/>
      </c>
      <c r="JQ3">
        <f>SLOPE(JB3:JB39,IZ3:IZ39)</f>
        <v/>
      </c>
      <c r="JS3" t="n">
        <v>0.1</v>
      </c>
      <c r="JT3" t="n">
        <v>0</v>
      </c>
      <c r="JV3" t="n">
        <v>0.1</v>
      </c>
      <c r="JW3" t="n">
        <v>0.2</v>
      </c>
      <c r="JX3">
        <f t="array" ref="JX3">EXP(AVERAGE(IF((IN3:IN688="good")*(IH3:IH688&gt;=JV3)*(IH3:IH688&lt;JW3),LN(IH3:IH688))))</f>
        <v/>
      </c>
      <c r="JY3">
        <f t="array" ref="JY3">MEDIAN(IF((IN3:IN688="good")*(IH3:IH688&gt;=JV3)*(IH3:IH688&lt;JW3),II3:II688))</f>
        <v/>
      </c>
      <c r="JZ3">
        <f t="array" ref="JZ3">SUM((IN3:IN688="good")*(IH3:IH688&gt;=JV3)*(IH3:IH688&lt;JW3))</f>
        <v/>
      </c>
      <c r="KB3" t="n">
        <v>0.1</v>
      </c>
      <c r="KC3" t="n">
        <v>0.2</v>
      </c>
      <c r="KD3">
        <f t="array" ref="KD3">EXP(AVERAGE(IF((IN3:IN688="moderate")*(IH3:IH688&gt;=KB3)*(IH3:IH688&lt;KC3),LN(IH3:IH688))))</f>
        <v/>
      </c>
      <c r="KE3">
        <f t="array" ref="KE3">MEDIAN(IF((IN3:IN688="moderate")*(IH3:IH688&gt;=KB3)*(IH3:IH688&lt;KC3),II3:II688))</f>
        <v/>
      </c>
      <c r="KF3">
        <f t="array" ref="KF3">SUM((IN3:IN688="moderate")*(IH3:IH688&gt;=KB3)*(IH3:IH688&lt;KC3))</f>
        <v/>
      </c>
      <c r="KH3" t="n">
        <v>0.1</v>
      </c>
      <c r="KI3" t="n">
        <v>0.2</v>
      </c>
      <c r="KJ3">
        <f t="array" ref="KJ3">EXP(AVERAGE(IF((IN3:IN688="low")*(IH3:IH688&gt;=KH3)*(IH3:IH688&lt;KI3),LN(IH3:IH688))))</f>
        <v/>
      </c>
      <c r="KK3">
        <f t="array" ref="KK3">MEDIAN(IF((IN3:IN688="low")*(IH3:IH688&gt;=KH3)*(IH3:IH688&lt;KI3),II3:II688))</f>
        <v/>
      </c>
      <c r="KL3">
        <f t="array" ref="KL3">SUM((IN3:IN688="low")*(IH3:IH688&gt;=KH3)*(IH3:IH688&lt;KI3))</f>
        <v/>
      </c>
      <c r="KN3" t="n">
        <v>1.5</v>
      </c>
      <c r="KO3" t="n">
        <v>2.2</v>
      </c>
      <c r="KP3">
        <f t="array" ref="KP3">EXP(AVERAGE(IF((IN3:IN688="good")*(IH3:IH688&gt;=KN3)*(IH3:IH688&lt;KO3)*(IJ3:IJ688=1),LN(IH3:IH688))))</f>
        <v/>
      </c>
      <c r="KQ3">
        <f t="array" ref="KQ3">MEDIAN(IF((IN3:IN688="good")*(IH3:IH688&gt;=KN3)*(IH3:IH688&lt;KO3)*(IJ3:IJ688=1),IM3:IM688))</f>
        <v/>
      </c>
      <c r="KR3">
        <f t="array" ref="KR3">SUM((IN3:IN688="good")*(IH3:IH688&gt;=KN3)*(IH3:IH688&lt;KO3)*(IJ3:IJ688=1))</f>
        <v/>
      </c>
      <c r="KT3" t="n">
        <v>1</v>
      </c>
      <c r="KU3" t="n">
        <v>1.5</v>
      </c>
      <c r="KV3">
        <f t="array" ref="KV3">EXP(AVERAGE(IF((IN3:IN688="moderate")*(IH3:IH688&gt;=KT3)*(IH3:IH688&lt;KU3)*(IJ3:IJ688=1),LN(IH3:IH688))))</f>
        <v/>
      </c>
      <c r="KW3">
        <f t="array" ref="KW3">MEDIAN(IF((IN3:IN688="moderate")*(IH3:IH688&gt;=KT3)*(IH3:IH688&lt;KU3)*(IJ3:IJ688=1),IM3:IM688))</f>
        <v/>
      </c>
      <c r="KX3">
        <f t="array" ref="KX3">SUM((IN3:IN688="moderate")*(IH3:IH688&gt;=KT3)*(IH3:IH688&lt;KU3)*(IJ3:IJ688=1))</f>
        <v/>
      </c>
      <c r="KZ3" t="n">
        <v>1</v>
      </c>
      <c r="LA3" t="n">
        <v>1.5</v>
      </c>
      <c r="LB3">
        <f t="array" ref="LB3">EXP(AVERAGE(IF((IN3:IN688="low")*(IH3:IH688&gt;=KZ3)*(IH3:IH688&lt;LA3)*(IJ3:IJ688=1),LN(IH3:IH688))))</f>
        <v/>
      </c>
      <c r="LC3">
        <f t="array" ref="LC3">MEDIAN(IF((IN3:IN688="low")*(IH3:IH688&gt;=KZ3)*(IH3:IH688&lt;LA3)*(IJ3:IJ688=1),IM3:IM688))</f>
        <v/>
      </c>
      <c r="LD3">
        <f t="array" ref="LD3">SUM((IN3:IN688="low")*(IH3:IH688&gt;=KZ3)*(IH3:IH688&lt;LA3)*(IJ3:IJ688=1))</f>
        <v/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>
        <f>Rotura_Bg!G5</f>
        <v/>
      </c>
      <c r="CS4">
        <f>Rotura_Bg!H5</f>
        <v/>
      </c>
      <c r="CW4">
        <f>Rotura_Bg!H5</f>
        <v/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8" t="n">
        <v>7.391092456504922</v>
      </c>
      <c r="IG4">
        <f>Base_mundial!A3</f>
        <v/>
      </c>
      <c r="IH4">
        <f>Base_mundial!C3</f>
        <v/>
      </c>
      <c r="II4">
        <f>Base_mundial!E3-MIN(tope,DEGREES(ATAN(TAN(RADIANS(pe0-omega*Base_mundial!B3))*(Base_mundial!C3/sref)^(m_-1))))</f>
        <v/>
      </c>
      <c r="IJ4" t="n">
        <v>0</v>
      </c>
      <c r="IK4">
        <f>IF(IJ4=1,LN(IH4),"")</f>
        <v/>
      </c>
      <c r="IL4">
        <f>IF(IJ4=1,AVERAGEIFS(II3:II688,IG3:IG688,IG4,IJ3:IJ688,1),"")</f>
        <v/>
      </c>
      <c r="IM4">
        <f>IF(IJ4=1,II4-IL4,"")</f>
        <v/>
      </c>
      <c r="IN4" t="inlineStr">
        <is>
          <t>low</t>
        </is>
      </c>
      <c r="IO4">
        <f>IF(IN4="good",II4,NA())</f>
        <v/>
      </c>
      <c r="IP4">
        <f>IF(IN4="moderate",II4,NA())</f>
        <v/>
      </c>
      <c r="IQ4">
        <f>IF(IN4="low",II4,NA())</f>
        <v/>
      </c>
      <c r="IR4">
        <f>IF(AND(IN4="good",IJ4=1),IM4,NA())</f>
        <v/>
      </c>
      <c r="IS4">
        <f>IF(AND(IN4="moderate",IJ4=1),IM4,NA())</f>
        <v/>
      </c>
      <c r="IT4">
        <f>IF(AND(IN4="low",IJ4=1),IM4,NA())</f>
        <v/>
      </c>
      <c r="IV4">
        <f>Ensayos!A3&amp;"|"&amp;Ensayos!B3</f>
        <v/>
      </c>
      <c r="IW4">
        <f>Ensayos!M3</f>
        <v/>
      </c>
      <c r="IX4">
        <f>Ensayos!R3</f>
        <v/>
      </c>
      <c r="IY4" t="n">
        <v>0</v>
      </c>
      <c r="IZ4">
        <f>IF(IY4=1,LN(IW4),"")</f>
        <v/>
      </c>
      <c r="JA4">
        <f>IF(IY4=1,AVERAGEIFS(IX3:IX39,IV3:IV39,IV4,IY3:IY39,1),"")</f>
        <v/>
      </c>
      <c r="JB4">
        <f>IF(IY4=1,IX4-JA4,"")</f>
        <v/>
      </c>
      <c r="JK4" t="n">
        <v>7.860685101959433</v>
      </c>
      <c r="JL4">
        <f>INTERCEPT(IM3:IM688,IK3:IK688)+SLOPE(IM3:IM688,IK3:IK688)*LN(JK4)</f>
        <v/>
      </c>
      <c r="JM4" t="n">
        <v>4.622551045070219</v>
      </c>
      <c r="JN4">
        <f>INTERCEPT(JB3:JB39,IZ3:IZ39)+SLOPE(JB3:JB39,IZ3:IZ39)*LN(JM4)</f>
        <v/>
      </c>
      <c r="JS4" t="n">
        <v>10</v>
      </c>
      <c r="JT4" t="n">
        <v>0</v>
      </c>
      <c r="JV4" t="n">
        <v>0.2</v>
      </c>
      <c r="JW4" t="n">
        <v>0.35</v>
      </c>
      <c r="JX4">
        <f t="array" ref="JX4">EXP(AVERAGE(IF((IN3:IN688="good")*(IH3:IH688&gt;=JV4)*(IH3:IH688&lt;JW4),LN(IH3:IH688))))</f>
        <v/>
      </c>
      <c r="JY4">
        <f t="array" ref="JY4">MEDIAN(IF((IN3:IN688="good")*(IH3:IH688&gt;=JV4)*(IH3:IH688&lt;JW4),II3:II688))</f>
        <v/>
      </c>
      <c r="JZ4">
        <f t="array" ref="JZ4">SUM((IN3:IN688="good")*(IH3:IH688&gt;=JV4)*(IH3:IH688&lt;JW4))</f>
        <v/>
      </c>
      <c r="KB4" t="n">
        <v>0.2</v>
      </c>
      <c r="KC4" t="n">
        <v>0.35</v>
      </c>
      <c r="KD4">
        <f t="array" ref="KD4">EXP(AVERAGE(IF((IN3:IN688="moderate")*(IH3:IH688&gt;=KB4)*(IH3:IH688&lt;KC4),LN(IH3:IH688))))</f>
        <v/>
      </c>
      <c r="KE4">
        <f t="array" ref="KE4">MEDIAN(IF((IN3:IN688="moderate")*(IH3:IH688&gt;=KB4)*(IH3:IH688&lt;KC4),II3:II688))</f>
        <v/>
      </c>
      <c r="KF4">
        <f t="array" ref="KF4">SUM((IN3:IN688="moderate")*(IH3:IH688&gt;=KB4)*(IH3:IH688&lt;KC4))</f>
        <v/>
      </c>
      <c r="KH4" t="n">
        <v>0.2</v>
      </c>
      <c r="KI4" t="n">
        <v>0.35</v>
      </c>
      <c r="KJ4">
        <f t="array" ref="KJ4">EXP(AVERAGE(IF((IN3:IN688="low")*(IH3:IH688&gt;=KH4)*(IH3:IH688&lt;KI4),LN(IH3:IH688))))</f>
        <v/>
      </c>
      <c r="KK4">
        <f t="array" ref="KK4">MEDIAN(IF((IN3:IN688="low")*(IH3:IH688&gt;=KH4)*(IH3:IH688&lt;KI4),II3:II688))</f>
        <v/>
      </c>
      <c r="KL4">
        <f t="array" ref="KL4">SUM((IN3:IN688="low")*(IH3:IH688&gt;=KH4)*(IH3:IH688&lt;KI4))</f>
        <v/>
      </c>
      <c r="KN4" t="n">
        <v>3.2</v>
      </c>
      <c r="KO4" t="n">
        <v>4.6</v>
      </c>
      <c r="KP4">
        <f t="array" ref="KP4">EXP(AVERAGE(IF((IN3:IN688="good")*(IH3:IH688&gt;=KN4)*(IH3:IH688&lt;KO4)*(IJ3:IJ688=1),LN(IH3:IH688))))</f>
        <v/>
      </c>
      <c r="KQ4">
        <f t="array" ref="KQ4">MEDIAN(IF((IN3:IN688="good")*(IH3:IH688&gt;=KN4)*(IH3:IH688&lt;KO4)*(IJ3:IJ688=1),IM3:IM688))</f>
        <v/>
      </c>
      <c r="KR4">
        <f t="array" ref="KR4">SUM((IN3:IN688="good")*(IH3:IH688&gt;=KN4)*(IH3:IH688&lt;KO4)*(IJ3:IJ688=1))</f>
        <v/>
      </c>
      <c r="KT4" t="n">
        <v>1.5</v>
      </c>
      <c r="KU4" t="n">
        <v>2.2</v>
      </c>
      <c r="KV4">
        <f t="array" ref="KV4">EXP(AVERAGE(IF((IN3:IN688="moderate")*(IH3:IH688&gt;=KT4)*(IH3:IH688&lt;KU4)*(IJ3:IJ688=1),LN(IH3:IH688))))</f>
        <v/>
      </c>
      <c r="KW4">
        <f t="array" ref="KW4">MEDIAN(IF((IN3:IN688="moderate")*(IH3:IH688&gt;=KT4)*(IH3:IH688&lt;KU4)*(IJ3:IJ688=1),IM3:IM688))</f>
        <v/>
      </c>
      <c r="KX4">
        <f t="array" ref="KX4">SUM((IN3:IN688="moderate")*(IH3:IH688&gt;=KT4)*(IH3:IH688&lt;KU4)*(IJ3:IJ688=1))</f>
        <v/>
      </c>
      <c r="KZ4" t="n">
        <v>1.5</v>
      </c>
      <c r="LA4" t="n">
        <v>2.2</v>
      </c>
      <c r="LB4">
        <f t="array" ref="LB4">EXP(AVERAGE(IF((IN3:IN688="low")*(IH3:IH688&gt;=KZ4)*(IH3:IH688&lt;LA4)*(IJ3:IJ688=1),LN(IH3:IH688))))</f>
        <v/>
      </c>
      <c r="LC4">
        <f t="array" ref="LC4">MEDIAN(IF((IN3:IN688="low")*(IH3:IH688&gt;=KZ4)*(IH3:IH688&lt;LA4)*(IJ3:IJ688=1),IM3:IM688))</f>
        <v/>
      </c>
      <c r="LD4">
        <f t="array" ref="LD4">SUM((IN3:IN688="low")*(IH3:IH688&gt;=KZ4)*(IH3:IH688&lt;LA4)*(IJ3:IJ688=1))</f>
        <v/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>
        <f>Rotura_Bg!G7</f>
        <v/>
      </c>
      <c r="CS5">
        <f>Rotura_Bg!H7</f>
        <v/>
      </c>
      <c r="CW5">
        <f>Rotura_Bg!H7</f>
        <v/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  <c r="IG5">
        <f>Base_mundial!A4</f>
        <v/>
      </c>
      <c r="IH5">
        <f>Base_mundial!C4</f>
        <v/>
      </c>
      <c r="II5">
        <f>Base_mundial!E4-MIN(tope,DEGREES(ATAN(TAN(RADIANS(pe0-omega*Base_mundial!B4))*(Base_mundial!C4/sref)^(m_-1))))</f>
        <v/>
      </c>
      <c r="IJ5" t="n">
        <v>0</v>
      </c>
      <c r="IK5">
        <f>IF(IJ5=1,LN(IH5),"")</f>
        <v/>
      </c>
      <c r="IL5">
        <f>IF(IJ5=1,AVERAGEIFS(II3:II688,IG3:IG688,IG5,IJ3:IJ688,1),"")</f>
        <v/>
      </c>
      <c r="IM5">
        <f>IF(IJ5=1,II5-IL5,"")</f>
        <v/>
      </c>
      <c r="IN5" t="inlineStr">
        <is>
          <t>low</t>
        </is>
      </c>
      <c r="IO5">
        <f>IF(IN5="good",II5,NA())</f>
        <v/>
      </c>
      <c r="IP5">
        <f>IF(IN5="moderate",II5,NA())</f>
        <v/>
      </c>
      <c r="IQ5">
        <f>IF(IN5="low",II5,NA())</f>
        <v/>
      </c>
      <c r="IR5">
        <f>IF(AND(IN5="good",IJ5=1),IM5,NA())</f>
        <v/>
      </c>
      <c r="IS5">
        <f>IF(AND(IN5="moderate",IJ5=1),IM5,NA())</f>
        <v/>
      </c>
      <c r="IT5">
        <f>IF(AND(IN5="low",IJ5=1),IM5,NA())</f>
        <v/>
      </c>
      <c r="IV5">
        <f>Ensayos!A4&amp;"|"&amp;Ensayos!B4</f>
        <v/>
      </c>
      <c r="IW5">
        <f>Ensayos!M4</f>
        <v/>
      </c>
      <c r="IX5">
        <f>Ensayos!R4</f>
        <v/>
      </c>
      <c r="IY5" t="n">
        <v>1</v>
      </c>
      <c r="IZ5">
        <f>IF(IY5=1,LN(IW5),"")</f>
        <v/>
      </c>
      <c r="JA5">
        <f>IF(IY5=1,AVERAGEIFS(IX3:IX39,IV3:IV39,IV5,IY3:IY39,1),"")</f>
        <v/>
      </c>
      <c r="JB5">
        <f>IF(IY5=1,IX5-JA5,"")</f>
        <v/>
      </c>
      <c r="JV5" t="n">
        <v>0.35</v>
      </c>
      <c r="JW5" t="n">
        <v>0.6</v>
      </c>
      <c r="JX5">
        <f t="array" ref="JX5">EXP(AVERAGE(IF((IN3:IN688="good")*(IH3:IH688&gt;=JV5)*(IH3:IH688&lt;JW5),LN(IH3:IH688))))</f>
        <v/>
      </c>
      <c r="JY5">
        <f t="array" ref="JY5">MEDIAN(IF((IN3:IN688="good")*(IH3:IH688&gt;=JV5)*(IH3:IH688&lt;JW5),II3:II688))</f>
        <v/>
      </c>
      <c r="JZ5">
        <f t="array" ref="JZ5">SUM((IN3:IN688="good")*(IH3:IH688&gt;=JV5)*(IH3:IH688&lt;JW5))</f>
        <v/>
      </c>
      <c r="KB5" t="n">
        <v>0.35</v>
      </c>
      <c r="KC5" t="n">
        <v>0.6</v>
      </c>
      <c r="KD5">
        <f t="array" ref="KD5">EXP(AVERAGE(IF((IN3:IN688="moderate")*(IH3:IH688&gt;=KB5)*(IH3:IH688&lt;KC5),LN(IH3:IH688))))</f>
        <v/>
      </c>
      <c r="KE5">
        <f t="array" ref="KE5">MEDIAN(IF((IN3:IN688="moderate")*(IH3:IH688&gt;=KB5)*(IH3:IH688&lt;KC5),II3:II688))</f>
        <v/>
      </c>
      <c r="KF5">
        <f t="array" ref="KF5">SUM((IN3:IN688="moderate")*(IH3:IH688&gt;=KB5)*(IH3:IH688&lt;KC5))</f>
        <v/>
      </c>
      <c r="KH5" t="n">
        <v>0.35</v>
      </c>
      <c r="KI5" t="n">
        <v>0.6</v>
      </c>
      <c r="KJ5">
        <f t="array" ref="KJ5">EXP(AVERAGE(IF((IN3:IN688="low")*(IH3:IH688&gt;=KH5)*(IH3:IH688&lt;KI5),LN(IH3:IH688))))</f>
        <v/>
      </c>
      <c r="KK5">
        <f t="array" ref="KK5">MEDIAN(IF((IN3:IN688="low")*(IH3:IH688&gt;=KH5)*(IH3:IH688&lt;KI5),II3:II688))</f>
        <v/>
      </c>
      <c r="KL5">
        <f t="array" ref="KL5">SUM((IN3:IN688="low")*(IH3:IH688&gt;=KH5)*(IH3:IH688&lt;KI5))</f>
        <v/>
      </c>
      <c r="KN5" t="n">
        <v>4.6</v>
      </c>
      <c r="KO5" t="n">
        <v>8</v>
      </c>
      <c r="KP5">
        <f t="array" ref="KP5">EXP(AVERAGE(IF((IN3:IN688="good")*(IH3:IH688&gt;=KN5)*(IH3:IH688&lt;KO5)*(IJ3:IJ688=1),LN(IH3:IH688))))</f>
        <v/>
      </c>
      <c r="KQ5">
        <f t="array" ref="KQ5">MEDIAN(IF((IN3:IN688="good")*(IH3:IH688&gt;=KN5)*(IH3:IH688&lt;KO5)*(IJ3:IJ688=1),IM3:IM688))</f>
        <v/>
      </c>
      <c r="KR5">
        <f t="array" ref="KR5">SUM((IN3:IN688="good")*(IH3:IH688&gt;=KN5)*(IH3:IH688&lt;KO5)*(IJ3:IJ688=1))</f>
        <v/>
      </c>
      <c r="KT5" t="n">
        <v>2.2</v>
      </c>
      <c r="KU5" t="n">
        <v>3.2</v>
      </c>
      <c r="KV5">
        <f t="array" ref="KV5">EXP(AVERAGE(IF((IN3:IN688="moderate")*(IH3:IH688&gt;=KT5)*(IH3:IH688&lt;KU5)*(IJ3:IJ688=1),LN(IH3:IH688))))</f>
        <v/>
      </c>
      <c r="KW5">
        <f t="array" ref="KW5">MEDIAN(IF((IN3:IN688="moderate")*(IH3:IH688&gt;=KT5)*(IH3:IH688&lt;KU5)*(IJ3:IJ688=1),IM3:IM688))</f>
        <v/>
      </c>
      <c r="KX5">
        <f t="array" ref="KX5">SUM((IN3:IN688="moderate")*(IH3:IH688&gt;=KT5)*(IH3:IH688&lt;KU5)*(IJ3:IJ688=1))</f>
        <v/>
      </c>
      <c r="KZ5" t="n">
        <v>2.2</v>
      </c>
      <c r="LA5" t="n">
        <v>3.2</v>
      </c>
      <c r="LB5">
        <f t="array" ref="LB5">EXP(AVERAGE(IF((IN3:IN688="low")*(IH3:IH688&gt;=KZ5)*(IH3:IH688&lt;LA5)*(IJ3:IJ688=1),LN(IH3:IH688))))</f>
        <v/>
      </c>
      <c r="LC5">
        <f t="array" ref="LC5">MEDIAN(IF((IN3:IN688="low")*(IH3:IH688&gt;=KZ5)*(IH3:IH688&lt;LA5)*(IJ3:IJ688=1),IM3:IM688))</f>
        <v/>
      </c>
      <c r="LD5">
        <f t="array" ref="LD5">SUM((IN3:IN688="low")*(IH3:IH688&gt;=KZ5)*(IH3:IH688&lt;LA5)*(IJ3:IJ688=1))</f>
        <v/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>
        <f>Rotura_Bg!G9</f>
        <v/>
      </c>
      <c r="CS6">
        <f>Rotura_Bg!H9</f>
        <v/>
      </c>
      <c r="CW6">
        <f>Rotura_Bg!H9</f>
        <v/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  <c r="IG6">
        <f>Base_mundial!A5</f>
        <v/>
      </c>
      <c r="IH6">
        <f>Base_mundial!C5</f>
        <v/>
      </c>
      <c r="II6">
        <f>Base_mundial!E5-MIN(tope,DEGREES(ATAN(TAN(RADIANS(pe0-omega*Base_mundial!B5))*(Base_mundial!C5/sref)^(m_-1))))</f>
        <v/>
      </c>
      <c r="IJ6" t="n">
        <v>0</v>
      </c>
      <c r="IK6">
        <f>IF(IJ6=1,LN(IH6),"")</f>
        <v/>
      </c>
      <c r="IL6">
        <f>IF(IJ6=1,AVERAGEIFS(II3:II688,IG3:IG688,IG6,IJ3:IJ688,1),"")</f>
        <v/>
      </c>
      <c r="IM6">
        <f>IF(IJ6=1,II6-IL6,"")</f>
        <v/>
      </c>
      <c r="IN6" t="inlineStr">
        <is>
          <t>low</t>
        </is>
      </c>
      <c r="IO6">
        <f>IF(IN6="good",II6,NA())</f>
        <v/>
      </c>
      <c r="IP6">
        <f>IF(IN6="moderate",II6,NA())</f>
        <v/>
      </c>
      <c r="IQ6">
        <f>IF(IN6="low",II6,NA())</f>
        <v/>
      </c>
      <c r="IR6">
        <f>IF(AND(IN6="good",IJ6=1),IM6,NA())</f>
        <v/>
      </c>
      <c r="IS6">
        <f>IF(AND(IN6="moderate",IJ6=1),IM6,NA())</f>
        <v/>
      </c>
      <c r="IT6">
        <f>IF(AND(IN6="low",IJ6=1),IM6,NA())</f>
        <v/>
      </c>
      <c r="IV6">
        <f>Ensayos!A5&amp;"|"&amp;Ensayos!B5</f>
        <v/>
      </c>
      <c r="IW6">
        <f>Ensayos!M5</f>
        <v/>
      </c>
      <c r="IX6">
        <f>Ensayos!R5</f>
        <v/>
      </c>
      <c r="IY6" t="n">
        <v>1</v>
      </c>
      <c r="IZ6">
        <f>IF(IY6=1,LN(IW6),"")</f>
        <v/>
      </c>
      <c r="JA6">
        <f>IF(IY6=1,AVERAGEIFS(IX3:IX39,IV3:IV39,IV6,IY3:IY39,1),"")</f>
        <v/>
      </c>
      <c r="JB6">
        <f>IF(IY6=1,IX6-JA6,"")</f>
        <v/>
      </c>
      <c r="JV6" t="n">
        <v>0.6</v>
      </c>
      <c r="JW6" t="n">
        <v>1</v>
      </c>
      <c r="JX6">
        <f t="array" ref="JX6">EXP(AVERAGE(IF((IN3:IN688="good")*(IH3:IH688&gt;=JV6)*(IH3:IH688&lt;JW6),LN(IH3:IH688))))</f>
        <v/>
      </c>
      <c r="JY6">
        <f t="array" ref="JY6">MEDIAN(IF((IN3:IN688="good")*(IH3:IH688&gt;=JV6)*(IH3:IH688&lt;JW6),II3:II688))</f>
        <v/>
      </c>
      <c r="JZ6">
        <f t="array" ref="JZ6">SUM((IN3:IN688="good")*(IH3:IH688&gt;=JV6)*(IH3:IH688&lt;JW6))</f>
        <v/>
      </c>
      <c r="KB6" t="n">
        <v>0.6</v>
      </c>
      <c r="KC6" t="n">
        <v>1</v>
      </c>
      <c r="KD6">
        <f t="array" ref="KD6">EXP(AVERAGE(IF((IN3:IN688="moderate")*(IH3:IH688&gt;=KB6)*(IH3:IH688&lt;KC6),LN(IH3:IH688))))</f>
        <v/>
      </c>
      <c r="KE6">
        <f t="array" ref="KE6">MEDIAN(IF((IN3:IN688="moderate")*(IH3:IH688&gt;=KB6)*(IH3:IH688&lt;KC6),II3:II688))</f>
        <v/>
      </c>
      <c r="KF6">
        <f t="array" ref="KF6">SUM((IN3:IN688="moderate")*(IH3:IH688&gt;=KB6)*(IH3:IH688&lt;KC6))</f>
        <v/>
      </c>
      <c r="KH6" t="n">
        <v>0.6</v>
      </c>
      <c r="KI6" t="n">
        <v>1</v>
      </c>
      <c r="KJ6">
        <f t="array" ref="KJ6">EXP(AVERAGE(IF((IN3:IN688="low")*(IH3:IH688&gt;=KH6)*(IH3:IH688&lt;KI6),LN(IH3:IH688))))</f>
        <v/>
      </c>
      <c r="KK6">
        <f t="array" ref="KK6">MEDIAN(IF((IN3:IN688="low")*(IH3:IH688&gt;=KH6)*(IH3:IH688&lt;KI6),II3:II688))</f>
        <v/>
      </c>
      <c r="KL6">
        <f t="array" ref="KL6">SUM((IN3:IN688="low")*(IH3:IH688&gt;=KH6)*(IH3:IH688&lt;KI6))</f>
        <v/>
      </c>
      <c r="KT6" t="n">
        <v>3.2</v>
      </c>
      <c r="KU6" t="n">
        <v>4.6</v>
      </c>
      <c r="KV6">
        <f t="array" ref="KV6">EXP(AVERAGE(IF((IN3:IN688="moderate")*(IH3:IH688&gt;=KT6)*(IH3:IH688&lt;KU6)*(IJ3:IJ688=1),LN(IH3:IH688))))</f>
        <v/>
      </c>
      <c r="KW6">
        <f t="array" ref="KW6">MEDIAN(IF((IN3:IN688="moderate")*(IH3:IH688&gt;=KT6)*(IH3:IH688&lt;KU6)*(IJ3:IJ688=1),IM3:IM688))</f>
        <v/>
      </c>
      <c r="KX6">
        <f t="array" ref="KX6">SUM((IN3:IN688="moderate")*(IH3:IH688&gt;=KT6)*(IH3:IH688&lt;KU6)*(IJ3:IJ688=1))</f>
        <v/>
      </c>
      <c r="KZ6" t="n">
        <v>3.2</v>
      </c>
      <c r="LA6" t="n">
        <v>4.6</v>
      </c>
      <c r="LB6">
        <f t="array" ref="LB6">EXP(AVERAGE(IF((IN3:IN688="low")*(IH3:IH688&gt;=KZ6)*(IH3:IH688&lt;LA6)*(IJ3:IJ688=1),LN(IH3:IH688))))</f>
        <v/>
      </c>
      <c r="LC6">
        <f t="array" ref="LC6">MEDIAN(IF((IN3:IN688="low")*(IH3:IH688&gt;=KZ6)*(IH3:IH688&lt;LA6)*(IJ3:IJ688=1),IM3:IM688))</f>
        <v/>
      </c>
      <c r="LD6">
        <f t="array" ref="LD6">SUM((IN3:IN688="low")*(IH3:IH688&gt;=KZ6)*(IH3:IH688&lt;LA6)*(IJ3:IJ688=1))</f>
        <v/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>
        <f>Rotura_Bg!G11</f>
        <v/>
      </c>
      <c r="CS7">
        <f>Rotura_Bg!H11</f>
        <v/>
      </c>
      <c r="CW7">
        <f>Rotura_Bg!H11</f>
        <v/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  <c r="IG7">
        <f>Base_mundial!A6</f>
        <v/>
      </c>
      <c r="IH7">
        <f>Base_mundial!C6</f>
        <v/>
      </c>
      <c r="II7">
        <f>Base_mundial!E6-MIN(tope,DEGREES(ATAN(TAN(RADIANS(pe0-omega*Base_mundial!B6))*(Base_mundial!C6/sref)^(m_-1))))</f>
        <v/>
      </c>
      <c r="IJ7" t="n">
        <v>0</v>
      </c>
      <c r="IK7">
        <f>IF(IJ7=1,LN(IH7),"")</f>
        <v/>
      </c>
      <c r="IL7">
        <f>IF(IJ7=1,AVERAGEIFS(II3:II688,IG3:IG688,IG7,IJ3:IJ688,1),"")</f>
        <v/>
      </c>
      <c r="IM7">
        <f>IF(IJ7=1,II7-IL7,"")</f>
        <v/>
      </c>
      <c r="IN7" t="inlineStr">
        <is>
          <t>low</t>
        </is>
      </c>
      <c r="IO7">
        <f>IF(IN7="good",II7,NA())</f>
        <v/>
      </c>
      <c r="IP7">
        <f>IF(IN7="moderate",II7,NA())</f>
        <v/>
      </c>
      <c r="IQ7">
        <f>IF(IN7="low",II7,NA())</f>
        <v/>
      </c>
      <c r="IR7">
        <f>IF(AND(IN7="good",IJ7=1),IM7,NA())</f>
        <v/>
      </c>
      <c r="IS7">
        <f>IF(AND(IN7="moderate",IJ7=1),IM7,NA())</f>
        <v/>
      </c>
      <c r="IT7">
        <f>IF(AND(IN7="low",IJ7=1),IM7,NA())</f>
        <v/>
      </c>
      <c r="IV7">
        <f>Ensayos!A6&amp;"|"&amp;Ensayos!B6</f>
        <v/>
      </c>
      <c r="IW7">
        <f>Ensayos!M6</f>
        <v/>
      </c>
      <c r="IX7">
        <f>Ensayos!R6</f>
        <v/>
      </c>
      <c r="IY7" t="n">
        <v>1</v>
      </c>
      <c r="IZ7">
        <f>IF(IY7=1,LN(IW7),"")</f>
        <v/>
      </c>
      <c r="JA7">
        <f>IF(IY7=1,AVERAGEIFS(IX3:IX39,IV3:IV39,IV7,IY3:IY39,1),"")</f>
        <v/>
      </c>
      <c r="JB7">
        <f>IF(IY7=1,IX7-JA7,"")</f>
        <v/>
      </c>
      <c r="JV7" t="n">
        <v>1</v>
      </c>
      <c r="JW7" t="n">
        <v>1.7</v>
      </c>
      <c r="JX7">
        <f t="array" ref="JX7">EXP(AVERAGE(IF((IN3:IN688="good")*(IH3:IH688&gt;=JV7)*(IH3:IH688&lt;JW7),LN(IH3:IH688))))</f>
        <v/>
      </c>
      <c r="JY7">
        <f t="array" ref="JY7">MEDIAN(IF((IN3:IN688="good")*(IH3:IH688&gt;=JV7)*(IH3:IH688&lt;JW7),II3:II688))</f>
        <v/>
      </c>
      <c r="JZ7">
        <f t="array" ref="JZ7">SUM((IN3:IN688="good")*(IH3:IH688&gt;=JV7)*(IH3:IH688&lt;JW7))</f>
        <v/>
      </c>
      <c r="KB7" t="n">
        <v>1</v>
      </c>
      <c r="KC7" t="n">
        <v>1.7</v>
      </c>
      <c r="KD7">
        <f t="array" ref="KD7">EXP(AVERAGE(IF((IN3:IN688="moderate")*(IH3:IH688&gt;=KB7)*(IH3:IH688&lt;KC7),LN(IH3:IH688))))</f>
        <v/>
      </c>
      <c r="KE7">
        <f t="array" ref="KE7">MEDIAN(IF((IN3:IN688="moderate")*(IH3:IH688&gt;=KB7)*(IH3:IH688&lt;KC7),II3:II688))</f>
        <v/>
      </c>
      <c r="KF7">
        <f t="array" ref="KF7">SUM((IN3:IN688="moderate")*(IH3:IH688&gt;=KB7)*(IH3:IH688&lt;KC7))</f>
        <v/>
      </c>
      <c r="KH7" t="n">
        <v>1</v>
      </c>
      <c r="KI7" t="n">
        <v>1.7</v>
      </c>
      <c r="KJ7">
        <f t="array" ref="KJ7">EXP(AVERAGE(IF((IN3:IN688="low")*(IH3:IH688&gt;=KH7)*(IH3:IH688&lt;KI7),LN(IH3:IH688))))</f>
        <v/>
      </c>
      <c r="KK7">
        <f t="array" ref="KK7">MEDIAN(IF((IN3:IN688="low")*(IH3:IH688&gt;=KH7)*(IH3:IH688&lt;KI7),II3:II688))</f>
        <v/>
      </c>
      <c r="KL7">
        <f t="array" ref="KL7">SUM((IN3:IN688="low")*(IH3:IH688&gt;=KH7)*(IH3:IH688&lt;KI7))</f>
        <v/>
      </c>
      <c r="KT7" t="n">
        <v>4.6</v>
      </c>
      <c r="KU7" t="n">
        <v>8</v>
      </c>
      <c r="KV7">
        <f t="array" ref="KV7">EXP(AVERAGE(IF((IN3:IN688="moderate")*(IH3:IH688&gt;=KT7)*(IH3:IH688&lt;KU7)*(IJ3:IJ688=1),LN(IH3:IH688))))</f>
        <v/>
      </c>
      <c r="KW7">
        <f t="array" ref="KW7">MEDIAN(IF((IN3:IN688="moderate")*(IH3:IH688&gt;=KT7)*(IH3:IH688&lt;KU7)*(IJ3:IJ688=1),IM3:IM688))</f>
        <v/>
      </c>
      <c r="KX7">
        <f t="array" ref="KX7">SUM((IN3:IN688="moderate")*(IH3:IH688&gt;=KT7)*(IH3:IH688&lt;KU7)*(IJ3:IJ688=1))</f>
        <v/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>
        <f>Rotura_Bg!G14</f>
        <v/>
      </c>
      <c r="CS8">
        <f>Rotura_Bg!H14</f>
        <v/>
      </c>
      <c r="CT8">
        <f>Rotura_Bg!H14</f>
        <v/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  <c r="IG8">
        <f>Base_mundial!A7</f>
        <v/>
      </c>
      <c r="IH8">
        <f>Base_mundial!C7</f>
        <v/>
      </c>
      <c r="II8">
        <f>Base_mundial!E7-MIN(tope,DEGREES(ATAN(TAN(RADIANS(pe0-omega*Base_mundial!B7))*(Base_mundial!C7/sref)^(m_-1))))</f>
        <v/>
      </c>
      <c r="IJ8" t="n">
        <v>0</v>
      </c>
      <c r="IK8">
        <f>IF(IJ8=1,LN(IH8),"")</f>
        <v/>
      </c>
      <c r="IL8">
        <f>IF(IJ8=1,AVERAGEIFS(II3:II688,IG3:IG688,IG8,IJ3:IJ688,1),"")</f>
        <v/>
      </c>
      <c r="IM8">
        <f>IF(IJ8=1,II8-IL8,"")</f>
        <v/>
      </c>
      <c r="IN8" t="inlineStr">
        <is>
          <t>low</t>
        </is>
      </c>
      <c r="IO8">
        <f>IF(IN8="good",II8,NA())</f>
        <v/>
      </c>
      <c r="IP8">
        <f>IF(IN8="moderate",II8,NA())</f>
        <v/>
      </c>
      <c r="IQ8">
        <f>IF(IN8="low",II8,NA())</f>
        <v/>
      </c>
      <c r="IR8">
        <f>IF(AND(IN8="good",IJ8=1),IM8,NA())</f>
        <v/>
      </c>
      <c r="IS8">
        <f>IF(AND(IN8="moderate",IJ8=1),IM8,NA())</f>
        <v/>
      </c>
      <c r="IT8">
        <f>IF(AND(IN8="low",IJ8=1),IM8,NA())</f>
        <v/>
      </c>
      <c r="IV8">
        <f>Ensayos!A7&amp;"|"&amp;Ensayos!B7</f>
        <v/>
      </c>
      <c r="IW8">
        <f>Ensayos!M7</f>
        <v/>
      </c>
      <c r="IX8">
        <f>Ensayos!R7</f>
        <v/>
      </c>
      <c r="IY8" t="n">
        <v>0</v>
      </c>
      <c r="IZ8">
        <f>IF(IY8=1,LN(IW8),"")</f>
        <v/>
      </c>
      <c r="JA8">
        <f>IF(IY8=1,AVERAGEIFS(IX3:IX39,IV3:IV39,IV8,IY3:IY39,1),"")</f>
        <v/>
      </c>
      <c r="JB8">
        <f>IF(IY8=1,IX8-JA8,"")</f>
        <v/>
      </c>
      <c r="JV8" t="n">
        <v>1.7</v>
      </c>
      <c r="JW8" t="n">
        <v>3</v>
      </c>
      <c r="JX8">
        <f t="array" ref="JX8">EXP(AVERAGE(IF((IN3:IN688="good")*(IH3:IH688&gt;=JV8)*(IH3:IH688&lt;JW8),LN(IH3:IH688))))</f>
        <v/>
      </c>
      <c r="JY8">
        <f t="array" ref="JY8">MEDIAN(IF((IN3:IN688="good")*(IH3:IH688&gt;=JV8)*(IH3:IH688&lt;JW8),II3:II688))</f>
        <v/>
      </c>
      <c r="JZ8">
        <f t="array" ref="JZ8">SUM((IN3:IN688="good")*(IH3:IH688&gt;=JV8)*(IH3:IH688&lt;JW8))</f>
        <v/>
      </c>
      <c r="KB8" t="n">
        <v>1.7</v>
      </c>
      <c r="KC8" t="n">
        <v>3</v>
      </c>
      <c r="KD8">
        <f t="array" ref="KD8">EXP(AVERAGE(IF((IN3:IN688="moderate")*(IH3:IH688&gt;=KB8)*(IH3:IH688&lt;KC8),LN(IH3:IH688))))</f>
        <v/>
      </c>
      <c r="KE8">
        <f t="array" ref="KE8">MEDIAN(IF((IN3:IN688="moderate")*(IH3:IH688&gt;=KB8)*(IH3:IH688&lt;KC8),II3:II688))</f>
        <v/>
      </c>
      <c r="KF8">
        <f t="array" ref="KF8">SUM((IN3:IN688="moderate")*(IH3:IH688&gt;=KB8)*(IH3:IH688&lt;KC8))</f>
        <v/>
      </c>
      <c r="KH8" t="n">
        <v>1.7</v>
      </c>
      <c r="KI8" t="n">
        <v>3</v>
      </c>
      <c r="KJ8">
        <f t="array" ref="KJ8">EXP(AVERAGE(IF((IN3:IN688="low")*(IH3:IH688&gt;=KH8)*(IH3:IH688&lt;KI8),LN(IH3:IH688))))</f>
        <v/>
      </c>
      <c r="KK8">
        <f t="array" ref="KK8">MEDIAN(IF((IN3:IN688="low")*(IH3:IH688&gt;=KH8)*(IH3:IH688&lt;KI8),II3:II688))</f>
        <v/>
      </c>
      <c r="KL8">
        <f t="array" ref="KL8">SUM((IN3:IN688="low")*(IH3:IH688&gt;=KH8)*(IH3:IH688&lt;KI8))</f>
        <v/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>
        <f>Rotura_Bg!G16</f>
        <v/>
      </c>
      <c r="CS9">
        <f>Rotura_Bg!H16</f>
        <v/>
      </c>
      <c r="CT9">
        <f>Rotura_Bg!H16</f>
        <v/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  <c r="IG9">
        <f>Base_mundial!A8</f>
        <v/>
      </c>
      <c r="IH9">
        <f>Base_mundial!C8</f>
        <v/>
      </c>
      <c r="II9">
        <f>Base_mundial!E8-MIN(tope,DEGREES(ATAN(TAN(RADIANS(pe0-omega*Base_mundial!B8))*(Base_mundial!C8/sref)^(m_-1))))</f>
        <v/>
      </c>
      <c r="IJ9" t="n">
        <v>0</v>
      </c>
      <c r="IK9">
        <f>IF(IJ9=1,LN(IH9),"")</f>
        <v/>
      </c>
      <c r="IL9">
        <f>IF(IJ9=1,AVERAGEIFS(II3:II688,IG3:IG688,IG9,IJ3:IJ688,1),"")</f>
        <v/>
      </c>
      <c r="IM9">
        <f>IF(IJ9=1,II9-IL9,"")</f>
        <v/>
      </c>
      <c r="IN9" t="inlineStr">
        <is>
          <t>low</t>
        </is>
      </c>
      <c r="IO9">
        <f>IF(IN9="good",II9,NA())</f>
        <v/>
      </c>
      <c r="IP9">
        <f>IF(IN9="moderate",II9,NA())</f>
        <v/>
      </c>
      <c r="IQ9">
        <f>IF(IN9="low",II9,NA())</f>
        <v/>
      </c>
      <c r="IR9">
        <f>IF(AND(IN9="good",IJ9=1),IM9,NA())</f>
        <v/>
      </c>
      <c r="IS9">
        <f>IF(AND(IN9="moderate",IJ9=1),IM9,NA())</f>
        <v/>
      </c>
      <c r="IT9">
        <f>IF(AND(IN9="low",IJ9=1),IM9,NA())</f>
        <v/>
      </c>
      <c r="IV9">
        <f>Ensayos!A8&amp;"|"&amp;Ensayos!B8</f>
        <v/>
      </c>
      <c r="IW9">
        <f>Ensayos!M8</f>
        <v/>
      </c>
      <c r="IX9">
        <f>Ensayos!R8</f>
        <v/>
      </c>
      <c r="IY9" t="n">
        <v>0</v>
      </c>
      <c r="IZ9">
        <f>IF(IY9=1,LN(IW9),"")</f>
        <v/>
      </c>
      <c r="JA9">
        <f>IF(IY9=1,AVERAGEIFS(IX3:IX39,IV3:IV39,IV9,IY3:IY39,1),"")</f>
        <v/>
      </c>
      <c r="JB9">
        <f>IF(IY9=1,IX9-JA9,"")</f>
        <v/>
      </c>
      <c r="JV9" t="n">
        <v>3</v>
      </c>
      <c r="JW9" t="n">
        <v>5</v>
      </c>
      <c r="JX9">
        <f t="array" ref="JX9">EXP(AVERAGE(IF((IN3:IN688="good")*(IH3:IH688&gt;=JV9)*(IH3:IH688&lt;JW9),LN(IH3:IH688))))</f>
        <v/>
      </c>
      <c r="JY9">
        <f t="array" ref="JY9">MEDIAN(IF((IN3:IN688="good")*(IH3:IH688&gt;=JV9)*(IH3:IH688&lt;JW9),II3:II688))</f>
        <v/>
      </c>
      <c r="JZ9">
        <f t="array" ref="JZ9">SUM((IN3:IN688="good")*(IH3:IH688&gt;=JV9)*(IH3:IH688&lt;JW9))</f>
        <v/>
      </c>
      <c r="KB9" t="n">
        <v>3</v>
      </c>
      <c r="KC9" t="n">
        <v>5</v>
      </c>
      <c r="KD9">
        <f t="array" ref="KD9">EXP(AVERAGE(IF((IN3:IN688="moderate")*(IH3:IH688&gt;=KB9)*(IH3:IH688&lt;KC9),LN(IH3:IH688))))</f>
        <v/>
      </c>
      <c r="KE9">
        <f t="array" ref="KE9">MEDIAN(IF((IN3:IN688="moderate")*(IH3:IH688&gt;=KB9)*(IH3:IH688&lt;KC9),II3:II688))</f>
        <v/>
      </c>
      <c r="KF9">
        <f t="array" ref="KF9">SUM((IN3:IN688="moderate")*(IH3:IH688&gt;=KB9)*(IH3:IH688&lt;KC9))</f>
        <v/>
      </c>
      <c r="KH9" t="n">
        <v>3</v>
      </c>
      <c r="KI9" t="n">
        <v>5</v>
      </c>
      <c r="KJ9">
        <f t="array" ref="KJ9">EXP(AVERAGE(IF((IN3:IN688="low")*(IH3:IH688&gt;=KH9)*(IH3:IH688&lt;KI9),LN(IH3:IH688))))</f>
        <v/>
      </c>
      <c r="KK9">
        <f t="array" ref="KK9">MEDIAN(IF((IN3:IN688="low")*(IH3:IH688&gt;=KH9)*(IH3:IH688&lt;KI9),II3:II688))</f>
        <v/>
      </c>
      <c r="KL9">
        <f t="array" ref="KL9">SUM((IN3:IN688="low")*(IH3:IH688&gt;=KH9)*(IH3:IH688&lt;KI9))</f>
        <v/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>
        <f>Rotura_Bg!G18</f>
        <v/>
      </c>
      <c r="CS10">
        <f>Rotura_Bg!H18</f>
        <v/>
      </c>
      <c r="CT10">
        <f>Rotura_Bg!H18</f>
        <v/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  <c r="IG10">
        <f>Base_mundial!A9</f>
        <v/>
      </c>
      <c r="IH10">
        <f>Base_mundial!C9</f>
        <v/>
      </c>
      <c r="II10">
        <f>Base_mundial!E9-MIN(tope,DEGREES(ATAN(TAN(RADIANS(pe0-omega*Base_mundial!B9))*(Base_mundial!C9/sref)^(m_-1))))</f>
        <v/>
      </c>
      <c r="IJ10" t="n">
        <v>0</v>
      </c>
      <c r="IK10">
        <f>IF(IJ10=1,LN(IH10),"")</f>
        <v/>
      </c>
      <c r="IL10">
        <f>IF(IJ10=1,AVERAGEIFS(II3:II688,IG3:IG688,IG10,IJ3:IJ688,1),"")</f>
        <v/>
      </c>
      <c r="IM10">
        <f>IF(IJ10=1,II10-IL10,"")</f>
        <v/>
      </c>
      <c r="IN10" t="inlineStr">
        <is>
          <t>low</t>
        </is>
      </c>
      <c r="IO10">
        <f>IF(IN10="good",II10,NA())</f>
        <v/>
      </c>
      <c r="IP10">
        <f>IF(IN10="moderate",II10,NA())</f>
        <v/>
      </c>
      <c r="IQ10">
        <f>IF(IN10="low",II10,NA())</f>
        <v/>
      </c>
      <c r="IR10">
        <f>IF(AND(IN10="good",IJ10=1),IM10,NA())</f>
        <v/>
      </c>
      <c r="IS10">
        <f>IF(AND(IN10="moderate",IJ10=1),IM10,NA())</f>
        <v/>
      </c>
      <c r="IT10">
        <f>IF(AND(IN10="low",IJ10=1),IM10,NA())</f>
        <v/>
      </c>
      <c r="IV10">
        <f>Ensayos!A9&amp;"|"&amp;Ensayos!B9</f>
        <v/>
      </c>
      <c r="IW10">
        <f>Ensayos!M9</f>
        <v/>
      </c>
      <c r="IX10">
        <f>Ensayos!R9</f>
        <v/>
      </c>
      <c r="IY10" t="n">
        <v>0</v>
      </c>
      <c r="IZ10">
        <f>IF(IY10=1,LN(IW10),"")</f>
        <v/>
      </c>
      <c r="JA10">
        <f>IF(IY10=1,AVERAGEIFS(IX3:IX39,IV3:IV39,IV10,IY3:IY39,1),"")</f>
        <v/>
      </c>
      <c r="JB10">
        <f>IF(IY10=1,IX10-JA10,"")</f>
        <v/>
      </c>
      <c r="JV10" t="n">
        <v>5</v>
      </c>
      <c r="JW10" t="n">
        <v>8</v>
      </c>
      <c r="JX10">
        <f t="array" ref="JX10">EXP(AVERAGE(IF((IN3:IN688="good")*(IH3:IH688&gt;=JV10)*(IH3:IH688&lt;JW10),LN(IH3:IH688))))</f>
        <v/>
      </c>
      <c r="JY10">
        <f t="array" ref="JY10">MEDIAN(IF((IN3:IN688="good")*(IH3:IH688&gt;=JV10)*(IH3:IH688&lt;JW10),II3:II688))</f>
        <v/>
      </c>
      <c r="JZ10">
        <f t="array" ref="JZ10">SUM((IN3:IN688="good")*(IH3:IH688&gt;=JV10)*(IH3:IH688&lt;JW10))</f>
        <v/>
      </c>
      <c r="KB10" t="n">
        <v>5</v>
      </c>
      <c r="KC10" t="n">
        <v>8</v>
      </c>
      <c r="KD10">
        <f t="array" ref="KD10">EXP(AVERAGE(IF((IN3:IN688="moderate")*(IH3:IH688&gt;=KB10)*(IH3:IH688&lt;KC10),LN(IH3:IH688))))</f>
        <v/>
      </c>
      <c r="KE10">
        <f t="array" ref="KE10">MEDIAN(IF((IN3:IN688="moderate")*(IH3:IH688&gt;=KB10)*(IH3:IH688&lt;KC10),II3:II688))</f>
        <v/>
      </c>
      <c r="KF10">
        <f t="array" ref="KF10">SUM((IN3:IN688="moderate")*(IH3:IH688&gt;=KB10)*(IH3:IH688&lt;KC10))</f>
        <v/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>
        <f>Rotura_Bg!G20</f>
        <v/>
      </c>
      <c r="CS11">
        <f>Rotura_Bg!H20</f>
        <v/>
      </c>
      <c r="CT11">
        <f>Rotura_Bg!H20</f>
        <v/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  <c r="IG11">
        <f>Base_mundial!A10</f>
        <v/>
      </c>
      <c r="IH11">
        <f>Base_mundial!C10</f>
        <v/>
      </c>
      <c r="II11">
        <f>Base_mundial!E10-MIN(tope,DEGREES(ATAN(TAN(RADIANS(pe0-omega*Base_mundial!B10))*(Base_mundial!C10/sref)^(m_-1))))</f>
        <v/>
      </c>
      <c r="IJ11" t="n">
        <v>0</v>
      </c>
      <c r="IK11">
        <f>IF(IJ11=1,LN(IH11),"")</f>
        <v/>
      </c>
      <c r="IL11">
        <f>IF(IJ11=1,AVERAGEIFS(II3:II688,IG3:IG688,IG11,IJ3:IJ688,1),"")</f>
        <v/>
      </c>
      <c r="IM11">
        <f>IF(IJ11=1,II11-IL11,"")</f>
        <v/>
      </c>
      <c r="IN11" t="inlineStr">
        <is>
          <t>low</t>
        </is>
      </c>
      <c r="IO11">
        <f>IF(IN11="good",II11,NA())</f>
        <v/>
      </c>
      <c r="IP11">
        <f>IF(IN11="moderate",II11,NA())</f>
        <v/>
      </c>
      <c r="IQ11">
        <f>IF(IN11="low",II11,NA())</f>
        <v/>
      </c>
      <c r="IR11">
        <f>IF(AND(IN11="good",IJ11=1),IM11,NA())</f>
        <v/>
      </c>
      <c r="IS11">
        <f>IF(AND(IN11="moderate",IJ11=1),IM11,NA())</f>
        <v/>
      </c>
      <c r="IT11">
        <f>IF(AND(IN11="low",IJ11=1),IM11,NA())</f>
        <v/>
      </c>
      <c r="IV11">
        <f>Ensayos!A10&amp;"|"&amp;Ensayos!B10</f>
        <v/>
      </c>
      <c r="IW11">
        <f>Ensayos!M10</f>
        <v/>
      </c>
      <c r="IX11">
        <f>Ensayos!R10</f>
        <v/>
      </c>
      <c r="IY11" t="n">
        <v>1</v>
      </c>
      <c r="IZ11">
        <f>IF(IY11=1,LN(IW11),"")</f>
        <v/>
      </c>
      <c r="JA11">
        <f>IF(IY11=1,AVERAGEIFS(IX3:IX39,IV3:IV39,IV11,IY3:IY39,1),"")</f>
        <v/>
      </c>
      <c r="JB11">
        <f>IF(IY11=1,IX11-JA11,"")</f>
        <v/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>
        <f>Rotura_Bg!G22</f>
        <v/>
      </c>
      <c r="CS12">
        <f>Rotura_Bg!H22</f>
        <v/>
      </c>
      <c r="CT12">
        <f>Rotura_Bg!H22</f>
        <v/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  <c r="IG12">
        <f>Base_mundial!A11</f>
        <v/>
      </c>
      <c r="IH12">
        <f>Base_mundial!C11</f>
        <v/>
      </c>
      <c r="II12">
        <f>Base_mundial!E11-MIN(tope,DEGREES(ATAN(TAN(RADIANS(pe0-omega*Base_mundial!B11))*(Base_mundial!C11/sref)^(m_-1))))</f>
        <v/>
      </c>
      <c r="IJ12" t="n">
        <v>0</v>
      </c>
      <c r="IK12">
        <f>IF(IJ12=1,LN(IH12),"")</f>
        <v/>
      </c>
      <c r="IL12">
        <f>IF(IJ12=1,AVERAGEIFS(II3:II688,IG3:IG688,IG12,IJ3:IJ688,1),"")</f>
        <v/>
      </c>
      <c r="IM12">
        <f>IF(IJ12=1,II12-IL12,"")</f>
        <v/>
      </c>
      <c r="IN12" t="inlineStr">
        <is>
          <t>low</t>
        </is>
      </c>
      <c r="IO12">
        <f>IF(IN12="good",II12,NA())</f>
        <v/>
      </c>
      <c r="IP12">
        <f>IF(IN12="moderate",II12,NA())</f>
        <v/>
      </c>
      <c r="IQ12">
        <f>IF(IN12="low",II12,NA())</f>
        <v/>
      </c>
      <c r="IR12">
        <f>IF(AND(IN12="good",IJ12=1),IM12,NA())</f>
        <v/>
      </c>
      <c r="IS12">
        <f>IF(AND(IN12="moderate",IJ12=1),IM12,NA())</f>
        <v/>
      </c>
      <c r="IT12">
        <f>IF(AND(IN12="low",IJ12=1),IM12,NA())</f>
        <v/>
      </c>
      <c r="IV12">
        <f>Ensayos!A11&amp;"|"&amp;Ensayos!B11</f>
        <v/>
      </c>
      <c r="IW12">
        <f>Ensayos!M11</f>
        <v/>
      </c>
      <c r="IX12">
        <f>Ensayos!R11</f>
        <v/>
      </c>
      <c r="IY12" t="n">
        <v>1</v>
      </c>
      <c r="IZ12">
        <f>IF(IY12=1,LN(IW12),"")</f>
        <v/>
      </c>
      <c r="JA12">
        <f>IF(IY12=1,AVERAGEIFS(IX3:IX39,IV3:IV39,IV12,IY3:IY39,1),"")</f>
        <v/>
      </c>
      <c r="JB12">
        <f>IF(IY12=1,IX12-JA12,"")</f>
        <v/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>
        <f>Rotura_Bg!G24</f>
        <v/>
      </c>
      <c r="CS13">
        <f>Rotura_Bg!H24</f>
        <v/>
      </c>
      <c r="CT13">
        <f>Rotura_Bg!H24</f>
        <v/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  <c r="IG13">
        <f>Base_mundial!A12</f>
        <v/>
      </c>
      <c r="IH13">
        <f>Base_mundial!C12</f>
        <v/>
      </c>
      <c r="II13">
        <f>Base_mundial!E12-MIN(tope,DEGREES(ATAN(TAN(RADIANS(pe0-omega*Base_mundial!B12))*(Base_mundial!C12/sref)^(m_-1))))</f>
        <v/>
      </c>
      <c r="IJ13" t="n">
        <v>0</v>
      </c>
      <c r="IK13">
        <f>IF(IJ13=1,LN(IH13),"")</f>
        <v/>
      </c>
      <c r="IL13">
        <f>IF(IJ13=1,AVERAGEIFS(II3:II688,IG3:IG688,IG13,IJ3:IJ688,1),"")</f>
        <v/>
      </c>
      <c r="IM13">
        <f>IF(IJ13=1,II13-IL13,"")</f>
        <v/>
      </c>
      <c r="IN13" t="inlineStr">
        <is>
          <t>low</t>
        </is>
      </c>
      <c r="IO13">
        <f>IF(IN13="good",II13,NA())</f>
        <v/>
      </c>
      <c r="IP13">
        <f>IF(IN13="moderate",II13,NA())</f>
        <v/>
      </c>
      <c r="IQ13">
        <f>IF(IN13="low",II13,NA())</f>
        <v/>
      </c>
      <c r="IR13">
        <f>IF(AND(IN13="good",IJ13=1),IM13,NA())</f>
        <v/>
      </c>
      <c r="IS13">
        <f>IF(AND(IN13="moderate",IJ13=1),IM13,NA())</f>
        <v/>
      </c>
      <c r="IT13">
        <f>IF(AND(IN13="low",IJ13=1),IM13,NA())</f>
        <v/>
      </c>
      <c r="IV13">
        <f>Ensayos!A12&amp;"|"&amp;Ensayos!B12</f>
        <v/>
      </c>
      <c r="IW13">
        <f>Ensayos!M12</f>
        <v/>
      </c>
      <c r="IX13">
        <f>Ensayos!R12</f>
        <v/>
      </c>
      <c r="IY13" t="n">
        <v>1</v>
      </c>
      <c r="IZ13">
        <f>IF(IY13=1,LN(IW13),"")</f>
        <v/>
      </c>
      <c r="JA13">
        <f>IF(IY13=1,AVERAGEIFS(IX3:IX39,IV3:IV39,IV13,IY3:IY39,1),"")</f>
        <v/>
      </c>
      <c r="JB13">
        <f>IF(IY13=1,IX13-JA13,"")</f>
        <v/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>
        <f>Rotura_Bg!G28</f>
        <v/>
      </c>
      <c r="CS14">
        <f>Rotura_Bg!H28</f>
        <v/>
      </c>
      <c r="CU14">
        <f>Rotura_Bg!H28</f>
        <v/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  <c r="IG14">
        <f>Base_mundial!A13</f>
        <v/>
      </c>
      <c r="IH14">
        <f>Base_mundial!C13</f>
        <v/>
      </c>
      <c r="II14">
        <f>Base_mundial!E13-MIN(tope,DEGREES(ATAN(TAN(RADIANS(pe0-omega*Base_mundial!B13))*(Base_mundial!C13/sref)^(m_-1))))</f>
        <v/>
      </c>
      <c r="IJ14" t="n">
        <v>0</v>
      </c>
      <c r="IK14">
        <f>IF(IJ14=1,LN(IH14),"")</f>
        <v/>
      </c>
      <c r="IL14">
        <f>IF(IJ14=1,AVERAGEIFS(II3:II688,IG3:IG688,IG14,IJ3:IJ688,1),"")</f>
        <v/>
      </c>
      <c r="IM14">
        <f>IF(IJ14=1,II14-IL14,"")</f>
        <v/>
      </c>
      <c r="IN14" t="inlineStr">
        <is>
          <t>low</t>
        </is>
      </c>
      <c r="IO14">
        <f>IF(IN14="good",II14,NA())</f>
        <v/>
      </c>
      <c r="IP14">
        <f>IF(IN14="moderate",II14,NA())</f>
        <v/>
      </c>
      <c r="IQ14">
        <f>IF(IN14="low",II14,NA())</f>
        <v/>
      </c>
      <c r="IR14">
        <f>IF(AND(IN14="good",IJ14=1),IM14,NA())</f>
        <v/>
      </c>
      <c r="IS14">
        <f>IF(AND(IN14="moderate",IJ14=1),IM14,NA())</f>
        <v/>
      </c>
      <c r="IT14">
        <f>IF(AND(IN14="low",IJ14=1),IM14,NA())</f>
        <v/>
      </c>
      <c r="IV14">
        <f>Ensayos!A13&amp;"|"&amp;Ensayos!B13</f>
        <v/>
      </c>
      <c r="IW14">
        <f>Ensayos!M13</f>
        <v/>
      </c>
      <c r="IX14">
        <f>Ensayos!R13</f>
        <v/>
      </c>
      <c r="IY14" t="n">
        <v>1</v>
      </c>
      <c r="IZ14">
        <f>IF(IY14=1,LN(IW14),"")</f>
        <v/>
      </c>
      <c r="JA14">
        <f>IF(IY14=1,AVERAGEIFS(IX3:IX39,IV3:IV39,IV14,IY3:IY39,1),"")</f>
        <v/>
      </c>
      <c r="JB14">
        <f>IF(IY14=1,IX14-JA14,"")</f>
        <v/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>
        <f>Rotura_Bg!G37</f>
        <v/>
      </c>
      <c r="CS15">
        <f>Rotura_Bg!H37</f>
        <v/>
      </c>
      <c r="CX15">
        <f>Rotura_Bg!H37</f>
        <v/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  <c r="IG15">
        <f>Base_mundial!A14</f>
        <v/>
      </c>
      <c r="IH15">
        <f>Base_mundial!C14</f>
        <v/>
      </c>
      <c r="II15">
        <f>Base_mundial!E14-MIN(tope,DEGREES(ATAN(TAN(RADIANS(pe0-omega*Base_mundial!B14))*(Base_mundial!C14/sref)^(m_-1))))</f>
        <v/>
      </c>
      <c r="IJ15" t="n">
        <v>0</v>
      </c>
      <c r="IK15">
        <f>IF(IJ15=1,LN(IH15),"")</f>
        <v/>
      </c>
      <c r="IL15">
        <f>IF(IJ15=1,AVERAGEIFS(II3:II688,IG3:IG688,IG15,IJ3:IJ688,1),"")</f>
        <v/>
      </c>
      <c r="IM15">
        <f>IF(IJ15=1,II15-IL15,"")</f>
        <v/>
      </c>
      <c r="IN15" t="inlineStr">
        <is>
          <t>low</t>
        </is>
      </c>
      <c r="IO15">
        <f>IF(IN15="good",II15,NA())</f>
        <v/>
      </c>
      <c r="IP15">
        <f>IF(IN15="moderate",II15,NA())</f>
        <v/>
      </c>
      <c r="IQ15">
        <f>IF(IN15="low",II15,NA())</f>
        <v/>
      </c>
      <c r="IR15">
        <f>IF(AND(IN15="good",IJ15=1),IM15,NA())</f>
        <v/>
      </c>
      <c r="IS15">
        <f>IF(AND(IN15="moderate",IJ15=1),IM15,NA())</f>
        <v/>
      </c>
      <c r="IT15">
        <f>IF(AND(IN15="low",IJ15=1),IM15,NA())</f>
        <v/>
      </c>
      <c r="IV15">
        <f>Ensayos!A14&amp;"|"&amp;Ensayos!B14</f>
        <v/>
      </c>
      <c r="IW15">
        <f>Ensayos!M14</f>
        <v/>
      </c>
      <c r="IX15">
        <f>Ensayos!R14</f>
        <v/>
      </c>
      <c r="IY15" t="n">
        <v>1</v>
      </c>
      <c r="IZ15">
        <f>IF(IY15=1,LN(IW15),"")</f>
        <v/>
      </c>
      <c r="JA15">
        <f>IF(IY15=1,AVERAGEIFS(IX3:IX39,IV3:IV39,IV15,IY3:IY39,1),"")</f>
        <v/>
      </c>
      <c r="JB15">
        <f>IF(IY15=1,IX15-JA15,"")</f>
        <v/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>
        <f>Rotura_Bg!G43</f>
        <v/>
      </c>
      <c r="CS16">
        <f>Rotura_Bg!H43</f>
        <v/>
      </c>
      <c r="CV16">
        <f>Rotura_Bg!H43</f>
        <v/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  <c r="IG16">
        <f>Base_mundial!A15</f>
        <v/>
      </c>
      <c r="IH16">
        <f>Base_mundial!C15</f>
        <v/>
      </c>
      <c r="II16">
        <f>Base_mundial!E15-MIN(tope,DEGREES(ATAN(TAN(RADIANS(pe0-omega*Base_mundial!B15))*(Base_mundial!C15/sref)^(m_-1))))</f>
        <v/>
      </c>
      <c r="IJ16" t="n">
        <v>0</v>
      </c>
      <c r="IK16">
        <f>IF(IJ16=1,LN(IH16),"")</f>
        <v/>
      </c>
      <c r="IL16">
        <f>IF(IJ16=1,AVERAGEIFS(II3:II688,IG3:IG688,IG16,IJ3:IJ688,1),"")</f>
        <v/>
      </c>
      <c r="IM16">
        <f>IF(IJ16=1,II16-IL16,"")</f>
        <v/>
      </c>
      <c r="IN16" t="inlineStr">
        <is>
          <t>low</t>
        </is>
      </c>
      <c r="IO16">
        <f>IF(IN16="good",II16,NA())</f>
        <v/>
      </c>
      <c r="IP16">
        <f>IF(IN16="moderate",II16,NA())</f>
        <v/>
      </c>
      <c r="IQ16">
        <f>IF(IN16="low",II16,NA())</f>
        <v/>
      </c>
      <c r="IR16">
        <f>IF(AND(IN16="good",IJ16=1),IM16,NA())</f>
        <v/>
      </c>
      <c r="IS16">
        <f>IF(AND(IN16="moderate",IJ16=1),IM16,NA())</f>
        <v/>
      </c>
      <c r="IT16">
        <f>IF(AND(IN16="low",IJ16=1),IM16,NA())</f>
        <v/>
      </c>
      <c r="IV16">
        <f>Ensayos!A15&amp;"|"&amp;Ensayos!B15</f>
        <v/>
      </c>
      <c r="IW16">
        <f>Ensayos!M15</f>
        <v/>
      </c>
      <c r="IX16">
        <f>Ensayos!R15</f>
        <v/>
      </c>
      <c r="IY16" t="n">
        <v>1</v>
      </c>
      <c r="IZ16">
        <f>IF(IY16=1,LN(IW16),"")</f>
        <v/>
      </c>
      <c r="JA16">
        <f>IF(IY16=1,AVERAGEIFS(IX3:IX39,IV3:IV39,IV16,IY3:IY39,1),"")</f>
        <v/>
      </c>
      <c r="JB16">
        <f>IF(IY16=1,IX16-JA16,"")</f>
        <v/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>
        <f>Rotura_Bg!G44</f>
        <v/>
      </c>
      <c r="CS17">
        <f>Rotura_Bg!H44</f>
        <v/>
      </c>
      <c r="CV17">
        <f>Rotura_Bg!H44</f>
        <v/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  <c r="IG17">
        <f>Base_mundial!A16</f>
        <v/>
      </c>
      <c r="IH17">
        <f>Base_mundial!C16</f>
        <v/>
      </c>
      <c r="II17">
        <f>Base_mundial!E16-MIN(tope,DEGREES(ATAN(TAN(RADIANS(pe0-omega*Base_mundial!B16))*(Base_mundial!C16/sref)^(m_-1))))</f>
        <v/>
      </c>
      <c r="IJ17" t="n">
        <v>0</v>
      </c>
      <c r="IK17">
        <f>IF(IJ17=1,LN(IH17),"")</f>
        <v/>
      </c>
      <c r="IL17">
        <f>IF(IJ17=1,AVERAGEIFS(II3:II688,IG3:IG688,IG17,IJ3:IJ688,1),"")</f>
        <v/>
      </c>
      <c r="IM17">
        <f>IF(IJ17=1,II17-IL17,"")</f>
        <v/>
      </c>
      <c r="IN17" t="inlineStr">
        <is>
          <t>low</t>
        </is>
      </c>
      <c r="IO17">
        <f>IF(IN17="good",II17,NA())</f>
        <v/>
      </c>
      <c r="IP17">
        <f>IF(IN17="moderate",II17,NA())</f>
        <v/>
      </c>
      <c r="IQ17">
        <f>IF(IN17="low",II17,NA())</f>
        <v/>
      </c>
      <c r="IR17">
        <f>IF(AND(IN17="good",IJ17=1),IM17,NA())</f>
        <v/>
      </c>
      <c r="IS17">
        <f>IF(AND(IN17="moderate",IJ17=1),IM17,NA())</f>
        <v/>
      </c>
      <c r="IT17">
        <f>IF(AND(IN17="low",IJ17=1),IM17,NA())</f>
        <v/>
      </c>
      <c r="IV17">
        <f>Ensayos!A16&amp;"|"&amp;Ensayos!B16</f>
        <v/>
      </c>
      <c r="IW17">
        <f>Ensayos!M16</f>
        <v/>
      </c>
      <c r="IX17">
        <f>Ensayos!R16</f>
        <v/>
      </c>
      <c r="IY17" t="n">
        <v>0</v>
      </c>
      <c r="IZ17">
        <f>IF(IY17=1,LN(IW17),"")</f>
        <v/>
      </c>
      <c r="JA17">
        <f>IF(IY17=1,AVERAGEIFS(IX3:IX39,IV3:IV39,IV17,IY3:IY39,1),"")</f>
        <v/>
      </c>
      <c r="JB17">
        <f>IF(IY17=1,IX17-JA17,"")</f>
        <v/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>
        <f>Rotura_Bg!G45</f>
        <v/>
      </c>
      <c r="CS18">
        <f>Rotura_Bg!H45</f>
        <v/>
      </c>
      <c r="CV18">
        <f>Rotura_Bg!H45</f>
        <v/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  <c r="IG18">
        <f>Base_mundial!A17</f>
        <v/>
      </c>
      <c r="IH18">
        <f>Base_mundial!C17</f>
        <v/>
      </c>
      <c r="II18">
        <f>Base_mundial!E17-MIN(tope,DEGREES(ATAN(TAN(RADIANS(pe0-omega*Base_mundial!B17))*(Base_mundial!C17/sref)^(m_-1))))</f>
        <v/>
      </c>
      <c r="IJ18" t="n">
        <v>0</v>
      </c>
      <c r="IK18">
        <f>IF(IJ18=1,LN(IH18),"")</f>
        <v/>
      </c>
      <c r="IL18">
        <f>IF(IJ18=1,AVERAGEIFS(II3:II688,IG3:IG688,IG18,IJ3:IJ688,1),"")</f>
        <v/>
      </c>
      <c r="IM18">
        <f>IF(IJ18=1,II18-IL18,"")</f>
        <v/>
      </c>
      <c r="IN18" t="inlineStr">
        <is>
          <t>low</t>
        </is>
      </c>
      <c r="IO18">
        <f>IF(IN18="good",II18,NA())</f>
        <v/>
      </c>
      <c r="IP18">
        <f>IF(IN18="moderate",II18,NA())</f>
        <v/>
      </c>
      <c r="IQ18">
        <f>IF(IN18="low",II18,NA())</f>
        <v/>
      </c>
      <c r="IR18">
        <f>IF(AND(IN18="good",IJ18=1),IM18,NA())</f>
        <v/>
      </c>
      <c r="IS18">
        <f>IF(AND(IN18="moderate",IJ18=1),IM18,NA())</f>
        <v/>
      </c>
      <c r="IT18">
        <f>IF(AND(IN18="low",IJ18=1),IM18,NA())</f>
        <v/>
      </c>
      <c r="IV18">
        <f>Ensayos!A17&amp;"|"&amp;Ensayos!B17</f>
        <v/>
      </c>
      <c r="IW18">
        <f>Ensayos!M17</f>
        <v/>
      </c>
      <c r="IX18">
        <f>Ensayos!R17</f>
        <v/>
      </c>
      <c r="IY18" t="n">
        <v>0</v>
      </c>
      <c r="IZ18">
        <f>IF(IY18=1,LN(IW18),"")</f>
        <v/>
      </c>
      <c r="JA18">
        <f>IF(IY18=1,AVERAGEIFS(IX3:IX39,IV3:IV39,IV18,IY3:IY39,1),"")</f>
        <v/>
      </c>
      <c r="JB18">
        <f>IF(IY18=1,IX18-JA18,"")</f>
        <v/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  <c r="IG19">
        <f>Base_mundial!A18</f>
        <v/>
      </c>
      <c r="IH19">
        <f>Base_mundial!C18</f>
        <v/>
      </c>
      <c r="II19">
        <f>Base_mundial!E18-MIN(tope,DEGREES(ATAN(TAN(RADIANS(pe0-omega*Base_mundial!B18))*(Base_mundial!C18/sref)^(m_-1))))</f>
        <v/>
      </c>
      <c r="IJ19" t="n">
        <v>0</v>
      </c>
      <c r="IK19">
        <f>IF(IJ19=1,LN(IH19),"")</f>
        <v/>
      </c>
      <c r="IL19">
        <f>IF(IJ19=1,AVERAGEIFS(II3:II688,IG3:IG688,IG19,IJ3:IJ688,1),"")</f>
        <v/>
      </c>
      <c r="IM19">
        <f>IF(IJ19=1,II19-IL19,"")</f>
        <v/>
      </c>
      <c r="IN19" t="inlineStr">
        <is>
          <t>low</t>
        </is>
      </c>
      <c r="IO19">
        <f>IF(IN19="good",II19,NA())</f>
        <v/>
      </c>
      <c r="IP19">
        <f>IF(IN19="moderate",II19,NA())</f>
        <v/>
      </c>
      <c r="IQ19">
        <f>IF(IN19="low",II19,NA())</f>
        <v/>
      </c>
      <c r="IR19">
        <f>IF(AND(IN19="good",IJ19=1),IM19,NA())</f>
        <v/>
      </c>
      <c r="IS19">
        <f>IF(AND(IN19="moderate",IJ19=1),IM19,NA())</f>
        <v/>
      </c>
      <c r="IT19">
        <f>IF(AND(IN19="low",IJ19=1),IM19,NA())</f>
        <v/>
      </c>
      <c r="IV19">
        <f>Ensayos!A18&amp;"|"&amp;Ensayos!B18</f>
        <v/>
      </c>
      <c r="IW19">
        <f>Ensayos!M18</f>
        <v/>
      </c>
      <c r="IX19">
        <f>Ensayos!R18</f>
        <v/>
      </c>
      <c r="IY19" t="n">
        <v>0</v>
      </c>
      <c r="IZ19">
        <f>IF(IY19=1,LN(IW19),"")</f>
        <v/>
      </c>
      <c r="JA19">
        <f>IF(IY19=1,AVERAGEIFS(IX3:IX39,IV3:IV39,IV19,IY3:IY39,1),"")</f>
        <v/>
      </c>
      <c r="JB19">
        <f>IF(IY19=1,IX19-JA19,"")</f>
        <v/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  <c r="IG20">
        <f>Base_mundial!A19</f>
        <v/>
      </c>
      <c r="IH20">
        <f>Base_mundial!C19</f>
        <v/>
      </c>
      <c r="II20">
        <f>Base_mundial!E19-MIN(tope,DEGREES(ATAN(TAN(RADIANS(pe0-omega*Base_mundial!B19))*(Base_mundial!C19/sref)^(m_-1))))</f>
        <v/>
      </c>
      <c r="IJ20" t="n">
        <v>0</v>
      </c>
      <c r="IK20">
        <f>IF(IJ20=1,LN(IH20),"")</f>
        <v/>
      </c>
      <c r="IL20">
        <f>IF(IJ20=1,AVERAGEIFS(II3:II688,IG3:IG688,IG20,IJ3:IJ688,1),"")</f>
        <v/>
      </c>
      <c r="IM20">
        <f>IF(IJ20=1,II20-IL20,"")</f>
        <v/>
      </c>
      <c r="IN20" t="inlineStr">
        <is>
          <t>low</t>
        </is>
      </c>
      <c r="IO20">
        <f>IF(IN20="good",II20,NA())</f>
        <v/>
      </c>
      <c r="IP20">
        <f>IF(IN20="moderate",II20,NA())</f>
        <v/>
      </c>
      <c r="IQ20">
        <f>IF(IN20="low",II20,NA())</f>
        <v/>
      </c>
      <c r="IR20">
        <f>IF(AND(IN20="good",IJ20=1),IM20,NA())</f>
        <v/>
      </c>
      <c r="IS20">
        <f>IF(AND(IN20="moderate",IJ20=1),IM20,NA())</f>
        <v/>
      </c>
      <c r="IT20">
        <f>IF(AND(IN20="low",IJ20=1),IM20,NA())</f>
        <v/>
      </c>
      <c r="IV20">
        <f>Ensayos!A19&amp;"|"&amp;Ensayos!B19</f>
        <v/>
      </c>
      <c r="IW20">
        <f>Ensayos!M19</f>
        <v/>
      </c>
      <c r="IX20">
        <f>Ensayos!R19</f>
        <v/>
      </c>
      <c r="IY20" t="n">
        <v>1</v>
      </c>
      <c r="IZ20">
        <f>IF(IY20=1,LN(IW20),"")</f>
        <v/>
      </c>
      <c r="JA20">
        <f>IF(IY20=1,AVERAGEIFS(IX3:IX39,IV3:IV39,IV20,IY3:IY39,1),"")</f>
        <v/>
      </c>
      <c r="JB20">
        <f>IF(IY20=1,IX20-JA20,"")</f>
        <v/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  <c r="IG21">
        <f>Base_mundial!A20</f>
        <v/>
      </c>
      <c r="IH21">
        <f>Base_mundial!C20</f>
        <v/>
      </c>
      <c r="II21">
        <f>Base_mundial!E20-MIN(tope,DEGREES(ATAN(TAN(RADIANS(pe0-omega*Base_mundial!B20))*(Base_mundial!C20/sref)^(m_-1))))</f>
        <v/>
      </c>
      <c r="IJ21" t="n">
        <v>0</v>
      </c>
      <c r="IK21">
        <f>IF(IJ21=1,LN(IH21),"")</f>
        <v/>
      </c>
      <c r="IL21">
        <f>IF(IJ21=1,AVERAGEIFS(II3:II688,IG3:IG688,IG21,IJ3:IJ688,1),"")</f>
        <v/>
      </c>
      <c r="IM21">
        <f>IF(IJ21=1,II21-IL21,"")</f>
        <v/>
      </c>
      <c r="IN21" t="inlineStr">
        <is>
          <t>low</t>
        </is>
      </c>
      <c r="IO21">
        <f>IF(IN21="good",II21,NA())</f>
        <v/>
      </c>
      <c r="IP21">
        <f>IF(IN21="moderate",II21,NA())</f>
        <v/>
      </c>
      <c r="IQ21">
        <f>IF(IN21="low",II21,NA())</f>
        <v/>
      </c>
      <c r="IR21">
        <f>IF(AND(IN21="good",IJ21=1),IM21,NA())</f>
        <v/>
      </c>
      <c r="IS21">
        <f>IF(AND(IN21="moderate",IJ21=1),IM21,NA())</f>
        <v/>
      </c>
      <c r="IT21">
        <f>IF(AND(IN21="low",IJ21=1),IM21,NA())</f>
        <v/>
      </c>
      <c r="IV21">
        <f>Ensayos!A20&amp;"|"&amp;Ensayos!B20</f>
        <v/>
      </c>
      <c r="IW21">
        <f>Ensayos!M20</f>
        <v/>
      </c>
      <c r="IX21">
        <f>Ensayos!R20</f>
        <v/>
      </c>
      <c r="IY21" t="n">
        <v>1</v>
      </c>
      <c r="IZ21">
        <f>IF(IY21=1,LN(IW21),"")</f>
        <v/>
      </c>
      <c r="JA21">
        <f>IF(IY21=1,AVERAGEIFS(IX3:IX39,IV3:IV39,IV21,IY3:IY39,1),"")</f>
        <v/>
      </c>
      <c r="JB21">
        <f>IF(IY21=1,IX21-JA21,"")</f>
        <v/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  <c r="IG22">
        <f>Base_mundial!A21</f>
        <v/>
      </c>
      <c r="IH22">
        <f>Base_mundial!C21</f>
        <v/>
      </c>
      <c r="II22">
        <f>Base_mundial!E21-MIN(tope,DEGREES(ATAN(TAN(RADIANS(pe0-omega*Base_mundial!B21))*(Base_mundial!C21/sref)^(m_-1))))</f>
        <v/>
      </c>
      <c r="IJ22" t="n">
        <v>0</v>
      </c>
      <c r="IK22">
        <f>IF(IJ22=1,LN(IH22),"")</f>
        <v/>
      </c>
      <c r="IL22">
        <f>IF(IJ22=1,AVERAGEIFS(II3:II688,IG3:IG688,IG22,IJ3:IJ688,1),"")</f>
        <v/>
      </c>
      <c r="IM22">
        <f>IF(IJ22=1,II22-IL22,"")</f>
        <v/>
      </c>
      <c r="IN22" t="inlineStr">
        <is>
          <t>low</t>
        </is>
      </c>
      <c r="IO22">
        <f>IF(IN22="good",II22,NA())</f>
        <v/>
      </c>
      <c r="IP22">
        <f>IF(IN22="moderate",II22,NA())</f>
        <v/>
      </c>
      <c r="IQ22">
        <f>IF(IN22="low",II22,NA())</f>
        <v/>
      </c>
      <c r="IR22">
        <f>IF(AND(IN22="good",IJ22=1),IM22,NA())</f>
        <v/>
      </c>
      <c r="IS22">
        <f>IF(AND(IN22="moderate",IJ22=1),IM22,NA())</f>
        <v/>
      </c>
      <c r="IT22">
        <f>IF(AND(IN22="low",IJ22=1),IM22,NA())</f>
        <v/>
      </c>
      <c r="IV22">
        <f>Ensayos!A21&amp;"|"&amp;Ensayos!B21</f>
        <v/>
      </c>
      <c r="IW22">
        <f>Ensayos!M21</f>
        <v/>
      </c>
      <c r="IX22">
        <f>Ensayos!R21</f>
        <v/>
      </c>
      <c r="IY22" t="n">
        <v>0</v>
      </c>
      <c r="IZ22">
        <f>IF(IY22=1,LN(IW22),"")</f>
        <v/>
      </c>
      <c r="JA22">
        <f>IF(IY22=1,AVERAGEIFS(IX3:IX39,IV3:IV39,IV22,IY3:IY39,1),"")</f>
        <v/>
      </c>
      <c r="JB22">
        <f>IF(IY22=1,IX22-JA22,"")</f>
        <v/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  <c r="IG23">
        <f>Base_mundial!A22</f>
        <v/>
      </c>
      <c r="IH23">
        <f>Base_mundial!C22</f>
        <v/>
      </c>
      <c r="II23">
        <f>Base_mundial!E22-MIN(tope,DEGREES(ATAN(TAN(RADIANS(pe0-omega*Base_mundial!B22))*(Base_mundial!C22/sref)^(m_-1))))</f>
        <v/>
      </c>
      <c r="IJ23" t="n">
        <v>0</v>
      </c>
      <c r="IK23">
        <f>IF(IJ23=1,LN(IH23),"")</f>
        <v/>
      </c>
      <c r="IL23">
        <f>IF(IJ23=1,AVERAGEIFS(II3:II688,IG3:IG688,IG23,IJ3:IJ688,1),"")</f>
        <v/>
      </c>
      <c r="IM23">
        <f>IF(IJ23=1,II23-IL23,"")</f>
        <v/>
      </c>
      <c r="IN23" t="inlineStr">
        <is>
          <t>low</t>
        </is>
      </c>
      <c r="IO23">
        <f>IF(IN23="good",II23,NA())</f>
        <v/>
      </c>
      <c r="IP23">
        <f>IF(IN23="moderate",II23,NA())</f>
        <v/>
      </c>
      <c r="IQ23">
        <f>IF(IN23="low",II23,NA())</f>
        <v/>
      </c>
      <c r="IR23">
        <f>IF(AND(IN23="good",IJ23=1),IM23,NA())</f>
        <v/>
      </c>
      <c r="IS23">
        <f>IF(AND(IN23="moderate",IJ23=1),IM23,NA())</f>
        <v/>
      </c>
      <c r="IT23">
        <f>IF(AND(IN23="low",IJ23=1),IM23,NA())</f>
        <v/>
      </c>
      <c r="IV23">
        <f>Ensayos!A22&amp;"|"&amp;Ensayos!B22</f>
        <v/>
      </c>
      <c r="IW23">
        <f>Ensayos!M22</f>
        <v/>
      </c>
      <c r="IX23">
        <f>Ensayos!R22</f>
        <v/>
      </c>
      <c r="IY23" t="n">
        <v>1</v>
      </c>
      <c r="IZ23">
        <f>IF(IY23=1,LN(IW23),"")</f>
        <v/>
      </c>
      <c r="JA23">
        <f>IF(IY23=1,AVERAGEIFS(IX3:IX39,IV3:IV39,IV23,IY3:IY39,1),"")</f>
        <v/>
      </c>
      <c r="JB23">
        <f>IF(IY23=1,IX23-JA23,"")</f>
        <v/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  <c r="IG24">
        <f>Base_mundial!A23</f>
        <v/>
      </c>
      <c r="IH24">
        <f>Base_mundial!C23</f>
        <v/>
      </c>
      <c r="II24">
        <f>Base_mundial!E23-MIN(tope,DEGREES(ATAN(TAN(RADIANS(pe0-omega*Base_mundial!B23))*(Base_mundial!C23/sref)^(m_-1))))</f>
        <v/>
      </c>
      <c r="IJ24" t="n">
        <v>0</v>
      </c>
      <c r="IK24">
        <f>IF(IJ24=1,LN(IH24),"")</f>
        <v/>
      </c>
      <c r="IL24">
        <f>IF(IJ24=1,AVERAGEIFS(II3:II688,IG3:IG688,IG24,IJ3:IJ688,1),"")</f>
        <v/>
      </c>
      <c r="IM24">
        <f>IF(IJ24=1,II24-IL24,"")</f>
        <v/>
      </c>
      <c r="IN24" t="inlineStr">
        <is>
          <t>low</t>
        </is>
      </c>
      <c r="IO24">
        <f>IF(IN24="good",II24,NA())</f>
        <v/>
      </c>
      <c r="IP24">
        <f>IF(IN24="moderate",II24,NA())</f>
        <v/>
      </c>
      <c r="IQ24">
        <f>IF(IN24="low",II24,NA())</f>
        <v/>
      </c>
      <c r="IR24">
        <f>IF(AND(IN24="good",IJ24=1),IM24,NA())</f>
        <v/>
      </c>
      <c r="IS24">
        <f>IF(AND(IN24="moderate",IJ24=1),IM24,NA())</f>
        <v/>
      </c>
      <c r="IT24">
        <f>IF(AND(IN24="low",IJ24=1),IM24,NA())</f>
        <v/>
      </c>
      <c r="IV24">
        <f>Ensayos!A23&amp;"|"&amp;Ensayos!B23</f>
        <v/>
      </c>
      <c r="IW24">
        <f>Ensayos!M23</f>
        <v/>
      </c>
      <c r="IX24">
        <f>Ensayos!R23</f>
        <v/>
      </c>
      <c r="IY24" t="n">
        <v>1</v>
      </c>
      <c r="IZ24">
        <f>IF(IY24=1,LN(IW24),"")</f>
        <v/>
      </c>
      <c r="JA24">
        <f>IF(IY24=1,AVERAGEIFS(IX3:IX39,IV3:IV39,IV24,IY3:IY39,1),"")</f>
        <v/>
      </c>
      <c r="JB24">
        <f>IF(IY24=1,IX24-JA24,"")</f>
        <v/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  <c r="IG25">
        <f>Base_mundial!A24</f>
        <v/>
      </c>
      <c r="IH25">
        <f>Base_mundial!C24</f>
        <v/>
      </c>
      <c r="II25">
        <f>Base_mundial!E24-MIN(tope,DEGREES(ATAN(TAN(RADIANS(pe0-omega*Base_mundial!B24))*(Base_mundial!C24/sref)^(m_-1))))</f>
        <v/>
      </c>
      <c r="IJ25" t="n">
        <v>0</v>
      </c>
      <c r="IK25">
        <f>IF(IJ25=1,LN(IH25),"")</f>
        <v/>
      </c>
      <c r="IL25">
        <f>IF(IJ25=1,AVERAGEIFS(II3:II688,IG3:IG688,IG25,IJ3:IJ688,1),"")</f>
        <v/>
      </c>
      <c r="IM25">
        <f>IF(IJ25=1,II25-IL25,"")</f>
        <v/>
      </c>
      <c r="IN25" t="inlineStr">
        <is>
          <t>low</t>
        </is>
      </c>
      <c r="IO25">
        <f>IF(IN25="good",II25,NA())</f>
        <v/>
      </c>
      <c r="IP25">
        <f>IF(IN25="moderate",II25,NA())</f>
        <v/>
      </c>
      <c r="IQ25">
        <f>IF(IN25="low",II25,NA())</f>
        <v/>
      </c>
      <c r="IR25">
        <f>IF(AND(IN25="good",IJ25=1),IM25,NA())</f>
        <v/>
      </c>
      <c r="IS25">
        <f>IF(AND(IN25="moderate",IJ25=1),IM25,NA())</f>
        <v/>
      </c>
      <c r="IT25">
        <f>IF(AND(IN25="low",IJ25=1),IM25,NA())</f>
        <v/>
      </c>
      <c r="IV25">
        <f>Ensayos!A24&amp;"|"&amp;Ensayos!B24</f>
        <v/>
      </c>
      <c r="IW25">
        <f>Ensayos!M24</f>
        <v/>
      </c>
      <c r="IX25">
        <f>Ensayos!R24</f>
        <v/>
      </c>
      <c r="IY25" t="n">
        <v>0</v>
      </c>
      <c r="IZ25">
        <f>IF(IY25=1,LN(IW25),"")</f>
        <v/>
      </c>
      <c r="JA25">
        <f>IF(IY25=1,AVERAGEIFS(IX3:IX39,IV3:IV39,IV25,IY3:IY39,1),"")</f>
        <v/>
      </c>
      <c r="JB25">
        <f>IF(IY25=1,IX25-JA25,"")</f>
        <v/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  <c r="IG26">
        <f>Base_mundial!A25</f>
        <v/>
      </c>
      <c r="IH26">
        <f>Base_mundial!C25</f>
        <v/>
      </c>
      <c r="II26">
        <f>Base_mundial!E25-MIN(tope,DEGREES(ATAN(TAN(RADIANS(pe0-omega*Base_mundial!B25))*(Base_mundial!C25/sref)^(m_-1))))</f>
        <v/>
      </c>
      <c r="IJ26" t="n">
        <v>0</v>
      </c>
      <c r="IK26">
        <f>IF(IJ26=1,LN(IH26),"")</f>
        <v/>
      </c>
      <c r="IL26">
        <f>IF(IJ26=1,AVERAGEIFS(II3:II688,IG3:IG688,IG26,IJ3:IJ688,1),"")</f>
        <v/>
      </c>
      <c r="IM26">
        <f>IF(IJ26=1,II26-IL26,"")</f>
        <v/>
      </c>
      <c r="IN26" t="inlineStr">
        <is>
          <t>low</t>
        </is>
      </c>
      <c r="IO26">
        <f>IF(IN26="good",II26,NA())</f>
        <v/>
      </c>
      <c r="IP26">
        <f>IF(IN26="moderate",II26,NA())</f>
        <v/>
      </c>
      <c r="IQ26">
        <f>IF(IN26="low",II26,NA())</f>
        <v/>
      </c>
      <c r="IR26">
        <f>IF(AND(IN26="good",IJ26=1),IM26,NA())</f>
        <v/>
      </c>
      <c r="IS26">
        <f>IF(AND(IN26="moderate",IJ26=1),IM26,NA())</f>
        <v/>
      </c>
      <c r="IT26">
        <f>IF(AND(IN26="low",IJ26=1),IM26,NA())</f>
        <v/>
      </c>
      <c r="IV26">
        <f>Ensayos!A25&amp;"|"&amp;Ensayos!B25</f>
        <v/>
      </c>
      <c r="IW26">
        <f>Ensayos!M25</f>
        <v/>
      </c>
      <c r="IX26">
        <f>Ensayos!R25</f>
        <v/>
      </c>
      <c r="IY26" t="n">
        <v>0</v>
      </c>
      <c r="IZ26">
        <f>IF(IY26=1,LN(IW26),"")</f>
        <v/>
      </c>
      <c r="JA26">
        <f>IF(IY26=1,AVERAGEIFS(IX3:IX39,IV3:IV39,IV26,IY3:IY39,1),"")</f>
        <v/>
      </c>
      <c r="JB26">
        <f>IF(IY26=1,IX26-JA26,"")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  <c r="IG27">
        <f>Base_mundial!A26</f>
        <v/>
      </c>
      <c r="IH27">
        <f>Base_mundial!C26</f>
        <v/>
      </c>
      <c r="II27">
        <f>Base_mundial!E26-MIN(tope,DEGREES(ATAN(TAN(RADIANS(pe0-omega*Base_mundial!B26))*(Base_mundial!C26/sref)^(m_-1))))</f>
        <v/>
      </c>
      <c r="IJ27" t="n">
        <v>0</v>
      </c>
      <c r="IK27">
        <f>IF(IJ27=1,LN(IH27),"")</f>
        <v/>
      </c>
      <c r="IL27">
        <f>IF(IJ27=1,AVERAGEIFS(II3:II688,IG3:IG688,IG27,IJ3:IJ688,1),"")</f>
        <v/>
      </c>
      <c r="IM27">
        <f>IF(IJ27=1,II27-IL27,"")</f>
        <v/>
      </c>
      <c r="IN27" t="inlineStr">
        <is>
          <t>low</t>
        </is>
      </c>
      <c r="IO27">
        <f>IF(IN27="good",II27,NA())</f>
        <v/>
      </c>
      <c r="IP27">
        <f>IF(IN27="moderate",II27,NA())</f>
        <v/>
      </c>
      <c r="IQ27">
        <f>IF(IN27="low",II27,NA())</f>
        <v/>
      </c>
      <c r="IR27">
        <f>IF(AND(IN27="good",IJ27=1),IM27,NA())</f>
        <v/>
      </c>
      <c r="IS27">
        <f>IF(AND(IN27="moderate",IJ27=1),IM27,NA())</f>
        <v/>
      </c>
      <c r="IT27">
        <f>IF(AND(IN27="low",IJ27=1),IM27,NA())</f>
        <v/>
      </c>
      <c r="IV27">
        <f>Ensayos!A26&amp;"|"&amp;Ensayos!B26</f>
        <v/>
      </c>
      <c r="IW27">
        <f>Ensayos!M26</f>
        <v/>
      </c>
      <c r="IX27">
        <f>Ensayos!R26</f>
        <v/>
      </c>
      <c r="IY27" t="n">
        <v>0</v>
      </c>
      <c r="IZ27">
        <f>IF(IY27=1,LN(IW27),"")</f>
        <v/>
      </c>
      <c r="JA27">
        <f>IF(IY27=1,AVERAGEIFS(IX3:IX39,IV3:IV39,IV27,IY3:IY39,1),"")</f>
        <v/>
      </c>
      <c r="JB27">
        <f>IF(IY27=1,IX27-JA27,"")</f>
        <v/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  <c r="IG28">
        <f>Base_mundial!A27</f>
        <v/>
      </c>
      <c r="IH28">
        <f>Base_mundial!C27</f>
        <v/>
      </c>
      <c r="II28">
        <f>Base_mundial!E27-MIN(tope,DEGREES(ATAN(TAN(RADIANS(pe0-omega*Base_mundial!B27))*(Base_mundial!C27/sref)^(m_-1))))</f>
        <v/>
      </c>
      <c r="IJ28" t="n">
        <v>0</v>
      </c>
      <c r="IK28">
        <f>IF(IJ28=1,LN(IH28),"")</f>
        <v/>
      </c>
      <c r="IL28">
        <f>IF(IJ28=1,AVERAGEIFS(II3:II688,IG3:IG688,IG28,IJ3:IJ688,1),"")</f>
        <v/>
      </c>
      <c r="IM28">
        <f>IF(IJ28=1,II28-IL28,"")</f>
        <v/>
      </c>
      <c r="IN28" t="inlineStr">
        <is>
          <t>low</t>
        </is>
      </c>
      <c r="IO28">
        <f>IF(IN28="good",II28,NA())</f>
        <v/>
      </c>
      <c r="IP28">
        <f>IF(IN28="moderate",II28,NA())</f>
        <v/>
      </c>
      <c r="IQ28">
        <f>IF(IN28="low",II28,NA())</f>
        <v/>
      </c>
      <c r="IR28">
        <f>IF(AND(IN28="good",IJ28=1),IM28,NA())</f>
        <v/>
      </c>
      <c r="IS28">
        <f>IF(AND(IN28="moderate",IJ28=1),IM28,NA())</f>
        <v/>
      </c>
      <c r="IT28">
        <f>IF(AND(IN28="low",IJ28=1),IM28,NA())</f>
        <v/>
      </c>
      <c r="IV28">
        <f>Ensayos!A27&amp;"|"&amp;Ensayos!B27</f>
        <v/>
      </c>
      <c r="IW28">
        <f>Ensayos!M27</f>
        <v/>
      </c>
      <c r="IX28">
        <f>Ensayos!R27</f>
        <v/>
      </c>
      <c r="IY28" t="n">
        <v>0</v>
      </c>
      <c r="IZ28">
        <f>IF(IY28=1,LN(IW28),"")</f>
        <v/>
      </c>
      <c r="JA28">
        <f>IF(IY28=1,AVERAGEIFS(IX3:IX39,IV3:IV39,IV28,IY3:IY39,1),"")</f>
        <v/>
      </c>
      <c r="JB28">
        <f>IF(IY28=1,IX28-JA28,"")</f>
        <v/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  <c r="IG29">
        <f>Base_mundial!A28</f>
        <v/>
      </c>
      <c r="IH29">
        <f>Base_mundial!C28</f>
        <v/>
      </c>
      <c r="II29">
        <f>Base_mundial!E28-MIN(tope,DEGREES(ATAN(TAN(RADIANS(pe0-omega*Base_mundial!B28))*(Base_mundial!C28/sref)^(m_-1))))</f>
        <v/>
      </c>
      <c r="IJ29" t="n">
        <v>0</v>
      </c>
      <c r="IK29">
        <f>IF(IJ29=1,LN(IH29),"")</f>
        <v/>
      </c>
      <c r="IL29">
        <f>IF(IJ29=1,AVERAGEIFS(II3:II688,IG3:IG688,IG29,IJ3:IJ688,1),"")</f>
        <v/>
      </c>
      <c r="IM29">
        <f>IF(IJ29=1,II29-IL29,"")</f>
        <v/>
      </c>
      <c r="IN29" t="inlineStr">
        <is>
          <t>low</t>
        </is>
      </c>
      <c r="IO29">
        <f>IF(IN29="good",II29,NA())</f>
        <v/>
      </c>
      <c r="IP29">
        <f>IF(IN29="moderate",II29,NA())</f>
        <v/>
      </c>
      <c r="IQ29">
        <f>IF(IN29="low",II29,NA())</f>
        <v/>
      </c>
      <c r="IR29">
        <f>IF(AND(IN29="good",IJ29=1),IM29,NA())</f>
        <v/>
      </c>
      <c r="IS29">
        <f>IF(AND(IN29="moderate",IJ29=1),IM29,NA())</f>
        <v/>
      </c>
      <c r="IT29">
        <f>IF(AND(IN29="low",IJ29=1),IM29,NA())</f>
        <v/>
      </c>
      <c r="IV29">
        <f>Ensayos!A28&amp;"|"&amp;Ensayos!B28</f>
        <v/>
      </c>
      <c r="IW29">
        <f>Ensayos!M28</f>
        <v/>
      </c>
      <c r="IX29">
        <f>Ensayos!R28</f>
        <v/>
      </c>
      <c r="IY29" t="n">
        <v>0</v>
      </c>
      <c r="IZ29">
        <f>IF(IY29=1,LN(IW29),"")</f>
        <v/>
      </c>
      <c r="JA29">
        <f>IF(IY29=1,AVERAGEIFS(IX3:IX39,IV3:IV39,IV29,IY3:IY39,1),"")</f>
        <v/>
      </c>
      <c r="JB29">
        <f>IF(IY29=1,IX29-JA29,"")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  <c r="IG30">
        <f>Base_mundial!A29</f>
        <v/>
      </c>
      <c r="IH30">
        <f>Base_mundial!C29</f>
        <v/>
      </c>
      <c r="II30">
        <f>Base_mundial!E29-MIN(tope,DEGREES(ATAN(TAN(RADIANS(pe0-omega*Base_mundial!B29))*(Base_mundial!C29/sref)^(m_-1))))</f>
        <v/>
      </c>
      <c r="IJ30" t="n">
        <v>0</v>
      </c>
      <c r="IK30">
        <f>IF(IJ30=1,LN(IH30),"")</f>
        <v/>
      </c>
      <c r="IL30">
        <f>IF(IJ30=1,AVERAGEIFS(II3:II688,IG3:IG688,IG30,IJ3:IJ688,1),"")</f>
        <v/>
      </c>
      <c r="IM30">
        <f>IF(IJ30=1,II30-IL30,"")</f>
        <v/>
      </c>
      <c r="IN30" t="inlineStr">
        <is>
          <t>low</t>
        </is>
      </c>
      <c r="IO30">
        <f>IF(IN30="good",II30,NA())</f>
        <v/>
      </c>
      <c r="IP30">
        <f>IF(IN30="moderate",II30,NA())</f>
        <v/>
      </c>
      <c r="IQ30">
        <f>IF(IN30="low",II30,NA())</f>
        <v/>
      </c>
      <c r="IR30">
        <f>IF(AND(IN30="good",IJ30=1),IM30,NA())</f>
        <v/>
      </c>
      <c r="IS30">
        <f>IF(AND(IN30="moderate",IJ30=1),IM30,NA())</f>
        <v/>
      </c>
      <c r="IT30">
        <f>IF(AND(IN30="low",IJ30=1),IM30,NA())</f>
        <v/>
      </c>
      <c r="IV30">
        <f>Ensayos!A29&amp;"|"&amp;Ensayos!B29</f>
        <v/>
      </c>
      <c r="IW30">
        <f>Ensayos!M29</f>
        <v/>
      </c>
      <c r="IX30">
        <f>Ensayos!R29</f>
        <v/>
      </c>
      <c r="IY30" t="n">
        <v>0</v>
      </c>
      <c r="IZ30">
        <f>IF(IY30=1,LN(IW30),"")</f>
        <v/>
      </c>
      <c r="JA30">
        <f>IF(IY30=1,AVERAGEIFS(IX3:IX39,IV3:IV39,IV30,IY3:IY39,1),"")</f>
        <v/>
      </c>
      <c r="JB30">
        <f>IF(IY30=1,IX30-JA30,"")</f>
        <v/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  <c r="IG31">
        <f>Base_mundial!A30</f>
        <v/>
      </c>
      <c r="IH31">
        <f>Base_mundial!C30</f>
        <v/>
      </c>
      <c r="II31">
        <f>Base_mundial!E30-MIN(tope,DEGREES(ATAN(TAN(RADIANS(pe0-omega*Base_mundial!B30))*(Base_mundial!C30/sref)^(m_-1))))</f>
        <v/>
      </c>
      <c r="IJ31" t="n">
        <v>0</v>
      </c>
      <c r="IK31">
        <f>IF(IJ31=1,LN(IH31),"")</f>
        <v/>
      </c>
      <c r="IL31">
        <f>IF(IJ31=1,AVERAGEIFS(II3:II688,IG3:IG688,IG31,IJ3:IJ688,1),"")</f>
        <v/>
      </c>
      <c r="IM31">
        <f>IF(IJ31=1,II31-IL31,"")</f>
        <v/>
      </c>
      <c r="IN31" t="inlineStr">
        <is>
          <t>low</t>
        </is>
      </c>
      <c r="IO31">
        <f>IF(IN31="good",II31,NA())</f>
        <v/>
      </c>
      <c r="IP31">
        <f>IF(IN31="moderate",II31,NA())</f>
        <v/>
      </c>
      <c r="IQ31">
        <f>IF(IN31="low",II31,NA())</f>
        <v/>
      </c>
      <c r="IR31">
        <f>IF(AND(IN31="good",IJ31=1),IM31,NA())</f>
        <v/>
      </c>
      <c r="IS31">
        <f>IF(AND(IN31="moderate",IJ31=1),IM31,NA())</f>
        <v/>
      </c>
      <c r="IT31">
        <f>IF(AND(IN31="low",IJ31=1),IM31,NA())</f>
        <v/>
      </c>
      <c r="IV31">
        <f>Ensayos!A30&amp;"|"&amp;Ensayos!B30</f>
        <v/>
      </c>
      <c r="IW31">
        <f>Ensayos!M30</f>
        <v/>
      </c>
      <c r="IX31">
        <f>Ensayos!R30</f>
        <v/>
      </c>
      <c r="IY31" t="n">
        <v>0</v>
      </c>
      <c r="IZ31">
        <f>IF(IY31=1,LN(IW31),"")</f>
        <v/>
      </c>
      <c r="JA31">
        <f>IF(IY31=1,AVERAGEIFS(IX3:IX39,IV3:IV39,IV31,IY3:IY39,1),"")</f>
        <v/>
      </c>
      <c r="JB31">
        <f>IF(IY31=1,IX31-JA31,"")</f>
        <v/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  <c r="IG32">
        <f>Base_mundial!A31</f>
        <v/>
      </c>
      <c r="IH32">
        <f>Base_mundial!C31</f>
        <v/>
      </c>
      <c r="II32">
        <f>Base_mundial!E31-MIN(tope,DEGREES(ATAN(TAN(RADIANS(pe0-omega*Base_mundial!B31))*(Base_mundial!C31/sref)^(m_-1))))</f>
        <v/>
      </c>
      <c r="IJ32" t="n">
        <v>0</v>
      </c>
      <c r="IK32">
        <f>IF(IJ32=1,LN(IH32),"")</f>
        <v/>
      </c>
      <c r="IL32">
        <f>IF(IJ32=1,AVERAGEIFS(II3:II688,IG3:IG688,IG32,IJ3:IJ688,1),"")</f>
        <v/>
      </c>
      <c r="IM32">
        <f>IF(IJ32=1,II32-IL32,"")</f>
        <v/>
      </c>
      <c r="IN32" t="inlineStr">
        <is>
          <t>low</t>
        </is>
      </c>
      <c r="IO32">
        <f>IF(IN32="good",II32,NA())</f>
        <v/>
      </c>
      <c r="IP32">
        <f>IF(IN32="moderate",II32,NA())</f>
        <v/>
      </c>
      <c r="IQ32">
        <f>IF(IN32="low",II32,NA())</f>
        <v/>
      </c>
      <c r="IR32">
        <f>IF(AND(IN32="good",IJ32=1),IM32,NA())</f>
        <v/>
      </c>
      <c r="IS32">
        <f>IF(AND(IN32="moderate",IJ32=1),IM32,NA())</f>
        <v/>
      </c>
      <c r="IT32">
        <f>IF(AND(IN32="low",IJ32=1),IM32,NA())</f>
        <v/>
      </c>
      <c r="IV32">
        <f>Ensayos!A31&amp;"|"&amp;Ensayos!B31</f>
        <v/>
      </c>
      <c r="IW32">
        <f>Ensayos!M31</f>
        <v/>
      </c>
      <c r="IX32">
        <f>Ensayos!R31</f>
        <v/>
      </c>
      <c r="IY32" t="n">
        <v>0</v>
      </c>
      <c r="IZ32">
        <f>IF(IY32=1,LN(IW32),"")</f>
        <v/>
      </c>
      <c r="JA32">
        <f>IF(IY32=1,AVERAGEIFS(IX3:IX39,IV3:IV39,IV32,IY3:IY39,1),"")</f>
        <v/>
      </c>
      <c r="JB32">
        <f>IF(IY32=1,IX32-JA32,"")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  <c r="IG33">
        <f>Base_mundial!A32</f>
        <v/>
      </c>
      <c r="IH33">
        <f>Base_mundial!C32</f>
        <v/>
      </c>
      <c r="II33">
        <f>Base_mundial!E32-MIN(tope,DEGREES(ATAN(TAN(RADIANS(pe0-omega*Base_mundial!B32))*(Base_mundial!C32/sref)^(m_-1))))</f>
        <v/>
      </c>
      <c r="IJ33" t="n">
        <v>0</v>
      </c>
      <c r="IK33">
        <f>IF(IJ33=1,LN(IH33),"")</f>
        <v/>
      </c>
      <c r="IL33">
        <f>IF(IJ33=1,AVERAGEIFS(II3:II688,IG3:IG688,IG33,IJ3:IJ688,1),"")</f>
        <v/>
      </c>
      <c r="IM33">
        <f>IF(IJ33=1,II33-IL33,"")</f>
        <v/>
      </c>
      <c r="IN33" t="inlineStr">
        <is>
          <t>low</t>
        </is>
      </c>
      <c r="IO33">
        <f>IF(IN33="good",II33,NA())</f>
        <v/>
      </c>
      <c r="IP33">
        <f>IF(IN33="moderate",II33,NA())</f>
        <v/>
      </c>
      <c r="IQ33">
        <f>IF(IN33="low",II33,NA())</f>
        <v/>
      </c>
      <c r="IR33">
        <f>IF(AND(IN33="good",IJ33=1),IM33,NA())</f>
        <v/>
      </c>
      <c r="IS33">
        <f>IF(AND(IN33="moderate",IJ33=1),IM33,NA())</f>
        <v/>
      </c>
      <c r="IT33">
        <f>IF(AND(IN33="low",IJ33=1),IM33,NA())</f>
        <v/>
      </c>
      <c r="IV33">
        <f>Ensayos!A32&amp;"|"&amp;Ensayos!B32</f>
        <v/>
      </c>
      <c r="IW33">
        <f>Ensayos!M32</f>
        <v/>
      </c>
      <c r="IX33">
        <f>Ensayos!R32</f>
        <v/>
      </c>
      <c r="IY33" t="n">
        <v>0</v>
      </c>
      <c r="IZ33">
        <f>IF(IY33=1,LN(IW33),"")</f>
        <v/>
      </c>
      <c r="JA33">
        <f>IF(IY33=1,AVERAGEIFS(IX3:IX39,IV3:IV39,IV33,IY3:IY39,1),"")</f>
        <v/>
      </c>
      <c r="JB33">
        <f>IF(IY33=1,IX33-JA33,"")</f>
        <v/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  <c r="IG34">
        <f>Base_mundial!A33</f>
        <v/>
      </c>
      <c r="IH34">
        <f>Base_mundial!C33</f>
        <v/>
      </c>
      <c r="II34">
        <f>Base_mundial!E33-MIN(tope,DEGREES(ATAN(TAN(RADIANS(pe0-omega*Base_mundial!B33))*(Base_mundial!C33/sref)^(m_-1))))</f>
        <v/>
      </c>
      <c r="IJ34" t="n">
        <v>0</v>
      </c>
      <c r="IK34">
        <f>IF(IJ34=1,LN(IH34),"")</f>
        <v/>
      </c>
      <c r="IL34">
        <f>IF(IJ34=1,AVERAGEIFS(II3:II688,IG3:IG688,IG34,IJ3:IJ688,1),"")</f>
        <v/>
      </c>
      <c r="IM34">
        <f>IF(IJ34=1,II34-IL34,"")</f>
        <v/>
      </c>
      <c r="IN34" t="inlineStr">
        <is>
          <t>low</t>
        </is>
      </c>
      <c r="IO34">
        <f>IF(IN34="good",II34,NA())</f>
        <v/>
      </c>
      <c r="IP34">
        <f>IF(IN34="moderate",II34,NA())</f>
        <v/>
      </c>
      <c r="IQ34">
        <f>IF(IN34="low",II34,NA())</f>
        <v/>
      </c>
      <c r="IR34">
        <f>IF(AND(IN34="good",IJ34=1),IM34,NA())</f>
        <v/>
      </c>
      <c r="IS34">
        <f>IF(AND(IN34="moderate",IJ34=1),IM34,NA())</f>
        <v/>
      </c>
      <c r="IT34">
        <f>IF(AND(IN34="low",IJ34=1),IM34,NA())</f>
        <v/>
      </c>
      <c r="IV34">
        <f>Ensayos!A33&amp;"|"&amp;Ensayos!B33</f>
        <v/>
      </c>
      <c r="IW34">
        <f>Ensayos!M33</f>
        <v/>
      </c>
      <c r="IX34">
        <f>Ensayos!R33</f>
        <v/>
      </c>
      <c r="IY34" t="n">
        <v>0</v>
      </c>
      <c r="IZ34">
        <f>IF(IY34=1,LN(IW34),"")</f>
        <v/>
      </c>
      <c r="JA34">
        <f>IF(IY34=1,AVERAGEIFS(IX3:IX39,IV3:IV39,IV34,IY3:IY39,1),"")</f>
        <v/>
      </c>
      <c r="JB34">
        <f>IF(IY34=1,IX34-JA34,"")</f>
        <v/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  <c r="IG35">
        <f>Base_mundial!A34</f>
        <v/>
      </c>
      <c r="IH35">
        <f>Base_mundial!C34</f>
        <v/>
      </c>
      <c r="II35">
        <f>Base_mundial!E34-MIN(tope,DEGREES(ATAN(TAN(RADIANS(pe0-omega*Base_mundial!B34))*(Base_mundial!C34/sref)^(m_-1))))</f>
        <v/>
      </c>
      <c r="IJ35" t="n">
        <v>0</v>
      </c>
      <c r="IK35">
        <f>IF(IJ35=1,LN(IH35),"")</f>
        <v/>
      </c>
      <c r="IL35">
        <f>IF(IJ35=1,AVERAGEIFS(II3:II688,IG3:IG688,IG35,IJ3:IJ688,1),"")</f>
        <v/>
      </c>
      <c r="IM35">
        <f>IF(IJ35=1,II35-IL35,"")</f>
        <v/>
      </c>
      <c r="IN35" t="inlineStr">
        <is>
          <t>low</t>
        </is>
      </c>
      <c r="IO35">
        <f>IF(IN35="good",II35,NA())</f>
        <v/>
      </c>
      <c r="IP35">
        <f>IF(IN35="moderate",II35,NA())</f>
        <v/>
      </c>
      <c r="IQ35">
        <f>IF(IN35="low",II35,NA())</f>
        <v/>
      </c>
      <c r="IR35">
        <f>IF(AND(IN35="good",IJ35=1),IM35,NA())</f>
        <v/>
      </c>
      <c r="IS35">
        <f>IF(AND(IN35="moderate",IJ35=1),IM35,NA())</f>
        <v/>
      </c>
      <c r="IT35">
        <f>IF(AND(IN35="low",IJ35=1),IM35,NA())</f>
        <v/>
      </c>
      <c r="IV35">
        <f>Ensayos!A34&amp;"|"&amp;Ensayos!B34</f>
        <v/>
      </c>
      <c r="IW35">
        <f>Ensayos!M34</f>
        <v/>
      </c>
      <c r="IX35">
        <f>Ensayos!R34</f>
        <v/>
      </c>
      <c r="IY35" t="n">
        <v>0</v>
      </c>
      <c r="IZ35">
        <f>IF(IY35=1,LN(IW35),"")</f>
        <v/>
      </c>
      <c r="JA35">
        <f>IF(IY35=1,AVERAGEIFS(IX3:IX39,IV3:IV39,IV35,IY3:IY39,1),"")</f>
        <v/>
      </c>
      <c r="JB35">
        <f>IF(IY35=1,IX35-JA35,"")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  <c r="IG36">
        <f>Base_mundial!A35</f>
        <v/>
      </c>
      <c r="IH36">
        <f>Base_mundial!C35</f>
        <v/>
      </c>
      <c r="II36">
        <f>Base_mundial!E35-MIN(tope,DEGREES(ATAN(TAN(RADIANS(pe0-omega*Base_mundial!B35))*(Base_mundial!C35/sref)^(m_-1))))</f>
        <v/>
      </c>
      <c r="IJ36" t="n">
        <v>0</v>
      </c>
      <c r="IK36">
        <f>IF(IJ36=1,LN(IH36),"")</f>
        <v/>
      </c>
      <c r="IL36">
        <f>IF(IJ36=1,AVERAGEIFS(II3:II688,IG3:IG688,IG36,IJ3:IJ688,1),"")</f>
        <v/>
      </c>
      <c r="IM36">
        <f>IF(IJ36=1,II36-IL36,"")</f>
        <v/>
      </c>
      <c r="IN36" t="inlineStr">
        <is>
          <t>low</t>
        </is>
      </c>
      <c r="IO36">
        <f>IF(IN36="good",II36,NA())</f>
        <v/>
      </c>
      <c r="IP36">
        <f>IF(IN36="moderate",II36,NA())</f>
        <v/>
      </c>
      <c r="IQ36">
        <f>IF(IN36="low",II36,NA())</f>
        <v/>
      </c>
      <c r="IR36">
        <f>IF(AND(IN36="good",IJ36=1),IM36,NA())</f>
        <v/>
      </c>
      <c r="IS36">
        <f>IF(AND(IN36="moderate",IJ36=1),IM36,NA())</f>
        <v/>
      </c>
      <c r="IT36">
        <f>IF(AND(IN36="low",IJ36=1),IM36,NA())</f>
        <v/>
      </c>
      <c r="IV36">
        <f>Ensayos!A35&amp;"|"&amp;Ensayos!B35</f>
        <v/>
      </c>
      <c r="IW36">
        <f>Ensayos!M35</f>
        <v/>
      </c>
      <c r="IX36">
        <f>Ensayos!R35</f>
        <v/>
      </c>
      <c r="IY36" t="n">
        <v>0</v>
      </c>
      <c r="IZ36">
        <f>IF(IY36=1,LN(IW36),"")</f>
        <v/>
      </c>
      <c r="JA36">
        <f>IF(IY36=1,AVERAGEIFS(IX3:IX39,IV3:IV39,IV36,IY3:IY39,1),"")</f>
        <v/>
      </c>
      <c r="JB36">
        <f>IF(IY36=1,IX36-JA36,"")</f>
        <v/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  <c r="IG37">
        <f>Base_mundial!A36</f>
        <v/>
      </c>
      <c r="IH37">
        <f>Base_mundial!C36</f>
        <v/>
      </c>
      <c r="II37">
        <f>Base_mundial!E36-MIN(tope,DEGREES(ATAN(TAN(RADIANS(pe0-omega*Base_mundial!B36))*(Base_mundial!C36/sref)^(m_-1))))</f>
        <v/>
      </c>
      <c r="IJ37" t="n">
        <v>0</v>
      </c>
      <c r="IK37">
        <f>IF(IJ37=1,LN(IH37),"")</f>
        <v/>
      </c>
      <c r="IL37">
        <f>IF(IJ37=1,AVERAGEIFS(II3:II688,IG3:IG688,IG37,IJ3:IJ688,1),"")</f>
        <v/>
      </c>
      <c r="IM37">
        <f>IF(IJ37=1,II37-IL37,"")</f>
        <v/>
      </c>
      <c r="IN37" t="inlineStr">
        <is>
          <t>low</t>
        </is>
      </c>
      <c r="IO37">
        <f>IF(IN37="good",II37,NA())</f>
        <v/>
      </c>
      <c r="IP37">
        <f>IF(IN37="moderate",II37,NA())</f>
        <v/>
      </c>
      <c r="IQ37">
        <f>IF(IN37="low",II37,NA())</f>
        <v/>
      </c>
      <c r="IR37">
        <f>IF(AND(IN37="good",IJ37=1),IM37,NA())</f>
        <v/>
      </c>
      <c r="IS37">
        <f>IF(AND(IN37="moderate",IJ37=1),IM37,NA())</f>
        <v/>
      </c>
      <c r="IT37">
        <f>IF(AND(IN37="low",IJ37=1),IM37,NA())</f>
        <v/>
      </c>
      <c r="IV37">
        <f>Ensayos!A36&amp;"|"&amp;Ensayos!B36</f>
        <v/>
      </c>
      <c r="IW37">
        <f>Ensayos!M36</f>
        <v/>
      </c>
      <c r="IX37">
        <f>Ensayos!R36</f>
        <v/>
      </c>
      <c r="IY37" t="n">
        <v>0</v>
      </c>
      <c r="IZ37">
        <f>IF(IY37=1,LN(IW37),"")</f>
        <v/>
      </c>
      <c r="JA37">
        <f>IF(IY37=1,AVERAGEIFS(IX3:IX39,IV3:IV39,IV37,IY3:IY39,1),"")</f>
        <v/>
      </c>
      <c r="JB37">
        <f>IF(IY37=1,IX37-JA37,"")</f>
        <v/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  <c r="IG38">
        <f>Base_mundial!A37</f>
        <v/>
      </c>
      <c r="IH38">
        <f>Base_mundial!C37</f>
        <v/>
      </c>
      <c r="II38">
        <f>Base_mundial!E37-MIN(tope,DEGREES(ATAN(TAN(RADIANS(pe0-omega*Base_mundial!B37))*(Base_mundial!C37/sref)^(m_-1))))</f>
        <v/>
      </c>
      <c r="IJ38" t="n">
        <v>0</v>
      </c>
      <c r="IK38">
        <f>IF(IJ38=1,LN(IH38),"")</f>
        <v/>
      </c>
      <c r="IL38">
        <f>IF(IJ38=1,AVERAGEIFS(II3:II688,IG3:IG688,IG38,IJ3:IJ688,1),"")</f>
        <v/>
      </c>
      <c r="IM38">
        <f>IF(IJ38=1,II38-IL38,"")</f>
        <v/>
      </c>
      <c r="IN38" t="inlineStr">
        <is>
          <t>low</t>
        </is>
      </c>
      <c r="IO38">
        <f>IF(IN38="good",II38,NA())</f>
        <v/>
      </c>
      <c r="IP38">
        <f>IF(IN38="moderate",II38,NA())</f>
        <v/>
      </c>
      <c r="IQ38">
        <f>IF(IN38="low",II38,NA())</f>
        <v/>
      </c>
      <c r="IR38">
        <f>IF(AND(IN38="good",IJ38=1),IM38,NA())</f>
        <v/>
      </c>
      <c r="IS38">
        <f>IF(AND(IN38="moderate",IJ38=1),IM38,NA())</f>
        <v/>
      </c>
      <c r="IT38">
        <f>IF(AND(IN38="low",IJ38=1),IM38,NA())</f>
        <v/>
      </c>
      <c r="IV38">
        <f>Ensayos!A37&amp;"|"&amp;Ensayos!B37</f>
        <v/>
      </c>
      <c r="IW38">
        <f>Ensayos!M37</f>
        <v/>
      </c>
      <c r="IX38">
        <f>Ensayos!R37</f>
        <v/>
      </c>
      <c r="IY38" t="n">
        <v>0</v>
      </c>
      <c r="IZ38">
        <f>IF(IY38=1,LN(IW38),"")</f>
        <v/>
      </c>
      <c r="JA38">
        <f>IF(IY38=1,AVERAGEIFS(IX3:IX39,IV3:IV39,IV38,IY3:IY39,1),"")</f>
        <v/>
      </c>
      <c r="JB38">
        <f>IF(IY38=1,IX38-JA38,"")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  <c r="IG39">
        <f>Base_mundial!A38</f>
        <v/>
      </c>
      <c r="IH39">
        <f>Base_mundial!C38</f>
        <v/>
      </c>
      <c r="II39">
        <f>Base_mundial!E38-MIN(tope,DEGREES(ATAN(TAN(RADIANS(pe0-omega*Base_mundial!B38))*(Base_mundial!C38/sref)^(m_-1))))</f>
        <v/>
      </c>
      <c r="IJ39" t="n">
        <v>0</v>
      </c>
      <c r="IK39">
        <f>IF(IJ39=1,LN(IH39),"")</f>
        <v/>
      </c>
      <c r="IL39">
        <f>IF(IJ39=1,AVERAGEIFS(II3:II688,IG3:IG688,IG39,IJ3:IJ688,1),"")</f>
        <v/>
      </c>
      <c r="IM39">
        <f>IF(IJ39=1,II39-IL39,"")</f>
        <v/>
      </c>
      <c r="IN39" t="inlineStr">
        <is>
          <t>low</t>
        </is>
      </c>
      <c r="IO39">
        <f>IF(IN39="good",II39,NA())</f>
        <v/>
      </c>
      <c r="IP39">
        <f>IF(IN39="moderate",II39,NA())</f>
        <v/>
      </c>
      <c r="IQ39">
        <f>IF(IN39="low",II39,NA())</f>
        <v/>
      </c>
      <c r="IR39">
        <f>IF(AND(IN39="good",IJ39=1),IM39,NA())</f>
        <v/>
      </c>
      <c r="IS39">
        <f>IF(AND(IN39="moderate",IJ39=1),IM39,NA())</f>
        <v/>
      </c>
      <c r="IT39">
        <f>IF(AND(IN39="low",IJ39=1),IM39,NA())</f>
        <v/>
      </c>
      <c r="IV39">
        <f>Ensayos!A38&amp;"|"&amp;Ensayos!B38</f>
        <v/>
      </c>
      <c r="IW39">
        <f>Ensayos!M38</f>
        <v/>
      </c>
      <c r="IX39">
        <f>Ensayos!R38</f>
        <v/>
      </c>
      <c r="IY39" t="n">
        <v>0</v>
      </c>
      <c r="IZ39">
        <f>IF(IY39=1,LN(IW39),"")</f>
        <v/>
      </c>
      <c r="JA39">
        <f>IF(IY39=1,AVERAGEIFS(IX3:IX39,IV3:IV39,IV39,IY3:IY39,1),"")</f>
        <v/>
      </c>
      <c r="JB39">
        <f>IF(IY39=1,IX39-JA39,"")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  <c r="IG40">
        <f>Base_mundial!A39</f>
        <v/>
      </c>
      <c r="IH40">
        <f>Base_mundial!C39</f>
        <v/>
      </c>
      <c r="II40">
        <f>Base_mundial!E39-MIN(tope,DEGREES(ATAN(TAN(RADIANS(pe0-omega*Base_mundial!B39))*(Base_mundial!C39/sref)^(m_-1))))</f>
        <v/>
      </c>
      <c r="IJ40" t="n">
        <v>0</v>
      </c>
      <c r="IK40">
        <f>IF(IJ40=1,LN(IH40),"")</f>
        <v/>
      </c>
      <c r="IL40">
        <f>IF(IJ40=1,AVERAGEIFS(II3:II688,IG3:IG688,IG40,IJ3:IJ688,1),"")</f>
        <v/>
      </c>
      <c r="IM40">
        <f>IF(IJ40=1,II40-IL40,"")</f>
        <v/>
      </c>
      <c r="IN40" t="inlineStr">
        <is>
          <t>low</t>
        </is>
      </c>
      <c r="IO40">
        <f>IF(IN40="good",II40,NA())</f>
        <v/>
      </c>
      <c r="IP40">
        <f>IF(IN40="moderate",II40,NA())</f>
        <v/>
      </c>
      <c r="IQ40">
        <f>IF(IN40="low",II40,NA())</f>
        <v/>
      </c>
      <c r="IR40">
        <f>IF(AND(IN40="good",IJ40=1),IM40,NA())</f>
        <v/>
      </c>
      <c r="IS40">
        <f>IF(AND(IN40="moderate",IJ40=1),IM40,NA())</f>
        <v/>
      </c>
      <c r="IT40">
        <f>IF(AND(IN40="low",IJ40=1),IM40,NA())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  <c r="IG41">
        <f>Base_mundial!A40</f>
        <v/>
      </c>
      <c r="IH41">
        <f>Base_mundial!C40</f>
        <v/>
      </c>
      <c r="II41">
        <f>Base_mundial!E40-MIN(tope,DEGREES(ATAN(TAN(RADIANS(pe0-omega*Base_mundial!B40))*(Base_mundial!C40/sref)^(m_-1))))</f>
        <v/>
      </c>
      <c r="IJ41" t="n">
        <v>0</v>
      </c>
      <c r="IK41">
        <f>IF(IJ41=1,LN(IH41),"")</f>
        <v/>
      </c>
      <c r="IL41">
        <f>IF(IJ41=1,AVERAGEIFS(II3:II688,IG3:IG688,IG41,IJ3:IJ688,1),"")</f>
        <v/>
      </c>
      <c r="IM41">
        <f>IF(IJ41=1,II41-IL41,"")</f>
        <v/>
      </c>
      <c r="IN41" t="inlineStr">
        <is>
          <t>low</t>
        </is>
      </c>
      <c r="IO41">
        <f>IF(IN41="good",II41,NA())</f>
        <v/>
      </c>
      <c r="IP41">
        <f>IF(IN41="moderate",II41,NA())</f>
        <v/>
      </c>
      <c r="IQ41">
        <f>IF(IN41="low",II41,NA())</f>
        <v/>
      </c>
      <c r="IR41">
        <f>IF(AND(IN41="good",IJ41=1),IM41,NA())</f>
        <v/>
      </c>
      <c r="IS41">
        <f>IF(AND(IN41="moderate",IJ41=1),IM41,NA())</f>
        <v/>
      </c>
      <c r="IT41">
        <f>IF(AND(IN41="low",IJ41=1),IM41,NA())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  <c r="IG42">
        <f>Base_mundial!A41</f>
        <v/>
      </c>
      <c r="IH42">
        <f>Base_mundial!C41</f>
        <v/>
      </c>
      <c r="II42">
        <f>Base_mundial!E41-MIN(tope,DEGREES(ATAN(TAN(RADIANS(pe0-omega*Base_mundial!B41))*(Base_mundial!C41/sref)^(m_-1))))</f>
        <v/>
      </c>
      <c r="IJ42" t="n">
        <v>0</v>
      </c>
      <c r="IK42">
        <f>IF(IJ42=1,LN(IH42),"")</f>
        <v/>
      </c>
      <c r="IL42">
        <f>IF(IJ42=1,AVERAGEIFS(II3:II688,IG3:IG688,IG42,IJ3:IJ688,1),"")</f>
        <v/>
      </c>
      <c r="IM42">
        <f>IF(IJ42=1,II42-IL42,"")</f>
        <v/>
      </c>
      <c r="IN42" t="inlineStr">
        <is>
          <t>low</t>
        </is>
      </c>
      <c r="IO42">
        <f>IF(IN42="good",II42,NA())</f>
        <v/>
      </c>
      <c r="IP42">
        <f>IF(IN42="moderate",II42,NA())</f>
        <v/>
      </c>
      <c r="IQ42">
        <f>IF(IN42="low",II42,NA())</f>
        <v/>
      </c>
      <c r="IR42">
        <f>IF(AND(IN42="good",IJ42=1),IM42,NA())</f>
        <v/>
      </c>
      <c r="IS42">
        <f>IF(AND(IN42="moderate",IJ42=1),IM42,NA())</f>
        <v/>
      </c>
      <c r="IT42">
        <f>IF(AND(IN42="low",IJ42=1),IM42,NA())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  <c r="IG43">
        <f>Base_mundial!A42</f>
        <v/>
      </c>
      <c r="IH43">
        <f>Base_mundial!C42</f>
        <v/>
      </c>
      <c r="II43">
        <f>Base_mundial!E42-MIN(tope,DEGREES(ATAN(TAN(RADIANS(pe0-omega*Base_mundial!B42))*(Base_mundial!C42/sref)^(m_-1))))</f>
        <v/>
      </c>
      <c r="IJ43" t="n">
        <v>0</v>
      </c>
      <c r="IK43">
        <f>IF(IJ43=1,LN(IH43),"")</f>
        <v/>
      </c>
      <c r="IL43">
        <f>IF(IJ43=1,AVERAGEIFS(II3:II688,IG3:IG688,IG43,IJ3:IJ688,1),"")</f>
        <v/>
      </c>
      <c r="IM43">
        <f>IF(IJ43=1,II43-IL43,"")</f>
        <v/>
      </c>
      <c r="IN43" t="inlineStr">
        <is>
          <t>low</t>
        </is>
      </c>
      <c r="IO43">
        <f>IF(IN43="good",II43,NA())</f>
        <v/>
      </c>
      <c r="IP43">
        <f>IF(IN43="moderate",II43,NA())</f>
        <v/>
      </c>
      <c r="IQ43">
        <f>IF(IN43="low",II43,NA())</f>
        <v/>
      </c>
      <c r="IR43">
        <f>IF(AND(IN43="good",IJ43=1),IM43,NA())</f>
        <v/>
      </c>
      <c r="IS43">
        <f>IF(AND(IN43="moderate",IJ43=1),IM43,NA())</f>
        <v/>
      </c>
      <c r="IT43">
        <f>IF(AND(IN43="low",IJ43=1),IM43,NA())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  <c r="IG44">
        <f>Base_mundial!A43</f>
        <v/>
      </c>
      <c r="IH44">
        <f>Base_mundial!C43</f>
        <v/>
      </c>
      <c r="II44">
        <f>Base_mundial!E43-MIN(tope,DEGREES(ATAN(TAN(RADIANS(pe0-omega*Base_mundial!B43))*(Base_mundial!C43/sref)^(m_-1))))</f>
        <v/>
      </c>
      <c r="IJ44" t="n">
        <v>0</v>
      </c>
      <c r="IK44">
        <f>IF(IJ44=1,LN(IH44),"")</f>
        <v/>
      </c>
      <c r="IL44">
        <f>IF(IJ44=1,AVERAGEIFS(II3:II688,IG3:IG688,IG44,IJ3:IJ688,1),"")</f>
        <v/>
      </c>
      <c r="IM44">
        <f>IF(IJ44=1,II44-IL44,"")</f>
        <v/>
      </c>
      <c r="IN44" t="inlineStr">
        <is>
          <t>low</t>
        </is>
      </c>
      <c r="IO44">
        <f>IF(IN44="good",II44,NA())</f>
        <v/>
      </c>
      <c r="IP44">
        <f>IF(IN44="moderate",II44,NA())</f>
        <v/>
      </c>
      <c r="IQ44">
        <f>IF(IN44="low",II44,NA())</f>
        <v/>
      </c>
      <c r="IR44">
        <f>IF(AND(IN44="good",IJ44=1),IM44,NA())</f>
        <v/>
      </c>
      <c r="IS44">
        <f>IF(AND(IN44="moderate",IJ44=1),IM44,NA())</f>
        <v/>
      </c>
      <c r="IT44">
        <f>IF(AND(IN44="low",IJ44=1),IM44,NA())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  <c r="IG45">
        <f>Base_mundial!A44</f>
        <v/>
      </c>
      <c r="IH45">
        <f>Base_mundial!C44</f>
        <v/>
      </c>
      <c r="II45">
        <f>Base_mundial!E44-MIN(tope,DEGREES(ATAN(TAN(RADIANS(pe0-omega*Base_mundial!B44))*(Base_mundial!C44/sref)^(m_-1))))</f>
        <v/>
      </c>
      <c r="IJ45" t="n">
        <v>0</v>
      </c>
      <c r="IK45">
        <f>IF(IJ45=1,LN(IH45),"")</f>
        <v/>
      </c>
      <c r="IL45">
        <f>IF(IJ45=1,AVERAGEIFS(II3:II688,IG3:IG688,IG45,IJ3:IJ688,1),"")</f>
        <v/>
      </c>
      <c r="IM45">
        <f>IF(IJ45=1,II45-IL45,"")</f>
        <v/>
      </c>
      <c r="IN45" t="inlineStr">
        <is>
          <t>low</t>
        </is>
      </c>
      <c r="IO45">
        <f>IF(IN45="good",II45,NA())</f>
        <v/>
      </c>
      <c r="IP45">
        <f>IF(IN45="moderate",II45,NA())</f>
        <v/>
      </c>
      <c r="IQ45">
        <f>IF(IN45="low",II45,NA())</f>
        <v/>
      </c>
      <c r="IR45">
        <f>IF(AND(IN45="good",IJ45=1),IM45,NA())</f>
        <v/>
      </c>
      <c r="IS45">
        <f>IF(AND(IN45="moderate",IJ45=1),IM45,NA())</f>
        <v/>
      </c>
      <c r="IT45">
        <f>IF(AND(IN45="low",IJ45=1),IM45,NA())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  <c r="IG46">
        <f>Base_mundial!A45</f>
        <v/>
      </c>
      <c r="IH46">
        <f>Base_mundial!C45</f>
        <v/>
      </c>
      <c r="II46">
        <f>Base_mundial!E45-MIN(tope,DEGREES(ATAN(TAN(RADIANS(pe0-omega*Base_mundial!B45))*(Base_mundial!C45/sref)^(m_-1))))</f>
        <v/>
      </c>
      <c r="IJ46" t="n">
        <v>0</v>
      </c>
      <c r="IK46">
        <f>IF(IJ46=1,LN(IH46),"")</f>
        <v/>
      </c>
      <c r="IL46">
        <f>IF(IJ46=1,AVERAGEIFS(II3:II688,IG3:IG688,IG46,IJ3:IJ688,1),"")</f>
        <v/>
      </c>
      <c r="IM46">
        <f>IF(IJ46=1,II46-IL46,"")</f>
        <v/>
      </c>
      <c r="IN46" t="inlineStr">
        <is>
          <t>low</t>
        </is>
      </c>
      <c r="IO46">
        <f>IF(IN46="good",II46,NA())</f>
        <v/>
      </c>
      <c r="IP46">
        <f>IF(IN46="moderate",II46,NA())</f>
        <v/>
      </c>
      <c r="IQ46">
        <f>IF(IN46="low",II46,NA())</f>
        <v/>
      </c>
      <c r="IR46">
        <f>IF(AND(IN46="good",IJ46=1),IM46,NA())</f>
        <v/>
      </c>
      <c r="IS46">
        <f>IF(AND(IN46="moderate",IJ46=1),IM46,NA())</f>
        <v/>
      </c>
      <c r="IT46">
        <f>IF(AND(IN46="low",IJ46=1),IM46,NA())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  <c r="IG47">
        <f>Base_mundial!A46</f>
        <v/>
      </c>
      <c r="IH47">
        <f>Base_mundial!C46</f>
        <v/>
      </c>
      <c r="II47">
        <f>Base_mundial!E46-MIN(tope,DEGREES(ATAN(TAN(RADIANS(pe0-omega*Base_mundial!B46))*(Base_mundial!C46/sref)^(m_-1))))</f>
        <v/>
      </c>
      <c r="IJ47" t="n">
        <v>0</v>
      </c>
      <c r="IK47">
        <f>IF(IJ47=1,LN(IH47),"")</f>
        <v/>
      </c>
      <c r="IL47">
        <f>IF(IJ47=1,AVERAGEIFS(II3:II688,IG3:IG688,IG47,IJ3:IJ688,1),"")</f>
        <v/>
      </c>
      <c r="IM47">
        <f>IF(IJ47=1,II47-IL47,"")</f>
        <v/>
      </c>
      <c r="IN47" t="inlineStr">
        <is>
          <t>low</t>
        </is>
      </c>
      <c r="IO47">
        <f>IF(IN47="good",II47,NA())</f>
        <v/>
      </c>
      <c r="IP47">
        <f>IF(IN47="moderate",II47,NA())</f>
        <v/>
      </c>
      <c r="IQ47">
        <f>IF(IN47="low",II47,NA())</f>
        <v/>
      </c>
      <c r="IR47">
        <f>IF(AND(IN47="good",IJ47=1),IM47,NA())</f>
        <v/>
      </c>
      <c r="IS47">
        <f>IF(AND(IN47="moderate",IJ47=1),IM47,NA())</f>
        <v/>
      </c>
      <c r="IT47">
        <f>IF(AND(IN47="low",IJ47=1),IM47,NA())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  <c r="IG48">
        <f>Base_mundial!A47</f>
        <v/>
      </c>
      <c r="IH48">
        <f>Base_mundial!C47</f>
        <v/>
      </c>
      <c r="II48">
        <f>Base_mundial!E47-MIN(tope,DEGREES(ATAN(TAN(RADIANS(pe0-omega*Base_mundial!B47))*(Base_mundial!C47/sref)^(m_-1))))</f>
        <v/>
      </c>
      <c r="IJ48" t="n">
        <v>0</v>
      </c>
      <c r="IK48">
        <f>IF(IJ48=1,LN(IH48),"")</f>
        <v/>
      </c>
      <c r="IL48">
        <f>IF(IJ48=1,AVERAGEIFS(II3:II688,IG3:IG688,IG48,IJ3:IJ688,1),"")</f>
        <v/>
      </c>
      <c r="IM48">
        <f>IF(IJ48=1,II48-IL48,"")</f>
        <v/>
      </c>
      <c r="IN48" t="inlineStr">
        <is>
          <t>low</t>
        </is>
      </c>
      <c r="IO48">
        <f>IF(IN48="good",II48,NA())</f>
        <v/>
      </c>
      <c r="IP48">
        <f>IF(IN48="moderate",II48,NA())</f>
        <v/>
      </c>
      <c r="IQ48">
        <f>IF(IN48="low",II48,NA())</f>
        <v/>
      </c>
      <c r="IR48">
        <f>IF(AND(IN48="good",IJ48=1),IM48,NA())</f>
        <v/>
      </c>
      <c r="IS48">
        <f>IF(AND(IN48="moderate",IJ48=1),IM48,NA())</f>
        <v/>
      </c>
      <c r="IT48">
        <f>IF(AND(IN48="low",IJ48=1),IM48,NA())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  <c r="IG49">
        <f>Base_mundial!A48</f>
        <v/>
      </c>
      <c r="IH49">
        <f>Base_mundial!C48</f>
        <v/>
      </c>
      <c r="II49">
        <f>Base_mundial!E48-MIN(tope,DEGREES(ATAN(TAN(RADIANS(pe0-omega*Base_mundial!B48))*(Base_mundial!C48/sref)^(m_-1))))</f>
        <v/>
      </c>
      <c r="IJ49" t="n">
        <v>0</v>
      </c>
      <c r="IK49">
        <f>IF(IJ49=1,LN(IH49),"")</f>
        <v/>
      </c>
      <c r="IL49">
        <f>IF(IJ49=1,AVERAGEIFS(II3:II688,IG3:IG688,IG49,IJ3:IJ688,1),"")</f>
        <v/>
      </c>
      <c r="IM49">
        <f>IF(IJ49=1,II49-IL49,"")</f>
        <v/>
      </c>
      <c r="IN49" t="inlineStr">
        <is>
          <t>low</t>
        </is>
      </c>
      <c r="IO49">
        <f>IF(IN49="good",II49,NA())</f>
        <v/>
      </c>
      <c r="IP49">
        <f>IF(IN49="moderate",II49,NA())</f>
        <v/>
      </c>
      <c r="IQ49">
        <f>IF(IN49="low",II49,NA())</f>
        <v/>
      </c>
      <c r="IR49">
        <f>IF(AND(IN49="good",IJ49=1),IM49,NA())</f>
        <v/>
      </c>
      <c r="IS49">
        <f>IF(AND(IN49="moderate",IJ49=1),IM49,NA())</f>
        <v/>
      </c>
      <c r="IT49">
        <f>IF(AND(IN49="low",IJ49=1),IM49,NA())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  <c r="IG50">
        <f>Base_mundial!A49</f>
        <v/>
      </c>
      <c r="IH50">
        <f>Base_mundial!C49</f>
        <v/>
      </c>
      <c r="II50">
        <f>Base_mundial!E49-MIN(tope,DEGREES(ATAN(TAN(RADIANS(pe0-omega*Base_mundial!B49))*(Base_mundial!C49/sref)^(m_-1))))</f>
        <v/>
      </c>
      <c r="IJ50" t="n">
        <v>0</v>
      </c>
      <c r="IK50">
        <f>IF(IJ50=1,LN(IH50),"")</f>
        <v/>
      </c>
      <c r="IL50">
        <f>IF(IJ50=1,AVERAGEIFS(II3:II688,IG3:IG688,IG50,IJ3:IJ688,1),"")</f>
        <v/>
      </c>
      <c r="IM50">
        <f>IF(IJ50=1,II50-IL50,"")</f>
        <v/>
      </c>
      <c r="IN50" t="inlineStr">
        <is>
          <t>low</t>
        </is>
      </c>
      <c r="IO50">
        <f>IF(IN50="good",II50,NA())</f>
        <v/>
      </c>
      <c r="IP50">
        <f>IF(IN50="moderate",II50,NA())</f>
        <v/>
      </c>
      <c r="IQ50">
        <f>IF(IN50="low",II50,NA())</f>
        <v/>
      </c>
      <c r="IR50">
        <f>IF(AND(IN50="good",IJ50=1),IM50,NA())</f>
        <v/>
      </c>
      <c r="IS50">
        <f>IF(AND(IN50="moderate",IJ50=1),IM50,NA())</f>
        <v/>
      </c>
      <c r="IT50">
        <f>IF(AND(IN50="low",IJ50=1),IM50,NA())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  <c r="IG51">
        <f>Base_mundial!A50</f>
        <v/>
      </c>
      <c r="IH51">
        <f>Base_mundial!C50</f>
        <v/>
      </c>
      <c r="II51">
        <f>Base_mundial!E50-MIN(tope,DEGREES(ATAN(TAN(RADIANS(pe0-omega*Base_mundial!B50))*(Base_mundial!C50/sref)^(m_-1))))</f>
        <v/>
      </c>
      <c r="IJ51" t="n">
        <v>0</v>
      </c>
      <c r="IK51">
        <f>IF(IJ51=1,LN(IH51),"")</f>
        <v/>
      </c>
      <c r="IL51">
        <f>IF(IJ51=1,AVERAGEIFS(II3:II688,IG3:IG688,IG51,IJ3:IJ688,1),"")</f>
        <v/>
      </c>
      <c r="IM51">
        <f>IF(IJ51=1,II51-IL51,"")</f>
        <v/>
      </c>
      <c r="IN51" t="inlineStr">
        <is>
          <t>low</t>
        </is>
      </c>
      <c r="IO51">
        <f>IF(IN51="good",II51,NA())</f>
        <v/>
      </c>
      <c r="IP51">
        <f>IF(IN51="moderate",II51,NA())</f>
        <v/>
      </c>
      <c r="IQ51">
        <f>IF(IN51="low",II51,NA())</f>
        <v/>
      </c>
      <c r="IR51">
        <f>IF(AND(IN51="good",IJ51=1),IM51,NA())</f>
        <v/>
      </c>
      <c r="IS51">
        <f>IF(AND(IN51="moderate",IJ51=1),IM51,NA())</f>
        <v/>
      </c>
      <c r="IT51">
        <f>IF(AND(IN51="low",IJ51=1),IM51,NA())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  <c r="IG52">
        <f>Base_mundial!A51</f>
        <v/>
      </c>
      <c r="IH52">
        <f>Base_mundial!C51</f>
        <v/>
      </c>
      <c r="II52">
        <f>Base_mundial!E51-MIN(tope,DEGREES(ATAN(TAN(RADIANS(pe0-omega*Base_mundial!B51))*(Base_mundial!C51/sref)^(m_-1))))</f>
        <v/>
      </c>
      <c r="IJ52" t="n">
        <v>0</v>
      </c>
      <c r="IK52">
        <f>IF(IJ52=1,LN(IH52),"")</f>
        <v/>
      </c>
      <c r="IL52">
        <f>IF(IJ52=1,AVERAGEIFS(II3:II688,IG3:IG688,IG52,IJ3:IJ688,1),"")</f>
        <v/>
      </c>
      <c r="IM52">
        <f>IF(IJ52=1,II52-IL52,"")</f>
        <v/>
      </c>
      <c r="IN52" t="inlineStr">
        <is>
          <t>low</t>
        </is>
      </c>
      <c r="IO52">
        <f>IF(IN52="good",II52,NA())</f>
        <v/>
      </c>
      <c r="IP52">
        <f>IF(IN52="moderate",II52,NA())</f>
        <v/>
      </c>
      <c r="IQ52">
        <f>IF(IN52="low",II52,NA())</f>
        <v/>
      </c>
      <c r="IR52">
        <f>IF(AND(IN52="good",IJ52=1),IM52,NA())</f>
        <v/>
      </c>
      <c r="IS52">
        <f>IF(AND(IN52="moderate",IJ52=1),IM52,NA())</f>
        <v/>
      </c>
      <c r="IT52">
        <f>IF(AND(IN52="low",IJ52=1),IM52,NA())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  <c r="IG53">
        <f>Base_mundial!A52</f>
        <v/>
      </c>
      <c r="IH53">
        <f>Base_mundial!C52</f>
        <v/>
      </c>
      <c r="II53">
        <f>Base_mundial!E52-MIN(tope,DEGREES(ATAN(TAN(RADIANS(pe0-omega*Base_mundial!B52))*(Base_mundial!C52/sref)^(m_-1))))</f>
        <v/>
      </c>
      <c r="IJ53" t="n">
        <v>0</v>
      </c>
      <c r="IK53">
        <f>IF(IJ53=1,LN(IH53),"")</f>
        <v/>
      </c>
      <c r="IL53">
        <f>IF(IJ53=1,AVERAGEIFS(II3:II688,IG3:IG688,IG53,IJ3:IJ688,1),"")</f>
        <v/>
      </c>
      <c r="IM53">
        <f>IF(IJ53=1,II53-IL53,"")</f>
        <v/>
      </c>
      <c r="IN53" t="inlineStr">
        <is>
          <t>low</t>
        </is>
      </c>
      <c r="IO53">
        <f>IF(IN53="good",II53,NA())</f>
        <v/>
      </c>
      <c r="IP53">
        <f>IF(IN53="moderate",II53,NA())</f>
        <v/>
      </c>
      <c r="IQ53">
        <f>IF(IN53="low",II53,NA())</f>
        <v/>
      </c>
      <c r="IR53">
        <f>IF(AND(IN53="good",IJ53=1),IM53,NA())</f>
        <v/>
      </c>
      <c r="IS53">
        <f>IF(AND(IN53="moderate",IJ53=1),IM53,NA())</f>
        <v/>
      </c>
      <c r="IT53">
        <f>IF(AND(IN53="low",IJ53=1),IM53,NA())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  <c r="IG54">
        <f>Base_mundial!A53</f>
        <v/>
      </c>
      <c r="IH54">
        <f>Base_mundial!C53</f>
        <v/>
      </c>
      <c r="II54">
        <f>Base_mundial!E53-MIN(tope,DEGREES(ATAN(TAN(RADIANS(pe0-omega*Base_mundial!B53))*(Base_mundial!C53/sref)^(m_-1))))</f>
        <v/>
      </c>
      <c r="IJ54" t="n">
        <v>0</v>
      </c>
      <c r="IK54">
        <f>IF(IJ54=1,LN(IH54),"")</f>
        <v/>
      </c>
      <c r="IL54">
        <f>IF(IJ54=1,AVERAGEIFS(II3:II688,IG3:IG688,IG54,IJ3:IJ688,1),"")</f>
        <v/>
      </c>
      <c r="IM54">
        <f>IF(IJ54=1,II54-IL54,"")</f>
        <v/>
      </c>
      <c r="IN54" t="inlineStr">
        <is>
          <t>low</t>
        </is>
      </c>
      <c r="IO54">
        <f>IF(IN54="good",II54,NA())</f>
        <v/>
      </c>
      <c r="IP54">
        <f>IF(IN54="moderate",II54,NA())</f>
        <v/>
      </c>
      <c r="IQ54">
        <f>IF(IN54="low",II54,NA())</f>
        <v/>
      </c>
      <c r="IR54">
        <f>IF(AND(IN54="good",IJ54=1),IM54,NA())</f>
        <v/>
      </c>
      <c r="IS54">
        <f>IF(AND(IN54="moderate",IJ54=1),IM54,NA())</f>
        <v/>
      </c>
      <c r="IT54">
        <f>IF(AND(IN54="low",IJ54=1),IM54,NA())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  <c r="IG55">
        <f>Base_mundial!A54</f>
        <v/>
      </c>
      <c r="IH55">
        <f>Base_mundial!C54</f>
        <v/>
      </c>
      <c r="II55">
        <f>Base_mundial!E54-MIN(tope,DEGREES(ATAN(TAN(RADIANS(pe0-omega*Base_mundial!B54))*(Base_mundial!C54/sref)^(m_-1))))</f>
        <v/>
      </c>
      <c r="IJ55" t="n">
        <v>0</v>
      </c>
      <c r="IK55">
        <f>IF(IJ55=1,LN(IH55),"")</f>
        <v/>
      </c>
      <c r="IL55">
        <f>IF(IJ55=1,AVERAGEIFS(II3:II688,IG3:IG688,IG55,IJ3:IJ688,1),"")</f>
        <v/>
      </c>
      <c r="IM55">
        <f>IF(IJ55=1,II55-IL55,"")</f>
        <v/>
      </c>
      <c r="IN55" t="inlineStr">
        <is>
          <t>low</t>
        </is>
      </c>
      <c r="IO55">
        <f>IF(IN55="good",II55,NA())</f>
        <v/>
      </c>
      <c r="IP55">
        <f>IF(IN55="moderate",II55,NA())</f>
        <v/>
      </c>
      <c r="IQ55">
        <f>IF(IN55="low",II55,NA())</f>
        <v/>
      </c>
      <c r="IR55">
        <f>IF(AND(IN55="good",IJ55=1),IM55,NA())</f>
        <v/>
      </c>
      <c r="IS55">
        <f>IF(AND(IN55="moderate",IJ55=1),IM55,NA())</f>
        <v/>
      </c>
      <c r="IT55">
        <f>IF(AND(IN55="low",IJ55=1),IM55,NA())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  <c r="IG56">
        <f>Base_mundial!A55</f>
        <v/>
      </c>
      <c r="IH56">
        <f>Base_mundial!C55</f>
        <v/>
      </c>
      <c r="II56">
        <f>Base_mundial!E55-MIN(tope,DEGREES(ATAN(TAN(RADIANS(pe0-omega*Base_mundial!B55))*(Base_mundial!C55/sref)^(m_-1))))</f>
        <v/>
      </c>
      <c r="IJ56" t="n">
        <v>0</v>
      </c>
      <c r="IK56">
        <f>IF(IJ56=1,LN(IH56),"")</f>
        <v/>
      </c>
      <c r="IL56">
        <f>IF(IJ56=1,AVERAGEIFS(II3:II688,IG3:IG688,IG56,IJ3:IJ688,1),"")</f>
        <v/>
      </c>
      <c r="IM56">
        <f>IF(IJ56=1,II56-IL56,"")</f>
        <v/>
      </c>
      <c r="IN56" t="inlineStr">
        <is>
          <t>low</t>
        </is>
      </c>
      <c r="IO56">
        <f>IF(IN56="good",II56,NA())</f>
        <v/>
      </c>
      <c r="IP56">
        <f>IF(IN56="moderate",II56,NA())</f>
        <v/>
      </c>
      <c r="IQ56">
        <f>IF(IN56="low",II56,NA())</f>
        <v/>
      </c>
      <c r="IR56">
        <f>IF(AND(IN56="good",IJ56=1),IM56,NA())</f>
        <v/>
      </c>
      <c r="IS56">
        <f>IF(AND(IN56="moderate",IJ56=1),IM56,NA())</f>
        <v/>
      </c>
      <c r="IT56">
        <f>IF(AND(IN56="low",IJ56=1),IM56,NA())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  <c r="IG57">
        <f>Base_mundial!A56</f>
        <v/>
      </c>
      <c r="IH57">
        <f>Base_mundial!C56</f>
        <v/>
      </c>
      <c r="II57">
        <f>Base_mundial!E56-MIN(tope,DEGREES(ATAN(TAN(RADIANS(pe0-omega*Base_mundial!B56))*(Base_mundial!C56/sref)^(m_-1))))</f>
        <v/>
      </c>
      <c r="IJ57" t="n">
        <v>0</v>
      </c>
      <c r="IK57">
        <f>IF(IJ57=1,LN(IH57),"")</f>
        <v/>
      </c>
      <c r="IL57">
        <f>IF(IJ57=1,AVERAGEIFS(II3:II688,IG3:IG688,IG57,IJ3:IJ688,1),"")</f>
        <v/>
      </c>
      <c r="IM57">
        <f>IF(IJ57=1,II57-IL57,"")</f>
        <v/>
      </c>
      <c r="IN57" t="inlineStr">
        <is>
          <t>low</t>
        </is>
      </c>
      <c r="IO57">
        <f>IF(IN57="good",II57,NA())</f>
        <v/>
      </c>
      <c r="IP57">
        <f>IF(IN57="moderate",II57,NA())</f>
        <v/>
      </c>
      <c r="IQ57">
        <f>IF(IN57="low",II57,NA())</f>
        <v/>
      </c>
      <c r="IR57">
        <f>IF(AND(IN57="good",IJ57=1),IM57,NA())</f>
        <v/>
      </c>
      <c r="IS57">
        <f>IF(AND(IN57="moderate",IJ57=1),IM57,NA())</f>
        <v/>
      </c>
      <c r="IT57">
        <f>IF(AND(IN57="low",IJ57=1),IM57,NA())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  <c r="IG58">
        <f>Base_mundial!A57</f>
        <v/>
      </c>
      <c r="IH58">
        <f>Base_mundial!C57</f>
        <v/>
      </c>
      <c r="II58">
        <f>Base_mundial!E57-MIN(tope,DEGREES(ATAN(TAN(RADIANS(pe0-omega*Base_mundial!B57))*(Base_mundial!C57/sref)^(m_-1))))</f>
        <v/>
      </c>
      <c r="IJ58" t="n">
        <v>0</v>
      </c>
      <c r="IK58">
        <f>IF(IJ58=1,LN(IH58),"")</f>
        <v/>
      </c>
      <c r="IL58">
        <f>IF(IJ58=1,AVERAGEIFS(II3:II688,IG3:IG688,IG58,IJ3:IJ688,1),"")</f>
        <v/>
      </c>
      <c r="IM58">
        <f>IF(IJ58=1,II58-IL58,"")</f>
        <v/>
      </c>
      <c r="IN58" t="inlineStr">
        <is>
          <t>low</t>
        </is>
      </c>
      <c r="IO58">
        <f>IF(IN58="good",II58,NA())</f>
        <v/>
      </c>
      <c r="IP58">
        <f>IF(IN58="moderate",II58,NA())</f>
        <v/>
      </c>
      <c r="IQ58">
        <f>IF(IN58="low",II58,NA())</f>
        <v/>
      </c>
      <c r="IR58">
        <f>IF(AND(IN58="good",IJ58=1),IM58,NA())</f>
        <v/>
      </c>
      <c r="IS58">
        <f>IF(AND(IN58="moderate",IJ58=1),IM58,NA())</f>
        <v/>
      </c>
      <c r="IT58">
        <f>IF(AND(IN58="low",IJ58=1),IM58,NA())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  <c r="IG59">
        <f>Base_mundial!A58</f>
        <v/>
      </c>
      <c r="IH59">
        <f>Base_mundial!C58</f>
        <v/>
      </c>
      <c r="II59">
        <f>Base_mundial!E58-MIN(tope,DEGREES(ATAN(TAN(RADIANS(pe0-omega*Base_mundial!B58))*(Base_mundial!C58/sref)^(m_-1))))</f>
        <v/>
      </c>
      <c r="IJ59" t="n">
        <v>0</v>
      </c>
      <c r="IK59">
        <f>IF(IJ59=1,LN(IH59),"")</f>
        <v/>
      </c>
      <c r="IL59">
        <f>IF(IJ59=1,AVERAGEIFS(II3:II688,IG3:IG688,IG59,IJ3:IJ688,1),"")</f>
        <v/>
      </c>
      <c r="IM59">
        <f>IF(IJ59=1,II59-IL59,"")</f>
        <v/>
      </c>
      <c r="IN59" t="inlineStr">
        <is>
          <t>low</t>
        </is>
      </c>
      <c r="IO59">
        <f>IF(IN59="good",II59,NA())</f>
        <v/>
      </c>
      <c r="IP59">
        <f>IF(IN59="moderate",II59,NA())</f>
        <v/>
      </c>
      <c r="IQ59">
        <f>IF(IN59="low",II59,NA())</f>
        <v/>
      </c>
      <c r="IR59">
        <f>IF(AND(IN59="good",IJ59=1),IM59,NA())</f>
        <v/>
      </c>
      <c r="IS59">
        <f>IF(AND(IN59="moderate",IJ59=1),IM59,NA())</f>
        <v/>
      </c>
      <c r="IT59">
        <f>IF(AND(IN59="low",IJ59=1),IM59,NA())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  <c r="IG60">
        <f>Base_mundial!A59</f>
        <v/>
      </c>
      <c r="IH60">
        <f>Base_mundial!C59</f>
        <v/>
      </c>
      <c r="II60">
        <f>Base_mundial!E59-MIN(tope,DEGREES(ATAN(TAN(RADIANS(pe0-omega*Base_mundial!B59))*(Base_mundial!C59/sref)^(m_-1))))</f>
        <v/>
      </c>
      <c r="IJ60" t="n">
        <v>0</v>
      </c>
      <c r="IK60">
        <f>IF(IJ60=1,LN(IH60),"")</f>
        <v/>
      </c>
      <c r="IL60">
        <f>IF(IJ60=1,AVERAGEIFS(II3:II688,IG3:IG688,IG60,IJ3:IJ688,1),"")</f>
        <v/>
      </c>
      <c r="IM60">
        <f>IF(IJ60=1,II60-IL60,"")</f>
        <v/>
      </c>
      <c r="IN60" t="inlineStr">
        <is>
          <t>low</t>
        </is>
      </c>
      <c r="IO60">
        <f>IF(IN60="good",II60,NA())</f>
        <v/>
      </c>
      <c r="IP60">
        <f>IF(IN60="moderate",II60,NA())</f>
        <v/>
      </c>
      <c r="IQ60">
        <f>IF(IN60="low",II60,NA())</f>
        <v/>
      </c>
      <c r="IR60">
        <f>IF(AND(IN60="good",IJ60=1),IM60,NA())</f>
        <v/>
      </c>
      <c r="IS60">
        <f>IF(AND(IN60="moderate",IJ60=1),IM60,NA())</f>
        <v/>
      </c>
      <c r="IT60">
        <f>IF(AND(IN60="low",IJ60=1),IM60,NA())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  <c r="IG61">
        <f>Base_mundial!A60</f>
        <v/>
      </c>
      <c r="IH61">
        <f>Base_mundial!C60</f>
        <v/>
      </c>
      <c r="II61">
        <f>Base_mundial!E60-MIN(tope,DEGREES(ATAN(TAN(RADIANS(pe0-omega*Base_mundial!B60))*(Base_mundial!C60/sref)^(m_-1))))</f>
        <v/>
      </c>
      <c r="IJ61" t="n">
        <v>0</v>
      </c>
      <c r="IK61">
        <f>IF(IJ61=1,LN(IH61),"")</f>
        <v/>
      </c>
      <c r="IL61">
        <f>IF(IJ61=1,AVERAGEIFS(II3:II688,IG3:IG688,IG61,IJ3:IJ688,1),"")</f>
        <v/>
      </c>
      <c r="IM61">
        <f>IF(IJ61=1,II61-IL61,"")</f>
        <v/>
      </c>
      <c r="IN61" t="inlineStr">
        <is>
          <t>low</t>
        </is>
      </c>
      <c r="IO61">
        <f>IF(IN61="good",II61,NA())</f>
        <v/>
      </c>
      <c r="IP61">
        <f>IF(IN61="moderate",II61,NA())</f>
        <v/>
      </c>
      <c r="IQ61">
        <f>IF(IN61="low",II61,NA())</f>
        <v/>
      </c>
      <c r="IR61">
        <f>IF(AND(IN61="good",IJ61=1),IM61,NA())</f>
        <v/>
      </c>
      <c r="IS61">
        <f>IF(AND(IN61="moderate",IJ61=1),IM61,NA())</f>
        <v/>
      </c>
      <c r="IT61">
        <f>IF(AND(IN61="low",IJ61=1),IM61,NA())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  <c r="IG62">
        <f>Base_mundial!A61</f>
        <v/>
      </c>
      <c r="IH62">
        <f>Base_mundial!C61</f>
        <v/>
      </c>
      <c r="II62">
        <f>Base_mundial!E61-MIN(tope,DEGREES(ATAN(TAN(RADIANS(pe0-omega*Base_mundial!B61))*(Base_mundial!C61/sref)^(m_-1))))</f>
        <v/>
      </c>
      <c r="IJ62" t="n">
        <v>0</v>
      </c>
      <c r="IK62">
        <f>IF(IJ62=1,LN(IH62),"")</f>
        <v/>
      </c>
      <c r="IL62">
        <f>IF(IJ62=1,AVERAGEIFS(II3:II688,IG3:IG688,IG62,IJ3:IJ688,1),"")</f>
        <v/>
      </c>
      <c r="IM62">
        <f>IF(IJ62=1,II62-IL62,"")</f>
        <v/>
      </c>
      <c r="IN62" t="inlineStr">
        <is>
          <t>low</t>
        </is>
      </c>
      <c r="IO62">
        <f>IF(IN62="good",II62,NA())</f>
        <v/>
      </c>
      <c r="IP62">
        <f>IF(IN62="moderate",II62,NA())</f>
        <v/>
      </c>
      <c r="IQ62">
        <f>IF(IN62="low",II62,NA())</f>
        <v/>
      </c>
      <c r="IR62">
        <f>IF(AND(IN62="good",IJ62=1),IM62,NA())</f>
        <v/>
      </c>
      <c r="IS62">
        <f>IF(AND(IN62="moderate",IJ62=1),IM62,NA())</f>
        <v/>
      </c>
      <c r="IT62">
        <f>IF(AND(IN62="low",IJ62=1),IM62,NA())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  <c r="IG63">
        <f>Base_mundial!A62</f>
        <v/>
      </c>
      <c r="IH63">
        <f>Base_mundial!C62</f>
        <v/>
      </c>
      <c r="II63">
        <f>Base_mundial!E62-MIN(tope,DEGREES(ATAN(TAN(RADIANS(pe0-omega*Base_mundial!B62))*(Base_mundial!C62/sref)^(m_-1))))</f>
        <v/>
      </c>
      <c r="IJ63" t="n">
        <v>0</v>
      </c>
      <c r="IK63">
        <f>IF(IJ63=1,LN(IH63),"")</f>
        <v/>
      </c>
      <c r="IL63">
        <f>IF(IJ63=1,AVERAGEIFS(II3:II688,IG3:IG688,IG63,IJ3:IJ688,1),"")</f>
        <v/>
      </c>
      <c r="IM63">
        <f>IF(IJ63=1,II63-IL63,"")</f>
        <v/>
      </c>
      <c r="IN63" t="inlineStr">
        <is>
          <t>low</t>
        </is>
      </c>
      <c r="IO63">
        <f>IF(IN63="good",II63,NA())</f>
        <v/>
      </c>
      <c r="IP63">
        <f>IF(IN63="moderate",II63,NA())</f>
        <v/>
      </c>
      <c r="IQ63">
        <f>IF(IN63="low",II63,NA())</f>
        <v/>
      </c>
      <c r="IR63">
        <f>IF(AND(IN63="good",IJ63=1),IM63,NA())</f>
        <v/>
      </c>
      <c r="IS63">
        <f>IF(AND(IN63="moderate",IJ63=1),IM63,NA())</f>
        <v/>
      </c>
      <c r="IT63">
        <f>IF(AND(IN63="low",IJ63=1),IM63,NA())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  <c r="IG64">
        <f>Base_mundial!A63</f>
        <v/>
      </c>
      <c r="IH64">
        <f>Base_mundial!C63</f>
        <v/>
      </c>
      <c r="II64">
        <f>Base_mundial!E63-MIN(tope,DEGREES(ATAN(TAN(RADIANS(pe0-omega*Base_mundial!B63))*(Base_mundial!C63/sref)^(m_-1))))</f>
        <v/>
      </c>
      <c r="IJ64" t="n">
        <v>0</v>
      </c>
      <c r="IK64">
        <f>IF(IJ64=1,LN(IH64),"")</f>
        <v/>
      </c>
      <c r="IL64">
        <f>IF(IJ64=1,AVERAGEIFS(II3:II688,IG3:IG688,IG64,IJ3:IJ688,1),"")</f>
        <v/>
      </c>
      <c r="IM64">
        <f>IF(IJ64=1,II64-IL64,"")</f>
        <v/>
      </c>
      <c r="IN64" t="inlineStr">
        <is>
          <t>low</t>
        </is>
      </c>
      <c r="IO64">
        <f>IF(IN64="good",II64,NA())</f>
        <v/>
      </c>
      <c r="IP64">
        <f>IF(IN64="moderate",II64,NA())</f>
        <v/>
      </c>
      <c r="IQ64">
        <f>IF(IN64="low",II64,NA())</f>
        <v/>
      </c>
      <c r="IR64">
        <f>IF(AND(IN64="good",IJ64=1),IM64,NA())</f>
        <v/>
      </c>
      <c r="IS64">
        <f>IF(AND(IN64="moderate",IJ64=1),IM64,NA())</f>
        <v/>
      </c>
      <c r="IT64">
        <f>IF(AND(IN64="low",IJ64=1),IM64,NA())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  <c r="IG65">
        <f>Base_mundial!A64</f>
        <v/>
      </c>
      <c r="IH65">
        <f>Base_mundial!C64</f>
        <v/>
      </c>
      <c r="II65">
        <f>Base_mundial!E64-MIN(tope,DEGREES(ATAN(TAN(RADIANS(pe0-omega*Base_mundial!B64))*(Base_mundial!C64/sref)^(m_-1))))</f>
        <v/>
      </c>
      <c r="IJ65" t="n">
        <v>0</v>
      </c>
      <c r="IK65">
        <f>IF(IJ65=1,LN(IH65),"")</f>
        <v/>
      </c>
      <c r="IL65">
        <f>IF(IJ65=1,AVERAGEIFS(II3:II688,IG3:IG688,IG65,IJ3:IJ688,1),"")</f>
        <v/>
      </c>
      <c r="IM65">
        <f>IF(IJ65=1,II65-IL65,"")</f>
        <v/>
      </c>
      <c r="IN65" t="inlineStr">
        <is>
          <t>low</t>
        </is>
      </c>
      <c r="IO65">
        <f>IF(IN65="good",II65,NA())</f>
        <v/>
      </c>
      <c r="IP65">
        <f>IF(IN65="moderate",II65,NA())</f>
        <v/>
      </c>
      <c r="IQ65">
        <f>IF(IN65="low",II65,NA())</f>
        <v/>
      </c>
      <c r="IR65">
        <f>IF(AND(IN65="good",IJ65=1),IM65,NA())</f>
        <v/>
      </c>
      <c r="IS65">
        <f>IF(AND(IN65="moderate",IJ65=1),IM65,NA())</f>
        <v/>
      </c>
      <c r="IT65">
        <f>IF(AND(IN65="low",IJ65=1),IM65,NA())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  <c r="IG66">
        <f>Base_mundial!A65</f>
        <v/>
      </c>
      <c r="IH66">
        <f>Base_mundial!C65</f>
        <v/>
      </c>
      <c r="II66">
        <f>Base_mundial!E65-MIN(tope,DEGREES(ATAN(TAN(RADIANS(pe0-omega*Base_mundial!B65))*(Base_mundial!C65/sref)^(m_-1))))</f>
        <v/>
      </c>
      <c r="IJ66" t="n">
        <v>0</v>
      </c>
      <c r="IK66">
        <f>IF(IJ66=1,LN(IH66),"")</f>
        <v/>
      </c>
      <c r="IL66">
        <f>IF(IJ66=1,AVERAGEIFS(II3:II688,IG3:IG688,IG66,IJ3:IJ688,1),"")</f>
        <v/>
      </c>
      <c r="IM66">
        <f>IF(IJ66=1,II66-IL66,"")</f>
        <v/>
      </c>
      <c r="IN66" t="inlineStr">
        <is>
          <t>low</t>
        </is>
      </c>
      <c r="IO66">
        <f>IF(IN66="good",II66,NA())</f>
        <v/>
      </c>
      <c r="IP66">
        <f>IF(IN66="moderate",II66,NA())</f>
        <v/>
      </c>
      <c r="IQ66">
        <f>IF(IN66="low",II66,NA())</f>
        <v/>
      </c>
      <c r="IR66">
        <f>IF(AND(IN66="good",IJ66=1),IM66,NA())</f>
        <v/>
      </c>
      <c r="IS66">
        <f>IF(AND(IN66="moderate",IJ66=1),IM66,NA())</f>
        <v/>
      </c>
      <c r="IT66">
        <f>IF(AND(IN66="low",IJ66=1),IM66,NA())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  <c r="IG67">
        <f>Base_mundial!A66</f>
        <v/>
      </c>
      <c r="IH67">
        <f>Base_mundial!C66</f>
        <v/>
      </c>
      <c r="II67">
        <f>Base_mundial!E66-MIN(tope,DEGREES(ATAN(TAN(RADIANS(pe0-omega*Base_mundial!B66))*(Base_mundial!C66/sref)^(m_-1))))</f>
        <v/>
      </c>
      <c r="IJ67" t="n">
        <v>0</v>
      </c>
      <c r="IK67">
        <f>IF(IJ67=1,LN(IH67),"")</f>
        <v/>
      </c>
      <c r="IL67">
        <f>IF(IJ67=1,AVERAGEIFS(II3:II688,IG3:IG688,IG67,IJ3:IJ688,1),"")</f>
        <v/>
      </c>
      <c r="IM67">
        <f>IF(IJ67=1,II67-IL67,"")</f>
        <v/>
      </c>
      <c r="IN67" t="inlineStr">
        <is>
          <t>low</t>
        </is>
      </c>
      <c r="IO67">
        <f>IF(IN67="good",II67,NA())</f>
        <v/>
      </c>
      <c r="IP67">
        <f>IF(IN67="moderate",II67,NA())</f>
        <v/>
      </c>
      <c r="IQ67">
        <f>IF(IN67="low",II67,NA())</f>
        <v/>
      </c>
      <c r="IR67">
        <f>IF(AND(IN67="good",IJ67=1),IM67,NA())</f>
        <v/>
      </c>
      <c r="IS67">
        <f>IF(AND(IN67="moderate",IJ67=1),IM67,NA())</f>
        <v/>
      </c>
      <c r="IT67">
        <f>IF(AND(IN67="low",IJ67=1),IM67,NA())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  <c r="IG68">
        <f>Base_mundial!A67</f>
        <v/>
      </c>
      <c r="IH68">
        <f>Base_mundial!C67</f>
        <v/>
      </c>
      <c r="II68">
        <f>Base_mundial!E67-MIN(tope,DEGREES(ATAN(TAN(RADIANS(pe0-omega*Base_mundial!B67))*(Base_mundial!C67/sref)^(m_-1))))</f>
        <v/>
      </c>
      <c r="IJ68" t="n">
        <v>0</v>
      </c>
      <c r="IK68">
        <f>IF(IJ68=1,LN(IH68),"")</f>
        <v/>
      </c>
      <c r="IL68">
        <f>IF(IJ68=1,AVERAGEIFS(II3:II688,IG3:IG688,IG68,IJ3:IJ688,1),"")</f>
        <v/>
      </c>
      <c r="IM68">
        <f>IF(IJ68=1,II68-IL68,"")</f>
        <v/>
      </c>
      <c r="IN68" t="inlineStr">
        <is>
          <t>low</t>
        </is>
      </c>
      <c r="IO68">
        <f>IF(IN68="good",II68,NA())</f>
        <v/>
      </c>
      <c r="IP68">
        <f>IF(IN68="moderate",II68,NA())</f>
        <v/>
      </c>
      <c r="IQ68">
        <f>IF(IN68="low",II68,NA())</f>
        <v/>
      </c>
      <c r="IR68">
        <f>IF(AND(IN68="good",IJ68=1),IM68,NA())</f>
        <v/>
      </c>
      <c r="IS68">
        <f>IF(AND(IN68="moderate",IJ68=1),IM68,NA())</f>
        <v/>
      </c>
      <c r="IT68">
        <f>IF(AND(IN68="low",IJ68=1),IM68,NA())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  <c r="IG69">
        <f>Base_mundial!A68</f>
        <v/>
      </c>
      <c r="IH69">
        <f>Base_mundial!C68</f>
        <v/>
      </c>
      <c r="II69">
        <f>Base_mundial!E68-MIN(tope,DEGREES(ATAN(TAN(RADIANS(pe0-omega*Base_mundial!B68))*(Base_mundial!C68/sref)^(m_-1))))</f>
        <v/>
      </c>
      <c r="IJ69" t="n">
        <v>0</v>
      </c>
      <c r="IK69">
        <f>IF(IJ69=1,LN(IH69),"")</f>
        <v/>
      </c>
      <c r="IL69">
        <f>IF(IJ69=1,AVERAGEIFS(II3:II688,IG3:IG688,IG69,IJ3:IJ688,1),"")</f>
        <v/>
      </c>
      <c r="IM69">
        <f>IF(IJ69=1,II69-IL69,"")</f>
        <v/>
      </c>
      <c r="IN69" t="inlineStr">
        <is>
          <t>low</t>
        </is>
      </c>
      <c r="IO69">
        <f>IF(IN69="good",II69,NA())</f>
        <v/>
      </c>
      <c r="IP69">
        <f>IF(IN69="moderate",II69,NA())</f>
        <v/>
      </c>
      <c r="IQ69">
        <f>IF(IN69="low",II69,NA())</f>
        <v/>
      </c>
      <c r="IR69">
        <f>IF(AND(IN69="good",IJ69=1),IM69,NA())</f>
        <v/>
      </c>
      <c r="IS69">
        <f>IF(AND(IN69="moderate",IJ69=1),IM69,NA())</f>
        <v/>
      </c>
      <c r="IT69">
        <f>IF(AND(IN69="low",IJ69=1),IM69,NA())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  <c r="IG70">
        <f>Base_mundial!A69</f>
        <v/>
      </c>
      <c r="IH70">
        <f>Base_mundial!C69</f>
        <v/>
      </c>
      <c r="II70">
        <f>Base_mundial!E69-MIN(tope,DEGREES(ATAN(TAN(RADIANS(pe0-omega*Base_mundial!B69))*(Base_mundial!C69/sref)^(m_-1))))</f>
        <v/>
      </c>
      <c r="IJ70" t="n">
        <v>0</v>
      </c>
      <c r="IK70">
        <f>IF(IJ70=1,LN(IH70),"")</f>
        <v/>
      </c>
      <c r="IL70">
        <f>IF(IJ70=1,AVERAGEIFS(II3:II688,IG3:IG688,IG70,IJ3:IJ688,1),"")</f>
        <v/>
      </c>
      <c r="IM70">
        <f>IF(IJ70=1,II70-IL70,"")</f>
        <v/>
      </c>
      <c r="IN70" t="inlineStr">
        <is>
          <t>low</t>
        </is>
      </c>
      <c r="IO70">
        <f>IF(IN70="good",II70,NA())</f>
        <v/>
      </c>
      <c r="IP70">
        <f>IF(IN70="moderate",II70,NA())</f>
        <v/>
      </c>
      <c r="IQ70">
        <f>IF(IN70="low",II70,NA())</f>
        <v/>
      </c>
      <c r="IR70">
        <f>IF(AND(IN70="good",IJ70=1),IM70,NA())</f>
        <v/>
      </c>
      <c r="IS70">
        <f>IF(AND(IN70="moderate",IJ70=1),IM70,NA())</f>
        <v/>
      </c>
      <c r="IT70">
        <f>IF(AND(IN70="low",IJ70=1),IM70,NA())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  <c r="IG71">
        <f>Base_mundial!A70</f>
        <v/>
      </c>
      <c r="IH71">
        <f>Base_mundial!C70</f>
        <v/>
      </c>
      <c r="II71">
        <f>Base_mundial!E70-MIN(tope,DEGREES(ATAN(TAN(RADIANS(pe0-omega*Base_mundial!B70))*(Base_mundial!C70/sref)^(m_-1))))</f>
        <v/>
      </c>
      <c r="IJ71" t="n">
        <v>0</v>
      </c>
      <c r="IK71">
        <f>IF(IJ71=1,LN(IH71),"")</f>
        <v/>
      </c>
      <c r="IL71">
        <f>IF(IJ71=1,AVERAGEIFS(II3:II688,IG3:IG688,IG71,IJ3:IJ688,1),"")</f>
        <v/>
      </c>
      <c r="IM71">
        <f>IF(IJ71=1,II71-IL71,"")</f>
        <v/>
      </c>
      <c r="IN71" t="inlineStr">
        <is>
          <t>low</t>
        </is>
      </c>
      <c r="IO71">
        <f>IF(IN71="good",II71,NA())</f>
        <v/>
      </c>
      <c r="IP71">
        <f>IF(IN71="moderate",II71,NA())</f>
        <v/>
      </c>
      <c r="IQ71">
        <f>IF(IN71="low",II71,NA())</f>
        <v/>
      </c>
      <c r="IR71">
        <f>IF(AND(IN71="good",IJ71=1),IM71,NA())</f>
        <v/>
      </c>
      <c r="IS71">
        <f>IF(AND(IN71="moderate",IJ71=1),IM71,NA())</f>
        <v/>
      </c>
      <c r="IT71">
        <f>IF(AND(IN71="low",IJ71=1),IM71,NA())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  <c r="IG72">
        <f>Base_mundial!A71</f>
        <v/>
      </c>
      <c r="IH72">
        <f>Base_mundial!C71</f>
        <v/>
      </c>
      <c r="II72">
        <f>Base_mundial!E71-MIN(tope,DEGREES(ATAN(TAN(RADIANS(pe0-omega*Base_mundial!B71))*(Base_mundial!C71/sref)^(m_-1))))</f>
        <v/>
      </c>
      <c r="IJ72" t="n">
        <v>0</v>
      </c>
      <c r="IK72">
        <f>IF(IJ72=1,LN(IH72),"")</f>
        <v/>
      </c>
      <c r="IL72">
        <f>IF(IJ72=1,AVERAGEIFS(II3:II688,IG3:IG688,IG72,IJ3:IJ688,1),"")</f>
        <v/>
      </c>
      <c r="IM72">
        <f>IF(IJ72=1,II72-IL72,"")</f>
        <v/>
      </c>
      <c r="IN72" t="inlineStr">
        <is>
          <t>low</t>
        </is>
      </c>
      <c r="IO72">
        <f>IF(IN72="good",II72,NA())</f>
        <v/>
      </c>
      <c r="IP72">
        <f>IF(IN72="moderate",II72,NA())</f>
        <v/>
      </c>
      <c r="IQ72">
        <f>IF(IN72="low",II72,NA())</f>
        <v/>
      </c>
      <c r="IR72">
        <f>IF(AND(IN72="good",IJ72=1),IM72,NA())</f>
        <v/>
      </c>
      <c r="IS72">
        <f>IF(AND(IN72="moderate",IJ72=1),IM72,NA())</f>
        <v/>
      </c>
      <c r="IT72">
        <f>IF(AND(IN72="low",IJ72=1),IM72,NA())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  <c r="IG73">
        <f>Base_mundial!A72</f>
        <v/>
      </c>
      <c r="IH73">
        <f>Base_mundial!C72</f>
        <v/>
      </c>
      <c r="II73">
        <f>Base_mundial!E72-MIN(tope,DEGREES(ATAN(TAN(RADIANS(pe0-omega*Base_mundial!B72))*(Base_mundial!C72/sref)^(m_-1))))</f>
        <v/>
      </c>
      <c r="IJ73" t="n">
        <v>0</v>
      </c>
      <c r="IK73">
        <f>IF(IJ73=1,LN(IH73),"")</f>
        <v/>
      </c>
      <c r="IL73">
        <f>IF(IJ73=1,AVERAGEIFS(II3:II688,IG3:IG688,IG73,IJ3:IJ688,1),"")</f>
        <v/>
      </c>
      <c r="IM73">
        <f>IF(IJ73=1,II73-IL73,"")</f>
        <v/>
      </c>
      <c r="IN73" t="inlineStr">
        <is>
          <t>low</t>
        </is>
      </c>
      <c r="IO73">
        <f>IF(IN73="good",II73,NA())</f>
        <v/>
      </c>
      <c r="IP73">
        <f>IF(IN73="moderate",II73,NA())</f>
        <v/>
      </c>
      <c r="IQ73">
        <f>IF(IN73="low",II73,NA())</f>
        <v/>
      </c>
      <c r="IR73">
        <f>IF(AND(IN73="good",IJ73=1),IM73,NA())</f>
        <v/>
      </c>
      <c r="IS73">
        <f>IF(AND(IN73="moderate",IJ73=1),IM73,NA())</f>
        <v/>
      </c>
      <c r="IT73">
        <f>IF(AND(IN73="low",IJ73=1),IM73,NA())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  <c r="IG74">
        <f>Base_mundial!A73</f>
        <v/>
      </c>
      <c r="IH74">
        <f>Base_mundial!C73</f>
        <v/>
      </c>
      <c r="II74">
        <f>Base_mundial!E73-MIN(tope,DEGREES(ATAN(TAN(RADIANS(pe0-omega*Base_mundial!B73))*(Base_mundial!C73/sref)^(m_-1))))</f>
        <v/>
      </c>
      <c r="IJ74" t="n">
        <v>0</v>
      </c>
      <c r="IK74">
        <f>IF(IJ74=1,LN(IH74),"")</f>
        <v/>
      </c>
      <c r="IL74">
        <f>IF(IJ74=1,AVERAGEIFS(II3:II688,IG3:IG688,IG74,IJ3:IJ688,1),"")</f>
        <v/>
      </c>
      <c r="IM74">
        <f>IF(IJ74=1,II74-IL74,"")</f>
        <v/>
      </c>
      <c r="IN74" t="inlineStr">
        <is>
          <t>low</t>
        </is>
      </c>
      <c r="IO74">
        <f>IF(IN74="good",II74,NA())</f>
        <v/>
      </c>
      <c r="IP74">
        <f>IF(IN74="moderate",II74,NA())</f>
        <v/>
      </c>
      <c r="IQ74">
        <f>IF(IN74="low",II74,NA())</f>
        <v/>
      </c>
      <c r="IR74">
        <f>IF(AND(IN74="good",IJ74=1),IM74,NA())</f>
        <v/>
      </c>
      <c r="IS74">
        <f>IF(AND(IN74="moderate",IJ74=1),IM74,NA())</f>
        <v/>
      </c>
      <c r="IT74">
        <f>IF(AND(IN74="low",IJ74=1),IM74,NA())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  <c r="IG75">
        <f>Base_mundial!A74</f>
        <v/>
      </c>
      <c r="IH75">
        <f>Base_mundial!C74</f>
        <v/>
      </c>
      <c r="II75">
        <f>Base_mundial!E74-MIN(tope,DEGREES(ATAN(TAN(RADIANS(pe0-omega*Base_mundial!B74))*(Base_mundial!C74/sref)^(m_-1))))</f>
        <v/>
      </c>
      <c r="IJ75" t="n">
        <v>0</v>
      </c>
      <c r="IK75">
        <f>IF(IJ75=1,LN(IH75),"")</f>
        <v/>
      </c>
      <c r="IL75">
        <f>IF(IJ75=1,AVERAGEIFS(II3:II688,IG3:IG688,IG75,IJ3:IJ688,1),"")</f>
        <v/>
      </c>
      <c r="IM75">
        <f>IF(IJ75=1,II75-IL75,"")</f>
        <v/>
      </c>
      <c r="IN75" t="inlineStr">
        <is>
          <t>low</t>
        </is>
      </c>
      <c r="IO75">
        <f>IF(IN75="good",II75,NA())</f>
        <v/>
      </c>
      <c r="IP75">
        <f>IF(IN75="moderate",II75,NA())</f>
        <v/>
      </c>
      <c r="IQ75">
        <f>IF(IN75="low",II75,NA())</f>
        <v/>
      </c>
      <c r="IR75">
        <f>IF(AND(IN75="good",IJ75=1),IM75,NA())</f>
        <v/>
      </c>
      <c r="IS75">
        <f>IF(AND(IN75="moderate",IJ75=1),IM75,NA())</f>
        <v/>
      </c>
      <c r="IT75">
        <f>IF(AND(IN75="low",IJ75=1),IM75,NA())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  <c r="IG76">
        <f>Base_mundial!A75</f>
        <v/>
      </c>
      <c r="IH76">
        <f>Base_mundial!C75</f>
        <v/>
      </c>
      <c r="II76">
        <f>Base_mundial!E75-MIN(tope,DEGREES(ATAN(TAN(RADIANS(pe0-omega*Base_mundial!B75))*(Base_mundial!C75/sref)^(m_-1))))</f>
        <v/>
      </c>
      <c r="IJ76" t="n">
        <v>0</v>
      </c>
      <c r="IK76">
        <f>IF(IJ76=1,LN(IH76),"")</f>
        <v/>
      </c>
      <c r="IL76">
        <f>IF(IJ76=1,AVERAGEIFS(II3:II688,IG3:IG688,IG76,IJ3:IJ688,1),"")</f>
        <v/>
      </c>
      <c r="IM76">
        <f>IF(IJ76=1,II76-IL76,"")</f>
        <v/>
      </c>
      <c r="IN76" t="inlineStr">
        <is>
          <t>low</t>
        </is>
      </c>
      <c r="IO76">
        <f>IF(IN76="good",II76,NA())</f>
        <v/>
      </c>
      <c r="IP76">
        <f>IF(IN76="moderate",II76,NA())</f>
        <v/>
      </c>
      <c r="IQ76">
        <f>IF(IN76="low",II76,NA())</f>
        <v/>
      </c>
      <c r="IR76">
        <f>IF(AND(IN76="good",IJ76=1),IM76,NA())</f>
        <v/>
      </c>
      <c r="IS76">
        <f>IF(AND(IN76="moderate",IJ76=1),IM76,NA())</f>
        <v/>
      </c>
      <c r="IT76">
        <f>IF(AND(IN76="low",IJ76=1),IM76,NA())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  <c r="IG77">
        <f>Base_mundial!A76</f>
        <v/>
      </c>
      <c r="IH77">
        <f>Base_mundial!C76</f>
        <v/>
      </c>
      <c r="II77">
        <f>Base_mundial!E76-MIN(tope,DEGREES(ATAN(TAN(RADIANS(pe0-omega*Base_mundial!B76))*(Base_mundial!C76/sref)^(m_-1))))</f>
        <v/>
      </c>
      <c r="IJ77" t="n">
        <v>0</v>
      </c>
      <c r="IK77">
        <f>IF(IJ77=1,LN(IH77),"")</f>
        <v/>
      </c>
      <c r="IL77">
        <f>IF(IJ77=1,AVERAGEIFS(II3:II688,IG3:IG688,IG77,IJ3:IJ688,1),"")</f>
        <v/>
      </c>
      <c r="IM77">
        <f>IF(IJ77=1,II77-IL77,"")</f>
        <v/>
      </c>
      <c r="IN77" t="inlineStr">
        <is>
          <t>low</t>
        </is>
      </c>
      <c r="IO77">
        <f>IF(IN77="good",II77,NA())</f>
        <v/>
      </c>
      <c r="IP77">
        <f>IF(IN77="moderate",II77,NA())</f>
        <v/>
      </c>
      <c r="IQ77">
        <f>IF(IN77="low",II77,NA())</f>
        <v/>
      </c>
      <c r="IR77">
        <f>IF(AND(IN77="good",IJ77=1),IM77,NA())</f>
        <v/>
      </c>
      <c r="IS77">
        <f>IF(AND(IN77="moderate",IJ77=1),IM77,NA())</f>
        <v/>
      </c>
      <c r="IT77">
        <f>IF(AND(IN77="low",IJ77=1),IM77,NA())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  <c r="IG78">
        <f>Base_mundial!A77</f>
        <v/>
      </c>
      <c r="IH78">
        <f>Base_mundial!C77</f>
        <v/>
      </c>
      <c r="II78">
        <f>Base_mundial!E77-MIN(tope,DEGREES(ATAN(TAN(RADIANS(pe0-omega*Base_mundial!B77))*(Base_mundial!C77/sref)^(m_-1))))</f>
        <v/>
      </c>
      <c r="IJ78" t="n">
        <v>0</v>
      </c>
      <c r="IK78">
        <f>IF(IJ78=1,LN(IH78),"")</f>
        <v/>
      </c>
      <c r="IL78">
        <f>IF(IJ78=1,AVERAGEIFS(II3:II688,IG3:IG688,IG78,IJ3:IJ688,1),"")</f>
        <v/>
      </c>
      <c r="IM78">
        <f>IF(IJ78=1,II78-IL78,"")</f>
        <v/>
      </c>
      <c r="IN78" t="inlineStr">
        <is>
          <t>low</t>
        </is>
      </c>
      <c r="IO78">
        <f>IF(IN78="good",II78,NA())</f>
        <v/>
      </c>
      <c r="IP78">
        <f>IF(IN78="moderate",II78,NA())</f>
        <v/>
      </c>
      <c r="IQ78">
        <f>IF(IN78="low",II78,NA())</f>
        <v/>
      </c>
      <c r="IR78">
        <f>IF(AND(IN78="good",IJ78=1),IM78,NA())</f>
        <v/>
      </c>
      <c r="IS78">
        <f>IF(AND(IN78="moderate",IJ78=1),IM78,NA())</f>
        <v/>
      </c>
      <c r="IT78">
        <f>IF(AND(IN78="low",IJ78=1),IM78,NA())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  <c r="IG79">
        <f>Base_mundial!A78</f>
        <v/>
      </c>
      <c r="IH79">
        <f>Base_mundial!C78</f>
        <v/>
      </c>
      <c r="II79">
        <f>Base_mundial!E78-MIN(tope,DEGREES(ATAN(TAN(RADIANS(pe0-omega*Base_mundial!B78))*(Base_mundial!C78/sref)^(m_-1))))</f>
        <v/>
      </c>
      <c r="IJ79" t="n">
        <v>0</v>
      </c>
      <c r="IK79">
        <f>IF(IJ79=1,LN(IH79),"")</f>
        <v/>
      </c>
      <c r="IL79">
        <f>IF(IJ79=1,AVERAGEIFS(II3:II688,IG3:IG688,IG79,IJ3:IJ688,1),"")</f>
        <v/>
      </c>
      <c r="IM79">
        <f>IF(IJ79=1,II79-IL79,"")</f>
        <v/>
      </c>
      <c r="IN79" t="inlineStr">
        <is>
          <t>low</t>
        </is>
      </c>
      <c r="IO79">
        <f>IF(IN79="good",II79,NA())</f>
        <v/>
      </c>
      <c r="IP79">
        <f>IF(IN79="moderate",II79,NA())</f>
        <v/>
      </c>
      <c r="IQ79">
        <f>IF(IN79="low",II79,NA())</f>
        <v/>
      </c>
      <c r="IR79">
        <f>IF(AND(IN79="good",IJ79=1),IM79,NA())</f>
        <v/>
      </c>
      <c r="IS79">
        <f>IF(AND(IN79="moderate",IJ79=1),IM79,NA())</f>
        <v/>
      </c>
      <c r="IT79">
        <f>IF(AND(IN79="low",IJ79=1),IM79,NA())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  <c r="IG80">
        <f>Base_mundial!A79</f>
        <v/>
      </c>
      <c r="IH80">
        <f>Base_mundial!C79</f>
        <v/>
      </c>
      <c r="II80">
        <f>Base_mundial!E79-MIN(tope,DEGREES(ATAN(TAN(RADIANS(pe0-omega*Base_mundial!B79))*(Base_mundial!C79/sref)^(m_-1))))</f>
        <v/>
      </c>
      <c r="IJ80" t="n">
        <v>1</v>
      </c>
      <c r="IK80">
        <f>IF(IJ80=1,LN(IH80),"")</f>
        <v/>
      </c>
      <c r="IL80">
        <f>IF(IJ80=1,AVERAGEIFS(II3:II688,IG3:IG688,IG80,IJ3:IJ688,1),"")</f>
        <v/>
      </c>
      <c r="IM80">
        <f>IF(IJ80=1,II80-IL80,"")</f>
        <v/>
      </c>
      <c r="IN80" t="inlineStr">
        <is>
          <t>low</t>
        </is>
      </c>
      <c r="IO80">
        <f>IF(IN80="good",II80,NA())</f>
        <v/>
      </c>
      <c r="IP80">
        <f>IF(IN80="moderate",II80,NA())</f>
        <v/>
      </c>
      <c r="IQ80">
        <f>IF(IN80="low",II80,NA())</f>
        <v/>
      </c>
      <c r="IR80">
        <f>IF(AND(IN80="good",IJ80=1),IM80,NA())</f>
        <v/>
      </c>
      <c r="IS80">
        <f>IF(AND(IN80="moderate",IJ80=1),IM80,NA())</f>
        <v/>
      </c>
      <c r="IT80">
        <f>IF(AND(IN80="low",IJ80=1),IM80,NA())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  <c r="IG81">
        <f>Base_mundial!A80</f>
        <v/>
      </c>
      <c r="IH81">
        <f>Base_mundial!C80</f>
        <v/>
      </c>
      <c r="II81">
        <f>Base_mundial!E80-MIN(tope,DEGREES(ATAN(TAN(RADIANS(pe0-omega*Base_mundial!B80))*(Base_mundial!C80/sref)^(m_-1))))</f>
        <v/>
      </c>
      <c r="IJ81" t="n">
        <v>1</v>
      </c>
      <c r="IK81">
        <f>IF(IJ81=1,LN(IH81),"")</f>
        <v/>
      </c>
      <c r="IL81">
        <f>IF(IJ81=1,AVERAGEIFS(II3:II688,IG3:IG688,IG81,IJ3:IJ688,1),"")</f>
        <v/>
      </c>
      <c r="IM81">
        <f>IF(IJ81=1,II81-IL81,"")</f>
        <v/>
      </c>
      <c r="IN81" t="inlineStr">
        <is>
          <t>low</t>
        </is>
      </c>
      <c r="IO81">
        <f>IF(IN81="good",II81,NA())</f>
        <v/>
      </c>
      <c r="IP81">
        <f>IF(IN81="moderate",II81,NA())</f>
        <v/>
      </c>
      <c r="IQ81">
        <f>IF(IN81="low",II81,NA())</f>
        <v/>
      </c>
      <c r="IR81">
        <f>IF(AND(IN81="good",IJ81=1),IM81,NA())</f>
        <v/>
      </c>
      <c r="IS81">
        <f>IF(AND(IN81="moderate",IJ81=1),IM81,NA())</f>
        <v/>
      </c>
      <c r="IT81">
        <f>IF(AND(IN81="low",IJ81=1),IM81,NA())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  <c r="IG82">
        <f>Base_mundial!A81</f>
        <v/>
      </c>
      <c r="IH82">
        <f>Base_mundial!C81</f>
        <v/>
      </c>
      <c r="II82">
        <f>Base_mundial!E81-MIN(tope,DEGREES(ATAN(TAN(RADIANS(pe0-omega*Base_mundial!B81))*(Base_mundial!C81/sref)^(m_-1))))</f>
        <v/>
      </c>
      <c r="IJ82" t="n">
        <v>1</v>
      </c>
      <c r="IK82">
        <f>IF(IJ82=1,LN(IH82),"")</f>
        <v/>
      </c>
      <c r="IL82">
        <f>IF(IJ82=1,AVERAGEIFS(II3:II688,IG3:IG688,IG82,IJ3:IJ688,1),"")</f>
        <v/>
      </c>
      <c r="IM82">
        <f>IF(IJ82=1,II82-IL82,"")</f>
        <v/>
      </c>
      <c r="IN82" t="inlineStr">
        <is>
          <t>low</t>
        </is>
      </c>
      <c r="IO82">
        <f>IF(IN82="good",II82,NA())</f>
        <v/>
      </c>
      <c r="IP82">
        <f>IF(IN82="moderate",II82,NA())</f>
        <v/>
      </c>
      <c r="IQ82">
        <f>IF(IN82="low",II82,NA())</f>
        <v/>
      </c>
      <c r="IR82">
        <f>IF(AND(IN82="good",IJ82=1),IM82,NA())</f>
        <v/>
      </c>
      <c r="IS82">
        <f>IF(AND(IN82="moderate",IJ82=1),IM82,NA())</f>
        <v/>
      </c>
      <c r="IT82">
        <f>IF(AND(IN82="low",IJ82=1),IM82,NA())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  <c r="IG83">
        <f>Base_mundial!A82</f>
        <v/>
      </c>
      <c r="IH83">
        <f>Base_mundial!C82</f>
        <v/>
      </c>
      <c r="II83">
        <f>Base_mundial!E82-MIN(tope,DEGREES(ATAN(TAN(RADIANS(pe0-omega*Base_mundial!B82))*(Base_mundial!C82/sref)^(m_-1))))</f>
        <v/>
      </c>
      <c r="IJ83" t="n">
        <v>1</v>
      </c>
      <c r="IK83">
        <f>IF(IJ83=1,LN(IH83),"")</f>
        <v/>
      </c>
      <c r="IL83">
        <f>IF(IJ83=1,AVERAGEIFS(II3:II688,IG3:IG688,IG83,IJ3:IJ688,1),"")</f>
        <v/>
      </c>
      <c r="IM83">
        <f>IF(IJ83=1,II83-IL83,"")</f>
        <v/>
      </c>
      <c r="IN83" t="inlineStr">
        <is>
          <t>low</t>
        </is>
      </c>
      <c r="IO83">
        <f>IF(IN83="good",II83,NA())</f>
        <v/>
      </c>
      <c r="IP83">
        <f>IF(IN83="moderate",II83,NA())</f>
        <v/>
      </c>
      <c r="IQ83">
        <f>IF(IN83="low",II83,NA())</f>
        <v/>
      </c>
      <c r="IR83">
        <f>IF(AND(IN83="good",IJ83=1),IM83,NA())</f>
        <v/>
      </c>
      <c r="IS83">
        <f>IF(AND(IN83="moderate",IJ83=1),IM83,NA())</f>
        <v/>
      </c>
      <c r="IT83">
        <f>IF(AND(IN83="low",IJ83=1),IM83,NA())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  <c r="IG84">
        <f>Base_mundial!A83</f>
        <v/>
      </c>
      <c r="IH84">
        <f>Base_mundial!C83</f>
        <v/>
      </c>
      <c r="II84">
        <f>Base_mundial!E83-MIN(tope,DEGREES(ATAN(TAN(RADIANS(pe0-omega*Base_mundial!B83))*(Base_mundial!C83/sref)^(m_-1))))</f>
        <v/>
      </c>
      <c r="IJ84" t="n">
        <v>1</v>
      </c>
      <c r="IK84">
        <f>IF(IJ84=1,LN(IH84),"")</f>
        <v/>
      </c>
      <c r="IL84">
        <f>IF(IJ84=1,AVERAGEIFS(II3:II688,IG3:IG688,IG84,IJ3:IJ688,1),"")</f>
        <v/>
      </c>
      <c r="IM84">
        <f>IF(IJ84=1,II84-IL84,"")</f>
        <v/>
      </c>
      <c r="IN84" t="inlineStr">
        <is>
          <t>low</t>
        </is>
      </c>
      <c r="IO84">
        <f>IF(IN84="good",II84,NA())</f>
        <v/>
      </c>
      <c r="IP84">
        <f>IF(IN84="moderate",II84,NA())</f>
        <v/>
      </c>
      <c r="IQ84">
        <f>IF(IN84="low",II84,NA())</f>
        <v/>
      </c>
      <c r="IR84">
        <f>IF(AND(IN84="good",IJ84=1),IM84,NA())</f>
        <v/>
      </c>
      <c r="IS84">
        <f>IF(AND(IN84="moderate",IJ84=1),IM84,NA())</f>
        <v/>
      </c>
      <c r="IT84">
        <f>IF(AND(IN84="low",IJ84=1),IM84,NA())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  <c r="IG85">
        <f>Base_mundial!A84</f>
        <v/>
      </c>
      <c r="IH85">
        <f>Base_mundial!C84</f>
        <v/>
      </c>
      <c r="II85">
        <f>Base_mundial!E84-MIN(tope,DEGREES(ATAN(TAN(RADIANS(pe0-omega*Base_mundial!B84))*(Base_mundial!C84/sref)^(m_-1))))</f>
        <v/>
      </c>
      <c r="IJ85" t="n">
        <v>1</v>
      </c>
      <c r="IK85">
        <f>IF(IJ85=1,LN(IH85),"")</f>
        <v/>
      </c>
      <c r="IL85">
        <f>IF(IJ85=1,AVERAGEIFS(II3:II688,IG3:IG688,IG85,IJ3:IJ688,1),"")</f>
        <v/>
      </c>
      <c r="IM85">
        <f>IF(IJ85=1,II85-IL85,"")</f>
        <v/>
      </c>
      <c r="IN85" t="inlineStr">
        <is>
          <t>low</t>
        </is>
      </c>
      <c r="IO85">
        <f>IF(IN85="good",II85,NA())</f>
        <v/>
      </c>
      <c r="IP85">
        <f>IF(IN85="moderate",II85,NA())</f>
        <v/>
      </c>
      <c r="IQ85">
        <f>IF(IN85="low",II85,NA())</f>
        <v/>
      </c>
      <c r="IR85">
        <f>IF(AND(IN85="good",IJ85=1),IM85,NA())</f>
        <v/>
      </c>
      <c r="IS85">
        <f>IF(AND(IN85="moderate",IJ85=1),IM85,NA())</f>
        <v/>
      </c>
      <c r="IT85">
        <f>IF(AND(IN85="low",IJ85=1),IM85,NA())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  <c r="IG86">
        <f>Base_mundial!A85</f>
        <v/>
      </c>
      <c r="IH86">
        <f>Base_mundial!C85</f>
        <v/>
      </c>
      <c r="II86">
        <f>Base_mundial!E85-MIN(tope,DEGREES(ATAN(TAN(RADIANS(pe0-omega*Base_mundial!B85))*(Base_mundial!C85/sref)^(m_-1))))</f>
        <v/>
      </c>
      <c r="IJ86" t="n">
        <v>1</v>
      </c>
      <c r="IK86">
        <f>IF(IJ86=1,LN(IH86),"")</f>
        <v/>
      </c>
      <c r="IL86">
        <f>IF(IJ86=1,AVERAGEIFS(II3:II688,IG3:IG688,IG86,IJ3:IJ688,1),"")</f>
        <v/>
      </c>
      <c r="IM86">
        <f>IF(IJ86=1,II86-IL86,"")</f>
        <v/>
      </c>
      <c r="IN86" t="inlineStr">
        <is>
          <t>low</t>
        </is>
      </c>
      <c r="IO86">
        <f>IF(IN86="good",II86,NA())</f>
        <v/>
      </c>
      <c r="IP86">
        <f>IF(IN86="moderate",II86,NA())</f>
        <v/>
      </c>
      <c r="IQ86">
        <f>IF(IN86="low",II86,NA())</f>
        <v/>
      </c>
      <c r="IR86">
        <f>IF(AND(IN86="good",IJ86=1),IM86,NA())</f>
        <v/>
      </c>
      <c r="IS86">
        <f>IF(AND(IN86="moderate",IJ86=1),IM86,NA())</f>
        <v/>
      </c>
      <c r="IT86">
        <f>IF(AND(IN86="low",IJ86=1),IM86,NA())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  <c r="IG87">
        <f>Base_mundial!A86</f>
        <v/>
      </c>
      <c r="IH87">
        <f>Base_mundial!C86</f>
        <v/>
      </c>
      <c r="II87">
        <f>Base_mundial!E86-MIN(tope,DEGREES(ATAN(TAN(RADIANS(pe0-omega*Base_mundial!B86))*(Base_mundial!C86/sref)^(m_-1))))</f>
        <v/>
      </c>
      <c r="IJ87" t="n">
        <v>0</v>
      </c>
      <c r="IK87">
        <f>IF(IJ87=1,LN(IH87),"")</f>
        <v/>
      </c>
      <c r="IL87">
        <f>IF(IJ87=1,AVERAGEIFS(II3:II688,IG3:IG688,IG87,IJ3:IJ688,1),"")</f>
        <v/>
      </c>
      <c r="IM87">
        <f>IF(IJ87=1,II87-IL87,"")</f>
        <v/>
      </c>
      <c r="IN87" t="inlineStr">
        <is>
          <t>moderate</t>
        </is>
      </c>
      <c r="IO87">
        <f>IF(IN87="good",II87,NA())</f>
        <v/>
      </c>
      <c r="IP87">
        <f>IF(IN87="moderate",II87,NA())</f>
        <v/>
      </c>
      <c r="IQ87">
        <f>IF(IN87="low",II87,NA())</f>
        <v/>
      </c>
      <c r="IR87">
        <f>IF(AND(IN87="good",IJ87=1),IM87,NA())</f>
        <v/>
      </c>
      <c r="IS87">
        <f>IF(AND(IN87="moderate",IJ87=1),IM87,NA())</f>
        <v/>
      </c>
      <c r="IT87">
        <f>IF(AND(IN87="low",IJ87=1),IM87,NA())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  <c r="IG88">
        <f>Base_mundial!A87</f>
        <v/>
      </c>
      <c r="IH88">
        <f>Base_mundial!C87</f>
        <v/>
      </c>
      <c r="II88">
        <f>Base_mundial!E87-MIN(tope,DEGREES(ATAN(TAN(RADIANS(pe0-omega*Base_mundial!B87))*(Base_mundial!C87/sref)^(m_-1))))</f>
        <v/>
      </c>
      <c r="IJ88" t="n">
        <v>0</v>
      </c>
      <c r="IK88">
        <f>IF(IJ88=1,LN(IH88),"")</f>
        <v/>
      </c>
      <c r="IL88">
        <f>IF(IJ88=1,AVERAGEIFS(II3:II688,IG3:IG688,IG88,IJ3:IJ688,1),"")</f>
        <v/>
      </c>
      <c r="IM88">
        <f>IF(IJ88=1,II88-IL88,"")</f>
        <v/>
      </c>
      <c r="IN88" t="inlineStr">
        <is>
          <t>moderate</t>
        </is>
      </c>
      <c r="IO88">
        <f>IF(IN88="good",II88,NA())</f>
        <v/>
      </c>
      <c r="IP88">
        <f>IF(IN88="moderate",II88,NA())</f>
        <v/>
      </c>
      <c r="IQ88">
        <f>IF(IN88="low",II88,NA())</f>
        <v/>
      </c>
      <c r="IR88">
        <f>IF(AND(IN88="good",IJ88=1),IM88,NA())</f>
        <v/>
      </c>
      <c r="IS88">
        <f>IF(AND(IN88="moderate",IJ88=1),IM88,NA())</f>
        <v/>
      </c>
      <c r="IT88">
        <f>IF(AND(IN88="low",IJ88=1),IM88,NA())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  <c r="IG89">
        <f>Base_mundial!A88</f>
        <v/>
      </c>
      <c r="IH89">
        <f>Base_mundial!C88</f>
        <v/>
      </c>
      <c r="II89">
        <f>Base_mundial!E88-MIN(tope,DEGREES(ATAN(TAN(RADIANS(pe0-omega*Base_mundial!B88))*(Base_mundial!C88/sref)^(m_-1))))</f>
        <v/>
      </c>
      <c r="IJ89" t="n">
        <v>0</v>
      </c>
      <c r="IK89">
        <f>IF(IJ89=1,LN(IH89),"")</f>
        <v/>
      </c>
      <c r="IL89">
        <f>IF(IJ89=1,AVERAGEIFS(II3:II688,IG3:IG688,IG89,IJ3:IJ688,1),"")</f>
        <v/>
      </c>
      <c r="IM89">
        <f>IF(IJ89=1,II89-IL89,"")</f>
        <v/>
      </c>
      <c r="IN89" t="inlineStr">
        <is>
          <t>moderate</t>
        </is>
      </c>
      <c r="IO89">
        <f>IF(IN89="good",II89,NA())</f>
        <v/>
      </c>
      <c r="IP89">
        <f>IF(IN89="moderate",II89,NA())</f>
        <v/>
      </c>
      <c r="IQ89">
        <f>IF(IN89="low",II89,NA())</f>
        <v/>
      </c>
      <c r="IR89">
        <f>IF(AND(IN89="good",IJ89=1),IM89,NA())</f>
        <v/>
      </c>
      <c r="IS89">
        <f>IF(AND(IN89="moderate",IJ89=1),IM89,NA())</f>
        <v/>
      </c>
      <c r="IT89">
        <f>IF(AND(IN89="low",IJ89=1),IM89,NA())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  <c r="IG90">
        <f>Base_mundial!A89</f>
        <v/>
      </c>
      <c r="IH90">
        <f>Base_mundial!C89</f>
        <v/>
      </c>
      <c r="II90">
        <f>Base_mundial!E89-MIN(tope,DEGREES(ATAN(TAN(RADIANS(pe0-omega*Base_mundial!B89))*(Base_mundial!C89/sref)^(m_-1))))</f>
        <v/>
      </c>
      <c r="IJ90" t="n">
        <v>0</v>
      </c>
      <c r="IK90">
        <f>IF(IJ90=1,LN(IH90),"")</f>
        <v/>
      </c>
      <c r="IL90">
        <f>IF(IJ90=1,AVERAGEIFS(II3:II688,IG3:IG688,IG90,IJ3:IJ688,1),"")</f>
        <v/>
      </c>
      <c r="IM90">
        <f>IF(IJ90=1,II90-IL90,"")</f>
        <v/>
      </c>
      <c r="IN90" t="inlineStr">
        <is>
          <t>moderate</t>
        </is>
      </c>
      <c r="IO90">
        <f>IF(IN90="good",II90,NA())</f>
        <v/>
      </c>
      <c r="IP90">
        <f>IF(IN90="moderate",II90,NA())</f>
        <v/>
      </c>
      <c r="IQ90">
        <f>IF(IN90="low",II90,NA())</f>
        <v/>
      </c>
      <c r="IR90">
        <f>IF(AND(IN90="good",IJ90=1),IM90,NA())</f>
        <v/>
      </c>
      <c r="IS90">
        <f>IF(AND(IN90="moderate",IJ90=1),IM90,NA())</f>
        <v/>
      </c>
      <c r="IT90">
        <f>IF(AND(IN90="low",IJ90=1),IM90,NA())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  <c r="IG91">
        <f>Base_mundial!A90</f>
        <v/>
      </c>
      <c r="IH91">
        <f>Base_mundial!C90</f>
        <v/>
      </c>
      <c r="II91">
        <f>Base_mundial!E90-MIN(tope,DEGREES(ATAN(TAN(RADIANS(pe0-omega*Base_mundial!B90))*(Base_mundial!C90/sref)^(m_-1))))</f>
        <v/>
      </c>
      <c r="IJ91" t="n">
        <v>0</v>
      </c>
      <c r="IK91">
        <f>IF(IJ91=1,LN(IH91),"")</f>
        <v/>
      </c>
      <c r="IL91">
        <f>IF(IJ91=1,AVERAGEIFS(II3:II688,IG3:IG688,IG91,IJ3:IJ688,1),"")</f>
        <v/>
      </c>
      <c r="IM91">
        <f>IF(IJ91=1,II91-IL91,"")</f>
        <v/>
      </c>
      <c r="IN91" t="inlineStr">
        <is>
          <t>moderate</t>
        </is>
      </c>
      <c r="IO91">
        <f>IF(IN91="good",II91,NA())</f>
        <v/>
      </c>
      <c r="IP91">
        <f>IF(IN91="moderate",II91,NA())</f>
        <v/>
      </c>
      <c r="IQ91">
        <f>IF(IN91="low",II91,NA())</f>
        <v/>
      </c>
      <c r="IR91">
        <f>IF(AND(IN91="good",IJ91=1),IM91,NA())</f>
        <v/>
      </c>
      <c r="IS91">
        <f>IF(AND(IN91="moderate",IJ91=1),IM91,NA())</f>
        <v/>
      </c>
      <c r="IT91">
        <f>IF(AND(IN91="low",IJ91=1),IM91,NA())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  <c r="IG92">
        <f>Base_mundial!A91</f>
        <v/>
      </c>
      <c r="IH92">
        <f>Base_mundial!C91</f>
        <v/>
      </c>
      <c r="II92">
        <f>Base_mundial!E91-MIN(tope,DEGREES(ATAN(TAN(RADIANS(pe0-omega*Base_mundial!B91))*(Base_mundial!C91/sref)^(m_-1))))</f>
        <v/>
      </c>
      <c r="IJ92" t="n">
        <v>1</v>
      </c>
      <c r="IK92">
        <f>IF(IJ92=1,LN(IH92),"")</f>
        <v/>
      </c>
      <c r="IL92">
        <f>IF(IJ92=1,AVERAGEIFS(II3:II688,IG3:IG688,IG92,IJ3:IJ688,1),"")</f>
        <v/>
      </c>
      <c r="IM92">
        <f>IF(IJ92=1,II92-IL92,"")</f>
        <v/>
      </c>
      <c r="IN92" t="inlineStr">
        <is>
          <t>moderate</t>
        </is>
      </c>
      <c r="IO92">
        <f>IF(IN92="good",II92,NA())</f>
        <v/>
      </c>
      <c r="IP92">
        <f>IF(IN92="moderate",II92,NA())</f>
        <v/>
      </c>
      <c r="IQ92">
        <f>IF(IN92="low",II92,NA())</f>
        <v/>
      </c>
      <c r="IR92">
        <f>IF(AND(IN92="good",IJ92=1),IM92,NA())</f>
        <v/>
      </c>
      <c r="IS92">
        <f>IF(AND(IN92="moderate",IJ92=1),IM92,NA())</f>
        <v/>
      </c>
      <c r="IT92">
        <f>IF(AND(IN92="low",IJ92=1),IM92,NA())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  <c r="IG93">
        <f>Base_mundial!A92</f>
        <v/>
      </c>
      <c r="IH93">
        <f>Base_mundial!C92</f>
        <v/>
      </c>
      <c r="II93">
        <f>Base_mundial!E92-MIN(tope,DEGREES(ATAN(TAN(RADIANS(pe0-omega*Base_mundial!B92))*(Base_mundial!C92/sref)^(m_-1))))</f>
        <v/>
      </c>
      <c r="IJ93" t="n">
        <v>1</v>
      </c>
      <c r="IK93">
        <f>IF(IJ93=1,LN(IH93),"")</f>
        <v/>
      </c>
      <c r="IL93">
        <f>IF(IJ93=1,AVERAGEIFS(II3:II688,IG3:IG688,IG93,IJ3:IJ688,1),"")</f>
        <v/>
      </c>
      <c r="IM93">
        <f>IF(IJ93=1,II93-IL93,"")</f>
        <v/>
      </c>
      <c r="IN93" t="inlineStr">
        <is>
          <t>moderate</t>
        </is>
      </c>
      <c r="IO93">
        <f>IF(IN93="good",II93,NA())</f>
        <v/>
      </c>
      <c r="IP93">
        <f>IF(IN93="moderate",II93,NA())</f>
        <v/>
      </c>
      <c r="IQ93">
        <f>IF(IN93="low",II93,NA())</f>
        <v/>
      </c>
      <c r="IR93">
        <f>IF(AND(IN93="good",IJ93=1),IM93,NA())</f>
        <v/>
      </c>
      <c r="IS93">
        <f>IF(AND(IN93="moderate",IJ93=1),IM93,NA())</f>
        <v/>
      </c>
      <c r="IT93">
        <f>IF(AND(IN93="low",IJ93=1),IM93,NA())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  <c r="IG94">
        <f>Base_mundial!A93</f>
        <v/>
      </c>
      <c r="IH94">
        <f>Base_mundial!C93</f>
        <v/>
      </c>
      <c r="II94">
        <f>Base_mundial!E93-MIN(tope,DEGREES(ATAN(TAN(RADIANS(pe0-omega*Base_mundial!B93))*(Base_mundial!C93/sref)^(m_-1))))</f>
        <v/>
      </c>
      <c r="IJ94" t="n">
        <v>0</v>
      </c>
      <c r="IK94">
        <f>IF(IJ94=1,LN(IH94),"")</f>
        <v/>
      </c>
      <c r="IL94">
        <f>IF(IJ94=1,AVERAGEIFS(II3:II688,IG3:IG688,IG94,IJ3:IJ688,1),"")</f>
        <v/>
      </c>
      <c r="IM94">
        <f>IF(IJ94=1,II94-IL94,"")</f>
        <v/>
      </c>
      <c r="IN94" t="inlineStr">
        <is>
          <t>moderate</t>
        </is>
      </c>
      <c r="IO94">
        <f>IF(IN94="good",II94,NA())</f>
        <v/>
      </c>
      <c r="IP94">
        <f>IF(IN94="moderate",II94,NA())</f>
        <v/>
      </c>
      <c r="IQ94">
        <f>IF(IN94="low",II94,NA())</f>
        <v/>
      </c>
      <c r="IR94">
        <f>IF(AND(IN94="good",IJ94=1),IM94,NA())</f>
        <v/>
      </c>
      <c r="IS94">
        <f>IF(AND(IN94="moderate",IJ94=1),IM94,NA())</f>
        <v/>
      </c>
      <c r="IT94">
        <f>IF(AND(IN94="low",IJ94=1),IM94,NA())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  <c r="IG95">
        <f>Base_mundial!A94</f>
        <v/>
      </c>
      <c r="IH95">
        <f>Base_mundial!C94</f>
        <v/>
      </c>
      <c r="II95">
        <f>Base_mundial!E94-MIN(tope,DEGREES(ATAN(TAN(RADIANS(pe0-omega*Base_mundial!B94))*(Base_mundial!C94/sref)^(m_-1))))</f>
        <v/>
      </c>
      <c r="IJ95" t="n">
        <v>0</v>
      </c>
      <c r="IK95">
        <f>IF(IJ95=1,LN(IH95),"")</f>
        <v/>
      </c>
      <c r="IL95">
        <f>IF(IJ95=1,AVERAGEIFS(II3:II688,IG3:IG688,IG95,IJ3:IJ688,1),"")</f>
        <v/>
      </c>
      <c r="IM95">
        <f>IF(IJ95=1,II95-IL95,"")</f>
        <v/>
      </c>
      <c r="IN95" t="inlineStr">
        <is>
          <t>moderate</t>
        </is>
      </c>
      <c r="IO95">
        <f>IF(IN95="good",II95,NA())</f>
        <v/>
      </c>
      <c r="IP95">
        <f>IF(IN95="moderate",II95,NA())</f>
        <v/>
      </c>
      <c r="IQ95">
        <f>IF(IN95="low",II95,NA())</f>
        <v/>
      </c>
      <c r="IR95">
        <f>IF(AND(IN95="good",IJ95=1),IM95,NA())</f>
        <v/>
      </c>
      <c r="IS95">
        <f>IF(AND(IN95="moderate",IJ95=1),IM95,NA())</f>
        <v/>
      </c>
      <c r="IT95">
        <f>IF(AND(IN95="low",IJ95=1),IM95,NA())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  <c r="IG96">
        <f>Base_mundial!A95</f>
        <v/>
      </c>
      <c r="IH96">
        <f>Base_mundial!C95</f>
        <v/>
      </c>
      <c r="II96">
        <f>Base_mundial!E95-MIN(tope,DEGREES(ATAN(TAN(RADIANS(pe0-omega*Base_mundial!B95))*(Base_mundial!C95/sref)^(m_-1))))</f>
        <v/>
      </c>
      <c r="IJ96" t="n">
        <v>0</v>
      </c>
      <c r="IK96">
        <f>IF(IJ96=1,LN(IH96),"")</f>
        <v/>
      </c>
      <c r="IL96">
        <f>IF(IJ96=1,AVERAGEIFS(II3:II688,IG3:IG688,IG96,IJ3:IJ688,1),"")</f>
        <v/>
      </c>
      <c r="IM96">
        <f>IF(IJ96=1,II96-IL96,"")</f>
        <v/>
      </c>
      <c r="IN96" t="inlineStr">
        <is>
          <t>moderate</t>
        </is>
      </c>
      <c r="IO96">
        <f>IF(IN96="good",II96,NA())</f>
        <v/>
      </c>
      <c r="IP96">
        <f>IF(IN96="moderate",II96,NA())</f>
        <v/>
      </c>
      <c r="IQ96">
        <f>IF(IN96="low",II96,NA())</f>
        <v/>
      </c>
      <c r="IR96">
        <f>IF(AND(IN96="good",IJ96=1),IM96,NA())</f>
        <v/>
      </c>
      <c r="IS96">
        <f>IF(AND(IN96="moderate",IJ96=1),IM96,NA())</f>
        <v/>
      </c>
      <c r="IT96">
        <f>IF(AND(IN96="low",IJ96=1),IM96,NA())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  <c r="IG97">
        <f>Base_mundial!A96</f>
        <v/>
      </c>
      <c r="IH97">
        <f>Base_mundial!C96</f>
        <v/>
      </c>
      <c r="II97">
        <f>Base_mundial!E96-MIN(tope,DEGREES(ATAN(TAN(RADIANS(pe0-omega*Base_mundial!B96))*(Base_mundial!C96/sref)^(m_-1))))</f>
        <v/>
      </c>
      <c r="IJ97" t="n">
        <v>1</v>
      </c>
      <c r="IK97">
        <f>IF(IJ97=1,LN(IH97),"")</f>
        <v/>
      </c>
      <c r="IL97">
        <f>IF(IJ97=1,AVERAGEIFS(II3:II688,IG3:IG688,IG97,IJ3:IJ688,1),"")</f>
        <v/>
      </c>
      <c r="IM97">
        <f>IF(IJ97=1,II97-IL97,"")</f>
        <v/>
      </c>
      <c r="IN97" t="inlineStr">
        <is>
          <t>moderate</t>
        </is>
      </c>
      <c r="IO97">
        <f>IF(IN97="good",II97,NA())</f>
        <v/>
      </c>
      <c r="IP97">
        <f>IF(IN97="moderate",II97,NA())</f>
        <v/>
      </c>
      <c r="IQ97">
        <f>IF(IN97="low",II97,NA())</f>
        <v/>
      </c>
      <c r="IR97">
        <f>IF(AND(IN97="good",IJ97=1),IM97,NA())</f>
        <v/>
      </c>
      <c r="IS97">
        <f>IF(AND(IN97="moderate",IJ97=1),IM97,NA())</f>
        <v/>
      </c>
      <c r="IT97">
        <f>IF(AND(IN97="low",IJ97=1),IM97,NA())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  <c r="IG98">
        <f>Base_mundial!A97</f>
        <v/>
      </c>
      <c r="IH98">
        <f>Base_mundial!C97</f>
        <v/>
      </c>
      <c r="II98">
        <f>Base_mundial!E97-MIN(tope,DEGREES(ATAN(TAN(RADIANS(pe0-omega*Base_mundial!B97))*(Base_mundial!C97/sref)^(m_-1))))</f>
        <v/>
      </c>
      <c r="IJ98" t="n">
        <v>0</v>
      </c>
      <c r="IK98">
        <f>IF(IJ98=1,LN(IH98),"")</f>
        <v/>
      </c>
      <c r="IL98">
        <f>IF(IJ98=1,AVERAGEIFS(II3:II688,IG3:IG688,IG98,IJ3:IJ688,1),"")</f>
        <v/>
      </c>
      <c r="IM98">
        <f>IF(IJ98=1,II98-IL98,"")</f>
        <v/>
      </c>
      <c r="IN98" t="inlineStr">
        <is>
          <t>moderate</t>
        </is>
      </c>
      <c r="IO98">
        <f>IF(IN98="good",II98,NA())</f>
        <v/>
      </c>
      <c r="IP98">
        <f>IF(IN98="moderate",II98,NA())</f>
        <v/>
      </c>
      <c r="IQ98">
        <f>IF(IN98="low",II98,NA())</f>
        <v/>
      </c>
      <c r="IR98">
        <f>IF(AND(IN98="good",IJ98=1),IM98,NA())</f>
        <v/>
      </c>
      <c r="IS98">
        <f>IF(AND(IN98="moderate",IJ98=1),IM98,NA())</f>
        <v/>
      </c>
      <c r="IT98">
        <f>IF(AND(IN98="low",IJ98=1),IM98,NA())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  <c r="IG99">
        <f>Base_mundial!A98</f>
        <v/>
      </c>
      <c r="IH99">
        <f>Base_mundial!C98</f>
        <v/>
      </c>
      <c r="II99">
        <f>Base_mundial!E98-MIN(tope,DEGREES(ATAN(TAN(RADIANS(pe0-omega*Base_mundial!B98))*(Base_mundial!C98/sref)^(m_-1))))</f>
        <v/>
      </c>
      <c r="IJ99" t="n">
        <v>0</v>
      </c>
      <c r="IK99">
        <f>IF(IJ99=1,LN(IH99),"")</f>
        <v/>
      </c>
      <c r="IL99">
        <f>IF(IJ99=1,AVERAGEIFS(II3:II688,IG3:IG688,IG99,IJ3:IJ688,1),"")</f>
        <v/>
      </c>
      <c r="IM99">
        <f>IF(IJ99=1,II99-IL99,"")</f>
        <v/>
      </c>
      <c r="IN99" t="inlineStr">
        <is>
          <t>moderate</t>
        </is>
      </c>
      <c r="IO99">
        <f>IF(IN99="good",II99,NA())</f>
        <v/>
      </c>
      <c r="IP99">
        <f>IF(IN99="moderate",II99,NA())</f>
        <v/>
      </c>
      <c r="IQ99">
        <f>IF(IN99="low",II99,NA())</f>
        <v/>
      </c>
      <c r="IR99">
        <f>IF(AND(IN99="good",IJ99=1),IM99,NA())</f>
        <v/>
      </c>
      <c r="IS99">
        <f>IF(AND(IN99="moderate",IJ99=1),IM99,NA())</f>
        <v/>
      </c>
      <c r="IT99">
        <f>IF(AND(IN99="low",IJ99=1),IM99,NA())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  <c r="IG100">
        <f>Base_mundial!A99</f>
        <v/>
      </c>
      <c r="IH100">
        <f>Base_mundial!C99</f>
        <v/>
      </c>
      <c r="II100">
        <f>Base_mundial!E99-MIN(tope,DEGREES(ATAN(TAN(RADIANS(pe0-omega*Base_mundial!B99))*(Base_mundial!C99/sref)^(m_-1))))</f>
        <v/>
      </c>
      <c r="IJ100" t="n">
        <v>1</v>
      </c>
      <c r="IK100">
        <f>IF(IJ100=1,LN(IH100),"")</f>
        <v/>
      </c>
      <c r="IL100">
        <f>IF(IJ100=1,AVERAGEIFS(II3:II688,IG3:IG688,IG100,IJ3:IJ688,1),"")</f>
        <v/>
      </c>
      <c r="IM100">
        <f>IF(IJ100=1,II100-IL100,"")</f>
        <v/>
      </c>
      <c r="IN100" t="inlineStr">
        <is>
          <t>moderate</t>
        </is>
      </c>
      <c r="IO100">
        <f>IF(IN100="good",II100,NA())</f>
        <v/>
      </c>
      <c r="IP100">
        <f>IF(IN100="moderate",II100,NA())</f>
        <v/>
      </c>
      <c r="IQ100">
        <f>IF(IN100="low",II100,NA())</f>
        <v/>
      </c>
      <c r="IR100">
        <f>IF(AND(IN100="good",IJ100=1),IM100,NA())</f>
        <v/>
      </c>
      <c r="IS100">
        <f>IF(AND(IN100="moderate",IJ100=1),IM100,NA())</f>
        <v/>
      </c>
      <c r="IT100">
        <f>IF(AND(IN100="low",IJ100=1),IM100,NA())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  <c r="IG101">
        <f>Base_mundial!A100</f>
        <v/>
      </c>
      <c r="IH101">
        <f>Base_mundial!C100</f>
        <v/>
      </c>
      <c r="II101">
        <f>Base_mundial!E100-MIN(tope,DEGREES(ATAN(TAN(RADIANS(pe0-omega*Base_mundial!B100))*(Base_mundial!C100/sref)^(m_-1))))</f>
        <v/>
      </c>
      <c r="IJ101" t="n">
        <v>1</v>
      </c>
      <c r="IK101">
        <f>IF(IJ101=1,LN(IH101),"")</f>
        <v/>
      </c>
      <c r="IL101">
        <f>IF(IJ101=1,AVERAGEIFS(II3:II688,IG3:IG688,IG101,IJ3:IJ688,1),"")</f>
        <v/>
      </c>
      <c r="IM101">
        <f>IF(IJ101=1,II101-IL101,"")</f>
        <v/>
      </c>
      <c r="IN101" t="inlineStr">
        <is>
          <t>moderate</t>
        </is>
      </c>
      <c r="IO101">
        <f>IF(IN101="good",II101,NA())</f>
        <v/>
      </c>
      <c r="IP101">
        <f>IF(IN101="moderate",II101,NA())</f>
        <v/>
      </c>
      <c r="IQ101">
        <f>IF(IN101="low",II101,NA())</f>
        <v/>
      </c>
      <c r="IR101">
        <f>IF(AND(IN101="good",IJ101=1),IM101,NA())</f>
        <v/>
      </c>
      <c r="IS101">
        <f>IF(AND(IN101="moderate",IJ101=1),IM101,NA())</f>
        <v/>
      </c>
      <c r="IT101">
        <f>IF(AND(IN101="low",IJ101=1),IM101,NA())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  <c r="IG102">
        <f>Base_mundial!A101</f>
        <v/>
      </c>
      <c r="IH102">
        <f>Base_mundial!C101</f>
        <v/>
      </c>
      <c r="II102">
        <f>Base_mundial!E101-MIN(tope,DEGREES(ATAN(TAN(RADIANS(pe0-omega*Base_mundial!B101))*(Base_mundial!C101/sref)^(m_-1))))</f>
        <v/>
      </c>
      <c r="IJ102" t="n">
        <v>1</v>
      </c>
      <c r="IK102">
        <f>IF(IJ102=1,LN(IH102),"")</f>
        <v/>
      </c>
      <c r="IL102">
        <f>IF(IJ102=1,AVERAGEIFS(II3:II688,IG3:IG688,IG102,IJ3:IJ688,1),"")</f>
        <v/>
      </c>
      <c r="IM102">
        <f>IF(IJ102=1,II102-IL102,"")</f>
        <v/>
      </c>
      <c r="IN102" t="inlineStr">
        <is>
          <t>moderate</t>
        </is>
      </c>
      <c r="IO102">
        <f>IF(IN102="good",II102,NA())</f>
        <v/>
      </c>
      <c r="IP102">
        <f>IF(IN102="moderate",II102,NA())</f>
        <v/>
      </c>
      <c r="IQ102">
        <f>IF(IN102="low",II102,NA())</f>
        <v/>
      </c>
      <c r="IR102">
        <f>IF(AND(IN102="good",IJ102=1),IM102,NA())</f>
        <v/>
      </c>
      <c r="IS102">
        <f>IF(AND(IN102="moderate",IJ102=1),IM102,NA())</f>
        <v/>
      </c>
      <c r="IT102">
        <f>IF(AND(IN102="low",IJ102=1),IM102,NA())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  <c r="IG103">
        <f>Base_mundial!A102</f>
        <v/>
      </c>
      <c r="IH103">
        <f>Base_mundial!C102</f>
        <v/>
      </c>
      <c r="II103">
        <f>Base_mundial!E102-MIN(tope,DEGREES(ATAN(TAN(RADIANS(pe0-omega*Base_mundial!B102))*(Base_mundial!C102/sref)^(m_-1))))</f>
        <v/>
      </c>
      <c r="IJ103" t="n">
        <v>1</v>
      </c>
      <c r="IK103">
        <f>IF(IJ103=1,LN(IH103),"")</f>
        <v/>
      </c>
      <c r="IL103">
        <f>IF(IJ103=1,AVERAGEIFS(II3:II688,IG3:IG688,IG103,IJ3:IJ688,1),"")</f>
        <v/>
      </c>
      <c r="IM103">
        <f>IF(IJ103=1,II103-IL103,"")</f>
        <v/>
      </c>
      <c r="IN103" t="inlineStr">
        <is>
          <t>moderate</t>
        </is>
      </c>
      <c r="IO103">
        <f>IF(IN103="good",II103,NA())</f>
        <v/>
      </c>
      <c r="IP103">
        <f>IF(IN103="moderate",II103,NA())</f>
        <v/>
      </c>
      <c r="IQ103">
        <f>IF(IN103="low",II103,NA())</f>
        <v/>
      </c>
      <c r="IR103">
        <f>IF(AND(IN103="good",IJ103=1),IM103,NA())</f>
        <v/>
      </c>
      <c r="IS103">
        <f>IF(AND(IN103="moderate",IJ103=1),IM103,NA())</f>
        <v/>
      </c>
      <c r="IT103">
        <f>IF(AND(IN103="low",IJ103=1),IM103,NA())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  <c r="IG104">
        <f>Base_mundial!A103</f>
        <v/>
      </c>
      <c r="IH104">
        <f>Base_mundial!C103</f>
        <v/>
      </c>
      <c r="II104">
        <f>Base_mundial!E103-MIN(tope,DEGREES(ATAN(TAN(RADIANS(pe0-omega*Base_mundial!B103))*(Base_mundial!C103/sref)^(m_-1))))</f>
        <v/>
      </c>
      <c r="IJ104" t="n">
        <v>1</v>
      </c>
      <c r="IK104">
        <f>IF(IJ104=1,LN(IH104),"")</f>
        <v/>
      </c>
      <c r="IL104">
        <f>IF(IJ104=1,AVERAGEIFS(II3:II688,IG3:IG688,IG104,IJ3:IJ688,1),"")</f>
        <v/>
      </c>
      <c r="IM104">
        <f>IF(IJ104=1,II104-IL104,"")</f>
        <v/>
      </c>
      <c r="IN104" t="inlineStr">
        <is>
          <t>moderate</t>
        </is>
      </c>
      <c r="IO104">
        <f>IF(IN104="good",II104,NA())</f>
        <v/>
      </c>
      <c r="IP104">
        <f>IF(IN104="moderate",II104,NA())</f>
        <v/>
      </c>
      <c r="IQ104">
        <f>IF(IN104="low",II104,NA())</f>
        <v/>
      </c>
      <c r="IR104">
        <f>IF(AND(IN104="good",IJ104=1),IM104,NA())</f>
        <v/>
      </c>
      <c r="IS104">
        <f>IF(AND(IN104="moderate",IJ104=1),IM104,NA())</f>
        <v/>
      </c>
      <c r="IT104">
        <f>IF(AND(IN104="low",IJ104=1),IM104,NA())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  <c r="IG105">
        <f>Base_mundial!A104</f>
        <v/>
      </c>
      <c r="IH105">
        <f>Base_mundial!C104</f>
        <v/>
      </c>
      <c r="II105">
        <f>Base_mundial!E104-MIN(tope,DEGREES(ATAN(TAN(RADIANS(pe0-omega*Base_mundial!B104))*(Base_mundial!C104/sref)^(m_-1))))</f>
        <v/>
      </c>
      <c r="IJ105" t="n">
        <v>1</v>
      </c>
      <c r="IK105">
        <f>IF(IJ105=1,LN(IH105),"")</f>
        <v/>
      </c>
      <c r="IL105">
        <f>IF(IJ105=1,AVERAGEIFS(II3:II688,IG3:IG688,IG105,IJ3:IJ688,1),"")</f>
        <v/>
      </c>
      <c r="IM105">
        <f>IF(IJ105=1,II105-IL105,"")</f>
        <v/>
      </c>
      <c r="IN105" t="inlineStr">
        <is>
          <t>moderate</t>
        </is>
      </c>
      <c r="IO105">
        <f>IF(IN105="good",II105,NA())</f>
        <v/>
      </c>
      <c r="IP105">
        <f>IF(IN105="moderate",II105,NA())</f>
        <v/>
      </c>
      <c r="IQ105">
        <f>IF(IN105="low",II105,NA())</f>
        <v/>
      </c>
      <c r="IR105">
        <f>IF(AND(IN105="good",IJ105=1),IM105,NA())</f>
        <v/>
      </c>
      <c r="IS105">
        <f>IF(AND(IN105="moderate",IJ105=1),IM105,NA())</f>
        <v/>
      </c>
      <c r="IT105">
        <f>IF(AND(IN105="low",IJ105=1),IM105,NA())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  <c r="IG106">
        <f>Base_mundial!A105</f>
        <v/>
      </c>
      <c r="IH106">
        <f>Base_mundial!C105</f>
        <v/>
      </c>
      <c r="II106">
        <f>Base_mundial!E105-MIN(tope,DEGREES(ATAN(TAN(RADIANS(pe0-omega*Base_mundial!B105))*(Base_mundial!C105/sref)^(m_-1))))</f>
        <v/>
      </c>
      <c r="IJ106" t="n">
        <v>0</v>
      </c>
      <c r="IK106">
        <f>IF(IJ106=1,LN(IH106),"")</f>
        <v/>
      </c>
      <c r="IL106">
        <f>IF(IJ106=1,AVERAGEIFS(II3:II688,IG3:IG688,IG106,IJ3:IJ688,1),"")</f>
        <v/>
      </c>
      <c r="IM106">
        <f>IF(IJ106=1,II106-IL106,"")</f>
        <v/>
      </c>
      <c r="IN106" t="inlineStr">
        <is>
          <t>moderate</t>
        </is>
      </c>
      <c r="IO106">
        <f>IF(IN106="good",II106,NA())</f>
        <v/>
      </c>
      <c r="IP106">
        <f>IF(IN106="moderate",II106,NA())</f>
        <v/>
      </c>
      <c r="IQ106">
        <f>IF(IN106="low",II106,NA())</f>
        <v/>
      </c>
      <c r="IR106">
        <f>IF(AND(IN106="good",IJ106=1),IM106,NA())</f>
        <v/>
      </c>
      <c r="IS106">
        <f>IF(AND(IN106="moderate",IJ106=1),IM106,NA())</f>
        <v/>
      </c>
      <c r="IT106">
        <f>IF(AND(IN106="low",IJ106=1),IM106,NA())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  <c r="IG107">
        <f>Base_mundial!A106</f>
        <v/>
      </c>
      <c r="IH107">
        <f>Base_mundial!C106</f>
        <v/>
      </c>
      <c r="II107">
        <f>Base_mundial!E106-MIN(tope,DEGREES(ATAN(TAN(RADIANS(pe0-omega*Base_mundial!B106))*(Base_mundial!C106/sref)^(m_-1))))</f>
        <v/>
      </c>
      <c r="IJ107" t="n">
        <v>1</v>
      </c>
      <c r="IK107">
        <f>IF(IJ107=1,LN(IH107),"")</f>
        <v/>
      </c>
      <c r="IL107">
        <f>IF(IJ107=1,AVERAGEIFS(II3:II688,IG3:IG688,IG107,IJ3:IJ688,1),"")</f>
        <v/>
      </c>
      <c r="IM107">
        <f>IF(IJ107=1,II107-IL107,"")</f>
        <v/>
      </c>
      <c r="IN107" t="inlineStr">
        <is>
          <t>moderate</t>
        </is>
      </c>
      <c r="IO107">
        <f>IF(IN107="good",II107,NA())</f>
        <v/>
      </c>
      <c r="IP107">
        <f>IF(IN107="moderate",II107,NA())</f>
        <v/>
      </c>
      <c r="IQ107">
        <f>IF(IN107="low",II107,NA())</f>
        <v/>
      </c>
      <c r="IR107">
        <f>IF(AND(IN107="good",IJ107=1),IM107,NA())</f>
        <v/>
      </c>
      <c r="IS107">
        <f>IF(AND(IN107="moderate",IJ107=1),IM107,NA())</f>
        <v/>
      </c>
      <c r="IT107">
        <f>IF(AND(IN107="low",IJ107=1),IM107,NA())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  <c r="IG108">
        <f>Base_mundial!A107</f>
        <v/>
      </c>
      <c r="IH108">
        <f>Base_mundial!C107</f>
        <v/>
      </c>
      <c r="II108">
        <f>Base_mundial!E107-MIN(tope,DEGREES(ATAN(TAN(RADIANS(pe0-omega*Base_mundial!B107))*(Base_mundial!C107/sref)^(m_-1))))</f>
        <v/>
      </c>
      <c r="IJ108" t="n">
        <v>1</v>
      </c>
      <c r="IK108">
        <f>IF(IJ108=1,LN(IH108),"")</f>
        <v/>
      </c>
      <c r="IL108">
        <f>IF(IJ108=1,AVERAGEIFS(II3:II688,IG3:IG688,IG108,IJ3:IJ688,1),"")</f>
        <v/>
      </c>
      <c r="IM108">
        <f>IF(IJ108=1,II108-IL108,"")</f>
        <v/>
      </c>
      <c r="IN108" t="inlineStr">
        <is>
          <t>moderate</t>
        </is>
      </c>
      <c r="IO108">
        <f>IF(IN108="good",II108,NA())</f>
        <v/>
      </c>
      <c r="IP108">
        <f>IF(IN108="moderate",II108,NA())</f>
        <v/>
      </c>
      <c r="IQ108">
        <f>IF(IN108="low",II108,NA())</f>
        <v/>
      </c>
      <c r="IR108">
        <f>IF(AND(IN108="good",IJ108=1),IM108,NA())</f>
        <v/>
      </c>
      <c r="IS108">
        <f>IF(AND(IN108="moderate",IJ108=1),IM108,NA())</f>
        <v/>
      </c>
      <c r="IT108">
        <f>IF(AND(IN108="low",IJ108=1),IM108,NA())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  <c r="IG109">
        <f>Base_mundial!A108</f>
        <v/>
      </c>
      <c r="IH109">
        <f>Base_mundial!C108</f>
        <v/>
      </c>
      <c r="II109">
        <f>Base_mundial!E108-MIN(tope,DEGREES(ATAN(TAN(RADIANS(pe0-omega*Base_mundial!B108))*(Base_mundial!C108/sref)^(m_-1))))</f>
        <v/>
      </c>
      <c r="IJ109" t="n">
        <v>1</v>
      </c>
      <c r="IK109">
        <f>IF(IJ109=1,LN(IH109),"")</f>
        <v/>
      </c>
      <c r="IL109">
        <f>IF(IJ109=1,AVERAGEIFS(II3:II688,IG3:IG688,IG109,IJ3:IJ688,1),"")</f>
        <v/>
      </c>
      <c r="IM109">
        <f>IF(IJ109=1,II109-IL109,"")</f>
        <v/>
      </c>
      <c r="IN109" t="inlineStr">
        <is>
          <t>moderate</t>
        </is>
      </c>
      <c r="IO109">
        <f>IF(IN109="good",II109,NA())</f>
        <v/>
      </c>
      <c r="IP109">
        <f>IF(IN109="moderate",II109,NA())</f>
        <v/>
      </c>
      <c r="IQ109">
        <f>IF(IN109="low",II109,NA())</f>
        <v/>
      </c>
      <c r="IR109">
        <f>IF(AND(IN109="good",IJ109=1),IM109,NA())</f>
        <v/>
      </c>
      <c r="IS109">
        <f>IF(AND(IN109="moderate",IJ109=1),IM109,NA())</f>
        <v/>
      </c>
      <c r="IT109">
        <f>IF(AND(IN109="low",IJ109=1),IM109,NA())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  <c r="IG110">
        <f>Base_mundial!A109</f>
        <v/>
      </c>
      <c r="IH110">
        <f>Base_mundial!C109</f>
        <v/>
      </c>
      <c r="II110">
        <f>Base_mundial!E109-MIN(tope,DEGREES(ATAN(TAN(RADIANS(pe0-omega*Base_mundial!B109))*(Base_mundial!C109/sref)^(m_-1))))</f>
        <v/>
      </c>
      <c r="IJ110" t="n">
        <v>1</v>
      </c>
      <c r="IK110">
        <f>IF(IJ110=1,LN(IH110),"")</f>
        <v/>
      </c>
      <c r="IL110">
        <f>IF(IJ110=1,AVERAGEIFS(II3:II688,IG3:IG688,IG110,IJ3:IJ688,1),"")</f>
        <v/>
      </c>
      <c r="IM110">
        <f>IF(IJ110=1,II110-IL110,"")</f>
        <v/>
      </c>
      <c r="IN110" t="inlineStr">
        <is>
          <t>moderate</t>
        </is>
      </c>
      <c r="IO110">
        <f>IF(IN110="good",II110,NA())</f>
        <v/>
      </c>
      <c r="IP110">
        <f>IF(IN110="moderate",II110,NA())</f>
        <v/>
      </c>
      <c r="IQ110">
        <f>IF(IN110="low",II110,NA())</f>
        <v/>
      </c>
      <c r="IR110">
        <f>IF(AND(IN110="good",IJ110=1),IM110,NA())</f>
        <v/>
      </c>
      <c r="IS110">
        <f>IF(AND(IN110="moderate",IJ110=1),IM110,NA())</f>
        <v/>
      </c>
      <c r="IT110">
        <f>IF(AND(IN110="low",IJ110=1),IM110,NA())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  <c r="IG111">
        <f>Base_mundial!A110</f>
        <v/>
      </c>
      <c r="IH111">
        <f>Base_mundial!C110</f>
        <v/>
      </c>
      <c r="II111">
        <f>Base_mundial!E110-MIN(tope,DEGREES(ATAN(TAN(RADIANS(pe0-omega*Base_mundial!B110))*(Base_mundial!C110/sref)^(m_-1))))</f>
        <v/>
      </c>
      <c r="IJ111" t="n">
        <v>0</v>
      </c>
      <c r="IK111">
        <f>IF(IJ111=1,LN(IH111),"")</f>
        <v/>
      </c>
      <c r="IL111">
        <f>IF(IJ111=1,AVERAGEIFS(II3:II688,IG3:IG688,IG111,IJ3:IJ688,1),"")</f>
        <v/>
      </c>
      <c r="IM111">
        <f>IF(IJ111=1,II111-IL111,"")</f>
        <v/>
      </c>
      <c r="IN111" t="inlineStr">
        <is>
          <t>moderate</t>
        </is>
      </c>
      <c r="IO111">
        <f>IF(IN111="good",II111,NA())</f>
        <v/>
      </c>
      <c r="IP111">
        <f>IF(IN111="moderate",II111,NA())</f>
        <v/>
      </c>
      <c r="IQ111">
        <f>IF(IN111="low",II111,NA())</f>
        <v/>
      </c>
      <c r="IR111">
        <f>IF(AND(IN111="good",IJ111=1),IM111,NA())</f>
        <v/>
      </c>
      <c r="IS111">
        <f>IF(AND(IN111="moderate",IJ111=1),IM111,NA())</f>
        <v/>
      </c>
      <c r="IT111">
        <f>IF(AND(IN111="low",IJ111=1),IM111,NA())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  <c r="IG112">
        <f>Base_mundial!A111</f>
        <v/>
      </c>
      <c r="IH112">
        <f>Base_mundial!C111</f>
        <v/>
      </c>
      <c r="II112">
        <f>Base_mundial!E111-MIN(tope,DEGREES(ATAN(TAN(RADIANS(pe0-omega*Base_mundial!B111))*(Base_mundial!C111/sref)^(m_-1))))</f>
        <v/>
      </c>
      <c r="IJ112" t="n">
        <v>0</v>
      </c>
      <c r="IK112">
        <f>IF(IJ112=1,LN(IH112),"")</f>
        <v/>
      </c>
      <c r="IL112">
        <f>IF(IJ112=1,AVERAGEIFS(II3:II688,IG3:IG688,IG112,IJ3:IJ688,1),"")</f>
        <v/>
      </c>
      <c r="IM112">
        <f>IF(IJ112=1,II112-IL112,"")</f>
        <v/>
      </c>
      <c r="IN112" t="inlineStr">
        <is>
          <t>moderate</t>
        </is>
      </c>
      <c r="IO112">
        <f>IF(IN112="good",II112,NA())</f>
        <v/>
      </c>
      <c r="IP112">
        <f>IF(IN112="moderate",II112,NA())</f>
        <v/>
      </c>
      <c r="IQ112">
        <f>IF(IN112="low",II112,NA())</f>
        <v/>
      </c>
      <c r="IR112">
        <f>IF(AND(IN112="good",IJ112=1),IM112,NA())</f>
        <v/>
      </c>
      <c r="IS112">
        <f>IF(AND(IN112="moderate",IJ112=1),IM112,NA())</f>
        <v/>
      </c>
      <c r="IT112">
        <f>IF(AND(IN112="low",IJ112=1),IM112,NA())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  <c r="IG113">
        <f>Base_mundial!A112</f>
        <v/>
      </c>
      <c r="IH113">
        <f>Base_mundial!C112</f>
        <v/>
      </c>
      <c r="II113">
        <f>Base_mundial!E112-MIN(tope,DEGREES(ATAN(TAN(RADIANS(pe0-omega*Base_mundial!B112))*(Base_mundial!C112/sref)^(m_-1))))</f>
        <v/>
      </c>
      <c r="IJ113" t="n">
        <v>1</v>
      </c>
      <c r="IK113">
        <f>IF(IJ113=1,LN(IH113),"")</f>
        <v/>
      </c>
      <c r="IL113">
        <f>IF(IJ113=1,AVERAGEIFS(II3:II688,IG3:IG688,IG113,IJ3:IJ688,1),"")</f>
        <v/>
      </c>
      <c r="IM113">
        <f>IF(IJ113=1,II113-IL113,"")</f>
        <v/>
      </c>
      <c r="IN113" t="inlineStr">
        <is>
          <t>moderate</t>
        </is>
      </c>
      <c r="IO113">
        <f>IF(IN113="good",II113,NA())</f>
        <v/>
      </c>
      <c r="IP113">
        <f>IF(IN113="moderate",II113,NA())</f>
        <v/>
      </c>
      <c r="IQ113">
        <f>IF(IN113="low",II113,NA())</f>
        <v/>
      </c>
      <c r="IR113">
        <f>IF(AND(IN113="good",IJ113=1),IM113,NA())</f>
        <v/>
      </c>
      <c r="IS113">
        <f>IF(AND(IN113="moderate",IJ113=1),IM113,NA())</f>
        <v/>
      </c>
      <c r="IT113">
        <f>IF(AND(IN113="low",IJ113=1),IM113,NA())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  <c r="IG114">
        <f>Base_mundial!A113</f>
        <v/>
      </c>
      <c r="IH114">
        <f>Base_mundial!C113</f>
        <v/>
      </c>
      <c r="II114">
        <f>Base_mundial!E113-MIN(tope,DEGREES(ATAN(TAN(RADIANS(pe0-omega*Base_mundial!B113))*(Base_mundial!C113/sref)^(m_-1))))</f>
        <v/>
      </c>
      <c r="IJ114" t="n">
        <v>1</v>
      </c>
      <c r="IK114">
        <f>IF(IJ114=1,LN(IH114),"")</f>
        <v/>
      </c>
      <c r="IL114">
        <f>IF(IJ114=1,AVERAGEIFS(II3:II688,IG3:IG688,IG114,IJ3:IJ688,1),"")</f>
        <v/>
      </c>
      <c r="IM114">
        <f>IF(IJ114=1,II114-IL114,"")</f>
        <v/>
      </c>
      <c r="IN114" t="inlineStr">
        <is>
          <t>moderate</t>
        </is>
      </c>
      <c r="IO114">
        <f>IF(IN114="good",II114,NA())</f>
        <v/>
      </c>
      <c r="IP114">
        <f>IF(IN114="moderate",II114,NA())</f>
        <v/>
      </c>
      <c r="IQ114">
        <f>IF(IN114="low",II114,NA())</f>
        <v/>
      </c>
      <c r="IR114">
        <f>IF(AND(IN114="good",IJ114=1),IM114,NA())</f>
        <v/>
      </c>
      <c r="IS114">
        <f>IF(AND(IN114="moderate",IJ114=1),IM114,NA())</f>
        <v/>
      </c>
      <c r="IT114">
        <f>IF(AND(IN114="low",IJ114=1),IM114,NA())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  <c r="IG115">
        <f>Base_mundial!A114</f>
        <v/>
      </c>
      <c r="IH115">
        <f>Base_mundial!C114</f>
        <v/>
      </c>
      <c r="II115">
        <f>Base_mundial!E114-MIN(tope,DEGREES(ATAN(TAN(RADIANS(pe0-omega*Base_mundial!B114))*(Base_mundial!C114/sref)^(m_-1))))</f>
        <v/>
      </c>
      <c r="IJ115" t="n">
        <v>1</v>
      </c>
      <c r="IK115">
        <f>IF(IJ115=1,LN(IH115),"")</f>
        <v/>
      </c>
      <c r="IL115">
        <f>IF(IJ115=1,AVERAGEIFS(II3:II688,IG3:IG688,IG115,IJ3:IJ688,1),"")</f>
        <v/>
      </c>
      <c r="IM115">
        <f>IF(IJ115=1,II115-IL115,"")</f>
        <v/>
      </c>
      <c r="IN115" t="inlineStr">
        <is>
          <t>moderate</t>
        </is>
      </c>
      <c r="IO115">
        <f>IF(IN115="good",II115,NA())</f>
        <v/>
      </c>
      <c r="IP115">
        <f>IF(IN115="moderate",II115,NA())</f>
        <v/>
      </c>
      <c r="IQ115">
        <f>IF(IN115="low",II115,NA())</f>
        <v/>
      </c>
      <c r="IR115">
        <f>IF(AND(IN115="good",IJ115=1),IM115,NA())</f>
        <v/>
      </c>
      <c r="IS115">
        <f>IF(AND(IN115="moderate",IJ115=1),IM115,NA())</f>
        <v/>
      </c>
      <c r="IT115">
        <f>IF(AND(IN115="low",IJ115=1),IM115,NA())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  <c r="IG116">
        <f>Base_mundial!A115</f>
        <v/>
      </c>
      <c r="IH116">
        <f>Base_mundial!C115</f>
        <v/>
      </c>
      <c r="II116">
        <f>Base_mundial!E115-MIN(tope,DEGREES(ATAN(TAN(RADIANS(pe0-omega*Base_mundial!B115))*(Base_mundial!C115/sref)^(m_-1))))</f>
        <v/>
      </c>
      <c r="IJ116" t="n">
        <v>0</v>
      </c>
      <c r="IK116">
        <f>IF(IJ116=1,LN(IH116),"")</f>
        <v/>
      </c>
      <c r="IL116">
        <f>IF(IJ116=1,AVERAGEIFS(II3:II688,IG3:IG688,IG116,IJ3:IJ688,1),"")</f>
        <v/>
      </c>
      <c r="IM116">
        <f>IF(IJ116=1,II116-IL116,"")</f>
        <v/>
      </c>
      <c r="IN116" t="inlineStr">
        <is>
          <t>moderate</t>
        </is>
      </c>
      <c r="IO116">
        <f>IF(IN116="good",II116,NA())</f>
        <v/>
      </c>
      <c r="IP116">
        <f>IF(IN116="moderate",II116,NA())</f>
        <v/>
      </c>
      <c r="IQ116">
        <f>IF(IN116="low",II116,NA())</f>
        <v/>
      </c>
      <c r="IR116">
        <f>IF(AND(IN116="good",IJ116=1),IM116,NA())</f>
        <v/>
      </c>
      <c r="IS116">
        <f>IF(AND(IN116="moderate",IJ116=1),IM116,NA())</f>
        <v/>
      </c>
      <c r="IT116">
        <f>IF(AND(IN116="low",IJ116=1),IM116,NA())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  <c r="IG117">
        <f>Base_mundial!A116</f>
        <v/>
      </c>
      <c r="IH117">
        <f>Base_mundial!C116</f>
        <v/>
      </c>
      <c r="II117">
        <f>Base_mundial!E116-MIN(tope,DEGREES(ATAN(TAN(RADIANS(pe0-omega*Base_mundial!B116))*(Base_mundial!C116/sref)^(m_-1))))</f>
        <v/>
      </c>
      <c r="IJ117" t="n">
        <v>0</v>
      </c>
      <c r="IK117">
        <f>IF(IJ117=1,LN(IH117),"")</f>
        <v/>
      </c>
      <c r="IL117">
        <f>IF(IJ117=1,AVERAGEIFS(II3:II688,IG3:IG688,IG117,IJ3:IJ688,1),"")</f>
        <v/>
      </c>
      <c r="IM117">
        <f>IF(IJ117=1,II117-IL117,"")</f>
        <v/>
      </c>
      <c r="IN117" t="inlineStr">
        <is>
          <t>moderate</t>
        </is>
      </c>
      <c r="IO117">
        <f>IF(IN117="good",II117,NA())</f>
        <v/>
      </c>
      <c r="IP117">
        <f>IF(IN117="moderate",II117,NA())</f>
        <v/>
      </c>
      <c r="IQ117">
        <f>IF(IN117="low",II117,NA())</f>
        <v/>
      </c>
      <c r="IR117">
        <f>IF(AND(IN117="good",IJ117=1),IM117,NA())</f>
        <v/>
      </c>
      <c r="IS117">
        <f>IF(AND(IN117="moderate",IJ117=1),IM117,NA())</f>
        <v/>
      </c>
      <c r="IT117">
        <f>IF(AND(IN117="low",IJ117=1),IM117,NA())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  <c r="IG118">
        <f>Base_mundial!A117</f>
        <v/>
      </c>
      <c r="IH118">
        <f>Base_mundial!C117</f>
        <v/>
      </c>
      <c r="II118">
        <f>Base_mundial!E117-MIN(tope,DEGREES(ATAN(TAN(RADIANS(pe0-omega*Base_mundial!B117))*(Base_mundial!C117/sref)^(m_-1))))</f>
        <v/>
      </c>
      <c r="IJ118" t="n">
        <v>0</v>
      </c>
      <c r="IK118">
        <f>IF(IJ118=1,LN(IH118),"")</f>
        <v/>
      </c>
      <c r="IL118">
        <f>IF(IJ118=1,AVERAGEIFS(II3:II688,IG3:IG688,IG118,IJ3:IJ688,1),"")</f>
        <v/>
      </c>
      <c r="IM118">
        <f>IF(IJ118=1,II118-IL118,"")</f>
        <v/>
      </c>
      <c r="IN118" t="inlineStr">
        <is>
          <t>moderate</t>
        </is>
      </c>
      <c r="IO118">
        <f>IF(IN118="good",II118,NA())</f>
        <v/>
      </c>
      <c r="IP118">
        <f>IF(IN118="moderate",II118,NA())</f>
        <v/>
      </c>
      <c r="IQ118">
        <f>IF(IN118="low",II118,NA())</f>
        <v/>
      </c>
      <c r="IR118">
        <f>IF(AND(IN118="good",IJ118=1),IM118,NA())</f>
        <v/>
      </c>
      <c r="IS118">
        <f>IF(AND(IN118="moderate",IJ118=1),IM118,NA())</f>
        <v/>
      </c>
      <c r="IT118">
        <f>IF(AND(IN118="low",IJ118=1),IM118,NA())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  <c r="IG119">
        <f>Base_mundial!A118</f>
        <v/>
      </c>
      <c r="IH119">
        <f>Base_mundial!C118</f>
        <v/>
      </c>
      <c r="II119">
        <f>Base_mundial!E118-MIN(tope,DEGREES(ATAN(TAN(RADIANS(pe0-omega*Base_mundial!B118))*(Base_mundial!C118/sref)^(m_-1))))</f>
        <v/>
      </c>
      <c r="IJ119" t="n">
        <v>0</v>
      </c>
      <c r="IK119">
        <f>IF(IJ119=1,LN(IH119),"")</f>
        <v/>
      </c>
      <c r="IL119">
        <f>IF(IJ119=1,AVERAGEIFS(II3:II688,IG3:IG688,IG119,IJ3:IJ688,1),"")</f>
        <v/>
      </c>
      <c r="IM119">
        <f>IF(IJ119=1,II119-IL119,"")</f>
        <v/>
      </c>
      <c r="IN119" t="inlineStr">
        <is>
          <t>moderate</t>
        </is>
      </c>
      <c r="IO119">
        <f>IF(IN119="good",II119,NA())</f>
        <v/>
      </c>
      <c r="IP119">
        <f>IF(IN119="moderate",II119,NA())</f>
        <v/>
      </c>
      <c r="IQ119">
        <f>IF(IN119="low",II119,NA())</f>
        <v/>
      </c>
      <c r="IR119">
        <f>IF(AND(IN119="good",IJ119=1),IM119,NA())</f>
        <v/>
      </c>
      <c r="IS119">
        <f>IF(AND(IN119="moderate",IJ119=1),IM119,NA())</f>
        <v/>
      </c>
      <c r="IT119">
        <f>IF(AND(IN119="low",IJ119=1),IM119,NA())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  <c r="IG120">
        <f>Base_mundial!A119</f>
        <v/>
      </c>
      <c r="IH120">
        <f>Base_mundial!C119</f>
        <v/>
      </c>
      <c r="II120">
        <f>Base_mundial!E119-MIN(tope,DEGREES(ATAN(TAN(RADIANS(pe0-omega*Base_mundial!B119))*(Base_mundial!C119/sref)^(m_-1))))</f>
        <v/>
      </c>
      <c r="IJ120" t="n">
        <v>0</v>
      </c>
      <c r="IK120">
        <f>IF(IJ120=1,LN(IH120),"")</f>
        <v/>
      </c>
      <c r="IL120">
        <f>IF(IJ120=1,AVERAGEIFS(II3:II688,IG3:IG688,IG120,IJ3:IJ688,1),"")</f>
        <v/>
      </c>
      <c r="IM120">
        <f>IF(IJ120=1,II120-IL120,"")</f>
        <v/>
      </c>
      <c r="IN120" t="inlineStr">
        <is>
          <t>moderate</t>
        </is>
      </c>
      <c r="IO120">
        <f>IF(IN120="good",II120,NA())</f>
        <v/>
      </c>
      <c r="IP120">
        <f>IF(IN120="moderate",II120,NA())</f>
        <v/>
      </c>
      <c r="IQ120">
        <f>IF(IN120="low",II120,NA())</f>
        <v/>
      </c>
      <c r="IR120">
        <f>IF(AND(IN120="good",IJ120=1),IM120,NA())</f>
        <v/>
      </c>
      <c r="IS120">
        <f>IF(AND(IN120="moderate",IJ120=1),IM120,NA())</f>
        <v/>
      </c>
      <c r="IT120">
        <f>IF(AND(IN120="low",IJ120=1),IM120,NA())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  <c r="IG121">
        <f>Base_mundial!A120</f>
        <v/>
      </c>
      <c r="IH121">
        <f>Base_mundial!C120</f>
        <v/>
      </c>
      <c r="II121">
        <f>Base_mundial!E120-MIN(tope,DEGREES(ATAN(TAN(RADIANS(pe0-omega*Base_mundial!B120))*(Base_mundial!C120/sref)^(m_-1))))</f>
        <v/>
      </c>
      <c r="IJ121" t="n">
        <v>0</v>
      </c>
      <c r="IK121">
        <f>IF(IJ121=1,LN(IH121),"")</f>
        <v/>
      </c>
      <c r="IL121">
        <f>IF(IJ121=1,AVERAGEIFS(II3:II688,IG3:IG688,IG121,IJ3:IJ688,1),"")</f>
        <v/>
      </c>
      <c r="IM121">
        <f>IF(IJ121=1,II121-IL121,"")</f>
        <v/>
      </c>
      <c r="IN121" t="inlineStr">
        <is>
          <t>moderate</t>
        </is>
      </c>
      <c r="IO121">
        <f>IF(IN121="good",II121,NA())</f>
        <v/>
      </c>
      <c r="IP121">
        <f>IF(IN121="moderate",II121,NA())</f>
        <v/>
      </c>
      <c r="IQ121">
        <f>IF(IN121="low",II121,NA())</f>
        <v/>
      </c>
      <c r="IR121">
        <f>IF(AND(IN121="good",IJ121=1),IM121,NA())</f>
        <v/>
      </c>
      <c r="IS121">
        <f>IF(AND(IN121="moderate",IJ121=1),IM121,NA())</f>
        <v/>
      </c>
      <c r="IT121">
        <f>IF(AND(IN121="low",IJ121=1),IM121,NA())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  <c r="IG122">
        <f>Base_mundial!A121</f>
        <v/>
      </c>
      <c r="IH122">
        <f>Base_mundial!C121</f>
        <v/>
      </c>
      <c r="II122">
        <f>Base_mundial!E121-MIN(tope,DEGREES(ATAN(TAN(RADIANS(pe0-omega*Base_mundial!B121))*(Base_mundial!C121/sref)^(m_-1))))</f>
        <v/>
      </c>
      <c r="IJ122" t="n">
        <v>0</v>
      </c>
      <c r="IK122">
        <f>IF(IJ122=1,LN(IH122),"")</f>
        <v/>
      </c>
      <c r="IL122">
        <f>IF(IJ122=1,AVERAGEIFS(II3:II688,IG3:IG688,IG122,IJ3:IJ688,1),"")</f>
        <v/>
      </c>
      <c r="IM122">
        <f>IF(IJ122=1,II122-IL122,"")</f>
        <v/>
      </c>
      <c r="IN122" t="inlineStr">
        <is>
          <t>moderate</t>
        </is>
      </c>
      <c r="IO122">
        <f>IF(IN122="good",II122,NA())</f>
        <v/>
      </c>
      <c r="IP122">
        <f>IF(IN122="moderate",II122,NA())</f>
        <v/>
      </c>
      <c r="IQ122">
        <f>IF(IN122="low",II122,NA())</f>
        <v/>
      </c>
      <c r="IR122">
        <f>IF(AND(IN122="good",IJ122=1),IM122,NA())</f>
        <v/>
      </c>
      <c r="IS122">
        <f>IF(AND(IN122="moderate",IJ122=1),IM122,NA())</f>
        <v/>
      </c>
      <c r="IT122">
        <f>IF(AND(IN122="low",IJ122=1),IM122,NA())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  <c r="IG123">
        <f>Base_mundial!A122</f>
        <v/>
      </c>
      <c r="IH123">
        <f>Base_mundial!C122</f>
        <v/>
      </c>
      <c r="II123">
        <f>Base_mundial!E122-MIN(tope,DEGREES(ATAN(TAN(RADIANS(pe0-omega*Base_mundial!B122))*(Base_mundial!C122/sref)^(m_-1))))</f>
        <v/>
      </c>
      <c r="IJ123" t="n">
        <v>0</v>
      </c>
      <c r="IK123">
        <f>IF(IJ123=1,LN(IH123),"")</f>
        <v/>
      </c>
      <c r="IL123">
        <f>IF(IJ123=1,AVERAGEIFS(II3:II688,IG3:IG688,IG123,IJ3:IJ688,1),"")</f>
        <v/>
      </c>
      <c r="IM123">
        <f>IF(IJ123=1,II123-IL123,"")</f>
        <v/>
      </c>
      <c r="IN123" t="inlineStr">
        <is>
          <t>moderate</t>
        </is>
      </c>
      <c r="IO123">
        <f>IF(IN123="good",II123,NA())</f>
        <v/>
      </c>
      <c r="IP123">
        <f>IF(IN123="moderate",II123,NA())</f>
        <v/>
      </c>
      <c r="IQ123">
        <f>IF(IN123="low",II123,NA())</f>
        <v/>
      </c>
      <c r="IR123">
        <f>IF(AND(IN123="good",IJ123=1),IM123,NA())</f>
        <v/>
      </c>
      <c r="IS123">
        <f>IF(AND(IN123="moderate",IJ123=1),IM123,NA())</f>
        <v/>
      </c>
      <c r="IT123">
        <f>IF(AND(IN123="low",IJ123=1),IM123,NA())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  <c r="IG124">
        <f>Base_mundial!A123</f>
        <v/>
      </c>
      <c r="IH124">
        <f>Base_mundial!C123</f>
        <v/>
      </c>
      <c r="II124">
        <f>Base_mundial!E123-MIN(tope,DEGREES(ATAN(TAN(RADIANS(pe0-omega*Base_mundial!B123))*(Base_mundial!C123/sref)^(m_-1))))</f>
        <v/>
      </c>
      <c r="IJ124" t="n">
        <v>0</v>
      </c>
      <c r="IK124">
        <f>IF(IJ124=1,LN(IH124),"")</f>
        <v/>
      </c>
      <c r="IL124">
        <f>IF(IJ124=1,AVERAGEIFS(II3:II688,IG3:IG688,IG124,IJ3:IJ688,1),"")</f>
        <v/>
      </c>
      <c r="IM124">
        <f>IF(IJ124=1,II124-IL124,"")</f>
        <v/>
      </c>
      <c r="IN124" t="inlineStr">
        <is>
          <t>moderate</t>
        </is>
      </c>
      <c r="IO124">
        <f>IF(IN124="good",II124,NA())</f>
        <v/>
      </c>
      <c r="IP124">
        <f>IF(IN124="moderate",II124,NA())</f>
        <v/>
      </c>
      <c r="IQ124">
        <f>IF(IN124="low",II124,NA())</f>
        <v/>
      </c>
      <c r="IR124">
        <f>IF(AND(IN124="good",IJ124=1),IM124,NA())</f>
        <v/>
      </c>
      <c r="IS124">
        <f>IF(AND(IN124="moderate",IJ124=1),IM124,NA())</f>
        <v/>
      </c>
      <c r="IT124">
        <f>IF(AND(IN124="low",IJ124=1),IM124,NA())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  <c r="IG125">
        <f>Base_mundial!A124</f>
        <v/>
      </c>
      <c r="IH125">
        <f>Base_mundial!C124</f>
        <v/>
      </c>
      <c r="II125">
        <f>Base_mundial!E124-MIN(tope,DEGREES(ATAN(TAN(RADIANS(pe0-omega*Base_mundial!B124))*(Base_mundial!C124/sref)^(m_-1))))</f>
        <v/>
      </c>
      <c r="IJ125" t="n">
        <v>0</v>
      </c>
      <c r="IK125">
        <f>IF(IJ125=1,LN(IH125),"")</f>
        <v/>
      </c>
      <c r="IL125">
        <f>IF(IJ125=1,AVERAGEIFS(II3:II688,IG3:IG688,IG125,IJ3:IJ688,1),"")</f>
        <v/>
      </c>
      <c r="IM125">
        <f>IF(IJ125=1,II125-IL125,"")</f>
        <v/>
      </c>
      <c r="IN125" t="inlineStr">
        <is>
          <t>moderate</t>
        </is>
      </c>
      <c r="IO125">
        <f>IF(IN125="good",II125,NA())</f>
        <v/>
      </c>
      <c r="IP125">
        <f>IF(IN125="moderate",II125,NA())</f>
        <v/>
      </c>
      <c r="IQ125">
        <f>IF(IN125="low",II125,NA())</f>
        <v/>
      </c>
      <c r="IR125">
        <f>IF(AND(IN125="good",IJ125=1),IM125,NA())</f>
        <v/>
      </c>
      <c r="IS125">
        <f>IF(AND(IN125="moderate",IJ125=1),IM125,NA())</f>
        <v/>
      </c>
      <c r="IT125">
        <f>IF(AND(IN125="low",IJ125=1),IM125,NA())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  <c r="IG126">
        <f>Base_mundial!A125</f>
        <v/>
      </c>
      <c r="IH126">
        <f>Base_mundial!C125</f>
        <v/>
      </c>
      <c r="II126">
        <f>Base_mundial!E125-MIN(tope,DEGREES(ATAN(TAN(RADIANS(pe0-omega*Base_mundial!B125))*(Base_mundial!C125/sref)^(m_-1))))</f>
        <v/>
      </c>
      <c r="IJ126" t="n">
        <v>0</v>
      </c>
      <c r="IK126">
        <f>IF(IJ126=1,LN(IH126),"")</f>
        <v/>
      </c>
      <c r="IL126">
        <f>IF(IJ126=1,AVERAGEIFS(II3:II688,IG3:IG688,IG126,IJ3:IJ688,1),"")</f>
        <v/>
      </c>
      <c r="IM126">
        <f>IF(IJ126=1,II126-IL126,"")</f>
        <v/>
      </c>
      <c r="IN126" t="inlineStr">
        <is>
          <t>moderate</t>
        </is>
      </c>
      <c r="IO126">
        <f>IF(IN126="good",II126,NA())</f>
        <v/>
      </c>
      <c r="IP126">
        <f>IF(IN126="moderate",II126,NA())</f>
        <v/>
      </c>
      <c r="IQ126">
        <f>IF(IN126="low",II126,NA())</f>
        <v/>
      </c>
      <c r="IR126">
        <f>IF(AND(IN126="good",IJ126=1),IM126,NA())</f>
        <v/>
      </c>
      <c r="IS126">
        <f>IF(AND(IN126="moderate",IJ126=1),IM126,NA())</f>
        <v/>
      </c>
      <c r="IT126">
        <f>IF(AND(IN126="low",IJ126=1),IM126,NA())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  <c r="IG127">
        <f>Base_mundial!A126</f>
        <v/>
      </c>
      <c r="IH127">
        <f>Base_mundial!C126</f>
        <v/>
      </c>
      <c r="II127">
        <f>Base_mundial!E126-MIN(tope,DEGREES(ATAN(TAN(RADIANS(pe0-omega*Base_mundial!B126))*(Base_mundial!C126/sref)^(m_-1))))</f>
        <v/>
      </c>
      <c r="IJ127" t="n">
        <v>0</v>
      </c>
      <c r="IK127">
        <f>IF(IJ127=1,LN(IH127),"")</f>
        <v/>
      </c>
      <c r="IL127">
        <f>IF(IJ127=1,AVERAGEIFS(II3:II688,IG3:IG688,IG127,IJ3:IJ688,1),"")</f>
        <v/>
      </c>
      <c r="IM127">
        <f>IF(IJ127=1,II127-IL127,"")</f>
        <v/>
      </c>
      <c r="IN127" t="inlineStr">
        <is>
          <t>moderate</t>
        </is>
      </c>
      <c r="IO127">
        <f>IF(IN127="good",II127,NA())</f>
        <v/>
      </c>
      <c r="IP127">
        <f>IF(IN127="moderate",II127,NA())</f>
        <v/>
      </c>
      <c r="IQ127">
        <f>IF(IN127="low",II127,NA())</f>
        <v/>
      </c>
      <c r="IR127">
        <f>IF(AND(IN127="good",IJ127=1),IM127,NA())</f>
        <v/>
      </c>
      <c r="IS127">
        <f>IF(AND(IN127="moderate",IJ127=1),IM127,NA())</f>
        <v/>
      </c>
      <c r="IT127">
        <f>IF(AND(IN127="low",IJ127=1),IM127,NA())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  <c r="IG128">
        <f>Base_mundial!A127</f>
        <v/>
      </c>
      <c r="IH128">
        <f>Base_mundial!C127</f>
        <v/>
      </c>
      <c r="II128">
        <f>Base_mundial!E127-MIN(tope,DEGREES(ATAN(TAN(RADIANS(pe0-omega*Base_mundial!B127))*(Base_mundial!C127/sref)^(m_-1))))</f>
        <v/>
      </c>
      <c r="IJ128" t="n">
        <v>0</v>
      </c>
      <c r="IK128">
        <f>IF(IJ128=1,LN(IH128),"")</f>
        <v/>
      </c>
      <c r="IL128">
        <f>IF(IJ128=1,AVERAGEIFS(II3:II688,IG3:IG688,IG128,IJ3:IJ688,1),"")</f>
        <v/>
      </c>
      <c r="IM128">
        <f>IF(IJ128=1,II128-IL128,"")</f>
        <v/>
      </c>
      <c r="IN128" t="inlineStr">
        <is>
          <t>moderate</t>
        </is>
      </c>
      <c r="IO128">
        <f>IF(IN128="good",II128,NA())</f>
        <v/>
      </c>
      <c r="IP128">
        <f>IF(IN128="moderate",II128,NA())</f>
        <v/>
      </c>
      <c r="IQ128">
        <f>IF(IN128="low",II128,NA())</f>
        <v/>
      </c>
      <c r="IR128">
        <f>IF(AND(IN128="good",IJ128=1),IM128,NA())</f>
        <v/>
      </c>
      <c r="IS128">
        <f>IF(AND(IN128="moderate",IJ128=1),IM128,NA())</f>
        <v/>
      </c>
      <c r="IT128">
        <f>IF(AND(IN128="low",IJ128=1),IM128,NA())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  <c r="IG129">
        <f>Base_mundial!A128</f>
        <v/>
      </c>
      <c r="IH129">
        <f>Base_mundial!C128</f>
        <v/>
      </c>
      <c r="II129">
        <f>Base_mundial!E128-MIN(tope,DEGREES(ATAN(TAN(RADIANS(pe0-omega*Base_mundial!B128))*(Base_mundial!C128/sref)^(m_-1))))</f>
        <v/>
      </c>
      <c r="IJ129" t="n">
        <v>0</v>
      </c>
      <c r="IK129">
        <f>IF(IJ129=1,LN(IH129),"")</f>
        <v/>
      </c>
      <c r="IL129">
        <f>IF(IJ129=1,AVERAGEIFS(II3:II688,IG3:IG688,IG129,IJ3:IJ688,1),"")</f>
        <v/>
      </c>
      <c r="IM129">
        <f>IF(IJ129=1,II129-IL129,"")</f>
        <v/>
      </c>
      <c r="IN129" t="inlineStr">
        <is>
          <t>moderate</t>
        </is>
      </c>
      <c r="IO129">
        <f>IF(IN129="good",II129,NA())</f>
        <v/>
      </c>
      <c r="IP129">
        <f>IF(IN129="moderate",II129,NA())</f>
        <v/>
      </c>
      <c r="IQ129">
        <f>IF(IN129="low",II129,NA())</f>
        <v/>
      </c>
      <c r="IR129">
        <f>IF(AND(IN129="good",IJ129=1),IM129,NA())</f>
        <v/>
      </c>
      <c r="IS129">
        <f>IF(AND(IN129="moderate",IJ129=1),IM129,NA())</f>
        <v/>
      </c>
      <c r="IT129">
        <f>IF(AND(IN129="low",IJ129=1),IM129,NA())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  <c r="IG130">
        <f>Base_mundial!A129</f>
        <v/>
      </c>
      <c r="IH130">
        <f>Base_mundial!C129</f>
        <v/>
      </c>
      <c r="II130">
        <f>Base_mundial!E129-MIN(tope,DEGREES(ATAN(TAN(RADIANS(pe0-omega*Base_mundial!B129))*(Base_mundial!C129/sref)^(m_-1))))</f>
        <v/>
      </c>
      <c r="IJ130" t="n">
        <v>0</v>
      </c>
      <c r="IK130">
        <f>IF(IJ130=1,LN(IH130),"")</f>
        <v/>
      </c>
      <c r="IL130">
        <f>IF(IJ130=1,AVERAGEIFS(II3:II688,IG3:IG688,IG130,IJ3:IJ688,1),"")</f>
        <v/>
      </c>
      <c r="IM130">
        <f>IF(IJ130=1,II130-IL130,"")</f>
        <v/>
      </c>
      <c r="IN130" t="inlineStr">
        <is>
          <t>moderate</t>
        </is>
      </c>
      <c r="IO130">
        <f>IF(IN130="good",II130,NA())</f>
        <v/>
      </c>
      <c r="IP130">
        <f>IF(IN130="moderate",II130,NA())</f>
        <v/>
      </c>
      <c r="IQ130">
        <f>IF(IN130="low",II130,NA())</f>
        <v/>
      </c>
      <c r="IR130">
        <f>IF(AND(IN130="good",IJ130=1),IM130,NA())</f>
        <v/>
      </c>
      <c r="IS130">
        <f>IF(AND(IN130="moderate",IJ130=1),IM130,NA())</f>
        <v/>
      </c>
      <c r="IT130">
        <f>IF(AND(IN130="low",IJ130=1),IM130,NA())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  <c r="IG131">
        <f>Base_mundial!A130</f>
        <v/>
      </c>
      <c r="IH131">
        <f>Base_mundial!C130</f>
        <v/>
      </c>
      <c r="II131">
        <f>Base_mundial!E130-MIN(tope,DEGREES(ATAN(TAN(RADIANS(pe0-omega*Base_mundial!B130))*(Base_mundial!C130/sref)^(m_-1))))</f>
        <v/>
      </c>
      <c r="IJ131" t="n">
        <v>0</v>
      </c>
      <c r="IK131">
        <f>IF(IJ131=1,LN(IH131),"")</f>
        <v/>
      </c>
      <c r="IL131">
        <f>IF(IJ131=1,AVERAGEIFS(II3:II688,IG3:IG688,IG131,IJ3:IJ688,1),"")</f>
        <v/>
      </c>
      <c r="IM131">
        <f>IF(IJ131=1,II131-IL131,"")</f>
        <v/>
      </c>
      <c r="IN131" t="inlineStr">
        <is>
          <t>moderate</t>
        </is>
      </c>
      <c r="IO131">
        <f>IF(IN131="good",II131,NA())</f>
        <v/>
      </c>
      <c r="IP131">
        <f>IF(IN131="moderate",II131,NA())</f>
        <v/>
      </c>
      <c r="IQ131">
        <f>IF(IN131="low",II131,NA())</f>
        <v/>
      </c>
      <c r="IR131">
        <f>IF(AND(IN131="good",IJ131=1),IM131,NA())</f>
        <v/>
      </c>
      <c r="IS131">
        <f>IF(AND(IN131="moderate",IJ131=1),IM131,NA())</f>
        <v/>
      </c>
      <c r="IT131">
        <f>IF(AND(IN131="low",IJ131=1),IM131,NA())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  <c r="IG132">
        <f>Base_mundial!A131</f>
        <v/>
      </c>
      <c r="IH132">
        <f>Base_mundial!C131</f>
        <v/>
      </c>
      <c r="II132">
        <f>Base_mundial!E131-MIN(tope,DEGREES(ATAN(TAN(RADIANS(pe0-omega*Base_mundial!B131))*(Base_mundial!C131/sref)^(m_-1))))</f>
        <v/>
      </c>
      <c r="IJ132" t="n">
        <v>0</v>
      </c>
      <c r="IK132">
        <f>IF(IJ132=1,LN(IH132),"")</f>
        <v/>
      </c>
      <c r="IL132">
        <f>IF(IJ132=1,AVERAGEIFS(II3:II688,IG3:IG688,IG132,IJ3:IJ688,1),"")</f>
        <v/>
      </c>
      <c r="IM132">
        <f>IF(IJ132=1,II132-IL132,"")</f>
        <v/>
      </c>
      <c r="IN132" t="inlineStr">
        <is>
          <t>moderate</t>
        </is>
      </c>
      <c r="IO132">
        <f>IF(IN132="good",II132,NA())</f>
        <v/>
      </c>
      <c r="IP132">
        <f>IF(IN132="moderate",II132,NA())</f>
        <v/>
      </c>
      <c r="IQ132">
        <f>IF(IN132="low",II132,NA())</f>
        <v/>
      </c>
      <c r="IR132">
        <f>IF(AND(IN132="good",IJ132=1),IM132,NA())</f>
        <v/>
      </c>
      <c r="IS132">
        <f>IF(AND(IN132="moderate",IJ132=1),IM132,NA())</f>
        <v/>
      </c>
      <c r="IT132">
        <f>IF(AND(IN132="low",IJ132=1),IM132,NA())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  <c r="IG133">
        <f>Base_mundial!A132</f>
        <v/>
      </c>
      <c r="IH133">
        <f>Base_mundial!C132</f>
        <v/>
      </c>
      <c r="II133">
        <f>Base_mundial!E132-MIN(tope,DEGREES(ATAN(TAN(RADIANS(pe0-omega*Base_mundial!B132))*(Base_mundial!C132/sref)^(m_-1))))</f>
        <v/>
      </c>
      <c r="IJ133" t="n">
        <v>0</v>
      </c>
      <c r="IK133">
        <f>IF(IJ133=1,LN(IH133),"")</f>
        <v/>
      </c>
      <c r="IL133">
        <f>IF(IJ133=1,AVERAGEIFS(II3:II688,IG3:IG688,IG133,IJ3:IJ688,1),"")</f>
        <v/>
      </c>
      <c r="IM133">
        <f>IF(IJ133=1,II133-IL133,"")</f>
        <v/>
      </c>
      <c r="IN133" t="inlineStr">
        <is>
          <t>moderate</t>
        </is>
      </c>
      <c r="IO133">
        <f>IF(IN133="good",II133,NA())</f>
        <v/>
      </c>
      <c r="IP133">
        <f>IF(IN133="moderate",II133,NA())</f>
        <v/>
      </c>
      <c r="IQ133">
        <f>IF(IN133="low",II133,NA())</f>
        <v/>
      </c>
      <c r="IR133">
        <f>IF(AND(IN133="good",IJ133=1),IM133,NA())</f>
        <v/>
      </c>
      <c r="IS133">
        <f>IF(AND(IN133="moderate",IJ133=1),IM133,NA())</f>
        <v/>
      </c>
      <c r="IT133">
        <f>IF(AND(IN133="low",IJ133=1),IM133,NA())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  <c r="IG134">
        <f>Base_mundial!A133</f>
        <v/>
      </c>
      <c r="IH134">
        <f>Base_mundial!C133</f>
        <v/>
      </c>
      <c r="II134">
        <f>Base_mundial!E133-MIN(tope,DEGREES(ATAN(TAN(RADIANS(pe0-omega*Base_mundial!B133))*(Base_mundial!C133/sref)^(m_-1))))</f>
        <v/>
      </c>
      <c r="IJ134" t="n">
        <v>0</v>
      </c>
      <c r="IK134">
        <f>IF(IJ134=1,LN(IH134),"")</f>
        <v/>
      </c>
      <c r="IL134">
        <f>IF(IJ134=1,AVERAGEIFS(II3:II688,IG3:IG688,IG134,IJ3:IJ688,1),"")</f>
        <v/>
      </c>
      <c r="IM134">
        <f>IF(IJ134=1,II134-IL134,"")</f>
        <v/>
      </c>
      <c r="IN134" t="inlineStr">
        <is>
          <t>moderate</t>
        </is>
      </c>
      <c r="IO134">
        <f>IF(IN134="good",II134,NA())</f>
        <v/>
      </c>
      <c r="IP134">
        <f>IF(IN134="moderate",II134,NA())</f>
        <v/>
      </c>
      <c r="IQ134">
        <f>IF(IN134="low",II134,NA())</f>
        <v/>
      </c>
      <c r="IR134">
        <f>IF(AND(IN134="good",IJ134=1),IM134,NA())</f>
        <v/>
      </c>
      <c r="IS134">
        <f>IF(AND(IN134="moderate",IJ134=1),IM134,NA())</f>
        <v/>
      </c>
      <c r="IT134">
        <f>IF(AND(IN134="low",IJ134=1),IM134,NA())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  <c r="IG135">
        <f>Base_mundial!A134</f>
        <v/>
      </c>
      <c r="IH135">
        <f>Base_mundial!C134</f>
        <v/>
      </c>
      <c r="II135">
        <f>Base_mundial!E134-MIN(tope,DEGREES(ATAN(TAN(RADIANS(pe0-omega*Base_mundial!B134))*(Base_mundial!C134/sref)^(m_-1))))</f>
        <v/>
      </c>
      <c r="IJ135" t="n">
        <v>0</v>
      </c>
      <c r="IK135">
        <f>IF(IJ135=1,LN(IH135),"")</f>
        <v/>
      </c>
      <c r="IL135">
        <f>IF(IJ135=1,AVERAGEIFS(II3:II688,IG3:IG688,IG135,IJ3:IJ688,1),"")</f>
        <v/>
      </c>
      <c r="IM135">
        <f>IF(IJ135=1,II135-IL135,"")</f>
        <v/>
      </c>
      <c r="IN135" t="inlineStr">
        <is>
          <t>moderate</t>
        </is>
      </c>
      <c r="IO135">
        <f>IF(IN135="good",II135,NA())</f>
        <v/>
      </c>
      <c r="IP135">
        <f>IF(IN135="moderate",II135,NA())</f>
        <v/>
      </c>
      <c r="IQ135">
        <f>IF(IN135="low",II135,NA())</f>
        <v/>
      </c>
      <c r="IR135">
        <f>IF(AND(IN135="good",IJ135=1),IM135,NA())</f>
        <v/>
      </c>
      <c r="IS135">
        <f>IF(AND(IN135="moderate",IJ135=1),IM135,NA())</f>
        <v/>
      </c>
      <c r="IT135">
        <f>IF(AND(IN135="low",IJ135=1),IM135,NA())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  <c r="IG136">
        <f>Base_mundial!A135</f>
        <v/>
      </c>
      <c r="IH136">
        <f>Base_mundial!C135</f>
        <v/>
      </c>
      <c r="II136">
        <f>Base_mundial!E135-MIN(tope,DEGREES(ATAN(TAN(RADIANS(pe0-omega*Base_mundial!B135))*(Base_mundial!C135/sref)^(m_-1))))</f>
        <v/>
      </c>
      <c r="IJ136" t="n">
        <v>0</v>
      </c>
      <c r="IK136">
        <f>IF(IJ136=1,LN(IH136),"")</f>
        <v/>
      </c>
      <c r="IL136">
        <f>IF(IJ136=1,AVERAGEIFS(II3:II688,IG3:IG688,IG136,IJ3:IJ688,1),"")</f>
        <v/>
      </c>
      <c r="IM136">
        <f>IF(IJ136=1,II136-IL136,"")</f>
        <v/>
      </c>
      <c r="IN136" t="inlineStr">
        <is>
          <t>moderate</t>
        </is>
      </c>
      <c r="IO136">
        <f>IF(IN136="good",II136,NA())</f>
        <v/>
      </c>
      <c r="IP136">
        <f>IF(IN136="moderate",II136,NA())</f>
        <v/>
      </c>
      <c r="IQ136">
        <f>IF(IN136="low",II136,NA())</f>
        <v/>
      </c>
      <c r="IR136">
        <f>IF(AND(IN136="good",IJ136=1),IM136,NA())</f>
        <v/>
      </c>
      <c r="IS136">
        <f>IF(AND(IN136="moderate",IJ136=1),IM136,NA())</f>
        <v/>
      </c>
      <c r="IT136">
        <f>IF(AND(IN136="low",IJ136=1),IM136,NA())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  <c r="IG137">
        <f>Base_mundial!A136</f>
        <v/>
      </c>
      <c r="IH137">
        <f>Base_mundial!C136</f>
        <v/>
      </c>
      <c r="II137">
        <f>Base_mundial!E136-MIN(tope,DEGREES(ATAN(TAN(RADIANS(pe0-omega*Base_mundial!B136))*(Base_mundial!C136/sref)^(m_-1))))</f>
        <v/>
      </c>
      <c r="IJ137" t="n">
        <v>0</v>
      </c>
      <c r="IK137">
        <f>IF(IJ137=1,LN(IH137),"")</f>
        <v/>
      </c>
      <c r="IL137">
        <f>IF(IJ137=1,AVERAGEIFS(II3:II688,IG3:IG688,IG137,IJ3:IJ688,1),"")</f>
        <v/>
      </c>
      <c r="IM137">
        <f>IF(IJ137=1,II137-IL137,"")</f>
        <v/>
      </c>
      <c r="IN137" t="inlineStr">
        <is>
          <t>moderate</t>
        </is>
      </c>
      <c r="IO137">
        <f>IF(IN137="good",II137,NA())</f>
        <v/>
      </c>
      <c r="IP137">
        <f>IF(IN137="moderate",II137,NA())</f>
        <v/>
      </c>
      <c r="IQ137">
        <f>IF(IN137="low",II137,NA())</f>
        <v/>
      </c>
      <c r="IR137">
        <f>IF(AND(IN137="good",IJ137=1),IM137,NA())</f>
        <v/>
      </c>
      <c r="IS137">
        <f>IF(AND(IN137="moderate",IJ137=1),IM137,NA())</f>
        <v/>
      </c>
      <c r="IT137">
        <f>IF(AND(IN137="low",IJ137=1),IM137,NA())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  <c r="IG138">
        <f>Base_mundial!A137</f>
        <v/>
      </c>
      <c r="IH138">
        <f>Base_mundial!C137</f>
        <v/>
      </c>
      <c r="II138">
        <f>Base_mundial!E137-MIN(tope,DEGREES(ATAN(TAN(RADIANS(pe0-omega*Base_mundial!B137))*(Base_mundial!C137/sref)^(m_-1))))</f>
        <v/>
      </c>
      <c r="IJ138" t="n">
        <v>0</v>
      </c>
      <c r="IK138">
        <f>IF(IJ138=1,LN(IH138),"")</f>
        <v/>
      </c>
      <c r="IL138">
        <f>IF(IJ138=1,AVERAGEIFS(II3:II688,IG3:IG688,IG138,IJ3:IJ688,1),"")</f>
        <v/>
      </c>
      <c r="IM138">
        <f>IF(IJ138=1,II138-IL138,"")</f>
        <v/>
      </c>
      <c r="IN138" t="inlineStr">
        <is>
          <t>moderate</t>
        </is>
      </c>
      <c r="IO138">
        <f>IF(IN138="good",II138,NA())</f>
        <v/>
      </c>
      <c r="IP138">
        <f>IF(IN138="moderate",II138,NA())</f>
        <v/>
      </c>
      <c r="IQ138">
        <f>IF(IN138="low",II138,NA())</f>
        <v/>
      </c>
      <c r="IR138">
        <f>IF(AND(IN138="good",IJ138=1),IM138,NA())</f>
        <v/>
      </c>
      <c r="IS138">
        <f>IF(AND(IN138="moderate",IJ138=1),IM138,NA())</f>
        <v/>
      </c>
      <c r="IT138">
        <f>IF(AND(IN138="low",IJ138=1),IM138,NA())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  <c r="IG139">
        <f>Base_mundial!A138</f>
        <v/>
      </c>
      <c r="IH139">
        <f>Base_mundial!C138</f>
        <v/>
      </c>
      <c r="II139">
        <f>Base_mundial!E138-MIN(tope,DEGREES(ATAN(TAN(RADIANS(pe0-omega*Base_mundial!B138))*(Base_mundial!C138/sref)^(m_-1))))</f>
        <v/>
      </c>
      <c r="IJ139" t="n">
        <v>0</v>
      </c>
      <c r="IK139">
        <f>IF(IJ139=1,LN(IH139),"")</f>
        <v/>
      </c>
      <c r="IL139">
        <f>IF(IJ139=1,AVERAGEIFS(II3:II688,IG3:IG688,IG139,IJ3:IJ688,1),"")</f>
        <v/>
      </c>
      <c r="IM139">
        <f>IF(IJ139=1,II139-IL139,"")</f>
        <v/>
      </c>
      <c r="IN139" t="inlineStr">
        <is>
          <t>moderate</t>
        </is>
      </c>
      <c r="IO139">
        <f>IF(IN139="good",II139,NA())</f>
        <v/>
      </c>
      <c r="IP139">
        <f>IF(IN139="moderate",II139,NA())</f>
        <v/>
      </c>
      <c r="IQ139">
        <f>IF(IN139="low",II139,NA())</f>
        <v/>
      </c>
      <c r="IR139">
        <f>IF(AND(IN139="good",IJ139=1),IM139,NA())</f>
        <v/>
      </c>
      <c r="IS139">
        <f>IF(AND(IN139="moderate",IJ139=1),IM139,NA())</f>
        <v/>
      </c>
      <c r="IT139">
        <f>IF(AND(IN139="low",IJ139=1),IM139,NA())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  <c r="IG140">
        <f>Base_mundial!A139</f>
        <v/>
      </c>
      <c r="IH140">
        <f>Base_mundial!C139</f>
        <v/>
      </c>
      <c r="II140">
        <f>Base_mundial!E139-MIN(tope,DEGREES(ATAN(TAN(RADIANS(pe0-omega*Base_mundial!B139))*(Base_mundial!C139/sref)^(m_-1))))</f>
        <v/>
      </c>
      <c r="IJ140" t="n">
        <v>0</v>
      </c>
      <c r="IK140">
        <f>IF(IJ140=1,LN(IH140),"")</f>
        <v/>
      </c>
      <c r="IL140">
        <f>IF(IJ140=1,AVERAGEIFS(II3:II688,IG3:IG688,IG140,IJ3:IJ688,1),"")</f>
        <v/>
      </c>
      <c r="IM140">
        <f>IF(IJ140=1,II140-IL140,"")</f>
        <v/>
      </c>
      <c r="IN140" t="inlineStr">
        <is>
          <t>moderate</t>
        </is>
      </c>
      <c r="IO140">
        <f>IF(IN140="good",II140,NA())</f>
        <v/>
      </c>
      <c r="IP140">
        <f>IF(IN140="moderate",II140,NA())</f>
        <v/>
      </c>
      <c r="IQ140">
        <f>IF(IN140="low",II140,NA())</f>
        <v/>
      </c>
      <c r="IR140">
        <f>IF(AND(IN140="good",IJ140=1),IM140,NA())</f>
        <v/>
      </c>
      <c r="IS140">
        <f>IF(AND(IN140="moderate",IJ140=1),IM140,NA())</f>
        <v/>
      </c>
      <c r="IT140">
        <f>IF(AND(IN140="low",IJ140=1),IM140,NA())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  <c r="IG141">
        <f>Base_mundial!A140</f>
        <v/>
      </c>
      <c r="IH141">
        <f>Base_mundial!C140</f>
        <v/>
      </c>
      <c r="II141">
        <f>Base_mundial!E140-MIN(tope,DEGREES(ATAN(TAN(RADIANS(pe0-omega*Base_mundial!B140))*(Base_mundial!C140/sref)^(m_-1))))</f>
        <v/>
      </c>
      <c r="IJ141" t="n">
        <v>0</v>
      </c>
      <c r="IK141">
        <f>IF(IJ141=1,LN(IH141),"")</f>
        <v/>
      </c>
      <c r="IL141">
        <f>IF(IJ141=1,AVERAGEIFS(II3:II688,IG3:IG688,IG141,IJ3:IJ688,1),"")</f>
        <v/>
      </c>
      <c r="IM141">
        <f>IF(IJ141=1,II141-IL141,"")</f>
        <v/>
      </c>
      <c r="IN141" t="inlineStr">
        <is>
          <t>moderate</t>
        </is>
      </c>
      <c r="IO141">
        <f>IF(IN141="good",II141,NA())</f>
        <v/>
      </c>
      <c r="IP141">
        <f>IF(IN141="moderate",II141,NA())</f>
        <v/>
      </c>
      <c r="IQ141">
        <f>IF(IN141="low",II141,NA())</f>
        <v/>
      </c>
      <c r="IR141">
        <f>IF(AND(IN141="good",IJ141=1),IM141,NA())</f>
        <v/>
      </c>
      <c r="IS141">
        <f>IF(AND(IN141="moderate",IJ141=1),IM141,NA())</f>
        <v/>
      </c>
      <c r="IT141">
        <f>IF(AND(IN141="low",IJ141=1),IM141,NA())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  <c r="IG142">
        <f>Base_mundial!A141</f>
        <v/>
      </c>
      <c r="IH142">
        <f>Base_mundial!C141</f>
        <v/>
      </c>
      <c r="II142">
        <f>Base_mundial!E141-MIN(tope,DEGREES(ATAN(TAN(RADIANS(pe0-omega*Base_mundial!B141))*(Base_mundial!C141/sref)^(m_-1))))</f>
        <v/>
      </c>
      <c r="IJ142" t="n">
        <v>0</v>
      </c>
      <c r="IK142">
        <f>IF(IJ142=1,LN(IH142),"")</f>
        <v/>
      </c>
      <c r="IL142">
        <f>IF(IJ142=1,AVERAGEIFS(II3:II688,IG3:IG688,IG142,IJ3:IJ688,1),"")</f>
        <v/>
      </c>
      <c r="IM142">
        <f>IF(IJ142=1,II142-IL142,"")</f>
        <v/>
      </c>
      <c r="IN142" t="inlineStr">
        <is>
          <t>moderate</t>
        </is>
      </c>
      <c r="IO142">
        <f>IF(IN142="good",II142,NA())</f>
        <v/>
      </c>
      <c r="IP142">
        <f>IF(IN142="moderate",II142,NA())</f>
        <v/>
      </c>
      <c r="IQ142">
        <f>IF(IN142="low",II142,NA())</f>
        <v/>
      </c>
      <c r="IR142">
        <f>IF(AND(IN142="good",IJ142=1),IM142,NA())</f>
        <v/>
      </c>
      <c r="IS142">
        <f>IF(AND(IN142="moderate",IJ142=1),IM142,NA())</f>
        <v/>
      </c>
      <c r="IT142">
        <f>IF(AND(IN142="low",IJ142=1),IM142,NA())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  <c r="IG143">
        <f>Base_mundial!A142</f>
        <v/>
      </c>
      <c r="IH143">
        <f>Base_mundial!C142</f>
        <v/>
      </c>
      <c r="II143">
        <f>Base_mundial!E142-MIN(tope,DEGREES(ATAN(TAN(RADIANS(pe0-omega*Base_mundial!B142))*(Base_mundial!C142/sref)^(m_-1))))</f>
        <v/>
      </c>
      <c r="IJ143" t="n">
        <v>0</v>
      </c>
      <c r="IK143">
        <f>IF(IJ143=1,LN(IH143),"")</f>
        <v/>
      </c>
      <c r="IL143">
        <f>IF(IJ143=1,AVERAGEIFS(II3:II688,IG3:IG688,IG143,IJ3:IJ688,1),"")</f>
        <v/>
      </c>
      <c r="IM143">
        <f>IF(IJ143=1,II143-IL143,"")</f>
        <v/>
      </c>
      <c r="IN143" t="inlineStr">
        <is>
          <t>moderate</t>
        </is>
      </c>
      <c r="IO143">
        <f>IF(IN143="good",II143,NA())</f>
        <v/>
      </c>
      <c r="IP143">
        <f>IF(IN143="moderate",II143,NA())</f>
        <v/>
      </c>
      <c r="IQ143">
        <f>IF(IN143="low",II143,NA())</f>
        <v/>
      </c>
      <c r="IR143">
        <f>IF(AND(IN143="good",IJ143=1),IM143,NA())</f>
        <v/>
      </c>
      <c r="IS143">
        <f>IF(AND(IN143="moderate",IJ143=1),IM143,NA())</f>
        <v/>
      </c>
      <c r="IT143">
        <f>IF(AND(IN143="low",IJ143=1),IM143,NA())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  <c r="IG144">
        <f>Base_mundial!A143</f>
        <v/>
      </c>
      <c r="IH144">
        <f>Base_mundial!C143</f>
        <v/>
      </c>
      <c r="II144">
        <f>Base_mundial!E143-MIN(tope,DEGREES(ATAN(TAN(RADIANS(pe0-omega*Base_mundial!B143))*(Base_mundial!C143/sref)^(m_-1))))</f>
        <v/>
      </c>
      <c r="IJ144" t="n">
        <v>0</v>
      </c>
      <c r="IK144">
        <f>IF(IJ144=1,LN(IH144),"")</f>
        <v/>
      </c>
      <c r="IL144">
        <f>IF(IJ144=1,AVERAGEIFS(II3:II688,IG3:IG688,IG144,IJ3:IJ688,1),"")</f>
        <v/>
      </c>
      <c r="IM144">
        <f>IF(IJ144=1,II144-IL144,"")</f>
        <v/>
      </c>
      <c r="IN144" t="inlineStr">
        <is>
          <t>moderate</t>
        </is>
      </c>
      <c r="IO144">
        <f>IF(IN144="good",II144,NA())</f>
        <v/>
      </c>
      <c r="IP144">
        <f>IF(IN144="moderate",II144,NA())</f>
        <v/>
      </c>
      <c r="IQ144">
        <f>IF(IN144="low",II144,NA())</f>
        <v/>
      </c>
      <c r="IR144">
        <f>IF(AND(IN144="good",IJ144=1),IM144,NA())</f>
        <v/>
      </c>
      <c r="IS144">
        <f>IF(AND(IN144="moderate",IJ144=1),IM144,NA())</f>
        <v/>
      </c>
      <c r="IT144">
        <f>IF(AND(IN144="low",IJ144=1),IM144,NA())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  <c r="IG145">
        <f>Base_mundial!A144</f>
        <v/>
      </c>
      <c r="IH145">
        <f>Base_mundial!C144</f>
        <v/>
      </c>
      <c r="II145">
        <f>Base_mundial!E144-MIN(tope,DEGREES(ATAN(TAN(RADIANS(pe0-omega*Base_mundial!B144))*(Base_mundial!C144/sref)^(m_-1))))</f>
        <v/>
      </c>
      <c r="IJ145" t="n">
        <v>0</v>
      </c>
      <c r="IK145">
        <f>IF(IJ145=1,LN(IH145),"")</f>
        <v/>
      </c>
      <c r="IL145">
        <f>IF(IJ145=1,AVERAGEIFS(II3:II688,IG3:IG688,IG145,IJ3:IJ688,1),"")</f>
        <v/>
      </c>
      <c r="IM145">
        <f>IF(IJ145=1,II145-IL145,"")</f>
        <v/>
      </c>
      <c r="IN145" t="inlineStr">
        <is>
          <t>moderate</t>
        </is>
      </c>
      <c r="IO145">
        <f>IF(IN145="good",II145,NA())</f>
        <v/>
      </c>
      <c r="IP145">
        <f>IF(IN145="moderate",II145,NA())</f>
        <v/>
      </c>
      <c r="IQ145">
        <f>IF(IN145="low",II145,NA())</f>
        <v/>
      </c>
      <c r="IR145">
        <f>IF(AND(IN145="good",IJ145=1),IM145,NA())</f>
        <v/>
      </c>
      <c r="IS145">
        <f>IF(AND(IN145="moderate",IJ145=1),IM145,NA())</f>
        <v/>
      </c>
      <c r="IT145">
        <f>IF(AND(IN145="low",IJ145=1),IM145,NA())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  <c r="IG146">
        <f>Base_mundial!A145</f>
        <v/>
      </c>
      <c r="IH146">
        <f>Base_mundial!C145</f>
        <v/>
      </c>
      <c r="II146">
        <f>Base_mundial!E145-MIN(tope,DEGREES(ATAN(TAN(RADIANS(pe0-omega*Base_mundial!B145))*(Base_mundial!C145/sref)^(m_-1))))</f>
        <v/>
      </c>
      <c r="IJ146" t="n">
        <v>0</v>
      </c>
      <c r="IK146">
        <f>IF(IJ146=1,LN(IH146),"")</f>
        <v/>
      </c>
      <c r="IL146">
        <f>IF(IJ146=1,AVERAGEIFS(II3:II688,IG3:IG688,IG146,IJ3:IJ688,1),"")</f>
        <v/>
      </c>
      <c r="IM146">
        <f>IF(IJ146=1,II146-IL146,"")</f>
        <v/>
      </c>
      <c r="IN146" t="inlineStr">
        <is>
          <t>moderate</t>
        </is>
      </c>
      <c r="IO146">
        <f>IF(IN146="good",II146,NA())</f>
        <v/>
      </c>
      <c r="IP146">
        <f>IF(IN146="moderate",II146,NA())</f>
        <v/>
      </c>
      <c r="IQ146">
        <f>IF(IN146="low",II146,NA())</f>
        <v/>
      </c>
      <c r="IR146">
        <f>IF(AND(IN146="good",IJ146=1),IM146,NA())</f>
        <v/>
      </c>
      <c r="IS146">
        <f>IF(AND(IN146="moderate",IJ146=1),IM146,NA())</f>
        <v/>
      </c>
      <c r="IT146">
        <f>IF(AND(IN146="low",IJ146=1),IM146,NA())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  <c r="IG147">
        <f>Base_mundial!A146</f>
        <v/>
      </c>
      <c r="IH147">
        <f>Base_mundial!C146</f>
        <v/>
      </c>
      <c r="II147">
        <f>Base_mundial!E146-MIN(tope,DEGREES(ATAN(TAN(RADIANS(pe0-omega*Base_mundial!B146))*(Base_mundial!C146/sref)^(m_-1))))</f>
        <v/>
      </c>
      <c r="IJ147" t="n">
        <v>0</v>
      </c>
      <c r="IK147">
        <f>IF(IJ147=1,LN(IH147),"")</f>
        <v/>
      </c>
      <c r="IL147">
        <f>IF(IJ147=1,AVERAGEIFS(II3:II688,IG3:IG688,IG147,IJ3:IJ688,1),"")</f>
        <v/>
      </c>
      <c r="IM147">
        <f>IF(IJ147=1,II147-IL147,"")</f>
        <v/>
      </c>
      <c r="IN147" t="inlineStr">
        <is>
          <t>moderate</t>
        </is>
      </c>
      <c r="IO147">
        <f>IF(IN147="good",II147,NA())</f>
        <v/>
      </c>
      <c r="IP147">
        <f>IF(IN147="moderate",II147,NA())</f>
        <v/>
      </c>
      <c r="IQ147">
        <f>IF(IN147="low",II147,NA())</f>
        <v/>
      </c>
      <c r="IR147">
        <f>IF(AND(IN147="good",IJ147=1),IM147,NA())</f>
        <v/>
      </c>
      <c r="IS147">
        <f>IF(AND(IN147="moderate",IJ147=1),IM147,NA())</f>
        <v/>
      </c>
      <c r="IT147">
        <f>IF(AND(IN147="low",IJ147=1),IM147,NA())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  <c r="IG148">
        <f>Base_mundial!A147</f>
        <v/>
      </c>
      <c r="IH148">
        <f>Base_mundial!C147</f>
        <v/>
      </c>
      <c r="II148">
        <f>Base_mundial!E147-MIN(tope,DEGREES(ATAN(TAN(RADIANS(pe0-omega*Base_mundial!B147))*(Base_mundial!C147/sref)^(m_-1))))</f>
        <v/>
      </c>
      <c r="IJ148" t="n">
        <v>0</v>
      </c>
      <c r="IK148">
        <f>IF(IJ148=1,LN(IH148),"")</f>
        <v/>
      </c>
      <c r="IL148">
        <f>IF(IJ148=1,AVERAGEIFS(II3:II688,IG3:IG688,IG148,IJ3:IJ688,1),"")</f>
        <v/>
      </c>
      <c r="IM148">
        <f>IF(IJ148=1,II148-IL148,"")</f>
        <v/>
      </c>
      <c r="IN148" t="inlineStr">
        <is>
          <t>moderate</t>
        </is>
      </c>
      <c r="IO148">
        <f>IF(IN148="good",II148,NA())</f>
        <v/>
      </c>
      <c r="IP148">
        <f>IF(IN148="moderate",II148,NA())</f>
        <v/>
      </c>
      <c r="IQ148">
        <f>IF(IN148="low",II148,NA())</f>
        <v/>
      </c>
      <c r="IR148">
        <f>IF(AND(IN148="good",IJ148=1),IM148,NA())</f>
        <v/>
      </c>
      <c r="IS148">
        <f>IF(AND(IN148="moderate",IJ148=1),IM148,NA())</f>
        <v/>
      </c>
      <c r="IT148">
        <f>IF(AND(IN148="low",IJ148=1),IM148,NA())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  <c r="IG149">
        <f>Base_mundial!A148</f>
        <v/>
      </c>
      <c r="IH149">
        <f>Base_mundial!C148</f>
        <v/>
      </c>
      <c r="II149">
        <f>Base_mundial!E148-MIN(tope,DEGREES(ATAN(TAN(RADIANS(pe0-omega*Base_mundial!B148))*(Base_mundial!C148/sref)^(m_-1))))</f>
        <v/>
      </c>
      <c r="IJ149" t="n">
        <v>0</v>
      </c>
      <c r="IK149">
        <f>IF(IJ149=1,LN(IH149),"")</f>
        <v/>
      </c>
      <c r="IL149">
        <f>IF(IJ149=1,AVERAGEIFS(II3:II688,IG3:IG688,IG149,IJ3:IJ688,1),"")</f>
        <v/>
      </c>
      <c r="IM149">
        <f>IF(IJ149=1,II149-IL149,"")</f>
        <v/>
      </c>
      <c r="IN149" t="inlineStr">
        <is>
          <t>moderate</t>
        </is>
      </c>
      <c r="IO149">
        <f>IF(IN149="good",II149,NA())</f>
        <v/>
      </c>
      <c r="IP149">
        <f>IF(IN149="moderate",II149,NA())</f>
        <v/>
      </c>
      <c r="IQ149">
        <f>IF(IN149="low",II149,NA())</f>
        <v/>
      </c>
      <c r="IR149">
        <f>IF(AND(IN149="good",IJ149=1),IM149,NA())</f>
        <v/>
      </c>
      <c r="IS149">
        <f>IF(AND(IN149="moderate",IJ149=1),IM149,NA())</f>
        <v/>
      </c>
      <c r="IT149">
        <f>IF(AND(IN149="low",IJ149=1),IM149,NA())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  <c r="IG150">
        <f>Base_mundial!A149</f>
        <v/>
      </c>
      <c r="IH150">
        <f>Base_mundial!C149</f>
        <v/>
      </c>
      <c r="II150">
        <f>Base_mundial!E149-MIN(tope,DEGREES(ATAN(TAN(RADIANS(pe0-omega*Base_mundial!B149))*(Base_mundial!C149/sref)^(m_-1))))</f>
        <v/>
      </c>
      <c r="IJ150" t="n">
        <v>0</v>
      </c>
      <c r="IK150">
        <f>IF(IJ150=1,LN(IH150),"")</f>
        <v/>
      </c>
      <c r="IL150">
        <f>IF(IJ150=1,AVERAGEIFS(II3:II688,IG3:IG688,IG150,IJ3:IJ688,1),"")</f>
        <v/>
      </c>
      <c r="IM150">
        <f>IF(IJ150=1,II150-IL150,"")</f>
        <v/>
      </c>
      <c r="IN150" t="inlineStr">
        <is>
          <t>moderate</t>
        </is>
      </c>
      <c r="IO150">
        <f>IF(IN150="good",II150,NA())</f>
        <v/>
      </c>
      <c r="IP150">
        <f>IF(IN150="moderate",II150,NA())</f>
        <v/>
      </c>
      <c r="IQ150">
        <f>IF(IN150="low",II150,NA())</f>
        <v/>
      </c>
      <c r="IR150">
        <f>IF(AND(IN150="good",IJ150=1),IM150,NA())</f>
        <v/>
      </c>
      <c r="IS150">
        <f>IF(AND(IN150="moderate",IJ150=1),IM150,NA())</f>
        <v/>
      </c>
      <c r="IT150">
        <f>IF(AND(IN150="low",IJ150=1),IM150,NA())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  <c r="IG151">
        <f>Base_mundial!A150</f>
        <v/>
      </c>
      <c r="IH151">
        <f>Base_mundial!C150</f>
        <v/>
      </c>
      <c r="II151">
        <f>Base_mundial!E150-MIN(tope,DEGREES(ATAN(TAN(RADIANS(pe0-omega*Base_mundial!B150))*(Base_mundial!C150/sref)^(m_-1))))</f>
        <v/>
      </c>
      <c r="IJ151" t="n">
        <v>0</v>
      </c>
      <c r="IK151">
        <f>IF(IJ151=1,LN(IH151),"")</f>
        <v/>
      </c>
      <c r="IL151">
        <f>IF(IJ151=1,AVERAGEIFS(II3:II688,IG3:IG688,IG151,IJ3:IJ688,1),"")</f>
        <v/>
      </c>
      <c r="IM151">
        <f>IF(IJ151=1,II151-IL151,"")</f>
        <v/>
      </c>
      <c r="IN151" t="inlineStr">
        <is>
          <t>moderate</t>
        </is>
      </c>
      <c r="IO151">
        <f>IF(IN151="good",II151,NA())</f>
        <v/>
      </c>
      <c r="IP151">
        <f>IF(IN151="moderate",II151,NA())</f>
        <v/>
      </c>
      <c r="IQ151">
        <f>IF(IN151="low",II151,NA())</f>
        <v/>
      </c>
      <c r="IR151">
        <f>IF(AND(IN151="good",IJ151=1),IM151,NA())</f>
        <v/>
      </c>
      <c r="IS151">
        <f>IF(AND(IN151="moderate",IJ151=1),IM151,NA())</f>
        <v/>
      </c>
      <c r="IT151">
        <f>IF(AND(IN151="low",IJ151=1),IM151,NA())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  <c r="IG152">
        <f>Base_mundial!A151</f>
        <v/>
      </c>
      <c r="IH152">
        <f>Base_mundial!C151</f>
        <v/>
      </c>
      <c r="II152">
        <f>Base_mundial!E151-MIN(tope,DEGREES(ATAN(TAN(RADIANS(pe0-omega*Base_mundial!B151))*(Base_mundial!C151/sref)^(m_-1))))</f>
        <v/>
      </c>
      <c r="IJ152" t="n">
        <v>0</v>
      </c>
      <c r="IK152">
        <f>IF(IJ152=1,LN(IH152),"")</f>
        <v/>
      </c>
      <c r="IL152">
        <f>IF(IJ152=1,AVERAGEIFS(II3:II688,IG3:IG688,IG152,IJ3:IJ688,1),"")</f>
        <v/>
      </c>
      <c r="IM152">
        <f>IF(IJ152=1,II152-IL152,"")</f>
        <v/>
      </c>
      <c r="IN152" t="inlineStr">
        <is>
          <t>moderate</t>
        </is>
      </c>
      <c r="IO152">
        <f>IF(IN152="good",II152,NA())</f>
        <v/>
      </c>
      <c r="IP152">
        <f>IF(IN152="moderate",II152,NA())</f>
        <v/>
      </c>
      <c r="IQ152">
        <f>IF(IN152="low",II152,NA())</f>
        <v/>
      </c>
      <c r="IR152">
        <f>IF(AND(IN152="good",IJ152=1),IM152,NA())</f>
        <v/>
      </c>
      <c r="IS152">
        <f>IF(AND(IN152="moderate",IJ152=1),IM152,NA())</f>
        <v/>
      </c>
      <c r="IT152">
        <f>IF(AND(IN152="low",IJ152=1),IM152,NA())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  <c r="IG153">
        <f>Base_mundial!A152</f>
        <v/>
      </c>
      <c r="IH153">
        <f>Base_mundial!C152</f>
        <v/>
      </c>
      <c r="II153">
        <f>Base_mundial!E152-MIN(tope,DEGREES(ATAN(TAN(RADIANS(pe0-omega*Base_mundial!B152))*(Base_mundial!C152/sref)^(m_-1))))</f>
        <v/>
      </c>
      <c r="IJ153" t="n">
        <v>0</v>
      </c>
      <c r="IK153">
        <f>IF(IJ153=1,LN(IH153),"")</f>
        <v/>
      </c>
      <c r="IL153">
        <f>IF(IJ153=1,AVERAGEIFS(II3:II688,IG3:IG688,IG153,IJ3:IJ688,1),"")</f>
        <v/>
      </c>
      <c r="IM153">
        <f>IF(IJ153=1,II153-IL153,"")</f>
        <v/>
      </c>
      <c r="IN153" t="inlineStr">
        <is>
          <t>moderate</t>
        </is>
      </c>
      <c r="IO153">
        <f>IF(IN153="good",II153,NA())</f>
        <v/>
      </c>
      <c r="IP153">
        <f>IF(IN153="moderate",II153,NA())</f>
        <v/>
      </c>
      <c r="IQ153">
        <f>IF(IN153="low",II153,NA())</f>
        <v/>
      </c>
      <c r="IR153">
        <f>IF(AND(IN153="good",IJ153=1),IM153,NA())</f>
        <v/>
      </c>
      <c r="IS153">
        <f>IF(AND(IN153="moderate",IJ153=1),IM153,NA())</f>
        <v/>
      </c>
      <c r="IT153">
        <f>IF(AND(IN153="low",IJ153=1),IM153,NA())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  <c r="IG154">
        <f>Base_mundial!A153</f>
        <v/>
      </c>
      <c r="IH154">
        <f>Base_mundial!C153</f>
        <v/>
      </c>
      <c r="II154">
        <f>Base_mundial!E153-MIN(tope,DEGREES(ATAN(TAN(RADIANS(pe0-omega*Base_mundial!B153))*(Base_mundial!C153/sref)^(m_-1))))</f>
        <v/>
      </c>
      <c r="IJ154" t="n">
        <v>0</v>
      </c>
      <c r="IK154">
        <f>IF(IJ154=1,LN(IH154),"")</f>
        <v/>
      </c>
      <c r="IL154">
        <f>IF(IJ154=1,AVERAGEIFS(II3:II688,IG3:IG688,IG154,IJ3:IJ688,1),"")</f>
        <v/>
      </c>
      <c r="IM154">
        <f>IF(IJ154=1,II154-IL154,"")</f>
        <v/>
      </c>
      <c r="IN154" t="inlineStr">
        <is>
          <t>moderate</t>
        </is>
      </c>
      <c r="IO154">
        <f>IF(IN154="good",II154,NA())</f>
        <v/>
      </c>
      <c r="IP154">
        <f>IF(IN154="moderate",II154,NA())</f>
        <v/>
      </c>
      <c r="IQ154">
        <f>IF(IN154="low",II154,NA())</f>
        <v/>
      </c>
      <c r="IR154">
        <f>IF(AND(IN154="good",IJ154=1),IM154,NA())</f>
        <v/>
      </c>
      <c r="IS154">
        <f>IF(AND(IN154="moderate",IJ154=1),IM154,NA())</f>
        <v/>
      </c>
      <c r="IT154">
        <f>IF(AND(IN154="low",IJ154=1),IM154,NA())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  <c r="IG155">
        <f>Base_mundial!A154</f>
        <v/>
      </c>
      <c r="IH155">
        <f>Base_mundial!C154</f>
        <v/>
      </c>
      <c r="II155">
        <f>Base_mundial!E154-MIN(tope,DEGREES(ATAN(TAN(RADIANS(pe0-omega*Base_mundial!B154))*(Base_mundial!C154/sref)^(m_-1))))</f>
        <v/>
      </c>
      <c r="IJ155" t="n">
        <v>0</v>
      </c>
      <c r="IK155">
        <f>IF(IJ155=1,LN(IH155),"")</f>
        <v/>
      </c>
      <c r="IL155">
        <f>IF(IJ155=1,AVERAGEIFS(II3:II688,IG3:IG688,IG155,IJ3:IJ688,1),"")</f>
        <v/>
      </c>
      <c r="IM155">
        <f>IF(IJ155=1,II155-IL155,"")</f>
        <v/>
      </c>
      <c r="IN155" t="inlineStr">
        <is>
          <t>moderate</t>
        </is>
      </c>
      <c r="IO155">
        <f>IF(IN155="good",II155,NA())</f>
        <v/>
      </c>
      <c r="IP155">
        <f>IF(IN155="moderate",II155,NA())</f>
        <v/>
      </c>
      <c r="IQ155">
        <f>IF(IN155="low",II155,NA())</f>
        <v/>
      </c>
      <c r="IR155">
        <f>IF(AND(IN155="good",IJ155=1),IM155,NA())</f>
        <v/>
      </c>
      <c r="IS155">
        <f>IF(AND(IN155="moderate",IJ155=1),IM155,NA())</f>
        <v/>
      </c>
      <c r="IT155">
        <f>IF(AND(IN155="low",IJ155=1),IM155,NA())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  <c r="IG156">
        <f>Base_mundial!A155</f>
        <v/>
      </c>
      <c r="IH156">
        <f>Base_mundial!C155</f>
        <v/>
      </c>
      <c r="II156">
        <f>Base_mundial!E155-MIN(tope,DEGREES(ATAN(TAN(RADIANS(pe0-omega*Base_mundial!B155))*(Base_mundial!C155/sref)^(m_-1))))</f>
        <v/>
      </c>
      <c r="IJ156" t="n">
        <v>1</v>
      </c>
      <c r="IK156">
        <f>IF(IJ156=1,LN(IH156),"")</f>
        <v/>
      </c>
      <c r="IL156">
        <f>IF(IJ156=1,AVERAGEIFS(II3:II688,IG3:IG688,IG156,IJ3:IJ688,1),"")</f>
        <v/>
      </c>
      <c r="IM156">
        <f>IF(IJ156=1,II156-IL156,"")</f>
        <v/>
      </c>
      <c r="IN156" t="inlineStr">
        <is>
          <t>moderate</t>
        </is>
      </c>
      <c r="IO156">
        <f>IF(IN156="good",II156,NA())</f>
        <v/>
      </c>
      <c r="IP156">
        <f>IF(IN156="moderate",II156,NA())</f>
        <v/>
      </c>
      <c r="IQ156">
        <f>IF(IN156="low",II156,NA())</f>
        <v/>
      </c>
      <c r="IR156">
        <f>IF(AND(IN156="good",IJ156=1),IM156,NA())</f>
        <v/>
      </c>
      <c r="IS156">
        <f>IF(AND(IN156="moderate",IJ156=1),IM156,NA())</f>
        <v/>
      </c>
      <c r="IT156">
        <f>IF(AND(IN156="low",IJ156=1),IM156,NA())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  <c r="IG157">
        <f>Base_mundial!A156</f>
        <v/>
      </c>
      <c r="IH157">
        <f>Base_mundial!C156</f>
        <v/>
      </c>
      <c r="II157">
        <f>Base_mundial!E156-MIN(tope,DEGREES(ATAN(TAN(RADIANS(pe0-omega*Base_mundial!B156))*(Base_mundial!C156/sref)^(m_-1))))</f>
        <v/>
      </c>
      <c r="IJ157" t="n">
        <v>1</v>
      </c>
      <c r="IK157">
        <f>IF(IJ157=1,LN(IH157),"")</f>
        <v/>
      </c>
      <c r="IL157">
        <f>IF(IJ157=1,AVERAGEIFS(II3:II688,IG3:IG688,IG157,IJ3:IJ688,1),"")</f>
        <v/>
      </c>
      <c r="IM157">
        <f>IF(IJ157=1,II157-IL157,"")</f>
        <v/>
      </c>
      <c r="IN157" t="inlineStr">
        <is>
          <t>moderate</t>
        </is>
      </c>
      <c r="IO157">
        <f>IF(IN157="good",II157,NA())</f>
        <v/>
      </c>
      <c r="IP157">
        <f>IF(IN157="moderate",II157,NA())</f>
        <v/>
      </c>
      <c r="IQ157">
        <f>IF(IN157="low",II157,NA())</f>
        <v/>
      </c>
      <c r="IR157">
        <f>IF(AND(IN157="good",IJ157=1),IM157,NA())</f>
        <v/>
      </c>
      <c r="IS157">
        <f>IF(AND(IN157="moderate",IJ157=1),IM157,NA())</f>
        <v/>
      </c>
      <c r="IT157">
        <f>IF(AND(IN157="low",IJ157=1),IM157,NA())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  <c r="IG158">
        <f>Base_mundial!A157</f>
        <v/>
      </c>
      <c r="IH158">
        <f>Base_mundial!C157</f>
        <v/>
      </c>
      <c r="II158">
        <f>Base_mundial!E157-MIN(tope,DEGREES(ATAN(TAN(RADIANS(pe0-omega*Base_mundial!B157))*(Base_mundial!C157/sref)^(m_-1))))</f>
        <v/>
      </c>
      <c r="IJ158" t="n">
        <v>1</v>
      </c>
      <c r="IK158">
        <f>IF(IJ158=1,LN(IH158),"")</f>
        <v/>
      </c>
      <c r="IL158">
        <f>IF(IJ158=1,AVERAGEIFS(II3:II688,IG3:IG688,IG158,IJ3:IJ688,1),"")</f>
        <v/>
      </c>
      <c r="IM158">
        <f>IF(IJ158=1,II158-IL158,"")</f>
        <v/>
      </c>
      <c r="IN158" t="inlineStr">
        <is>
          <t>moderate</t>
        </is>
      </c>
      <c r="IO158">
        <f>IF(IN158="good",II158,NA())</f>
        <v/>
      </c>
      <c r="IP158">
        <f>IF(IN158="moderate",II158,NA())</f>
        <v/>
      </c>
      <c r="IQ158">
        <f>IF(IN158="low",II158,NA())</f>
        <v/>
      </c>
      <c r="IR158">
        <f>IF(AND(IN158="good",IJ158=1),IM158,NA())</f>
        <v/>
      </c>
      <c r="IS158">
        <f>IF(AND(IN158="moderate",IJ158=1),IM158,NA())</f>
        <v/>
      </c>
      <c r="IT158">
        <f>IF(AND(IN158="low",IJ158=1),IM158,NA())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  <c r="IG159">
        <f>Base_mundial!A158</f>
        <v/>
      </c>
      <c r="IH159">
        <f>Base_mundial!C158</f>
        <v/>
      </c>
      <c r="II159">
        <f>Base_mundial!E158-MIN(tope,DEGREES(ATAN(TAN(RADIANS(pe0-omega*Base_mundial!B158))*(Base_mundial!C158/sref)^(m_-1))))</f>
        <v/>
      </c>
      <c r="IJ159" t="n">
        <v>0</v>
      </c>
      <c r="IK159">
        <f>IF(IJ159=1,LN(IH159),"")</f>
        <v/>
      </c>
      <c r="IL159">
        <f>IF(IJ159=1,AVERAGEIFS(II3:II688,IG3:IG688,IG159,IJ3:IJ688,1),"")</f>
        <v/>
      </c>
      <c r="IM159">
        <f>IF(IJ159=1,II159-IL159,"")</f>
        <v/>
      </c>
      <c r="IN159" t="inlineStr">
        <is>
          <t>moderate</t>
        </is>
      </c>
      <c r="IO159">
        <f>IF(IN159="good",II159,NA())</f>
        <v/>
      </c>
      <c r="IP159">
        <f>IF(IN159="moderate",II159,NA())</f>
        <v/>
      </c>
      <c r="IQ159">
        <f>IF(IN159="low",II159,NA())</f>
        <v/>
      </c>
      <c r="IR159">
        <f>IF(AND(IN159="good",IJ159=1),IM159,NA())</f>
        <v/>
      </c>
      <c r="IS159">
        <f>IF(AND(IN159="moderate",IJ159=1),IM159,NA())</f>
        <v/>
      </c>
      <c r="IT159">
        <f>IF(AND(IN159="low",IJ159=1),IM159,NA())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  <c r="IG160">
        <f>Base_mundial!A159</f>
        <v/>
      </c>
      <c r="IH160">
        <f>Base_mundial!C159</f>
        <v/>
      </c>
      <c r="II160">
        <f>Base_mundial!E159-MIN(tope,DEGREES(ATAN(TAN(RADIANS(pe0-omega*Base_mundial!B159))*(Base_mundial!C159/sref)^(m_-1))))</f>
        <v/>
      </c>
      <c r="IJ160" t="n">
        <v>0</v>
      </c>
      <c r="IK160">
        <f>IF(IJ160=1,LN(IH160),"")</f>
        <v/>
      </c>
      <c r="IL160">
        <f>IF(IJ160=1,AVERAGEIFS(II3:II688,IG3:IG688,IG160,IJ3:IJ688,1),"")</f>
        <v/>
      </c>
      <c r="IM160">
        <f>IF(IJ160=1,II160-IL160,"")</f>
        <v/>
      </c>
      <c r="IN160" t="inlineStr">
        <is>
          <t>moderate</t>
        </is>
      </c>
      <c r="IO160">
        <f>IF(IN160="good",II160,NA())</f>
        <v/>
      </c>
      <c r="IP160">
        <f>IF(IN160="moderate",II160,NA())</f>
        <v/>
      </c>
      <c r="IQ160">
        <f>IF(IN160="low",II160,NA())</f>
        <v/>
      </c>
      <c r="IR160">
        <f>IF(AND(IN160="good",IJ160=1),IM160,NA())</f>
        <v/>
      </c>
      <c r="IS160">
        <f>IF(AND(IN160="moderate",IJ160=1),IM160,NA())</f>
        <v/>
      </c>
      <c r="IT160">
        <f>IF(AND(IN160="low",IJ160=1),IM160,NA())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  <c r="IG161">
        <f>Base_mundial!A160</f>
        <v/>
      </c>
      <c r="IH161">
        <f>Base_mundial!C160</f>
        <v/>
      </c>
      <c r="II161">
        <f>Base_mundial!E160-MIN(tope,DEGREES(ATAN(TAN(RADIANS(pe0-omega*Base_mundial!B160))*(Base_mundial!C160/sref)^(m_-1))))</f>
        <v/>
      </c>
      <c r="IJ161" t="n">
        <v>0</v>
      </c>
      <c r="IK161">
        <f>IF(IJ161=1,LN(IH161),"")</f>
        <v/>
      </c>
      <c r="IL161">
        <f>IF(IJ161=1,AVERAGEIFS(II3:II688,IG3:IG688,IG161,IJ3:IJ688,1),"")</f>
        <v/>
      </c>
      <c r="IM161">
        <f>IF(IJ161=1,II161-IL161,"")</f>
        <v/>
      </c>
      <c r="IN161" t="inlineStr">
        <is>
          <t>moderate</t>
        </is>
      </c>
      <c r="IO161">
        <f>IF(IN161="good",II161,NA())</f>
        <v/>
      </c>
      <c r="IP161">
        <f>IF(IN161="moderate",II161,NA())</f>
        <v/>
      </c>
      <c r="IQ161">
        <f>IF(IN161="low",II161,NA())</f>
        <v/>
      </c>
      <c r="IR161">
        <f>IF(AND(IN161="good",IJ161=1),IM161,NA())</f>
        <v/>
      </c>
      <c r="IS161">
        <f>IF(AND(IN161="moderate",IJ161=1),IM161,NA())</f>
        <v/>
      </c>
      <c r="IT161">
        <f>IF(AND(IN161="low",IJ161=1),IM161,NA())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  <c r="IG162">
        <f>Base_mundial!A161</f>
        <v/>
      </c>
      <c r="IH162">
        <f>Base_mundial!C161</f>
        <v/>
      </c>
      <c r="II162">
        <f>Base_mundial!E161-MIN(tope,DEGREES(ATAN(TAN(RADIANS(pe0-omega*Base_mundial!B161))*(Base_mundial!C161/sref)^(m_-1))))</f>
        <v/>
      </c>
      <c r="IJ162" t="n">
        <v>0</v>
      </c>
      <c r="IK162">
        <f>IF(IJ162=1,LN(IH162),"")</f>
        <v/>
      </c>
      <c r="IL162">
        <f>IF(IJ162=1,AVERAGEIFS(II3:II688,IG3:IG688,IG162,IJ3:IJ688,1),"")</f>
        <v/>
      </c>
      <c r="IM162">
        <f>IF(IJ162=1,II162-IL162,"")</f>
        <v/>
      </c>
      <c r="IN162" t="inlineStr">
        <is>
          <t>moderate</t>
        </is>
      </c>
      <c r="IO162">
        <f>IF(IN162="good",II162,NA())</f>
        <v/>
      </c>
      <c r="IP162">
        <f>IF(IN162="moderate",II162,NA())</f>
        <v/>
      </c>
      <c r="IQ162">
        <f>IF(IN162="low",II162,NA())</f>
        <v/>
      </c>
      <c r="IR162">
        <f>IF(AND(IN162="good",IJ162=1),IM162,NA())</f>
        <v/>
      </c>
      <c r="IS162">
        <f>IF(AND(IN162="moderate",IJ162=1),IM162,NA())</f>
        <v/>
      </c>
      <c r="IT162">
        <f>IF(AND(IN162="low",IJ162=1),IM162,NA())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  <c r="IG163">
        <f>Base_mundial!A162</f>
        <v/>
      </c>
      <c r="IH163">
        <f>Base_mundial!C162</f>
        <v/>
      </c>
      <c r="II163">
        <f>Base_mundial!E162-MIN(tope,DEGREES(ATAN(TAN(RADIANS(pe0-omega*Base_mundial!B162))*(Base_mundial!C162/sref)^(m_-1))))</f>
        <v/>
      </c>
      <c r="IJ163" t="n">
        <v>1</v>
      </c>
      <c r="IK163">
        <f>IF(IJ163=1,LN(IH163),"")</f>
        <v/>
      </c>
      <c r="IL163">
        <f>IF(IJ163=1,AVERAGEIFS(II3:II688,IG3:IG688,IG163,IJ3:IJ688,1),"")</f>
        <v/>
      </c>
      <c r="IM163">
        <f>IF(IJ163=1,II163-IL163,"")</f>
        <v/>
      </c>
      <c r="IN163" t="inlineStr">
        <is>
          <t>moderate</t>
        </is>
      </c>
      <c r="IO163">
        <f>IF(IN163="good",II163,NA())</f>
        <v/>
      </c>
      <c r="IP163">
        <f>IF(IN163="moderate",II163,NA())</f>
        <v/>
      </c>
      <c r="IQ163">
        <f>IF(IN163="low",II163,NA())</f>
        <v/>
      </c>
      <c r="IR163">
        <f>IF(AND(IN163="good",IJ163=1),IM163,NA())</f>
        <v/>
      </c>
      <c r="IS163">
        <f>IF(AND(IN163="moderate",IJ163=1),IM163,NA())</f>
        <v/>
      </c>
      <c r="IT163">
        <f>IF(AND(IN163="low",IJ163=1),IM163,NA())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  <c r="IG164">
        <f>Base_mundial!A163</f>
        <v/>
      </c>
      <c r="IH164">
        <f>Base_mundial!C163</f>
        <v/>
      </c>
      <c r="II164">
        <f>Base_mundial!E163-MIN(tope,DEGREES(ATAN(TAN(RADIANS(pe0-omega*Base_mundial!B163))*(Base_mundial!C163/sref)^(m_-1))))</f>
        <v/>
      </c>
      <c r="IJ164" t="n">
        <v>1</v>
      </c>
      <c r="IK164">
        <f>IF(IJ164=1,LN(IH164),"")</f>
        <v/>
      </c>
      <c r="IL164">
        <f>IF(IJ164=1,AVERAGEIFS(II3:II688,IG3:IG688,IG164,IJ3:IJ688,1),"")</f>
        <v/>
      </c>
      <c r="IM164">
        <f>IF(IJ164=1,II164-IL164,"")</f>
        <v/>
      </c>
      <c r="IN164" t="inlineStr">
        <is>
          <t>moderate</t>
        </is>
      </c>
      <c r="IO164">
        <f>IF(IN164="good",II164,NA())</f>
        <v/>
      </c>
      <c r="IP164">
        <f>IF(IN164="moderate",II164,NA())</f>
        <v/>
      </c>
      <c r="IQ164">
        <f>IF(IN164="low",II164,NA())</f>
        <v/>
      </c>
      <c r="IR164">
        <f>IF(AND(IN164="good",IJ164=1),IM164,NA())</f>
        <v/>
      </c>
      <c r="IS164">
        <f>IF(AND(IN164="moderate",IJ164=1),IM164,NA())</f>
        <v/>
      </c>
      <c r="IT164">
        <f>IF(AND(IN164="low",IJ164=1),IM164,NA())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  <c r="IG165">
        <f>Base_mundial!A164</f>
        <v/>
      </c>
      <c r="IH165">
        <f>Base_mundial!C164</f>
        <v/>
      </c>
      <c r="II165">
        <f>Base_mundial!E164-MIN(tope,DEGREES(ATAN(TAN(RADIANS(pe0-omega*Base_mundial!B164))*(Base_mundial!C164/sref)^(m_-1))))</f>
        <v/>
      </c>
      <c r="IJ165" t="n">
        <v>1</v>
      </c>
      <c r="IK165">
        <f>IF(IJ165=1,LN(IH165),"")</f>
        <v/>
      </c>
      <c r="IL165">
        <f>IF(IJ165=1,AVERAGEIFS(II3:II688,IG3:IG688,IG165,IJ3:IJ688,1),"")</f>
        <v/>
      </c>
      <c r="IM165">
        <f>IF(IJ165=1,II165-IL165,"")</f>
        <v/>
      </c>
      <c r="IN165" t="inlineStr">
        <is>
          <t>moderate</t>
        </is>
      </c>
      <c r="IO165">
        <f>IF(IN165="good",II165,NA())</f>
        <v/>
      </c>
      <c r="IP165">
        <f>IF(IN165="moderate",II165,NA())</f>
        <v/>
      </c>
      <c r="IQ165">
        <f>IF(IN165="low",II165,NA())</f>
        <v/>
      </c>
      <c r="IR165">
        <f>IF(AND(IN165="good",IJ165=1),IM165,NA())</f>
        <v/>
      </c>
      <c r="IS165">
        <f>IF(AND(IN165="moderate",IJ165=1),IM165,NA())</f>
        <v/>
      </c>
      <c r="IT165">
        <f>IF(AND(IN165="low",IJ165=1),IM165,NA())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  <c r="IG166">
        <f>Base_mundial!A165</f>
        <v/>
      </c>
      <c r="IH166">
        <f>Base_mundial!C165</f>
        <v/>
      </c>
      <c r="II166">
        <f>Base_mundial!E165-MIN(tope,DEGREES(ATAN(TAN(RADIANS(pe0-omega*Base_mundial!B165))*(Base_mundial!C165/sref)^(m_-1))))</f>
        <v/>
      </c>
      <c r="IJ166" t="n">
        <v>0</v>
      </c>
      <c r="IK166">
        <f>IF(IJ166=1,LN(IH166),"")</f>
        <v/>
      </c>
      <c r="IL166">
        <f>IF(IJ166=1,AVERAGEIFS(II3:II688,IG3:IG688,IG166,IJ3:IJ688,1),"")</f>
        <v/>
      </c>
      <c r="IM166">
        <f>IF(IJ166=1,II166-IL166,"")</f>
        <v/>
      </c>
      <c r="IN166" t="inlineStr">
        <is>
          <t>moderate</t>
        </is>
      </c>
      <c r="IO166">
        <f>IF(IN166="good",II166,NA())</f>
        <v/>
      </c>
      <c r="IP166">
        <f>IF(IN166="moderate",II166,NA())</f>
        <v/>
      </c>
      <c r="IQ166">
        <f>IF(IN166="low",II166,NA())</f>
        <v/>
      </c>
      <c r="IR166">
        <f>IF(AND(IN166="good",IJ166=1),IM166,NA())</f>
        <v/>
      </c>
      <c r="IS166">
        <f>IF(AND(IN166="moderate",IJ166=1),IM166,NA())</f>
        <v/>
      </c>
      <c r="IT166">
        <f>IF(AND(IN166="low",IJ166=1),IM166,NA())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  <c r="IG167">
        <f>Base_mundial!A166</f>
        <v/>
      </c>
      <c r="IH167">
        <f>Base_mundial!C166</f>
        <v/>
      </c>
      <c r="II167">
        <f>Base_mundial!E166-MIN(tope,DEGREES(ATAN(TAN(RADIANS(pe0-omega*Base_mundial!B166))*(Base_mundial!C166/sref)^(m_-1))))</f>
        <v/>
      </c>
      <c r="IJ167" t="n">
        <v>1</v>
      </c>
      <c r="IK167">
        <f>IF(IJ167=1,LN(IH167),"")</f>
        <v/>
      </c>
      <c r="IL167">
        <f>IF(IJ167=1,AVERAGEIFS(II3:II688,IG3:IG688,IG167,IJ3:IJ688,1),"")</f>
        <v/>
      </c>
      <c r="IM167">
        <f>IF(IJ167=1,II167-IL167,"")</f>
        <v/>
      </c>
      <c r="IN167" t="inlineStr">
        <is>
          <t>moderate</t>
        </is>
      </c>
      <c r="IO167">
        <f>IF(IN167="good",II167,NA())</f>
        <v/>
      </c>
      <c r="IP167">
        <f>IF(IN167="moderate",II167,NA())</f>
        <v/>
      </c>
      <c r="IQ167">
        <f>IF(IN167="low",II167,NA())</f>
        <v/>
      </c>
      <c r="IR167">
        <f>IF(AND(IN167="good",IJ167=1),IM167,NA())</f>
        <v/>
      </c>
      <c r="IS167">
        <f>IF(AND(IN167="moderate",IJ167=1),IM167,NA())</f>
        <v/>
      </c>
      <c r="IT167">
        <f>IF(AND(IN167="low",IJ167=1),IM167,NA())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  <c r="IG168">
        <f>Base_mundial!A167</f>
        <v/>
      </c>
      <c r="IH168">
        <f>Base_mundial!C167</f>
        <v/>
      </c>
      <c r="II168">
        <f>Base_mundial!E167-MIN(tope,DEGREES(ATAN(TAN(RADIANS(pe0-omega*Base_mundial!B167))*(Base_mundial!C167/sref)^(m_-1))))</f>
        <v/>
      </c>
      <c r="IJ168" t="n">
        <v>1</v>
      </c>
      <c r="IK168">
        <f>IF(IJ168=1,LN(IH168),"")</f>
        <v/>
      </c>
      <c r="IL168">
        <f>IF(IJ168=1,AVERAGEIFS(II3:II688,IG3:IG688,IG168,IJ3:IJ688,1),"")</f>
        <v/>
      </c>
      <c r="IM168">
        <f>IF(IJ168=1,II168-IL168,"")</f>
        <v/>
      </c>
      <c r="IN168" t="inlineStr">
        <is>
          <t>moderate</t>
        </is>
      </c>
      <c r="IO168">
        <f>IF(IN168="good",II168,NA())</f>
        <v/>
      </c>
      <c r="IP168">
        <f>IF(IN168="moderate",II168,NA())</f>
        <v/>
      </c>
      <c r="IQ168">
        <f>IF(IN168="low",II168,NA())</f>
        <v/>
      </c>
      <c r="IR168">
        <f>IF(AND(IN168="good",IJ168=1),IM168,NA())</f>
        <v/>
      </c>
      <c r="IS168">
        <f>IF(AND(IN168="moderate",IJ168=1),IM168,NA())</f>
        <v/>
      </c>
      <c r="IT168">
        <f>IF(AND(IN168="low",IJ168=1),IM168,NA())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  <c r="IG169">
        <f>Base_mundial!A168</f>
        <v/>
      </c>
      <c r="IH169">
        <f>Base_mundial!C168</f>
        <v/>
      </c>
      <c r="II169">
        <f>Base_mundial!E168-MIN(tope,DEGREES(ATAN(TAN(RADIANS(pe0-omega*Base_mundial!B168))*(Base_mundial!C168/sref)^(m_-1))))</f>
        <v/>
      </c>
      <c r="IJ169" t="n">
        <v>1</v>
      </c>
      <c r="IK169">
        <f>IF(IJ169=1,LN(IH169),"")</f>
        <v/>
      </c>
      <c r="IL169">
        <f>IF(IJ169=1,AVERAGEIFS(II3:II688,IG3:IG688,IG169,IJ3:IJ688,1),"")</f>
        <v/>
      </c>
      <c r="IM169">
        <f>IF(IJ169=1,II169-IL169,"")</f>
        <v/>
      </c>
      <c r="IN169" t="inlineStr">
        <is>
          <t>moderate</t>
        </is>
      </c>
      <c r="IO169">
        <f>IF(IN169="good",II169,NA())</f>
        <v/>
      </c>
      <c r="IP169">
        <f>IF(IN169="moderate",II169,NA())</f>
        <v/>
      </c>
      <c r="IQ169">
        <f>IF(IN169="low",II169,NA())</f>
        <v/>
      </c>
      <c r="IR169">
        <f>IF(AND(IN169="good",IJ169=1),IM169,NA())</f>
        <v/>
      </c>
      <c r="IS169">
        <f>IF(AND(IN169="moderate",IJ169=1),IM169,NA())</f>
        <v/>
      </c>
      <c r="IT169">
        <f>IF(AND(IN169="low",IJ169=1),IM169,NA())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  <c r="IG170">
        <f>Base_mundial!A169</f>
        <v/>
      </c>
      <c r="IH170">
        <f>Base_mundial!C169</f>
        <v/>
      </c>
      <c r="II170">
        <f>Base_mundial!E169-MIN(tope,DEGREES(ATAN(TAN(RADIANS(pe0-omega*Base_mundial!B169))*(Base_mundial!C169/sref)^(m_-1))))</f>
        <v/>
      </c>
      <c r="IJ170" t="n">
        <v>0</v>
      </c>
      <c r="IK170">
        <f>IF(IJ170=1,LN(IH170),"")</f>
        <v/>
      </c>
      <c r="IL170">
        <f>IF(IJ170=1,AVERAGEIFS(II3:II688,IG3:IG688,IG170,IJ3:IJ688,1),"")</f>
        <v/>
      </c>
      <c r="IM170">
        <f>IF(IJ170=1,II170-IL170,"")</f>
        <v/>
      </c>
      <c r="IN170" t="inlineStr">
        <is>
          <t>moderate</t>
        </is>
      </c>
      <c r="IO170">
        <f>IF(IN170="good",II170,NA())</f>
        <v/>
      </c>
      <c r="IP170">
        <f>IF(IN170="moderate",II170,NA())</f>
        <v/>
      </c>
      <c r="IQ170">
        <f>IF(IN170="low",II170,NA())</f>
        <v/>
      </c>
      <c r="IR170">
        <f>IF(AND(IN170="good",IJ170=1),IM170,NA())</f>
        <v/>
      </c>
      <c r="IS170">
        <f>IF(AND(IN170="moderate",IJ170=1),IM170,NA())</f>
        <v/>
      </c>
      <c r="IT170">
        <f>IF(AND(IN170="low",IJ170=1),IM170,NA())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  <c r="IG171">
        <f>Base_mundial!A170</f>
        <v/>
      </c>
      <c r="IH171">
        <f>Base_mundial!C170</f>
        <v/>
      </c>
      <c r="II171">
        <f>Base_mundial!E170-MIN(tope,DEGREES(ATAN(TAN(RADIANS(pe0-omega*Base_mundial!B170))*(Base_mundial!C170/sref)^(m_-1))))</f>
        <v/>
      </c>
      <c r="IJ171" t="n">
        <v>1</v>
      </c>
      <c r="IK171">
        <f>IF(IJ171=1,LN(IH171),"")</f>
        <v/>
      </c>
      <c r="IL171">
        <f>IF(IJ171=1,AVERAGEIFS(II3:II688,IG3:IG688,IG171,IJ3:IJ688,1),"")</f>
        <v/>
      </c>
      <c r="IM171">
        <f>IF(IJ171=1,II171-IL171,"")</f>
        <v/>
      </c>
      <c r="IN171" t="inlineStr">
        <is>
          <t>moderate</t>
        </is>
      </c>
      <c r="IO171">
        <f>IF(IN171="good",II171,NA())</f>
        <v/>
      </c>
      <c r="IP171">
        <f>IF(IN171="moderate",II171,NA())</f>
        <v/>
      </c>
      <c r="IQ171">
        <f>IF(IN171="low",II171,NA())</f>
        <v/>
      </c>
      <c r="IR171">
        <f>IF(AND(IN171="good",IJ171=1),IM171,NA())</f>
        <v/>
      </c>
      <c r="IS171">
        <f>IF(AND(IN171="moderate",IJ171=1),IM171,NA())</f>
        <v/>
      </c>
      <c r="IT171">
        <f>IF(AND(IN171="low",IJ171=1),IM171,NA())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  <c r="IG172">
        <f>Base_mundial!A171</f>
        <v/>
      </c>
      <c r="IH172">
        <f>Base_mundial!C171</f>
        <v/>
      </c>
      <c r="II172">
        <f>Base_mundial!E171-MIN(tope,DEGREES(ATAN(TAN(RADIANS(pe0-omega*Base_mundial!B171))*(Base_mundial!C171/sref)^(m_-1))))</f>
        <v/>
      </c>
      <c r="IJ172" t="n">
        <v>1</v>
      </c>
      <c r="IK172">
        <f>IF(IJ172=1,LN(IH172),"")</f>
        <v/>
      </c>
      <c r="IL172">
        <f>IF(IJ172=1,AVERAGEIFS(II3:II688,IG3:IG688,IG172,IJ3:IJ688,1),"")</f>
        <v/>
      </c>
      <c r="IM172">
        <f>IF(IJ172=1,II172-IL172,"")</f>
        <v/>
      </c>
      <c r="IN172" t="inlineStr">
        <is>
          <t>moderate</t>
        </is>
      </c>
      <c r="IO172">
        <f>IF(IN172="good",II172,NA())</f>
        <v/>
      </c>
      <c r="IP172">
        <f>IF(IN172="moderate",II172,NA())</f>
        <v/>
      </c>
      <c r="IQ172">
        <f>IF(IN172="low",II172,NA())</f>
        <v/>
      </c>
      <c r="IR172">
        <f>IF(AND(IN172="good",IJ172=1),IM172,NA())</f>
        <v/>
      </c>
      <c r="IS172">
        <f>IF(AND(IN172="moderate",IJ172=1),IM172,NA())</f>
        <v/>
      </c>
      <c r="IT172">
        <f>IF(AND(IN172="low",IJ172=1),IM172,NA())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  <c r="IG173">
        <f>Base_mundial!A172</f>
        <v/>
      </c>
      <c r="IH173">
        <f>Base_mundial!C172</f>
        <v/>
      </c>
      <c r="II173">
        <f>Base_mundial!E172-MIN(tope,DEGREES(ATAN(TAN(RADIANS(pe0-omega*Base_mundial!B172))*(Base_mundial!C172/sref)^(m_-1))))</f>
        <v/>
      </c>
      <c r="IJ173" t="n">
        <v>1</v>
      </c>
      <c r="IK173">
        <f>IF(IJ173=1,LN(IH173),"")</f>
        <v/>
      </c>
      <c r="IL173">
        <f>IF(IJ173=1,AVERAGEIFS(II3:II688,IG3:IG688,IG173,IJ3:IJ688,1),"")</f>
        <v/>
      </c>
      <c r="IM173">
        <f>IF(IJ173=1,II173-IL173,"")</f>
        <v/>
      </c>
      <c r="IN173" t="inlineStr">
        <is>
          <t>moderate</t>
        </is>
      </c>
      <c r="IO173">
        <f>IF(IN173="good",II173,NA())</f>
        <v/>
      </c>
      <c r="IP173">
        <f>IF(IN173="moderate",II173,NA())</f>
        <v/>
      </c>
      <c r="IQ173">
        <f>IF(IN173="low",II173,NA())</f>
        <v/>
      </c>
      <c r="IR173">
        <f>IF(AND(IN173="good",IJ173=1),IM173,NA())</f>
        <v/>
      </c>
      <c r="IS173">
        <f>IF(AND(IN173="moderate",IJ173=1),IM173,NA())</f>
        <v/>
      </c>
      <c r="IT173">
        <f>IF(AND(IN173="low",IJ173=1),IM173,NA())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  <c r="IG174">
        <f>Base_mundial!A173</f>
        <v/>
      </c>
      <c r="IH174">
        <f>Base_mundial!C173</f>
        <v/>
      </c>
      <c r="II174">
        <f>Base_mundial!E173-MIN(tope,DEGREES(ATAN(TAN(RADIANS(pe0-omega*Base_mundial!B173))*(Base_mundial!C173/sref)^(m_-1))))</f>
        <v/>
      </c>
      <c r="IJ174" t="n">
        <v>0</v>
      </c>
      <c r="IK174">
        <f>IF(IJ174=1,LN(IH174),"")</f>
        <v/>
      </c>
      <c r="IL174">
        <f>IF(IJ174=1,AVERAGEIFS(II3:II688,IG3:IG688,IG174,IJ3:IJ688,1),"")</f>
        <v/>
      </c>
      <c r="IM174">
        <f>IF(IJ174=1,II174-IL174,"")</f>
        <v/>
      </c>
      <c r="IN174" t="inlineStr">
        <is>
          <t>moderate</t>
        </is>
      </c>
      <c r="IO174">
        <f>IF(IN174="good",II174,NA())</f>
        <v/>
      </c>
      <c r="IP174">
        <f>IF(IN174="moderate",II174,NA())</f>
        <v/>
      </c>
      <c r="IQ174">
        <f>IF(IN174="low",II174,NA())</f>
        <v/>
      </c>
      <c r="IR174">
        <f>IF(AND(IN174="good",IJ174=1),IM174,NA())</f>
        <v/>
      </c>
      <c r="IS174">
        <f>IF(AND(IN174="moderate",IJ174=1),IM174,NA())</f>
        <v/>
      </c>
      <c r="IT174">
        <f>IF(AND(IN174="low",IJ174=1),IM174,NA())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  <c r="IG175">
        <f>Base_mundial!A174</f>
        <v/>
      </c>
      <c r="IH175">
        <f>Base_mundial!C174</f>
        <v/>
      </c>
      <c r="II175">
        <f>Base_mundial!E174-MIN(tope,DEGREES(ATAN(TAN(RADIANS(pe0-omega*Base_mundial!B174))*(Base_mundial!C174/sref)^(m_-1))))</f>
        <v/>
      </c>
      <c r="IJ175" t="n">
        <v>1</v>
      </c>
      <c r="IK175">
        <f>IF(IJ175=1,LN(IH175),"")</f>
        <v/>
      </c>
      <c r="IL175">
        <f>IF(IJ175=1,AVERAGEIFS(II3:II688,IG3:IG688,IG175,IJ3:IJ688,1),"")</f>
        <v/>
      </c>
      <c r="IM175">
        <f>IF(IJ175=1,II175-IL175,"")</f>
        <v/>
      </c>
      <c r="IN175" t="inlineStr">
        <is>
          <t>moderate</t>
        </is>
      </c>
      <c r="IO175">
        <f>IF(IN175="good",II175,NA())</f>
        <v/>
      </c>
      <c r="IP175">
        <f>IF(IN175="moderate",II175,NA())</f>
        <v/>
      </c>
      <c r="IQ175">
        <f>IF(IN175="low",II175,NA())</f>
        <v/>
      </c>
      <c r="IR175">
        <f>IF(AND(IN175="good",IJ175=1),IM175,NA())</f>
        <v/>
      </c>
      <c r="IS175">
        <f>IF(AND(IN175="moderate",IJ175=1),IM175,NA())</f>
        <v/>
      </c>
      <c r="IT175">
        <f>IF(AND(IN175="low",IJ175=1),IM175,NA())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  <c r="IG176">
        <f>Base_mundial!A175</f>
        <v/>
      </c>
      <c r="IH176">
        <f>Base_mundial!C175</f>
        <v/>
      </c>
      <c r="II176">
        <f>Base_mundial!E175-MIN(tope,DEGREES(ATAN(TAN(RADIANS(pe0-omega*Base_mundial!B175))*(Base_mundial!C175/sref)^(m_-1))))</f>
        <v/>
      </c>
      <c r="IJ176" t="n">
        <v>1</v>
      </c>
      <c r="IK176">
        <f>IF(IJ176=1,LN(IH176),"")</f>
        <v/>
      </c>
      <c r="IL176">
        <f>IF(IJ176=1,AVERAGEIFS(II3:II688,IG3:IG688,IG176,IJ3:IJ688,1),"")</f>
        <v/>
      </c>
      <c r="IM176">
        <f>IF(IJ176=1,II176-IL176,"")</f>
        <v/>
      </c>
      <c r="IN176" t="inlineStr">
        <is>
          <t>moderate</t>
        </is>
      </c>
      <c r="IO176">
        <f>IF(IN176="good",II176,NA())</f>
        <v/>
      </c>
      <c r="IP176">
        <f>IF(IN176="moderate",II176,NA())</f>
        <v/>
      </c>
      <c r="IQ176">
        <f>IF(IN176="low",II176,NA())</f>
        <v/>
      </c>
      <c r="IR176">
        <f>IF(AND(IN176="good",IJ176=1),IM176,NA())</f>
        <v/>
      </c>
      <c r="IS176">
        <f>IF(AND(IN176="moderate",IJ176=1),IM176,NA())</f>
        <v/>
      </c>
      <c r="IT176">
        <f>IF(AND(IN176="low",IJ176=1),IM176,NA())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  <c r="IG177">
        <f>Base_mundial!A176</f>
        <v/>
      </c>
      <c r="IH177">
        <f>Base_mundial!C176</f>
        <v/>
      </c>
      <c r="II177">
        <f>Base_mundial!E176-MIN(tope,DEGREES(ATAN(TAN(RADIANS(pe0-omega*Base_mundial!B176))*(Base_mundial!C176/sref)^(m_-1))))</f>
        <v/>
      </c>
      <c r="IJ177" t="n">
        <v>1</v>
      </c>
      <c r="IK177">
        <f>IF(IJ177=1,LN(IH177),"")</f>
        <v/>
      </c>
      <c r="IL177">
        <f>IF(IJ177=1,AVERAGEIFS(II3:II688,IG3:IG688,IG177,IJ3:IJ688,1),"")</f>
        <v/>
      </c>
      <c r="IM177">
        <f>IF(IJ177=1,II177-IL177,"")</f>
        <v/>
      </c>
      <c r="IN177" t="inlineStr">
        <is>
          <t>moderate</t>
        </is>
      </c>
      <c r="IO177">
        <f>IF(IN177="good",II177,NA())</f>
        <v/>
      </c>
      <c r="IP177">
        <f>IF(IN177="moderate",II177,NA())</f>
        <v/>
      </c>
      <c r="IQ177">
        <f>IF(IN177="low",II177,NA())</f>
        <v/>
      </c>
      <c r="IR177">
        <f>IF(AND(IN177="good",IJ177=1),IM177,NA())</f>
        <v/>
      </c>
      <c r="IS177">
        <f>IF(AND(IN177="moderate",IJ177=1),IM177,NA())</f>
        <v/>
      </c>
      <c r="IT177">
        <f>IF(AND(IN177="low",IJ177=1),IM177,NA())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  <c r="IG178">
        <f>Base_mundial!A177</f>
        <v/>
      </c>
      <c r="IH178">
        <f>Base_mundial!C177</f>
        <v/>
      </c>
      <c r="II178">
        <f>Base_mundial!E177-MIN(tope,DEGREES(ATAN(TAN(RADIANS(pe0-omega*Base_mundial!B177))*(Base_mundial!C177/sref)^(m_-1))))</f>
        <v/>
      </c>
      <c r="IJ178" t="n">
        <v>0</v>
      </c>
      <c r="IK178">
        <f>IF(IJ178=1,LN(IH178),"")</f>
        <v/>
      </c>
      <c r="IL178">
        <f>IF(IJ178=1,AVERAGEIFS(II3:II688,IG3:IG688,IG178,IJ3:IJ688,1),"")</f>
        <v/>
      </c>
      <c r="IM178">
        <f>IF(IJ178=1,II178-IL178,"")</f>
        <v/>
      </c>
      <c r="IN178" t="inlineStr">
        <is>
          <t>moderate</t>
        </is>
      </c>
      <c r="IO178">
        <f>IF(IN178="good",II178,NA())</f>
        <v/>
      </c>
      <c r="IP178">
        <f>IF(IN178="moderate",II178,NA())</f>
        <v/>
      </c>
      <c r="IQ178">
        <f>IF(IN178="low",II178,NA())</f>
        <v/>
      </c>
      <c r="IR178">
        <f>IF(AND(IN178="good",IJ178=1),IM178,NA())</f>
        <v/>
      </c>
      <c r="IS178">
        <f>IF(AND(IN178="moderate",IJ178=1),IM178,NA())</f>
        <v/>
      </c>
      <c r="IT178">
        <f>IF(AND(IN178="low",IJ178=1),IM178,NA())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  <c r="IG179">
        <f>Base_mundial!A178</f>
        <v/>
      </c>
      <c r="IH179">
        <f>Base_mundial!C178</f>
        <v/>
      </c>
      <c r="II179">
        <f>Base_mundial!E178-MIN(tope,DEGREES(ATAN(TAN(RADIANS(pe0-omega*Base_mundial!B178))*(Base_mundial!C178/sref)^(m_-1))))</f>
        <v/>
      </c>
      <c r="IJ179" t="n">
        <v>1</v>
      </c>
      <c r="IK179">
        <f>IF(IJ179=1,LN(IH179),"")</f>
        <v/>
      </c>
      <c r="IL179">
        <f>IF(IJ179=1,AVERAGEIFS(II3:II688,IG3:IG688,IG179,IJ3:IJ688,1),"")</f>
        <v/>
      </c>
      <c r="IM179">
        <f>IF(IJ179=1,II179-IL179,"")</f>
        <v/>
      </c>
      <c r="IN179" t="inlineStr">
        <is>
          <t>moderate</t>
        </is>
      </c>
      <c r="IO179">
        <f>IF(IN179="good",II179,NA())</f>
        <v/>
      </c>
      <c r="IP179">
        <f>IF(IN179="moderate",II179,NA())</f>
        <v/>
      </c>
      <c r="IQ179">
        <f>IF(IN179="low",II179,NA())</f>
        <v/>
      </c>
      <c r="IR179">
        <f>IF(AND(IN179="good",IJ179=1),IM179,NA())</f>
        <v/>
      </c>
      <c r="IS179">
        <f>IF(AND(IN179="moderate",IJ179=1),IM179,NA())</f>
        <v/>
      </c>
      <c r="IT179">
        <f>IF(AND(IN179="low",IJ179=1),IM179,NA())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  <c r="IG180">
        <f>Base_mundial!A179</f>
        <v/>
      </c>
      <c r="IH180">
        <f>Base_mundial!C179</f>
        <v/>
      </c>
      <c r="II180">
        <f>Base_mundial!E179-MIN(tope,DEGREES(ATAN(TAN(RADIANS(pe0-omega*Base_mundial!B179))*(Base_mundial!C179/sref)^(m_-1))))</f>
        <v/>
      </c>
      <c r="IJ180" t="n">
        <v>1</v>
      </c>
      <c r="IK180">
        <f>IF(IJ180=1,LN(IH180),"")</f>
        <v/>
      </c>
      <c r="IL180">
        <f>IF(IJ180=1,AVERAGEIFS(II3:II688,IG3:IG688,IG180,IJ3:IJ688,1),"")</f>
        <v/>
      </c>
      <c r="IM180">
        <f>IF(IJ180=1,II180-IL180,"")</f>
        <v/>
      </c>
      <c r="IN180" t="inlineStr">
        <is>
          <t>moderate</t>
        </is>
      </c>
      <c r="IO180">
        <f>IF(IN180="good",II180,NA())</f>
        <v/>
      </c>
      <c r="IP180">
        <f>IF(IN180="moderate",II180,NA())</f>
        <v/>
      </c>
      <c r="IQ180">
        <f>IF(IN180="low",II180,NA())</f>
        <v/>
      </c>
      <c r="IR180">
        <f>IF(AND(IN180="good",IJ180=1),IM180,NA())</f>
        <v/>
      </c>
      <c r="IS180">
        <f>IF(AND(IN180="moderate",IJ180=1),IM180,NA())</f>
        <v/>
      </c>
      <c r="IT180">
        <f>IF(AND(IN180="low",IJ180=1),IM180,NA())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  <c r="IG181">
        <f>Base_mundial!A180</f>
        <v/>
      </c>
      <c r="IH181">
        <f>Base_mundial!C180</f>
        <v/>
      </c>
      <c r="II181">
        <f>Base_mundial!E180-MIN(tope,DEGREES(ATAN(TAN(RADIANS(pe0-omega*Base_mundial!B180))*(Base_mundial!C180/sref)^(m_-1))))</f>
        <v/>
      </c>
      <c r="IJ181" t="n">
        <v>0</v>
      </c>
      <c r="IK181">
        <f>IF(IJ181=1,LN(IH181),"")</f>
        <v/>
      </c>
      <c r="IL181">
        <f>IF(IJ181=1,AVERAGEIFS(II3:II688,IG3:IG688,IG181,IJ3:IJ688,1),"")</f>
        <v/>
      </c>
      <c r="IM181">
        <f>IF(IJ181=1,II181-IL181,"")</f>
        <v/>
      </c>
      <c r="IN181" t="inlineStr">
        <is>
          <t>moderate</t>
        </is>
      </c>
      <c r="IO181">
        <f>IF(IN181="good",II181,NA())</f>
        <v/>
      </c>
      <c r="IP181">
        <f>IF(IN181="moderate",II181,NA())</f>
        <v/>
      </c>
      <c r="IQ181">
        <f>IF(IN181="low",II181,NA())</f>
        <v/>
      </c>
      <c r="IR181">
        <f>IF(AND(IN181="good",IJ181=1),IM181,NA())</f>
        <v/>
      </c>
      <c r="IS181">
        <f>IF(AND(IN181="moderate",IJ181=1),IM181,NA())</f>
        <v/>
      </c>
      <c r="IT181">
        <f>IF(AND(IN181="low",IJ181=1),IM181,NA())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  <c r="IG182">
        <f>Base_mundial!A181</f>
        <v/>
      </c>
      <c r="IH182">
        <f>Base_mundial!C181</f>
        <v/>
      </c>
      <c r="II182">
        <f>Base_mundial!E181-MIN(tope,DEGREES(ATAN(TAN(RADIANS(pe0-omega*Base_mundial!B181))*(Base_mundial!C181/sref)^(m_-1))))</f>
        <v/>
      </c>
      <c r="IJ182" t="n">
        <v>1</v>
      </c>
      <c r="IK182">
        <f>IF(IJ182=1,LN(IH182),"")</f>
        <v/>
      </c>
      <c r="IL182">
        <f>IF(IJ182=1,AVERAGEIFS(II3:II688,IG3:IG688,IG182,IJ3:IJ688,1),"")</f>
        <v/>
      </c>
      <c r="IM182">
        <f>IF(IJ182=1,II182-IL182,"")</f>
        <v/>
      </c>
      <c r="IN182" t="inlineStr">
        <is>
          <t>moderate</t>
        </is>
      </c>
      <c r="IO182">
        <f>IF(IN182="good",II182,NA())</f>
        <v/>
      </c>
      <c r="IP182">
        <f>IF(IN182="moderate",II182,NA())</f>
        <v/>
      </c>
      <c r="IQ182">
        <f>IF(IN182="low",II182,NA())</f>
        <v/>
      </c>
      <c r="IR182">
        <f>IF(AND(IN182="good",IJ182=1),IM182,NA())</f>
        <v/>
      </c>
      <c r="IS182">
        <f>IF(AND(IN182="moderate",IJ182=1),IM182,NA())</f>
        <v/>
      </c>
      <c r="IT182">
        <f>IF(AND(IN182="low",IJ182=1),IM182,NA())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  <c r="IG183">
        <f>Base_mundial!A182</f>
        <v/>
      </c>
      <c r="IH183">
        <f>Base_mundial!C182</f>
        <v/>
      </c>
      <c r="II183">
        <f>Base_mundial!E182-MIN(tope,DEGREES(ATAN(TAN(RADIANS(pe0-omega*Base_mundial!B182))*(Base_mundial!C182/sref)^(m_-1))))</f>
        <v/>
      </c>
      <c r="IJ183" t="n">
        <v>1</v>
      </c>
      <c r="IK183">
        <f>IF(IJ183=1,LN(IH183),"")</f>
        <v/>
      </c>
      <c r="IL183">
        <f>IF(IJ183=1,AVERAGEIFS(II3:II688,IG3:IG688,IG183,IJ3:IJ688,1),"")</f>
        <v/>
      </c>
      <c r="IM183">
        <f>IF(IJ183=1,II183-IL183,"")</f>
        <v/>
      </c>
      <c r="IN183" t="inlineStr">
        <is>
          <t>moderate</t>
        </is>
      </c>
      <c r="IO183">
        <f>IF(IN183="good",II183,NA())</f>
        <v/>
      </c>
      <c r="IP183">
        <f>IF(IN183="moderate",II183,NA())</f>
        <v/>
      </c>
      <c r="IQ183">
        <f>IF(IN183="low",II183,NA())</f>
        <v/>
      </c>
      <c r="IR183">
        <f>IF(AND(IN183="good",IJ183=1),IM183,NA())</f>
        <v/>
      </c>
      <c r="IS183">
        <f>IF(AND(IN183="moderate",IJ183=1),IM183,NA())</f>
        <v/>
      </c>
      <c r="IT183">
        <f>IF(AND(IN183="low",IJ183=1),IM183,NA())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  <c r="IG184">
        <f>Base_mundial!A183</f>
        <v/>
      </c>
      <c r="IH184">
        <f>Base_mundial!C183</f>
        <v/>
      </c>
      <c r="II184">
        <f>Base_mundial!E183-MIN(tope,DEGREES(ATAN(TAN(RADIANS(pe0-omega*Base_mundial!B183))*(Base_mundial!C183/sref)^(m_-1))))</f>
        <v/>
      </c>
      <c r="IJ184" t="n">
        <v>0</v>
      </c>
      <c r="IK184">
        <f>IF(IJ184=1,LN(IH184),"")</f>
        <v/>
      </c>
      <c r="IL184">
        <f>IF(IJ184=1,AVERAGEIFS(II3:II688,IG3:IG688,IG184,IJ3:IJ688,1),"")</f>
        <v/>
      </c>
      <c r="IM184">
        <f>IF(IJ184=1,II184-IL184,"")</f>
        <v/>
      </c>
      <c r="IN184" t="inlineStr">
        <is>
          <t>moderate</t>
        </is>
      </c>
      <c r="IO184">
        <f>IF(IN184="good",II184,NA())</f>
        <v/>
      </c>
      <c r="IP184">
        <f>IF(IN184="moderate",II184,NA())</f>
        <v/>
      </c>
      <c r="IQ184">
        <f>IF(IN184="low",II184,NA())</f>
        <v/>
      </c>
      <c r="IR184">
        <f>IF(AND(IN184="good",IJ184=1),IM184,NA())</f>
        <v/>
      </c>
      <c r="IS184">
        <f>IF(AND(IN184="moderate",IJ184=1),IM184,NA())</f>
        <v/>
      </c>
      <c r="IT184">
        <f>IF(AND(IN184="low",IJ184=1),IM184,NA())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  <c r="IG185">
        <f>Base_mundial!A184</f>
        <v/>
      </c>
      <c r="IH185">
        <f>Base_mundial!C184</f>
        <v/>
      </c>
      <c r="II185">
        <f>Base_mundial!E184-MIN(tope,DEGREES(ATAN(TAN(RADIANS(pe0-omega*Base_mundial!B184))*(Base_mundial!C184/sref)^(m_-1))))</f>
        <v/>
      </c>
      <c r="IJ185" t="n">
        <v>0</v>
      </c>
      <c r="IK185">
        <f>IF(IJ185=1,LN(IH185),"")</f>
        <v/>
      </c>
      <c r="IL185">
        <f>IF(IJ185=1,AVERAGEIFS(II3:II688,IG3:IG688,IG185,IJ3:IJ688,1),"")</f>
        <v/>
      </c>
      <c r="IM185">
        <f>IF(IJ185=1,II185-IL185,"")</f>
        <v/>
      </c>
      <c r="IN185" t="inlineStr">
        <is>
          <t>moderate</t>
        </is>
      </c>
      <c r="IO185">
        <f>IF(IN185="good",II185,NA())</f>
        <v/>
      </c>
      <c r="IP185">
        <f>IF(IN185="moderate",II185,NA())</f>
        <v/>
      </c>
      <c r="IQ185">
        <f>IF(IN185="low",II185,NA())</f>
        <v/>
      </c>
      <c r="IR185">
        <f>IF(AND(IN185="good",IJ185=1),IM185,NA())</f>
        <v/>
      </c>
      <c r="IS185">
        <f>IF(AND(IN185="moderate",IJ185=1),IM185,NA())</f>
        <v/>
      </c>
      <c r="IT185">
        <f>IF(AND(IN185="low",IJ185=1),IM185,NA())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  <c r="IG186">
        <f>Base_mundial!A185</f>
        <v/>
      </c>
      <c r="IH186">
        <f>Base_mundial!C185</f>
        <v/>
      </c>
      <c r="II186">
        <f>Base_mundial!E185-MIN(tope,DEGREES(ATAN(TAN(RADIANS(pe0-omega*Base_mundial!B185))*(Base_mundial!C185/sref)^(m_-1))))</f>
        <v/>
      </c>
      <c r="IJ186" t="n">
        <v>0</v>
      </c>
      <c r="IK186">
        <f>IF(IJ186=1,LN(IH186),"")</f>
        <v/>
      </c>
      <c r="IL186">
        <f>IF(IJ186=1,AVERAGEIFS(II3:II688,IG3:IG688,IG186,IJ3:IJ688,1),"")</f>
        <v/>
      </c>
      <c r="IM186">
        <f>IF(IJ186=1,II186-IL186,"")</f>
        <v/>
      </c>
      <c r="IN186" t="inlineStr">
        <is>
          <t>moderate</t>
        </is>
      </c>
      <c r="IO186">
        <f>IF(IN186="good",II186,NA())</f>
        <v/>
      </c>
      <c r="IP186">
        <f>IF(IN186="moderate",II186,NA())</f>
        <v/>
      </c>
      <c r="IQ186">
        <f>IF(IN186="low",II186,NA())</f>
        <v/>
      </c>
      <c r="IR186">
        <f>IF(AND(IN186="good",IJ186=1),IM186,NA())</f>
        <v/>
      </c>
      <c r="IS186">
        <f>IF(AND(IN186="moderate",IJ186=1),IM186,NA())</f>
        <v/>
      </c>
      <c r="IT186">
        <f>IF(AND(IN186="low",IJ186=1),IM186,NA())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  <c r="IG187">
        <f>Base_mundial!A186</f>
        <v/>
      </c>
      <c r="IH187">
        <f>Base_mundial!C186</f>
        <v/>
      </c>
      <c r="II187">
        <f>Base_mundial!E186-MIN(tope,DEGREES(ATAN(TAN(RADIANS(pe0-omega*Base_mundial!B186))*(Base_mundial!C186/sref)^(m_-1))))</f>
        <v/>
      </c>
      <c r="IJ187" t="n">
        <v>1</v>
      </c>
      <c r="IK187">
        <f>IF(IJ187=1,LN(IH187),"")</f>
        <v/>
      </c>
      <c r="IL187">
        <f>IF(IJ187=1,AVERAGEIFS(II3:II688,IG3:IG688,IG187,IJ3:IJ688,1),"")</f>
        <v/>
      </c>
      <c r="IM187">
        <f>IF(IJ187=1,II187-IL187,"")</f>
        <v/>
      </c>
      <c r="IN187" t="inlineStr">
        <is>
          <t>moderate</t>
        </is>
      </c>
      <c r="IO187">
        <f>IF(IN187="good",II187,NA())</f>
        <v/>
      </c>
      <c r="IP187">
        <f>IF(IN187="moderate",II187,NA())</f>
        <v/>
      </c>
      <c r="IQ187">
        <f>IF(IN187="low",II187,NA())</f>
        <v/>
      </c>
      <c r="IR187">
        <f>IF(AND(IN187="good",IJ187=1),IM187,NA())</f>
        <v/>
      </c>
      <c r="IS187">
        <f>IF(AND(IN187="moderate",IJ187=1),IM187,NA())</f>
        <v/>
      </c>
      <c r="IT187">
        <f>IF(AND(IN187="low",IJ187=1),IM187,NA())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  <c r="IG188">
        <f>Base_mundial!A187</f>
        <v/>
      </c>
      <c r="IH188">
        <f>Base_mundial!C187</f>
        <v/>
      </c>
      <c r="II188">
        <f>Base_mundial!E187-MIN(tope,DEGREES(ATAN(TAN(RADIANS(pe0-omega*Base_mundial!B187))*(Base_mundial!C187/sref)^(m_-1))))</f>
        <v/>
      </c>
      <c r="IJ188" t="n">
        <v>1</v>
      </c>
      <c r="IK188">
        <f>IF(IJ188=1,LN(IH188),"")</f>
        <v/>
      </c>
      <c r="IL188">
        <f>IF(IJ188=1,AVERAGEIFS(II3:II688,IG3:IG688,IG188,IJ3:IJ688,1),"")</f>
        <v/>
      </c>
      <c r="IM188">
        <f>IF(IJ188=1,II188-IL188,"")</f>
        <v/>
      </c>
      <c r="IN188" t="inlineStr">
        <is>
          <t>moderate</t>
        </is>
      </c>
      <c r="IO188">
        <f>IF(IN188="good",II188,NA())</f>
        <v/>
      </c>
      <c r="IP188">
        <f>IF(IN188="moderate",II188,NA())</f>
        <v/>
      </c>
      <c r="IQ188">
        <f>IF(IN188="low",II188,NA())</f>
        <v/>
      </c>
      <c r="IR188">
        <f>IF(AND(IN188="good",IJ188=1),IM188,NA())</f>
        <v/>
      </c>
      <c r="IS188">
        <f>IF(AND(IN188="moderate",IJ188=1),IM188,NA())</f>
        <v/>
      </c>
      <c r="IT188">
        <f>IF(AND(IN188="low",IJ188=1),IM188,NA())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  <c r="IG189">
        <f>Base_mundial!A188</f>
        <v/>
      </c>
      <c r="IH189">
        <f>Base_mundial!C188</f>
        <v/>
      </c>
      <c r="II189">
        <f>Base_mundial!E188-MIN(tope,DEGREES(ATAN(TAN(RADIANS(pe0-omega*Base_mundial!B188))*(Base_mundial!C188/sref)^(m_-1))))</f>
        <v/>
      </c>
      <c r="IJ189" t="n">
        <v>0</v>
      </c>
      <c r="IK189">
        <f>IF(IJ189=1,LN(IH189),"")</f>
        <v/>
      </c>
      <c r="IL189">
        <f>IF(IJ189=1,AVERAGEIFS(II3:II688,IG3:IG688,IG189,IJ3:IJ688,1),"")</f>
        <v/>
      </c>
      <c r="IM189">
        <f>IF(IJ189=1,II189-IL189,"")</f>
        <v/>
      </c>
      <c r="IN189" t="inlineStr">
        <is>
          <t>moderate</t>
        </is>
      </c>
      <c r="IO189">
        <f>IF(IN189="good",II189,NA())</f>
        <v/>
      </c>
      <c r="IP189">
        <f>IF(IN189="moderate",II189,NA())</f>
        <v/>
      </c>
      <c r="IQ189">
        <f>IF(IN189="low",II189,NA())</f>
        <v/>
      </c>
      <c r="IR189">
        <f>IF(AND(IN189="good",IJ189=1),IM189,NA())</f>
        <v/>
      </c>
      <c r="IS189">
        <f>IF(AND(IN189="moderate",IJ189=1),IM189,NA())</f>
        <v/>
      </c>
      <c r="IT189">
        <f>IF(AND(IN189="low",IJ189=1),IM189,NA())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  <c r="IG190">
        <f>Base_mundial!A189</f>
        <v/>
      </c>
      <c r="IH190">
        <f>Base_mundial!C189</f>
        <v/>
      </c>
      <c r="II190">
        <f>Base_mundial!E189-MIN(tope,DEGREES(ATAN(TAN(RADIANS(pe0-omega*Base_mundial!B189))*(Base_mundial!C189/sref)^(m_-1))))</f>
        <v/>
      </c>
      <c r="IJ190" t="n">
        <v>1</v>
      </c>
      <c r="IK190">
        <f>IF(IJ190=1,LN(IH190),"")</f>
        <v/>
      </c>
      <c r="IL190">
        <f>IF(IJ190=1,AVERAGEIFS(II3:II688,IG3:IG688,IG190,IJ3:IJ688,1),"")</f>
        <v/>
      </c>
      <c r="IM190">
        <f>IF(IJ190=1,II190-IL190,"")</f>
        <v/>
      </c>
      <c r="IN190" t="inlineStr">
        <is>
          <t>moderate</t>
        </is>
      </c>
      <c r="IO190">
        <f>IF(IN190="good",II190,NA())</f>
        <v/>
      </c>
      <c r="IP190">
        <f>IF(IN190="moderate",II190,NA())</f>
        <v/>
      </c>
      <c r="IQ190">
        <f>IF(IN190="low",II190,NA())</f>
        <v/>
      </c>
      <c r="IR190">
        <f>IF(AND(IN190="good",IJ190=1),IM190,NA())</f>
        <v/>
      </c>
      <c r="IS190">
        <f>IF(AND(IN190="moderate",IJ190=1),IM190,NA())</f>
        <v/>
      </c>
      <c r="IT190">
        <f>IF(AND(IN190="low",IJ190=1),IM190,NA())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  <c r="IG191">
        <f>Base_mundial!A190</f>
        <v/>
      </c>
      <c r="IH191">
        <f>Base_mundial!C190</f>
        <v/>
      </c>
      <c r="II191">
        <f>Base_mundial!E190-MIN(tope,DEGREES(ATAN(TAN(RADIANS(pe0-omega*Base_mundial!B190))*(Base_mundial!C190/sref)^(m_-1))))</f>
        <v/>
      </c>
      <c r="IJ191" t="n">
        <v>1</v>
      </c>
      <c r="IK191">
        <f>IF(IJ191=1,LN(IH191),"")</f>
        <v/>
      </c>
      <c r="IL191">
        <f>IF(IJ191=1,AVERAGEIFS(II3:II688,IG3:IG688,IG191,IJ3:IJ688,1),"")</f>
        <v/>
      </c>
      <c r="IM191">
        <f>IF(IJ191=1,II191-IL191,"")</f>
        <v/>
      </c>
      <c r="IN191" t="inlineStr">
        <is>
          <t>moderate</t>
        </is>
      </c>
      <c r="IO191">
        <f>IF(IN191="good",II191,NA())</f>
        <v/>
      </c>
      <c r="IP191">
        <f>IF(IN191="moderate",II191,NA())</f>
        <v/>
      </c>
      <c r="IQ191">
        <f>IF(IN191="low",II191,NA())</f>
        <v/>
      </c>
      <c r="IR191">
        <f>IF(AND(IN191="good",IJ191=1),IM191,NA())</f>
        <v/>
      </c>
      <c r="IS191">
        <f>IF(AND(IN191="moderate",IJ191=1),IM191,NA())</f>
        <v/>
      </c>
      <c r="IT191">
        <f>IF(AND(IN191="low",IJ191=1),IM191,NA())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  <c r="IG192">
        <f>Base_mundial!A191</f>
        <v/>
      </c>
      <c r="IH192">
        <f>Base_mundial!C191</f>
        <v/>
      </c>
      <c r="II192">
        <f>Base_mundial!E191-MIN(tope,DEGREES(ATAN(TAN(RADIANS(pe0-omega*Base_mundial!B191))*(Base_mundial!C191/sref)^(m_-1))))</f>
        <v/>
      </c>
      <c r="IJ192" t="n">
        <v>0</v>
      </c>
      <c r="IK192">
        <f>IF(IJ192=1,LN(IH192),"")</f>
        <v/>
      </c>
      <c r="IL192">
        <f>IF(IJ192=1,AVERAGEIFS(II3:II688,IG3:IG688,IG192,IJ3:IJ688,1),"")</f>
        <v/>
      </c>
      <c r="IM192">
        <f>IF(IJ192=1,II192-IL192,"")</f>
        <v/>
      </c>
      <c r="IN192" t="inlineStr">
        <is>
          <t>low</t>
        </is>
      </c>
      <c r="IO192">
        <f>IF(IN192="good",II192,NA())</f>
        <v/>
      </c>
      <c r="IP192">
        <f>IF(IN192="moderate",II192,NA())</f>
        <v/>
      </c>
      <c r="IQ192">
        <f>IF(IN192="low",II192,NA())</f>
        <v/>
      </c>
      <c r="IR192">
        <f>IF(AND(IN192="good",IJ192=1),IM192,NA())</f>
        <v/>
      </c>
      <c r="IS192">
        <f>IF(AND(IN192="moderate",IJ192=1),IM192,NA())</f>
        <v/>
      </c>
      <c r="IT192">
        <f>IF(AND(IN192="low",IJ192=1),IM192,NA())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  <c r="IG193">
        <f>Base_mundial!A192</f>
        <v/>
      </c>
      <c r="IH193">
        <f>Base_mundial!C192</f>
        <v/>
      </c>
      <c r="II193">
        <f>Base_mundial!E192-MIN(tope,DEGREES(ATAN(TAN(RADIANS(pe0-omega*Base_mundial!B192))*(Base_mundial!C192/sref)^(m_-1))))</f>
        <v/>
      </c>
      <c r="IJ193" t="n">
        <v>0</v>
      </c>
      <c r="IK193">
        <f>IF(IJ193=1,LN(IH193),"")</f>
        <v/>
      </c>
      <c r="IL193">
        <f>IF(IJ193=1,AVERAGEIFS(II3:II688,IG3:IG688,IG193,IJ3:IJ688,1),"")</f>
        <v/>
      </c>
      <c r="IM193">
        <f>IF(IJ193=1,II193-IL193,"")</f>
        <v/>
      </c>
      <c r="IN193" t="inlineStr">
        <is>
          <t>low</t>
        </is>
      </c>
      <c r="IO193">
        <f>IF(IN193="good",II193,NA())</f>
        <v/>
      </c>
      <c r="IP193">
        <f>IF(IN193="moderate",II193,NA())</f>
        <v/>
      </c>
      <c r="IQ193">
        <f>IF(IN193="low",II193,NA())</f>
        <v/>
      </c>
      <c r="IR193">
        <f>IF(AND(IN193="good",IJ193=1),IM193,NA())</f>
        <v/>
      </c>
      <c r="IS193">
        <f>IF(AND(IN193="moderate",IJ193=1),IM193,NA())</f>
        <v/>
      </c>
      <c r="IT193">
        <f>IF(AND(IN193="low",IJ193=1),IM193,NA())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  <c r="IG194">
        <f>Base_mundial!A193</f>
        <v/>
      </c>
      <c r="IH194">
        <f>Base_mundial!C193</f>
        <v/>
      </c>
      <c r="II194">
        <f>Base_mundial!E193-MIN(tope,DEGREES(ATAN(TAN(RADIANS(pe0-omega*Base_mundial!B193))*(Base_mundial!C193/sref)^(m_-1))))</f>
        <v/>
      </c>
      <c r="IJ194" t="n">
        <v>0</v>
      </c>
      <c r="IK194">
        <f>IF(IJ194=1,LN(IH194),"")</f>
        <v/>
      </c>
      <c r="IL194">
        <f>IF(IJ194=1,AVERAGEIFS(II3:II688,IG3:IG688,IG194,IJ3:IJ688,1),"")</f>
        <v/>
      </c>
      <c r="IM194">
        <f>IF(IJ194=1,II194-IL194,"")</f>
        <v/>
      </c>
      <c r="IN194" t="inlineStr">
        <is>
          <t>low</t>
        </is>
      </c>
      <c r="IO194">
        <f>IF(IN194="good",II194,NA())</f>
        <v/>
      </c>
      <c r="IP194">
        <f>IF(IN194="moderate",II194,NA())</f>
        <v/>
      </c>
      <c r="IQ194">
        <f>IF(IN194="low",II194,NA())</f>
        <v/>
      </c>
      <c r="IR194">
        <f>IF(AND(IN194="good",IJ194=1),IM194,NA())</f>
        <v/>
      </c>
      <c r="IS194">
        <f>IF(AND(IN194="moderate",IJ194=1),IM194,NA())</f>
        <v/>
      </c>
      <c r="IT194">
        <f>IF(AND(IN194="low",IJ194=1),IM194,NA())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  <c r="IG195">
        <f>Base_mundial!A194</f>
        <v/>
      </c>
      <c r="IH195">
        <f>Base_mundial!C194</f>
        <v/>
      </c>
      <c r="II195">
        <f>Base_mundial!E194-MIN(tope,DEGREES(ATAN(TAN(RADIANS(pe0-omega*Base_mundial!B194))*(Base_mundial!C194/sref)^(m_-1))))</f>
        <v/>
      </c>
      <c r="IJ195" t="n">
        <v>0</v>
      </c>
      <c r="IK195">
        <f>IF(IJ195=1,LN(IH195),"")</f>
        <v/>
      </c>
      <c r="IL195">
        <f>IF(IJ195=1,AVERAGEIFS(II3:II688,IG3:IG688,IG195,IJ3:IJ688,1),"")</f>
        <v/>
      </c>
      <c r="IM195">
        <f>IF(IJ195=1,II195-IL195,"")</f>
        <v/>
      </c>
      <c r="IN195" t="inlineStr">
        <is>
          <t>low</t>
        </is>
      </c>
      <c r="IO195">
        <f>IF(IN195="good",II195,NA())</f>
        <v/>
      </c>
      <c r="IP195">
        <f>IF(IN195="moderate",II195,NA())</f>
        <v/>
      </c>
      <c r="IQ195">
        <f>IF(IN195="low",II195,NA())</f>
        <v/>
      </c>
      <c r="IR195">
        <f>IF(AND(IN195="good",IJ195=1),IM195,NA())</f>
        <v/>
      </c>
      <c r="IS195">
        <f>IF(AND(IN195="moderate",IJ195=1),IM195,NA())</f>
        <v/>
      </c>
      <c r="IT195">
        <f>IF(AND(IN195="low",IJ195=1),IM195,NA())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  <c r="IG196">
        <f>Base_mundial!A195</f>
        <v/>
      </c>
      <c r="IH196">
        <f>Base_mundial!C195</f>
        <v/>
      </c>
      <c r="II196">
        <f>Base_mundial!E195-MIN(tope,DEGREES(ATAN(TAN(RADIANS(pe0-omega*Base_mundial!B195))*(Base_mundial!C195/sref)^(m_-1))))</f>
        <v/>
      </c>
      <c r="IJ196" t="n">
        <v>0</v>
      </c>
      <c r="IK196">
        <f>IF(IJ196=1,LN(IH196),"")</f>
        <v/>
      </c>
      <c r="IL196">
        <f>IF(IJ196=1,AVERAGEIFS(II3:II688,IG3:IG688,IG196,IJ3:IJ688,1),"")</f>
        <v/>
      </c>
      <c r="IM196">
        <f>IF(IJ196=1,II196-IL196,"")</f>
        <v/>
      </c>
      <c r="IN196" t="inlineStr">
        <is>
          <t>low</t>
        </is>
      </c>
      <c r="IO196">
        <f>IF(IN196="good",II196,NA())</f>
        <v/>
      </c>
      <c r="IP196">
        <f>IF(IN196="moderate",II196,NA())</f>
        <v/>
      </c>
      <c r="IQ196">
        <f>IF(IN196="low",II196,NA())</f>
        <v/>
      </c>
      <c r="IR196">
        <f>IF(AND(IN196="good",IJ196=1),IM196,NA())</f>
        <v/>
      </c>
      <c r="IS196">
        <f>IF(AND(IN196="moderate",IJ196=1),IM196,NA())</f>
        <v/>
      </c>
      <c r="IT196">
        <f>IF(AND(IN196="low",IJ196=1),IM196,NA())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  <c r="IG197">
        <f>Base_mundial!A196</f>
        <v/>
      </c>
      <c r="IH197">
        <f>Base_mundial!C196</f>
        <v/>
      </c>
      <c r="II197">
        <f>Base_mundial!E196-MIN(tope,DEGREES(ATAN(TAN(RADIANS(pe0-omega*Base_mundial!B196))*(Base_mundial!C196/sref)^(m_-1))))</f>
        <v/>
      </c>
      <c r="IJ197" t="n">
        <v>0</v>
      </c>
      <c r="IK197">
        <f>IF(IJ197=1,LN(IH197),"")</f>
        <v/>
      </c>
      <c r="IL197">
        <f>IF(IJ197=1,AVERAGEIFS(II3:II688,IG3:IG688,IG197,IJ3:IJ688,1),"")</f>
        <v/>
      </c>
      <c r="IM197">
        <f>IF(IJ197=1,II197-IL197,"")</f>
        <v/>
      </c>
      <c r="IN197" t="inlineStr">
        <is>
          <t>low</t>
        </is>
      </c>
      <c r="IO197">
        <f>IF(IN197="good",II197,NA())</f>
        <v/>
      </c>
      <c r="IP197">
        <f>IF(IN197="moderate",II197,NA())</f>
        <v/>
      </c>
      <c r="IQ197">
        <f>IF(IN197="low",II197,NA())</f>
        <v/>
      </c>
      <c r="IR197">
        <f>IF(AND(IN197="good",IJ197=1),IM197,NA())</f>
        <v/>
      </c>
      <c r="IS197">
        <f>IF(AND(IN197="moderate",IJ197=1),IM197,NA())</f>
        <v/>
      </c>
      <c r="IT197">
        <f>IF(AND(IN197="low",IJ197=1),IM197,NA())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  <c r="IG198">
        <f>Base_mundial!A197</f>
        <v/>
      </c>
      <c r="IH198">
        <f>Base_mundial!C197</f>
        <v/>
      </c>
      <c r="II198">
        <f>Base_mundial!E197-MIN(tope,DEGREES(ATAN(TAN(RADIANS(pe0-omega*Base_mundial!B197))*(Base_mundial!C197/sref)^(m_-1))))</f>
        <v/>
      </c>
      <c r="IJ198" t="n">
        <v>0</v>
      </c>
      <c r="IK198">
        <f>IF(IJ198=1,LN(IH198),"")</f>
        <v/>
      </c>
      <c r="IL198">
        <f>IF(IJ198=1,AVERAGEIFS(II3:II688,IG3:IG688,IG198,IJ3:IJ688,1),"")</f>
        <v/>
      </c>
      <c r="IM198">
        <f>IF(IJ198=1,II198-IL198,"")</f>
        <v/>
      </c>
      <c r="IN198" t="inlineStr">
        <is>
          <t>low</t>
        </is>
      </c>
      <c r="IO198">
        <f>IF(IN198="good",II198,NA())</f>
        <v/>
      </c>
      <c r="IP198">
        <f>IF(IN198="moderate",II198,NA())</f>
        <v/>
      </c>
      <c r="IQ198">
        <f>IF(IN198="low",II198,NA())</f>
        <v/>
      </c>
      <c r="IR198">
        <f>IF(AND(IN198="good",IJ198=1),IM198,NA())</f>
        <v/>
      </c>
      <c r="IS198">
        <f>IF(AND(IN198="moderate",IJ198=1),IM198,NA())</f>
        <v/>
      </c>
      <c r="IT198">
        <f>IF(AND(IN198="low",IJ198=1),IM198,NA())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  <c r="IG199">
        <f>Base_mundial!A198</f>
        <v/>
      </c>
      <c r="IH199">
        <f>Base_mundial!C198</f>
        <v/>
      </c>
      <c r="II199">
        <f>Base_mundial!E198-MIN(tope,DEGREES(ATAN(TAN(RADIANS(pe0-omega*Base_mundial!B198))*(Base_mundial!C198/sref)^(m_-1))))</f>
        <v/>
      </c>
      <c r="IJ199" t="n">
        <v>0</v>
      </c>
      <c r="IK199">
        <f>IF(IJ199=1,LN(IH199),"")</f>
        <v/>
      </c>
      <c r="IL199">
        <f>IF(IJ199=1,AVERAGEIFS(II3:II688,IG3:IG688,IG199,IJ3:IJ688,1),"")</f>
        <v/>
      </c>
      <c r="IM199">
        <f>IF(IJ199=1,II199-IL199,"")</f>
        <v/>
      </c>
      <c r="IN199" t="inlineStr">
        <is>
          <t>low</t>
        </is>
      </c>
      <c r="IO199">
        <f>IF(IN199="good",II199,NA())</f>
        <v/>
      </c>
      <c r="IP199">
        <f>IF(IN199="moderate",II199,NA())</f>
        <v/>
      </c>
      <c r="IQ199">
        <f>IF(IN199="low",II199,NA())</f>
        <v/>
      </c>
      <c r="IR199">
        <f>IF(AND(IN199="good",IJ199=1),IM199,NA())</f>
        <v/>
      </c>
      <c r="IS199">
        <f>IF(AND(IN199="moderate",IJ199=1),IM199,NA())</f>
        <v/>
      </c>
      <c r="IT199">
        <f>IF(AND(IN199="low",IJ199=1),IM199,NA())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  <c r="IG200">
        <f>Base_mundial!A199</f>
        <v/>
      </c>
      <c r="IH200">
        <f>Base_mundial!C199</f>
        <v/>
      </c>
      <c r="II200">
        <f>Base_mundial!E199-MIN(tope,DEGREES(ATAN(TAN(RADIANS(pe0-omega*Base_mundial!B199))*(Base_mundial!C199/sref)^(m_-1))))</f>
        <v/>
      </c>
      <c r="IJ200" t="n">
        <v>0</v>
      </c>
      <c r="IK200">
        <f>IF(IJ200=1,LN(IH200),"")</f>
        <v/>
      </c>
      <c r="IL200">
        <f>IF(IJ200=1,AVERAGEIFS(II3:II688,IG3:IG688,IG200,IJ3:IJ688,1),"")</f>
        <v/>
      </c>
      <c r="IM200">
        <f>IF(IJ200=1,II200-IL200,"")</f>
        <v/>
      </c>
      <c r="IN200" t="inlineStr">
        <is>
          <t>low</t>
        </is>
      </c>
      <c r="IO200">
        <f>IF(IN200="good",II200,NA())</f>
        <v/>
      </c>
      <c r="IP200">
        <f>IF(IN200="moderate",II200,NA())</f>
        <v/>
      </c>
      <c r="IQ200">
        <f>IF(IN200="low",II200,NA())</f>
        <v/>
      </c>
      <c r="IR200">
        <f>IF(AND(IN200="good",IJ200=1),IM200,NA())</f>
        <v/>
      </c>
      <c r="IS200">
        <f>IF(AND(IN200="moderate",IJ200=1),IM200,NA())</f>
        <v/>
      </c>
      <c r="IT200">
        <f>IF(AND(IN200="low",IJ200=1),IM200,NA())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  <c r="IG201">
        <f>Base_mundial!A200</f>
        <v/>
      </c>
      <c r="IH201">
        <f>Base_mundial!C200</f>
        <v/>
      </c>
      <c r="II201">
        <f>Base_mundial!E200-MIN(tope,DEGREES(ATAN(TAN(RADIANS(pe0-omega*Base_mundial!B200))*(Base_mundial!C200/sref)^(m_-1))))</f>
        <v/>
      </c>
      <c r="IJ201" t="n">
        <v>0</v>
      </c>
      <c r="IK201">
        <f>IF(IJ201=1,LN(IH201),"")</f>
        <v/>
      </c>
      <c r="IL201">
        <f>IF(IJ201=1,AVERAGEIFS(II3:II688,IG3:IG688,IG201,IJ3:IJ688,1),"")</f>
        <v/>
      </c>
      <c r="IM201">
        <f>IF(IJ201=1,II201-IL201,"")</f>
        <v/>
      </c>
      <c r="IN201" t="inlineStr">
        <is>
          <t>low</t>
        </is>
      </c>
      <c r="IO201">
        <f>IF(IN201="good",II201,NA())</f>
        <v/>
      </c>
      <c r="IP201">
        <f>IF(IN201="moderate",II201,NA())</f>
        <v/>
      </c>
      <c r="IQ201">
        <f>IF(IN201="low",II201,NA())</f>
        <v/>
      </c>
      <c r="IR201">
        <f>IF(AND(IN201="good",IJ201=1),IM201,NA())</f>
        <v/>
      </c>
      <c r="IS201">
        <f>IF(AND(IN201="moderate",IJ201=1),IM201,NA())</f>
        <v/>
      </c>
      <c r="IT201">
        <f>IF(AND(IN201="low",IJ201=1),IM201,NA())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  <c r="IG202">
        <f>Base_mundial!A201</f>
        <v/>
      </c>
      <c r="IH202">
        <f>Base_mundial!C201</f>
        <v/>
      </c>
      <c r="II202">
        <f>Base_mundial!E201-MIN(tope,DEGREES(ATAN(TAN(RADIANS(pe0-omega*Base_mundial!B201))*(Base_mundial!C201/sref)^(m_-1))))</f>
        <v/>
      </c>
      <c r="IJ202" t="n">
        <v>0</v>
      </c>
      <c r="IK202">
        <f>IF(IJ202=1,LN(IH202),"")</f>
        <v/>
      </c>
      <c r="IL202">
        <f>IF(IJ202=1,AVERAGEIFS(II3:II688,IG3:IG688,IG202,IJ3:IJ688,1),"")</f>
        <v/>
      </c>
      <c r="IM202">
        <f>IF(IJ202=1,II202-IL202,"")</f>
        <v/>
      </c>
      <c r="IN202" t="inlineStr">
        <is>
          <t>moderate</t>
        </is>
      </c>
      <c r="IO202">
        <f>IF(IN202="good",II202,NA())</f>
        <v/>
      </c>
      <c r="IP202">
        <f>IF(IN202="moderate",II202,NA())</f>
        <v/>
      </c>
      <c r="IQ202">
        <f>IF(IN202="low",II202,NA())</f>
        <v/>
      </c>
      <c r="IR202">
        <f>IF(AND(IN202="good",IJ202=1),IM202,NA())</f>
        <v/>
      </c>
      <c r="IS202">
        <f>IF(AND(IN202="moderate",IJ202=1),IM202,NA())</f>
        <v/>
      </c>
      <c r="IT202">
        <f>IF(AND(IN202="low",IJ202=1),IM202,NA())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  <c r="IG203">
        <f>Base_mundial!A202</f>
        <v/>
      </c>
      <c r="IH203">
        <f>Base_mundial!C202</f>
        <v/>
      </c>
      <c r="II203">
        <f>Base_mundial!E202-MIN(tope,DEGREES(ATAN(TAN(RADIANS(pe0-omega*Base_mundial!B202))*(Base_mundial!C202/sref)^(m_-1))))</f>
        <v/>
      </c>
      <c r="IJ203" t="n">
        <v>0</v>
      </c>
      <c r="IK203">
        <f>IF(IJ203=1,LN(IH203),"")</f>
        <v/>
      </c>
      <c r="IL203">
        <f>IF(IJ203=1,AVERAGEIFS(II3:II688,IG3:IG688,IG203,IJ3:IJ688,1),"")</f>
        <v/>
      </c>
      <c r="IM203">
        <f>IF(IJ203=1,II203-IL203,"")</f>
        <v/>
      </c>
      <c r="IN203" t="inlineStr">
        <is>
          <t>moderate</t>
        </is>
      </c>
      <c r="IO203">
        <f>IF(IN203="good",II203,NA())</f>
        <v/>
      </c>
      <c r="IP203">
        <f>IF(IN203="moderate",II203,NA())</f>
        <v/>
      </c>
      <c r="IQ203">
        <f>IF(IN203="low",II203,NA())</f>
        <v/>
      </c>
      <c r="IR203">
        <f>IF(AND(IN203="good",IJ203=1),IM203,NA())</f>
        <v/>
      </c>
      <c r="IS203">
        <f>IF(AND(IN203="moderate",IJ203=1),IM203,NA())</f>
        <v/>
      </c>
      <c r="IT203">
        <f>IF(AND(IN203="low",IJ203=1),IM203,NA())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  <c r="IG204">
        <f>Base_mundial!A203</f>
        <v/>
      </c>
      <c r="IH204">
        <f>Base_mundial!C203</f>
        <v/>
      </c>
      <c r="II204">
        <f>Base_mundial!E203-MIN(tope,DEGREES(ATAN(TAN(RADIANS(pe0-omega*Base_mundial!B203))*(Base_mundial!C203/sref)^(m_-1))))</f>
        <v/>
      </c>
      <c r="IJ204" t="n">
        <v>1</v>
      </c>
      <c r="IK204">
        <f>IF(IJ204=1,LN(IH204),"")</f>
        <v/>
      </c>
      <c r="IL204">
        <f>IF(IJ204=1,AVERAGEIFS(II3:II688,IG3:IG688,IG204,IJ3:IJ688,1),"")</f>
        <v/>
      </c>
      <c r="IM204">
        <f>IF(IJ204=1,II204-IL204,"")</f>
        <v/>
      </c>
      <c r="IN204" t="inlineStr">
        <is>
          <t>moderate</t>
        </is>
      </c>
      <c r="IO204">
        <f>IF(IN204="good",II204,NA())</f>
        <v/>
      </c>
      <c r="IP204">
        <f>IF(IN204="moderate",II204,NA())</f>
        <v/>
      </c>
      <c r="IQ204">
        <f>IF(IN204="low",II204,NA())</f>
        <v/>
      </c>
      <c r="IR204">
        <f>IF(AND(IN204="good",IJ204=1),IM204,NA())</f>
        <v/>
      </c>
      <c r="IS204">
        <f>IF(AND(IN204="moderate",IJ204=1),IM204,NA())</f>
        <v/>
      </c>
      <c r="IT204">
        <f>IF(AND(IN204="low",IJ204=1),IM204,NA())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  <c r="IG205">
        <f>Base_mundial!A204</f>
        <v/>
      </c>
      <c r="IH205">
        <f>Base_mundial!C204</f>
        <v/>
      </c>
      <c r="II205">
        <f>Base_mundial!E204-MIN(tope,DEGREES(ATAN(TAN(RADIANS(pe0-omega*Base_mundial!B204))*(Base_mundial!C204/sref)^(m_-1))))</f>
        <v/>
      </c>
      <c r="IJ205" t="n">
        <v>1</v>
      </c>
      <c r="IK205">
        <f>IF(IJ205=1,LN(IH205),"")</f>
        <v/>
      </c>
      <c r="IL205">
        <f>IF(IJ205=1,AVERAGEIFS(II3:II688,IG3:IG688,IG205,IJ3:IJ688,1),"")</f>
        <v/>
      </c>
      <c r="IM205">
        <f>IF(IJ205=1,II205-IL205,"")</f>
        <v/>
      </c>
      <c r="IN205" t="inlineStr">
        <is>
          <t>moderate</t>
        </is>
      </c>
      <c r="IO205">
        <f>IF(IN205="good",II205,NA())</f>
        <v/>
      </c>
      <c r="IP205">
        <f>IF(IN205="moderate",II205,NA())</f>
        <v/>
      </c>
      <c r="IQ205">
        <f>IF(IN205="low",II205,NA())</f>
        <v/>
      </c>
      <c r="IR205">
        <f>IF(AND(IN205="good",IJ205=1),IM205,NA())</f>
        <v/>
      </c>
      <c r="IS205">
        <f>IF(AND(IN205="moderate",IJ205=1),IM205,NA())</f>
        <v/>
      </c>
      <c r="IT205">
        <f>IF(AND(IN205="low",IJ205=1),IM205,NA())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  <c r="IG206">
        <f>Base_mundial!A205</f>
        <v/>
      </c>
      <c r="IH206">
        <f>Base_mundial!C205</f>
        <v/>
      </c>
      <c r="II206">
        <f>Base_mundial!E205-MIN(tope,DEGREES(ATAN(TAN(RADIANS(pe0-omega*Base_mundial!B205))*(Base_mundial!C205/sref)^(m_-1))))</f>
        <v/>
      </c>
      <c r="IJ206" t="n">
        <v>0</v>
      </c>
      <c r="IK206">
        <f>IF(IJ206=1,LN(IH206),"")</f>
        <v/>
      </c>
      <c r="IL206">
        <f>IF(IJ206=1,AVERAGEIFS(II3:II688,IG3:IG688,IG206,IJ3:IJ688,1),"")</f>
        <v/>
      </c>
      <c r="IM206">
        <f>IF(IJ206=1,II206-IL206,"")</f>
        <v/>
      </c>
      <c r="IN206" t="inlineStr">
        <is>
          <t>moderate</t>
        </is>
      </c>
      <c r="IO206">
        <f>IF(IN206="good",II206,NA())</f>
        <v/>
      </c>
      <c r="IP206">
        <f>IF(IN206="moderate",II206,NA())</f>
        <v/>
      </c>
      <c r="IQ206">
        <f>IF(IN206="low",II206,NA())</f>
        <v/>
      </c>
      <c r="IR206">
        <f>IF(AND(IN206="good",IJ206=1),IM206,NA())</f>
        <v/>
      </c>
      <c r="IS206">
        <f>IF(AND(IN206="moderate",IJ206=1),IM206,NA())</f>
        <v/>
      </c>
      <c r="IT206">
        <f>IF(AND(IN206="low",IJ206=1),IM206,NA())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  <c r="IG207">
        <f>Base_mundial!A206</f>
        <v/>
      </c>
      <c r="IH207">
        <f>Base_mundial!C206</f>
        <v/>
      </c>
      <c r="II207">
        <f>Base_mundial!E206-MIN(tope,DEGREES(ATAN(TAN(RADIANS(pe0-omega*Base_mundial!B206))*(Base_mundial!C206/sref)^(m_-1))))</f>
        <v/>
      </c>
      <c r="IJ207" t="n">
        <v>0</v>
      </c>
      <c r="IK207">
        <f>IF(IJ207=1,LN(IH207),"")</f>
        <v/>
      </c>
      <c r="IL207">
        <f>IF(IJ207=1,AVERAGEIFS(II3:II688,IG3:IG688,IG207,IJ3:IJ688,1),"")</f>
        <v/>
      </c>
      <c r="IM207">
        <f>IF(IJ207=1,II207-IL207,"")</f>
        <v/>
      </c>
      <c r="IN207" t="inlineStr">
        <is>
          <t>moderate</t>
        </is>
      </c>
      <c r="IO207">
        <f>IF(IN207="good",II207,NA())</f>
        <v/>
      </c>
      <c r="IP207">
        <f>IF(IN207="moderate",II207,NA())</f>
        <v/>
      </c>
      <c r="IQ207">
        <f>IF(IN207="low",II207,NA())</f>
        <v/>
      </c>
      <c r="IR207">
        <f>IF(AND(IN207="good",IJ207=1),IM207,NA())</f>
        <v/>
      </c>
      <c r="IS207">
        <f>IF(AND(IN207="moderate",IJ207=1),IM207,NA())</f>
        <v/>
      </c>
      <c r="IT207">
        <f>IF(AND(IN207="low",IJ207=1),IM207,NA())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  <c r="IG208">
        <f>Base_mundial!A207</f>
        <v/>
      </c>
      <c r="IH208">
        <f>Base_mundial!C207</f>
        <v/>
      </c>
      <c r="II208">
        <f>Base_mundial!E207-MIN(tope,DEGREES(ATAN(TAN(RADIANS(pe0-omega*Base_mundial!B207))*(Base_mundial!C207/sref)^(m_-1))))</f>
        <v/>
      </c>
      <c r="IJ208" t="n">
        <v>1</v>
      </c>
      <c r="IK208">
        <f>IF(IJ208=1,LN(IH208),"")</f>
        <v/>
      </c>
      <c r="IL208">
        <f>IF(IJ208=1,AVERAGEIFS(II3:II688,IG3:IG688,IG208,IJ3:IJ688,1),"")</f>
        <v/>
      </c>
      <c r="IM208">
        <f>IF(IJ208=1,II208-IL208,"")</f>
        <v/>
      </c>
      <c r="IN208" t="inlineStr">
        <is>
          <t>moderate</t>
        </is>
      </c>
      <c r="IO208">
        <f>IF(IN208="good",II208,NA())</f>
        <v/>
      </c>
      <c r="IP208">
        <f>IF(IN208="moderate",II208,NA())</f>
        <v/>
      </c>
      <c r="IQ208">
        <f>IF(IN208="low",II208,NA())</f>
        <v/>
      </c>
      <c r="IR208">
        <f>IF(AND(IN208="good",IJ208=1),IM208,NA())</f>
        <v/>
      </c>
      <c r="IS208">
        <f>IF(AND(IN208="moderate",IJ208=1),IM208,NA())</f>
        <v/>
      </c>
      <c r="IT208">
        <f>IF(AND(IN208="low",IJ208=1),IM208,NA())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  <c r="IG209">
        <f>Base_mundial!A208</f>
        <v/>
      </c>
      <c r="IH209">
        <f>Base_mundial!C208</f>
        <v/>
      </c>
      <c r="II209">
        <f>Base_mundial!E208-MIN(tope,DEGREES(ATAN(TAN(RADIANS(pe0-omega*Base_mundial!B208))*(Base_mundial!C208/sref)^(m_-1))))</f>
        <v/>
      </c>
      <c r="IJ209" t="n">
        <v>1</v>
      </c>
      <c r="IK209">
        <f>IF(IJ209=1,LN(IH209),"")</f>
        <v/>
      </c>
      <c r="IL209">
        <f>IF(IJ209=1,AVERAGEIFS(II3:II688,IG3:IG688,IG209,IJ3:IJ688,1),"")</f>
        <v/>
      </c>
      <c r="IM209">
        <f>IF(IJ209=1,II209-IL209,"")</f>
        <v/>
      </c>
      <c r="IN209" t="inlineStr">
        <is>
          <t>moderate</t>
        </is>
      </c>
      <c r="IO209">
        <f>IF(IN209="good",II209,NA())</f>
        <v/>
      </c>
      <c r="IP209">
        <f>IF(IN209="moderate",II209,NA())</f>
        <v/>
      </c>
      <c r="IQ209">
        <f>IF(IN209="low",II209,NA())</f>
        <v/>
      </c>
      <c r="IR209">
        <f>IF(AND(IN209="good",IJ209=1),IM209,NA())</f>
        <v/>
      </c>
      <c r="IS209">
        <f>IF(AND(IN209="moderate",IJ209=1),IM209,NA())</f>
        <v/>
      </c>
      <c r="IT209">
        <f>IF(AND(IN209="low",IJ209=1),IM209,NA())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  <c r="IG210">
        <f>Base_mundial!A209</f>
        <v/>
      </c>
      <c r="IH210">
        <f>Base_mundial!C209</f>
        <v/>
      </c>
      <c r="II210">
        <f>Base_mundial!E209-MIN(tope,DEGREES(ATAN(TAN(RADIANS(pe0-omega*Base_mundial!B209))*(Base_mundial!C209/sref)^(m_-1))))</f>
        <v/>
      </c>
      <c r="IJ210" t="n">
        <v>0</v>
      </c>
      <c r="IK210">
        <f>IF(IJ210=1,LN(IH210),"")</f>
        <v/>
      </c>
      <c r="IL210">
        <f>IF(IJ210=1,AVERAGEIFS(II3:II688,IG3:IG688,IG210,IJ3:IJ688,1),"")</f>
        <v/>
      </c>
      <c r="IM210">
        <f>IF(IJ210=1,II210-IL210,"")</f>
        <v/>
      </c>
      <c r="IN210" t="inlineStr">
        <is>
          <t>moderate</t>
        </is>
      </c>
      <c r="IO210">
        <f>IF(IN210="good",II210,NA())</f>
        <v/>
      </c>
      <c r="IP210">
        <f>IF(IN210="moderate",II210,NA())</f>
        <v/>
      </c>
      <c r="IQ210">
        <f>IF(IN210="low",II210,NA())</f>
        <v/>
      </c>
      <c r="IR210">
        <f>IF(AND(IN210="good",IJ210=1),IM210,NA())</f>
        <v/>
      </c>
      <c r="IS210">
        <f>IF(AND(IN210="moderate",IJ210=1),IM210,NA())</f>
        <v/>
      </c>
      <c r="IT210">
        <f>IF(AND(IN210="low",IJ210=1),IM210,NA())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  <c r="IG211">
        <f>Base_mundial!A210</f>
        <v/>
      </c>
      <c r="IH211">
        <f>Base_mundial!C210</f>
        <v/>
      </c>
      <c r="II211">
        <f>Base_mundial!E210-MIN(tope,DEGREES(ATAN(TAN(RADIANS(pe0-omega*Base_mundial!B210))*(Base_mundial!C210/sref)^(m_-1))))</f>
        <v/>
      </c>
      <c r="IJ211" t="n">
        <v>0</v>
      </c>
      <c r="IK211">
        <f>IF(IJ211=1,LN(IH211),"")</f>
        <v/>
      </c>
      <c r="IL211">
        <f>IF(IJ211=1,AVERAGEIFS(II3:II688,IG3:IG688,IG211,IJ3:IJ688,1),"")</f>
        <v/>
      </c>
      <c r="IM211">
        <f>IF(IJ211=1,II211-IL211,"")</f>
        <v/>
      </c>
      <c r="IN211" t="inlineStr">
        <is>
          <t>moderate</t>
        </is>
      </c>
      <c r="IO211">
        <f>IF(IN211="good",II211,NA())</f>
        <v/>
      </c>
      <c r="IP211">
        <f>IF(IN211="moderate",II211,NA())</f>
        <v/>
      </c>
      <c r="IQ211">
        <f>IF(IN211="low",II211,NA())</f>
        <v/>
      </c>
      <c r="IR211">
        <f>IF(AND(IN211="good",IJ211=1),IM211,NA())</f>
        <v/>
      </c>
      <c r="IS211">
        <f>IF(AND(IN211="moderate",IJ211=1),IM211,NA())</f>
        <v/>
      </c>
      <c r="IT211">
        <f>IF(AND(IN211="low",IJ211=1),IM211,NA())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  <c r="IG212">
        <f>Base_mundial!A211</f>
        <v/>
      </c>
      <c r="IH212">
        <f>Base_mundial!C211</f>
        <v/>
      </c>
      <c r="II212">
        <f>Base_mundial!E211-MIN(tope,DEGREES(ATAN(TAN(RADIANS(pe0-omega*Base_mundial!B211))*(Base_mundial!C211/sref)^(m_-1))))</f>
        <v/>
      </c>
      <c r="IJ212" t="n">
        <v>1</v>
      </c>
      <c r="IK212">
        <f>IF(IJ212=1,LN(IH212),"")</f>
        <v/>
      </c>
      <c r="IL212">
        <f>IF(IJ212=1,AVERAGEIFS(II3:II688,IG3:IG688,IG212,IJ3:IJ688,1),"")</f>
        <v/>
      </c>
      <c r="IM212">
        <f>IF(IJ212=1,II212-IL212,"")</f>
        <v/>
      </c>
      <c r="IN212" t="inlineStr">
        <is>
          <t>moderate</t>
        </is>
      </c>
      <c r="IO212">
        <f>IF(IN212="good",II212,NA())</f>
        <v/>
      </c>
      <c r="IP212">
        <f>IF(IN212="moderate",II212,NA())</f>
        <v/>
      </c>
      <c r="IQ212">
        <f>IF(IN212="low",II212,NA())</f>
        <v/>
      </c>
      <c r="IR212">
        <f>IF(AND(IN212="good",IJ212=1),IM212,NA())</f>
        <v/>
      </c>
      <c r="IS212">
        <f>IF(AND(IN212="moderate",IJ212=1),IM212,NA())</f>
        <v/>
      </c>
      <c r="IT212">
        <f>IF(AND(IN212="low",IJ212=1),IM212,NA())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  <c r="IG213">
        <f>Base_mundial!A212</f>
        <v/>
      </c>
      <c r="IH213">
        <f>Base_mundial!C212</f>
        <v/>
      </c>
      <c r="II213">
        <f>Base_mundial!E212-MIN(tope,DEGREES(ATAN(TAN(RADIANS(pe0-omega*Base_mundial!B212))*(Base_mundial!C212/sref)^(m_-1))))</f>
        <v/>
      </c>
      <c r="IJ213" t="n">
        <v>1</v>
      </c>
      <c r="IK213">
        <f>IF(IJ213=1,LN(IH213),"")</f>
        <v/>
      </c>
      <c r="IL213">
        <f>IF(IJ213=1,AVERAGEIFS(II3:II688,IG3:IG688,IG213,IJ3:IJ688,1),"")</f>
        <v/>
      </c>
      <c r="IM213">
        <f>IF(IJ213=1,II213-IL213,"")</f>
        <v/>
      </c>
      <c r="IN213" t="inlineStr">
        <is>
          <t>moderate</t>
        </is>
      </c>
      <c r="IO213">
        <f>IF(IN213="good",II213,NA())</f>
        <v/>
      </c>
      <c r="IP213">
        <f>IF(IN213="moderate",II213,NA())</f>
        <v/>
      </c>
      <c r="IQ213">
        <f>IF(IN213="low",II213,NA())</f>
        <v/>
      </c>
      <c r="IR213">
        <f>IF(AND(IN213="good",IJ213=1),IM213,NA())</f>
        <v/>
      </c>
      <c r="IS213">
        <f>IF(AND(IN213="moderate",IJ213=1),IM213,NA())</f>
        <v/>
      </c>
      <c r="IT213">
        <f>IF(AND(IN213="low",IJ213=1),IM213,NA())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  <c r="IG214">
        <f>Base_mundial!A213</f>
        <v/>
      </c>
      <c r="IH214">
        <f>Base_mundial!C213</f>
        <v/>
      </c>
      <c r="II214">
        <f>Base_mundial!E213-MIN(tope,DEGREES(ATAN(TAN(RADIANS(pe0-omega*Base_mundial!B213))*(Base_mundial!C213/sref)^(m_-1))))</f>
        <v/>
      </c>
      <c r="IJ214" t="n">
        <v>0</v>
      </c>
      <c r="IK214">
        <f>IF(IJ214=1,LN(IH214),"")</f>
        <v/>
      </c>
      <c r="IL214">
        <f>IF(IJ214=1,AVERAGEIFS(II3:II688,IG3:IG688,IG214,IJ3:IJ688,1),"")</f>
        <v/>
      </c>
      <c r="IM214">
        <f>IF(IJ214=1,II214-IL214,"")</f>
        <v/>
      </c>
      <c r="IN214" t="inlineStr">
        <is>
          <t>moderate</t>
        </is>
      </c>
      <c r="IO214">
        <f>IF(IN214="good",II214,NA())</f>
        <v/>
      </c>
      <c r="IP214">
        <f>IF(IN214="moderate",II214,NA())</f>
        <v/>
      </c>
      <c r="IQ214">
        <f>IF(IN214="low",II214,NA())</f>
        <v/>
      </c>
      <c r="IR214">
        <f>IF(AND(IN214="good",IJ214=1),IM214,NA())</f>
        <v/>
      </c>
      <c r="IS214">
        <f>IF(AND(IN214="moderate",IJ214=1),IM214,NA())</f>
        <v/>
      </c>
      <c r="IT214">
        <f>IF(AND(IN214="low",IJ214=1),IM214,NA())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  <c r="IG215">
        <f>Base_mundial!A214</f>
        <v/>
      </c>
      <c r="IH215">
        <f>Base_mundial!C214</f>
        <v/>
      </c>
      <c r="II215">
        <f>Base_mundial!E214-MIN(tope,DEGREES(ATAN(TAN(RADIANS(pe0-omega*Base_mundial!B214))*(Base_mundial!C214/sref)^(m_-1))))</f>
        <v/>
      </c>
      <c r="IJ215" t="n">
        <v>0</v>
      </c>
      <c r="IK215">
        <f>IF(IJ215=1,LN(IH215),"")</f>
        <v/>
      </c>
      <c r="IL215">
        <f>IF(IJ215=1,AVERAGEIFS(II3:II688,IG3:IG688,IG215,IJ3:IJ688,1),"")</f>
        <v/>
      </c>
      <c r="IM215">
        <f>IF(IJ215=1,II215-IL215,"")</f>
        <v/>
      </c>
      <c r="IN215" t="inlineStr">
        <is>
          <t>moderate</t>
        </is>
      </c>
      <c r="IO215">
        <f>IF(IN215="good",II215,NA())</f>
        <v/>
      </c>
      <c r="IP215">
        <f>IF(IN215="moderate",II215,NA())</f>
        <v/>
      </c>
      <c r="IQ215">
        <f>IF(IN215="low",II215,NA())</f>
        <v/>
      </c>
      <c r="IR215">
        <f>IF(AND(IN215="good",IJ215=1),IM215,NA())</f>
        <v/>
      </c>
      <c r="IS215">
        <f>IF(AND(IN215="moderate",IJ215=1),IM215,NA())</f>
        <v/>
      </c>
      <c r="IT215">
        <f>IF(AND(IN215="low",IJ215=1),IM215,NA())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  <c r="IG216">
        <f>Base_mundial!A215</f>
        <v/>
      </c>
      <c r="IH216">
        <f>Base_mundial!C215</f>
        <v/>
      </c>
      <c r="II216">
        <f>Base_mundial!E215-MIN(tope,DEGREES(ATAN(TAN(RADIANS(pe0-omega*Base_mundial!B215))*(Base_mundial!C215/sref)^(m_-1))))</f>
        <v/>
      </c>
      <c r="IJ216" t="n">
        <v>1</v>
      </c>
      <c r="IK216">
        <f>IF(IJ216=1,LN(IH216),"")</f>
        <v/>
      </c>
      <c r="IL216">
        <f>IF(IJ216=1,AVERAGEIFS(II3:II688,IG3:IG688,IG216,IJ3:IJ688,1),"")</f>
        <v/>
      </c>
      <c r="IM216">
        <f>IF(IJ216=1,II216-IL216,"")</f>
        <v/>
      </c>
      <c r="IN216" t="inlineStr">
        <is>
          <t>moderate</t>
        </is>
      </c>
      <c r="IO216">
        <f>IF(IN216="good",II216,NA())</f>
        <v/>
      </c>
      <c r="IP216">
        <f>IF(IN216="moderate",II216,NA())</f>
        <v/>
      </c>
      <c r="IQ216">
        <f>IF(IN216="low",II216,NA())</f>
        <v/>
      </c>
      <c r="IR216">
        <f>IF(AND(IN216="good",IJ216=1),IM216,NA())</f>
        <v/>
      </c>
      <c r="IS216">
        <f>IF(AND(IN216="moderate",IJ216=1),IM216,NA())</f>
        <v/>
      </c>
      <c r="IT216">
        <f>IF(AND(IN216="low",IJ216=1),IM216,NA())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  <c r="IG217">
        <f>Base_mundial!A216</f>
        <v/>
      </c>
      <c r="IH217">
        <f>Base_mundial!C216</f>
        <v/>
      </c>
      <c r="II217">
        <f>Base_mundial!E216-MIN(tope,DEGREES(ATAN(TAN(RADIANS(pe0-omega*Base_mundial!B216))*(Base_mundial!C216/sref)^(m_-1))))</f>
        <v/>
      </c>
      <c r="IJ217" t="n">
        <v>1</v>
      </c>
      <c r="IK217">
        <f>IF(IJ217=1,LN(IH217),"")</f>
        <v/>
      </c>
      <c r="IL217">
        <f>IF(IJ217=1,AVERAGEIFS(II3:II688,IG3:IG688,IG217,IJ3:IJ688,1),"")</f>
        <v/>
      </c>
      <c r="IM217">
        <f>IF(IJ217=1,II217-IL217,"")</f>
        <v/>
      </c>
      <c r="IN217" t="inlineStr">
        <is>
          <t>moderate</t>
        </is>
      </c>
      <c r="IO217">
        <f>IF(IN217="good",II217,NA())</f>
        <v/>
      </c>
      <c r="IP217">
        <f>IF(IN217="moderate",II217,NA())</f>
        <v/>
      </c>
      <c r="IQ217">
        <f>IF(IN217="low",II217,NA())</f>
        <v/>
      </c>
      <c r="IR217">
        <f>IF(AND(IN217="good",IJ217=1),IM217,NA())</f>
        <v/>
      </c>
      <c r="IS217">
        <f>IF(AND(IN217="moderate",IJ217=1),IM217,NA())</f>
        <v/>
      </c>
      <c r="IT217">
        <f>IF(AND(IN217="low",IJ217=1),IM217,NA())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  <c r="IG218">
        <f>Base_mundial!A217</f>
        <v/>
      </c>
      <c r="IH218">
        <f>Base_mundial!C217</f>
        <v/>
      </c>
      <c r="II218">
        <f>Base_mundial!E217-MIN(tope,DEGREES(ATAN(TAN(RADIANS(pe0-omega*Base_mundial!B217))*(Base_mundial!C217/sref)^(m_-1))))</f>
        <v/>
      </c>
      <c r="IJ218" t="n">
        <v>0</v>
      </c>
      <c r="IK218">
        <f>IF(IJ218=1,LN(IH218),"")</f>
        <v/>
      </c>
      <c r="IL218">
        <f>IF(IJ218=1,AVERAGEIFS(II3:II688,IG3:IG688,IG218,IJ3:IJ688,1),"")</f>
        <v/>
      </c>
      <c r="IM218">
        <f>IF(IJ218=1,II218-IL218,"")</f>
        <v/>
      </c>
      <c r="IN218" t="inlineStr">
        <is>
          <t>moderate</t>
        </is>
      </c>
      <c r="IO218">
        <f>IF(IN218="good",II218,NA())</f>
        <v/>
      </c>
      <c r="IP218">
        <f>IF(IN218="moderate",II218,NA())</f>
        <v/>
      </c>
      <c r="IQ218">
        <f>IF(IN218="low",II218,NA())</f>
        <v/>
      </c>
      <c r="IR218">
        <f>IF(AND(IN218="good",IJ218=1),IM218,NA())</f>
        <v/>
      </c>
      <c r="IS218">
        <f>IF(AND(IN218="moderate",IJ218=1),IM218,NA())</f>
        <v/>
      </c>
      <c r="IT218">
        <f>IF(AND(IN218="low",IJ218=1),IM218,NA())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  <c r="IG219">
        <f>Base_mundial!A218</f>
        <v/>
      </c>
      <c r="IH219">
        <f>Base_mundial!C218</f>
        <v/>
      </c>
      <c r="II219">
        <f>Base_mundial!E218-MIN(tope,DEGREES(ATAN(TAN(RADIANS(pe0-omega*Base_mundial!B218))*(Base_mundial!C218/sref)^(m_-1))))</f>
        <v/>
      </c>
      <c r="IJ219" t="n">
        <v>0</v>
      </c>
      <c r="IK219">
        <f>IF(IJ219=1,LN(IH219),"")</f>
        <v/>
      </c>
      <c r="IL219">
        <f>IF(IJ219=1,AVERAGEIFS(II3:II688,IG3:IG688,IG219,IJ3:IJ688,1),"")</f>
        <v/>
      </c>
      <c r="IM219">
        <f>IF(IJ219=1,II219-IL219,"")</f>
        <v/>
      </c>
      <c r="IN219" t="inlineStr">
        <is>
          <t>moderate</t>
        </is>
      </c>
      <c r="IO219">
        <f>IF(IN219="good",II219,NA())</f>
        <v/>
      </c>
      <c r="IP219">
        <f>IF(IN219="moderate",II219,NA())</f>
        <v/>
      </c>
      <c r="IQ219">
        <f>IF(IN219="low",II219,NA())</f>
        <v/>
      </c>
      <c r="IR219">
        <f>IF(AND(IN219="good",IJ219=1),IM219,NA())</f>
        <v/>
      </c>
      <c r="IS219">
        <f>IF(AND(IN219="moderate",IJ219=1),IM219,NA())</f>
        <v/>
      </c>
      <c r="IT219">
        <f>IF(AND(IN219="low",IJ219=1),IM219,NA())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  <c r="IG220">
        <f>Base_mundial!A219</f>
        <v/>
      </c>
      <c r="IH220">
        <f>Base_mundial!C219</f>
        <v/>
      </c>
      <c r="II220">
        <f>Base_mundial!E219-MIN(tope,DEGREES(ATAN(TAN(RADIANS(pe0-omega*Base_mundial!B219))*(Base_mundial!C219/sref)^(m_-1))))</f>
        <v/>
      </c>
      <c r="IJ220" t="n">
        <v>1</v>
      </c>
      <c r="IK220">
        <f>IF(IJ220=1,LN(IH220),"")</f>
        <v/>
      </c>
      <c r="IL220">
        <f>IF(IJ220=1,AVERAGEIFS(II3:II688,IG3:IG688,IG220,IJ3:IJ688,1),"")</f>
        <v/>
      </c>
      <c r="IM220">
        <f>IF(IJ220=1,II220-IL220,"")</f>
        <v/>
      </c>
      <c r="IN220" t="inlineStr">
        <is>
          <t>moderate</t>
        </is>
      </c>
      <c r="IO220">
        <f>IF(IN220="good",II220,NA())</f>
        <v/>
      </c>
      <c r="IP220">
        <f>IF(IN220="moderate",II220,NA())</f>
        <v/>
      </c>
      <c r="IQ220">
        <f>IF(IN220="low",II220,NA())</f>
        <v/>
      </c>
      <c r="IR220">
        <f>IF(AND(IN220="good",IJ220=1),IM220,NA())</f>
        <v/>
      </c>
      <c r="IS220">
        <f>IF(AND(IN220="moderate",IJ220=1),IM220,NA())</f>
        <v/>
      </c>
      <c r="IT220">
        <f>IF(AND(IN220="low",IJ220=1),IM220,NA())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  <c r="IG221">
        <f>Base_mundial!A220</f>
        <v/>
      </c>
      <c r="IH221">
        <f>Base_mundial!C220</f>
        <v/>
      </c>
      <c r="II221">
        <f>Base_mundial!E220-MIN(tope,DEGREES(ATAN(TAN(RADIANS(pe0-omega*Base_mundial!B220))*(Base_mundial!C220/sref)^(m_-1))))</f>
        <v/>
      </c>
      <c r="IJ221" t="n">
        <v>1</v>
      </c>
      <c r="IK221">
        <f>IF(IJ221=1,LN(IH221),"")</f>
        <v/>
      </c>
      <c r="IL221">
        <f>IF(IJ221=1,AVERAGEIFS(II3:II688,IG3:IG688,IG221,IJ3:IJ688,1),"")</f>
        <v/>
      </c>
      <c r="IM221">
        <f>IF(IJ221=1,II221-IL221,"")</f>
        <v/>
      </c>
      <c r="IN221" t="inlineStr">
        <is>
          <t>moderate</t>
        </is>
      </c>
      <c r="IO221">
        <f>IF(IN221="good",II221,NA())</f>
        <v/>
      </c>
      <c r="IP221">
        <f>IF(IN221="moderate",II221,NA())</f>
        <v/>
      </c>
      <c r="IQ221">
        <f>IF(IN221="low",II221,NA())</f>
        <v/>
      </c>
      <c r="IR221">
        <f>IF(AND(IN221="good",IJ221=1),IM221,NA())</f>
        <v/>
      </c>
      <c r="IS221">
        <f>IF(AND(IN221="moderate",IJ221=1),IM221,NA())</f>
        <v/>
      </c>
      <c r="IT221">
        <f>IF(AND(IN221="low",IJ221=1),IM221,NA())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  <c r="IG222">
        <f>Base_mundial!A221</f>
        <v/>
      </c>
      <c r="IH222">
        <f>Base_mundial!C221</f>
        <v/>
      </c>
      <c r="II222">
        <f>Base_mundial!E221-MIN(tope,DEGREES(ATAN(TAN(RADIANS(pe0-omega*Base_mundial!B221))*(Base_mundial!C221/sref)^(m_-1))))</f>
        <v/>
      </c>
      <c r="IJ222" t="n">
        <v>0</v>
      </c>
      <c r="IK222">
        <f>IF(IJ222=1,LN(IH222),"")</f>
        <v/>
      </c>
      <c r="IL222">
        <f>IF(IJ222=1,AVERAGEIFS(II3:II688,IG3:IG688,IG222,IJ3:IJ688,1),"")</f>
        <v/>
      </c>
      <c r="IM222">
        <f>IF(IJ222=1,II222-IL222,"")</f>
        <v/>
      </c>
      <c r="IN222" t="inlineStr">
        <is>
          <t>moderate</t>
        </is>
      </c>
      <c r="IO222">
        <f>IF(IN222="good",II222,NA())</f>
        <v/>
      </c>
      <c r="IP222">
        <f>IF(IN222="moderate",II222,NA())</f>
        <v/>
      </c>
      <c r="IQ222">
        <f>IF(IN222="low",II222,NA())</f>
        <v/>
      </c>
      <c r="IR222">
        <f>IF(AND(IN222="good",IJ222=1),IM222,NA())</f>
        <v/>
      </c>
      <c r="IS222">
        <f>IF(AND(IN222="moderate",IJ222=1),IM222,NA())</f>
        <v/>
      </c>
      <c r="IT222">
        <f>IF(AND(IN222="low",IJ222=1),IM222,NA())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  <c r="IG223">
        <f>Base_mundial!A222</f>
        <v/>
      </c>
      <c r="IH223">
        <f>Base_mundial!C222</f>
        <v/>
      </c>
      <c r="II223">
        <f>Base_mundial!E222-MIN(tope,DEGREES(ATAN(TAN(RADIANS(pe0-omega*Base_mundial!B222))*(Base_mundial!C222/sref)^(m_-1))))</f>
        <v/>
      </c>
      <c r="IJ223" t="n">
        <v>0</v>
      </c>
      <c r="IK223">
        <f>IF(IJ223=1,LN(IH223),"")</f>
        <v/>
      </c>
      <c r="IL223">
        <f>IF(IJ223=1,AVERAGEIFS(II3:II688,IG3:IG688,IG223,IJ3:IJ688,1),"")</f>
        <v/>
      </c>
      <c r="IM223">
        <f>IF(IJ223=1,II223-IL223,"")</f>
        <v/>
      </c>
      <c r="IN223" t="inlineStr">
        <is>
          <t>moderate</t>
        </is>
      </c>
      <c r="IO223">
        <f>IF(IN223="good",II223,NA())</f>
        <v/>
      </c>
      <c r="IP223">
        <f>IF(IN223="moderate",II223,NA())</f>
        <v/>
      </c>
      <c r="IQ223">
        <f>IF(IN223="low",II223,NA())</f>
        <v/>
      </c>
      <c r="IR223">
        <f>IF(AND(IN223="good",IJ223=1),IM223,NA())</f>
        <v/>
      </c>
      <c r="IS223">
        <f>IF(AND(IN223="moderate",IJ223=1),IM223,NA())</f>
        <v/>
      </c>
      <c r="IT223">
        <f>IF(AND(IN223="low",IJ223=1),IM223,NA())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  <c r="IG224">
        <f>Base_mundial!A223</f>
        <v/>
      </c>
      <c r="IH224">
        <f>Base_mundial!C223</f>
        <v/>
      </c>
      <c r="II224">
        <f>Base_mundial!E223-MIN(tope,DEGREES(ATAN(TAN(RADIANS(pe0-omega*Base_mundial!B223))*(Base_mundial!C223/sref)^(m_-1))))</f>
        <v/>
      </c>
      <c r="IJ224" t="n">
        <v>0</v>
      </c>
      <c r="IK224">
        <f>IF(IJ224=1,LN(IH224),"")</f>
        <v/>
      </c>
      <c r="IL224">
        <f>IF(IJ224=1,AVERAGEIFS(II3:II688,IG3:IG688,IG224,IJ3:IJ688,1),"")</f>
        <v/>
      </c>
      <c r="IM224">
        <f>IF(IJ224=1,II224-IL224,"")</f>
        <v/>
      </c>
      <c r="IN224" t="inlineStr">
        <is>
          <t>moderate</t>
        </is>
      </c>
      <c r="IO224">
        <f>IF(IN224="good",II224,NA())</f>
        <v/>
      </c>
      <c r="IP224">
        <f>IF(IN224="moderate",II224,NA())</f>
        <v/>
      </c>
      <c r="IQ224">
        <f>IF(IN224="low",II224,NA())</f>
        <v/>
      </c>
      <c r="IR224">
        <f>IF(AND(IN224="good",IJ224=1),IM224,NA())</f>
        <v/>
      </c>
      <c r="IS224">
        <f>IF(AND(IN224="moderate",IJ224=1),IM224,NA())</f>
        <v/>
      </c>
      <c r="IT224">
        <f>IF(AND(IN224="low",IJ224=1),IM224,NA())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  <c r="IG225">
        <f>Base_mundial!A224</f>
        <v/>
      </c>
      <c r="IH225">
        <f>Base_mundial!C224</f>
        <v/>
      </c>
      <c r="II225">
        <f>Base_mundial!E224-MIN(tope,DEGREES(ATAN(TAN(RADIANS(pe0-omega*Base_mundial!B224))*(Base_mundial!C224/sref)^(m_-1))))</f>
        <v/>
      </c>
      <c r="IJ225" t="n">
        <v>0</v>
      </c>
      <c r="IK225">
        <f>IF(IJ225=1,LN(IH225),"")</f>
        <v/>
      </c>
      <c r="IL225">
        <f>IF(IJ225=1,AVERAGEIFS(II3:II688,IG3:IG688,IG225,IJ3:IJ688,1),"")</f>
        <v/>
      </c>
      <c r="IM225">
        <f>IF(IJ225=1,II225-IL225,"")</f>
        <v/>
      </c>
      <c r="IN225" t="inlineStr">
        <is>
          <t>moderate</t>
        </is>
      </c>
      <c r="IO225">
        <f>IF(IN225="good",II225,NA())</f>
        <v/>
      </c>
      <c r="IP225">
        <f>IF(IN225="moderate",II225,NA())</f>
        <v/>
      </c>
      <c r="IQ225">
        <f>IF(IN225="low",II225,NA())</f>
        <v/>
      </c>
      <c r="IR225">
        <f>IF(AND(IN225="good",IJ225=1),IM225,NA())</f>
        <v/>
      </c>
      <c r="IS225">
        <f>IF(AND(IN225="moderate",IJ225=1),IM225,NA())</f>
        <v/>
      </c>
      <c r="IT225">
        <f>IF(AND(IN225="low",IJ225=1),IM225,NA())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  <c r="IG226">
        <f>Base_mundial!A225</f>
        <v/>
      </c>
      <c r="IH226">
        <f>Base_mundial!C225</f>
        <v/>
      </c>
      <c r="II226">
        <f>Base_mundial!E225-MIN(tope,DEGREES(ATAN(TAN(RADIANS(pe0-omega*Base_mundial!B225))*(Base_mundial!C225/sref)^(m_-1))))</f>
        <v/>
      </c>
      <c r="IJ226" t="n">
        <v>0</v>
      </c>
      <c r="IK226">
        <f>IF(IJ226=1,LN(IH226),"")</f>
        <v/>
      </c>
      <c r="IL226">
        <f>IF(IJ226=1,AVERAGEIFS(II3:II688,IG3:IG688,IG226,IJ3:IJ688,1),"")</f>
        <v/>
      </c>
      <c r="IM226">
        <f>IF(IJ226=1,II226-IL226,"")</f>
        <v/>
      </c>
      <c r="IN226" t="inlineStr">
        <is>
          <t>moderate</t>
        </is>
      </c>
      <c r="IO226">
        <f>IF(IN226="good",II226,NA())</f>
        <v/>
      </c>
      <c r="IP226">
        <f>IF(IN226="moderate",II226,NA())</f>
        <v/>
      </c>
      <c r="IQ226">
        <f>IF(IN226="low",II226,NA())</f>
        <v/>
      </c>
      <c r="IR226">
        <f>IF(AND(IN226="good",IJ226=1),IM226,NA())</f>
        <v/>
      </c>
      <c r="IS226">
        <f>IF(AND(IN226="moderate",IJ226=1),IM226,NA())</f>
        <v/>
      </c>
      <c r="IT226">
        <f>IF(AND(IN226="low",IJ226=1),IM226,NA())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  <c r="IG227">
        <f>Base_mundial!A226</f>
        <v/>
      </c>
      <c r="IH227">
        <f>Base_mundial!C226</f>
        <v/>
      </c>
      <c r="II227">
        <f>Base_mundial!E226-MIN(tope,DEGREES(ATAN(TAN(RADIANS(pe0-omega*Base_mundial!B226))*(Base_mundial!C226/sref)^(m_-1))))</f>
        <v/>
      </c>
      <c r="IJ227" t="n">
        <v>0</v>
      </c>
      <c r="IK227">
        <f>IF(IJ227=1,LN(IH227),"")</f>
        <v/>
      </c>
      <c r="IL227">
        <f>IF(IJ227=1,AVERAGEIFS(II3:II688,IG3:IG688,IG227,IJ3:IJ688,1),"")</f>
        <v/>
      </c>
      <c r="IM227">
        <f>IF(IJ227=1,II227-IL227,"")</f>
        <v/>
      </c>
      <c r="IN227" t="inlineStr">
        <is>
          <t>moderate</t>
        </is>
      </c>
      <c r="IO227">
        <f>IF(IN227="good",II227,NA())</f>
        <v/>
      </c>
      <c r="IP227">
        <f>IF(IN227="moderate",II227,NA())</f>
        <v/>
      </c>
      <c r="IQ227">
        <f>IF(IN227="low",II227,NA())</f>
        <v/>
      </c>
      <c r="IR227">
        <f>IF(AND(IN227="good",IJ227=1),IM227,NA())</f>
        <v/>
      </c>
      <c r="IS227">
        <f>IF(AND(IN227="moderate",IJ227=1),IM227,NA())</f>
        <v/>
      </c>
      <c r="IT227">
        <f>IF(AND(IN227="low",IJ227=1),IM227,NA())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  <c r="IG228">
        <f>Base_mundial!A227</f>
        <v/>
      </c>
      <c r="IH228">
        <f>Base_mundial!C227</f>
        <v/>
      </c>
      <c r="II228">
        <f>Base_mundial!E227-MIN(tope,DEGREES(ATAN(TAN(RADIANS(pe0-omega*Base_mundial!B227))*(Base_mundial!C227/sref)^(m_-1))))</f>
        <v/>
      </c>
      <c r="IJ228" t="n">
        <v>0</v>
      </c>
      <c r="IK228">
        <f>IF(IJ228=1,LN(IH228),"")</f>
        <v/>
      </c>
      <c r="IL228">
        <f>IF(IJ228=1,AVERAGEIFS(II3:II688,IG3:IG688,IG228,IJ3:IJ688,1),"")</f>
        <v/>
      </c>
      <c r="IM228">
        <f>IF(IJ228=1,II228-IL228,"")</f>
        <v/>
      </c>
      <c r="IN228" t="inlineStr">
        <is>
          <t>moderate</t>
        </is>
      </c>
      <c r="IO228">
        <f>IF(IN228="good",II228,NA())</f>
        <v/>
      </c>
      <c r="IP228">
        <f>IF(IN228="moderate",II228,NA())</f>
        <v/>
      </c>
      <c r="IQ228">
        <f>IF(IN228="low",II228,NA())</f>
        <v/>
      </c>
      <c r="IR228">
        <f>IF(AND(IN228="good",IJ228=1),IM228,NA())</f>
        <v/>
      </c>
      <c r="IS228">
        <f>IF(AND(IN228="moderate",IJ228=1),IM228,NA())</f>
        <v/>
      </c>
      <c r="IT228">
        <f>IF(AND(IN228="low",IJ228=1),IM228,NA())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  <c r="IG229">
        <f>Base_mundial!A228</f>
        <v/>
      </c>
      <c r="IH229">
        <f>Base_mundial!C228</f>
        <v/>
      </c>
      <c r="II229">
        <f>Base_mundial!E228-MIN(tope,DEGREES(ATAN(TAN(RADIANS(pe0-omega*Base_mundial!B228))*(Base_mundial!C228/sref)^(m_-1))))</f>
        <v/>
      </c>
      <c r="IJ229" t="n">
        <v>0</v>
      </c>
      <c r="IK229">
        <f>IF(IJ229=1,LN(IH229),"")</f>
        <v/>
      </c>
      <c r="IL229">
        <f>IF(IJ229=1,AVERAGEIFS(II3:II688,IG3:IG688,IG229,IJ3:IJ688,1),"")</f>
        <v/>
      </c>
      <c r="IM229">
        <f>IF(IJ229=1,II229-IL229,"")</f>
        <v/>
      </c>
      <c r="IN229" t="inlineStr">
        <is>
          <t>moderate</t>
        </is>
      </c>
      <c r="IO229">
        <f>IF(IN229="good",II229,NA())</f>
        <v/>
      </c>
      <c r="IP229">
        <f>IF(IN229="moderate",II229,NA())</f>
        <v/>
      </c>
      <c r="IQ229">
        <f>IF(IN229="low",II229,NA())</f>
        <v/>
      </c>
      <c r="IR229">
        <f>IF(AND(IN229="good",IJ229=1),IM229,NA())</f>
        <v/>
      </c>
      <c r="IS229">
        <f>IF(AND(IN229="moderate",IJ229=1),IM229,NA())</f>
        <v/>
      </c>
      <c r="IT229">
        <f>IF(AND(IN229="low",IJ229=1),IM229,NA())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  <c r="IG230">
        <f>Base_mundial!A229</f>
        <v/>
      </c>
      <c r="IH230">
        <f>Base_mundial!C229</f>
        <v/>
      </c>
      <c r="II230">
        <f>Base_mundial!E229-MIN(tope,DEGREES(ATAN(TAN(RADIANS(pe0-omega*Base_mundial!B229))*(Base_mundial!C229/sref)^(m_-1))))</f>
        <v/>
      </c>
      <c r="IJ230" t="n">
        <v>0</v>
      </c>
      <c r="IK230">
        <f>IF(IJ230=1,LN(IH230),"")</f>
        <v/>
      </c>
      <c r="IL230">
        <f>IF(IJ230=1,AVERAGEIFS(II3:II688,IG3:IG688,IG230,IJ3:IJ688,1),"")</f>
        <v/>
      </c>
      <c r="IM230">
        <f>IF(IJ230=1,II230-IL230,"")</f>
        <v/>
      </c>
      <c r="IN230" t="inlineStr">
        <is>
          <t>moderate</t>
        </is>
      </c>
      <c r="IO230">
        <f>IF(IN230="good",II230,NA())</f>
        <v/>
      </c>
      <c r="IP230">
        <f>IF(IN230="moderate",II230,NA())</f>
        <v/>
      </c>
      <c r="IQ230">
        <f>IF(IN230="low",II230,NA())</f>
        <v/>
      </c>
      <c r="IR230">
        <f>IF(AND(IN230="good",IJ230=1),IM230,NA())</f>
        <v/>
      </c>
      <c r="IS230">
        <f>IF(AND(IN230="moderate",IJ230=1),IM230,NA())</f>
        <v/>
      </c>
      <c r="IT230">
        <f>IF(AND(IN230="low",IJ230=1),IM230,NA())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  <c r="IG231">
        <f>Base_mundial!A230</f>
        <v/>
      </c>
      <c r="IH231">
        <f>Base_mundial!C230</f>
        <v/>
      </c>
      <c r="II231">
        <f>Base_mundial!E230-MIN(tope,DEGREES(ATAN(TAN(RADIANS(pe0-omega*Base_mundial!B230))*(Base_mundial!C230/sref)^(m_-1))))</f>
        <v/>
      </c>
      <c r="IJ231" t="n">
        <v>0</v>
      </c>
      <c r="IK231">
        <f>IF(IJ231=1,LN(IH231),"")</f>
        <v/>
      </c>
      <c r="IL231">
        <f>IF(IJ231=1,AVERAGEIFS(II3:II688,IG3:IG688,IG231,IJ3:IJ688,1),"")</f>
        <v/>
      </c>
      <c r="IM231">
        <f>IF(IJ231=1,II231-IL231,"")</f>
        <v/>
      </c>
      <c r="IN231" t="inlineStr">
        <is>
          <t>moderate</t>
        </is>
      </c>
      <c r="IO231">
        <f>IF(IN231="good",II231,NA())</f>
        <v/>
      </c>
      <c r="IP231">
        <f>IF(IN231="moderate",II231,NA())</f>
        <v/>
      </c>
      <c r="IQ231">
        <f>IF(IN231="low",II231,NA())</f>
        <v/>
      </c>
      <c r="IR231">
        <f>IF(AND(IN231="good",IJ231=1),IM231,NA())</f>
        <v/>
      </c>
      <c r="IS231">
        <f>IF(AND(IN231="moderate",IJ231=1),IM231,NA())</f>
        <v/>
      </c>
      <c r="IT231">
        <f>IF(AND(IN231="low",IJ231=1),IM231,NA())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  <c r="IG232">
        <f>Base_mundial!A231</f>
        <v/>
      </c>
      <c r="IH232">
        <f>Base_mundial!C231</f>
        <v/>
      </c>
      <c r="II232">
        <f>Base_mundial!E231-MIN(tope,DEGREES(ATAN(TAN(RADIANS(pe0-omega*Base_mundial!B231))*(Base_mundial!C231/sref)^(m_-1))))</f>
        <v/>
      </c>
      <c r="IJ232" t="n">
        <v>0</v>
      </c>
      <c r="IK232">
        <f>IF(IJ232=1,LN(IH232),"")</f>
        <v/>
      </c>
      <c r="IL232">
        <f>IF(IJ232=1,AVERAGEIFS(II3:II688,IG3:IG688,IG232,IJ3:IJ688,1),"")</f>
        <v/>
      </c>
      <c r="IM232">
        <f>IF(IJ232=1,II232-IL232,"")</f>
        <v/>
      </c>
      <c r="IN232" t="inlineStr">
        <is>
          <t>moderate</t>
        </is>
      </c>
      <c r="IO232">
        <f>IF(IN232="good",II232,NA())</f>
        <v/>
      </c>
      <c r="IP232">
        <f>IF(IN232="moderate",II232,NA())</f>
        <v/>
      </c>
      <c r="IQ232">
        <f>IF(IN232="low",II232,NA())</f>
        <v/>
      </c>
      <c r="IR232">
        <f>IF(AND(IN232="good",IJ232=1),IM232,NA())</f>
        <v/>
      </c>
      <c r="IS232">
        <f>IF(AND(IN232="moderate",IJ232=1),IM232,NA())</f>
        <v/>
      </c>
      <c r="IT232">
        <f>IF(AND(IN232="low",IJ232=1),IM232,NA())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  <c r="IG233">
        <f>Base_mundial!A232</f>
        <v/>
      </c>
      <c r="IH233">
        <f>Base_mundial!C232</f>
        <v/>
      </c>
      <c r="II233">
        <f>Base_mundial!E232-MIN(tope,DEGREES(ATAN(TAN(RADIANS(pe0-omega*Base_mundial!B232))*(Base_mundial!C232/sref)^(m_-1))))</f>
        <v/>
      </c>
      <c r="IJ233" t="n">
        <v>0</v>
      </c>
      <c r="IK233">
        <f>IF(IJ233=1,LN(IH233),"")</f>
        <v/>
      </c>
      <c r="IL233">
        <f>IF(IJ233=1,AVERAGEIFS(II3:II688,IG3:IG688,IG233,IJ3:IJ688,1),"")</f>
        <v/>
      </c>
      <c r="IM233">
        <f>IF(IJ233=1,II233-IL233,"")</f>
        <v/>
      </c>
      <c r="IN233" t="inlineStr">
        <is>
          <t>moderate</t>
        </is>
      </c>
      <c r="IO233">
        <f>IF(IN233="good",II233,NA())</f>
        <v/>
      </c>
      <c r="IP233">
        <f>IF(IN233="moderate",II233,NA())</f>
        <v/>
      </c>
      <c r="IQ233">
        <f>IF(IN233="low",II233,NA())</f>
        <v/>
      </c>
      <c r="IR233">
        <f>IF(AND(IN233="good",IJ233=1),IM233,NA())</f>
        <v/>
      </c>
      <c r="IS233">
        <f>IF(AND(IN233="moderate",IJ233=1),IM233,NA())</f>
        <v/>
      </c>
      <c r="IT233">
        <f>IF(AND(IN233="low",IJ233=1),IM233,NA())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  <c r="IG234">
        <f>Base_mundial!A233</f>
        <v/>
      </c>
      <c r="IH234">
        <f>Base_mundial!C233</f>
        <v/>
      </c>
      <c r="II234">
        <f>Base_mundial!E233-MIN(tope,DEGREES(ATAN(TAN(RADIANS(pe0-omega*Base_mundial!B233))*(Base_mundial!C233/sref)^(m_-1))))</f>
        <v/>
      </c>
      <c r="IJ234" t="n">
        <v>0</v>
      </c>
      <c r="IK234">
        <f>IF(IJ234=1,LN(IH234),"")</f>
        <v/>
      </c>
      <c r="IL234">
        <f>IF(IJ234=1,AVERAGEIFS(II3:II688,IG3:IG688,IG234,IJ3:IJ688,1),"")</f>
        <v/>
      </c>
      <c r="IM234">
        <f>IF(IJ234=1,II234-IL234,"")</f>
        <v/>
      </c>
      <c r="IN234" t="inlineStr">
        <is>
          <t>moderate</t>
        </is>
      </c>
      <c r="IO234">
        <f>IF(IN234="good",II234,NA())</f>
        <v/>
      </c>
      <c r="IP234">
        <f>IF(IN234="moderate",II234,NA())</f>
        <v/>
      </c>
      <c r="IQ234">
        <f>IF(IN234="low",II234,NA())</f>
        <v/>
      </c>
      <c r="IR234">
        <f>IF(AND(IN234="good",IJ234=1),IM234,NA())</f>
        <v/>
      </c>
      <c r="IS234">
        <f>IF(AND(IN234="moderate",IJ234=1),IM234,NA())</f>
        <v/>
      </c>
      <c r="IT234">
        <f>IF(AND(IN234="low",IJ234=1),IM234,NA())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  <c r="IG235">
        <f>Base_mundial!A234</f>
        <v/>
      </c>
      <c r="IH235">
        <f>Base_mundial!C234</f>
        <v/>
      </c>
      <c r="II235">
        <f>Base_mundial!E234-MIN(tope,DEGREES(ATAN(TAN(RADIANS(pe0-omega*Base_mundial!B234))*(Base_mundial!C234/sref)^(m_-1))))</f>
        <v/>
      </c>
      <c r="IJ235" t="n">
        <v>0</v>
      </c>
      <c r="IK235">
        <f>IF(IJ235=1,LN(IH235),"")</f>
        <v/>
      </c>
      <c r="IL235">
        <f>IF(IJ235=1,AVERAGEIFS(II3:II688,IG3:IG688,IG235,IJ3:IJ688,1),"")</f>
        <v/>
      </c>
      <c r="IM235">
        <f>IF(IJ235=1,II235-IL235,"")</f>
        <v/>
      </c>
      <c r="IN235" t="inlineStr">
        <is>
          <t>moderate</t>
        </is>
      </c>
      <c r="IO235">
        <f>IF(IN235="good",II235,NA())</f>
        <v/>
      </c>
      <c r="IP235">
        <f>IF(IN235="moderate",II235,NA())</f>
        <v/>
      </c>
      <c r="IQ235">
        <f>IF(IN235="low",II235,NA())</f>
        <v/>
      </c>
      <c r="IR235">
        <f>IF(AND(IN235="good",IJ235=1),IM235,NA())</f>
        <v/>
      </c>
      <c r="IS235">
        <f>IF(AND(IN235="moderate",IJ235=1),IM235,NA())</f>
        <v/>
      </c>
      <c r="IT235">
        <f>IF(AND(IN235="low",IJ235=1),IM235,NA())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  <c r="IG236">
        <f>Base_mundial!A235</f>
        <v/>
      </c>
      <c r="IH236">
        <f>Base_mundial!C235</f>
        <v/>
      </c>
      <c r="II236">
        <f>Base_mundial!E235-MIN(tope,DEGREES(ATAN(TAN(RADIANS(pe0-omega*Base_mundial!B235))*(Base_mundial!C235/sref)^(m_-1))))</f>
        <v/>
      </c>
      <c r="IJ236" t="n">
        <v>0</v>
      </c>
      <c r="IK236">
        <f>IF(IJ236=1,LN(IH236),"")</f>
        <v/>
      </c>
      <c r="IL236">
        <f>IF(IJ236=1,AVERAGEIFS(II3:II688,IG3:IG688,IG236,IJ3:IJ688,1),"")</f>
        <v/>
      </c>
      <c r="IM236">
        <f>IF(IJ236=1,II236-IL236,"")</f>
        <v/>
      </c>
      <c r="IN236" t="inlineStr">
        <is>
          <t>moderate</t>
        </is>
      </c>
      <c r="IO236">
        <f>IF(IN236="good",II236,NA())</f>
        <v/>
      </c>
      <c r="IP236">
        <f>IF(IN236="moderate",II236,NA())</f>
        <v/>
      </c>
      <c r="IQ236">
        <f>IF(IN236="low",II236,NA())</f>
        <v/>
      </c>
      <c r="IR236">
        <f>IF(AND(IN236="good",IJ236=1),IM236,NA())</f>
        <v/>
      </c>
      <c r="IS236">
        <f>IF(AND(IN236="moderate",IJ236=1),IM236,NA())</f>
        <v/>
      </c>
      <c r="IT236">
        <f>IF(AND(IN236="low",IJ236=1),IM236,NA())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  <c r="IG237">
        <f>Base_mundial!A236</f>
        <v/>
      </c>
      <c r="IH237">
        <f>Base_mundial!C236</f>
        <v/>
      </c>
      <c r="II237">
        <f>Base_mundial!E236-MIN(tope,DEGREES(ATAN(TAN(RADIANS(pe0-omega*Base_mundial!B236))*(Base_mundial!C236/sref)^(m_-1))))</f>
        <v/>
      </c>
      <c r="IJ237" t="n">
        <v>0</v>
      </c>
      <c r="IK237">
        <f>IF(IJ237=1,LN(IH237),"")</f>
        <v/>
      </c>
      <c r="IL237">
        <f>IF(IJ237=1,AVERAGEIFS(II3:II688,IG3:IG688,IG237,IJ3:IJ688,1),"")</f>
        <v/>
      </c>
      <c r="IM237">
        <f>IF(IJ237=1,II237-IL237,"")</f>
        <v/>
      </c>
      <c r="IN237" t="inlineStr">
        <is>
          <t>moderate</t>
        </is>
      </c>
      <c r="IO237">
        <f>IF(IN237="good",II237,NA())</f>
        <v/>
      </c>
      <c r="IP237">
        <f>IF(IN237="moderate",II237,NA())</f>
        <v/>
      </c>
      <c r="IQ237">
        <f>IF(IN237="low",II237,NA())</f>
        <v/>
      </c>
      <c r="IR237">
        <f>IF(AND(IN237="good",IJ237=1),IM237,NA())</f>
        <v/>
      </c>
      <c r="IS237">
        <f>IF(AND(IN237="moderate",IJ237=1),IM237,NA())</f>
        <v/>
      </c>
      <c r="IT237">
        <f>IF(AND(IN237="low",IJ237=1),IM237,NA())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  <c r="IG238">
        <f>Base_mundial!A237</f>
        <v/>
      </c>
      <c r="IH238">
        <f>Base_mundial!C237</f>
        <v/>
      </c>
      <c r="II238">
        <f>Base_mundial!E237-MIN(tope,DEGREES(ATAN(TAN(RADIANS(pe0-omega*Base_mundial!B237))*(Base_mundial!C237/sref)^(m_-1))))</f>
        <v/>
      </c>
      <c r="IJ238" t="n">
        <v>0</v>
      </c>
      <c r="IK238">
        <f>IF(IJ238=1,LN(IH238),"")</f>
        <v/>
      </c>
      <c r="IL238">
        <f>IF(IJ238=1,AVERAGEIFS(II3:II688,IG3:IG688,IG238,IJ3:IJ688,1),"")</f>
        <v/>
      </c>
      <c r="IM238">
        <f>IF(IJ238=1,II238-IL238,"")</f>
        <v/>
      </c>
      <c r="IN238" t="inlineStr">
        <is>
          <t>moderate</t>
        </is>
      </c>
      <c r="IO238">
        <f>IF(IN238="good",II238,NA())</f>
        <v/>
      </c>
      <c r="IP238">
        <f>IF(IN238="moderate",II238,NA())</f>
        <v/>
      </c>
      <c r="IQ238">
        <f>IF(IN238="low",II238,NA())</f>
        <v/>
      </c>
      <c r="IR238">
        <f>IF(AND(IN238="good",IJ238=1),IM238,NA())</f>
        <v/>
      </c>
      <c r="IS238">
        <f>IF(AND(IN238="moderate",IJ238=1),IM238,NA())</f>
        <v/>
      </c>
      <c r="IT238">
        <f>IF(AND(IN238="low",IJ238=1),IM238,NA())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  <c r="IG239">
        <f>Base_mundial!A238</f>
        <v/>
      </c>
      <c r="IH239">
        <f>Base_mundial!C238</f>
        <v/>
      </c>
      <c r="II239">
        <f>Base_mundial!E238-MIN(tope,DEGREES(ATAN(TAN(RADIANS(pe0-omega*Base_mundial!B238))*(Base_mundial!C238/sref)^(m_-1))))</f>
        <v/>
      </c>
      <c r="IJ239" t="n">
        <v>0</v>
      </c>
      <c r="IK239">
        <f>IF(IJ239=1,LN(IH239),"")</f>
        <v/>
      </c>
      <c r="IL239">
        <f>IF(IJ239=1,AVERAGEIFS(II3:II688,IG3:IG688,IG239,IJ3:IJ688,1),"")</f>
        <v/>
      </c>
      <c r="IM239">
        <f>IF(IJ239=1,II239-IL239,"")</f>
        <v/>
      </c>
      <c r="IN239" t="inlineStr">
        <is>
          <t>moderate</t>
        </is>
      </c>
      <c r="IO239">
        <f>IF(IN239="good",II239,NA())</f>
        <v/>
      </c>
      <c r="IP239">
        <f>IF(IN239="moderate",II239,NA())</f>
        <v/>
      </c>
      <c r="IQ239">
        <f>IF(IN239="low",II239,NA())</f>
        <v/>
      </c>
      <c r="IR239">
        <f>IF(AND(IN239="good",IJ239=1),IM239,NA())</f>
        <v/>
      </c>
      <c r="IS239">
        <f>IF(AND(IN239="moderate",IJ239=1),IM239,NA())</f>
        <v/>
      </c>
      <c r="IT239">
        <f>IF(AND(IN239="low",IJ239=1),IM239,NA())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  <c r="IG240">
        <f>Base_mundial!A239</f>
        <v/>
      </c>
      <c r="IH240">
        <f>Base_mundial!C239</f>
        <v/>
      </c>
      <c r="II240">
        <f>Base_mundial!E239-MIN(tope,DEGREES(ATAN(TAN(RADIANS(pe0-omega*Base_mundial!B239))*(Base_mundial!C239/sref)^(m_-1))))</f>
        <v/>
      </c>
      <c r="IJ240" t="n">
        <v>1</v>
      </c>
      <c r="IK240">
        <f>IF(IJ240=1,LN(IH240),"")</f>
        <v/>
      </c>
      <c r="IL240">
        <f>IF(IJ240=1,AVERAGEIFS(II3:II688,IG3:IG688,IG240,IJ3:IJ688,1),"")</f>
        <v/>
      </c>
      <c r="IM240">
        <f>IF(IJ240=1,II240-IL240,"")</f>
        <v/>
      </c>
      <c r="IN240" t="inlineStr">
        <is>
          <t>moderate</t>
        </is>
      </c>
      <c r="IO240">
        <f>IF(IN240="good",II240,NA())</f>
        <v/>
      </c>
      <c r="IP240">
        <f>IF(IN240="moderate",II240,NA())</f>
        <v/>
      </c>
      <c r="IQ240">
        <f>IF(IN240="low",II240,NA())</f>
        <v/>
      </c>
      <c r="IR240">
        <f>IF(AND(IN240="good",IJ240=1),IM240,NA())</f>
        <v/>
      </c>
      <c r="IS240">
        <f>IF(AND(IN240="moderate",IJ240=1),IM240,NA())</f>
        <v/>
      </c>
      <c r="IT240">
        <f>IF(AND(IN240="low",IJ240=1),IM240,NA())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  <c r="IG241">
        <f>Base_mundial!A240</f>
        <v/>
      </c>
      <c r="IH241">
        <f>Base_mundial!C240</f>
        <v/>
      </c>
      <c r="II241">
        <f>Base_mundial!E240-MIN(tope,DEGREES(ATAN(TAN(RADIANS(pe0-omega*Base_mundial!B240))*(Base_mundial!C240/sref)^(m_-1))))</f>
        <v/>
      </c>
      <c r="IJ241" t="n">
        <v>1</v>
      </c>
      <c r="IK241">
        <f>IF(IJ241=1,LN(IH241),"")</f>
        <v/>
      </c>
      <c r="IL241">
        <f>IF(IJ241=1,AVERAGEIFS(II3:II688,IG3:IG688,IG241,IJ3:IJ688,1),"")</f>
        <v/>
      </c>
      <c r="IM241">
        <f>IF(IJ241=1,II241-IL241,"")</f>
        <v/>
      </c>
      <c r="IN241" t="inlineStr">
        <is>
          <t>moderate</t>
        </is>
      </c>
      <c r="IO241">
        <f>IF(IN241="good",II241,NA())</f>
        <v/>
      </c>
      <c r="IP241">
        <f>IF(IN241="moderate",II241,NA())</f>
        <v/>
      </c>
      <c r="IQ241">
        <f>IF(IN241="low",II241,NA())</f>
        <v/>
      </c>
      <c r="IR241">
        <f>IF(AND(IN241="good",IJ241=1),IM241,NA())</f>
        <v/>
      </c>
      <c r="IS241">
        <f>IF(AND(IN241="moderate",IJ241=1),IM241,NA())</f>
        <v/>
      </c>
      <c r="IT241">
        <f>IF(AND(IN241="low",IJ241=1),IM241,NA())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  <c r="IG242">
        <f>Base_mundial!A241</f>
        <v/>
      </c>
      <c r="IH242">
        <f>Base_mundial!C241</f>
        <v/>
      </c>
      <c r="II242">
        <f>Base_mundial!E241-MIN(tope,DEGREES(ATAN(TAN(RADIANS(pe0-omega*Base_mundial!B241))*(Base_mundial!C241/sref)^(m_-1))))</f>
        <v/>
      </c>
      <c r="IJ242" t="n">
        <v>0</v>
      </c>
      <c r="IK242">
        <f>IF(IJ242=1,LN(IH242),"")</f>
        <v/>
      </c>
      <c r="IL242">
        <f>IF(IJ242=1,AVERAGEIFS(II3:II688,IG3:IG688,IG242,IJ3:IJ688,1),"")</f>
        <v/>
      </c>
      <c r="IM242">
        <f>IF(IJ242=1,II242-IL242,"")</f>
        <v/>
      </c>
      <c r="IN242" t="inlineStr">
        <is>
          <t>moderate</t>
        </is>
      </c>
      <c r="IO242">
        <f>IF(IN242="good",II242,NA())</f>
        <v/>
      </c>
      <c r="IP242">
        <f>IF(IN242="moderate",II242,NA())</f>
        <v/>
      </c>
      <c r="IQ242">
        <f>IF(IN242="low",II242,NA())</f>
        <v/>
      </c>
      <c r="IR242">
        <f>IF(AND(IN242="good",IJ242=1),IM242,NA())</f>
        <v/>
      </c>
      <c r="IS242">
        <f>IF(AND(IN242="moderate",IJ242=1),IM242,NA())</f>
        <v/>
      </c>
      <c r="IT242">
        <f>IF(AND(IN242="low",IJ242=1),IM242,NA())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  <c r="IG243">
        <f>Base_mundial!A242</f>
        <v/>
      </c>
      <c r="IH243">
        <f>Base_mundial!C242</f>
        <v/>
      </c>
      <c r="II243">
        <f>Base_mundial!E242-MIN(tope,DEGREES(ATAN(TAN(RADIANS(pe0-omega*Base_mundial!B242))*(Base_mundial!C242/sref)^(m_-1))))</f>
        <v/>
      </c>
      <c r="IJ243" t="n">
        <v>0</v>
      </c>
      <c r="IK243">
        <f>IF(IJ243=1,LN(IH243),"")</f>
        <v/>
      </c>
      <c r="IL243">
        <f>IF(IJ243=1,AVERAGEIFS(II3:II688,IG3:IG688,IG243,IJ3:IJ688,1),"")</f>
        <v/>
      </c>
      <c r="IM243">
        <f>IF(IJ243=1,II243-IL243,"")</f>
        <v/>
      </c>
      <c r="IN243" t="inlineStr">
        <is>
          <t>moderate</t>
        </is>
      </c>
      <c r="IO243">
        <f>IF(IN243="good",II243,NA())</f>
        <v/>
      </c>
      <c r="IP243">
        <f>IF(IN243="moderate",II243,NA())</f>
        <v/>
      </c>
      <c r="IQ243">
        <f>IF(IN243="low",II243,NA())</f>
        <v/>
      </c>
      <c r="IR243">
        <f>IF(AND(IN243="good",IJ243=1),IM243,NA())</f>
        <v/>
      </c>
      <c r="IS243">
        <f>IF(AND(IN243="moderate",IJ243=1),IM243,NA())</f>
        <v/>
      </c>
      <c r="IT243">
        <f>IF(AND(IN243="low",IJ243=1),IM243,NA())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  <c r="IG244">
        <f>Base_mundial!A243</f>
        <v/>
      </c>
      <c r="IH244">
        <f>Base_mundial!C243</f>
        <v/>
      </c>
      <c r="II244">
        <f>Base_mundial!E243-MIN(tope,DEGREES(ATAN(TAN(RADIANS(pe0-omega*Base_mundial!B243))*(Base_mundial!C243/sref)^(m_-1))))</f>
        <v/>
      </c>
      <c r="IJ244" t="n">
        <v>0</v>
      </c>
      <c r="IK244">
        <f>IF(IJ244=1,LN(IH244),"")</f>
        <v/>
      </c>
      <c r="IL244">
        <f>IF(IJ244=1,AVERAGEIFS(II3:II688,IG3:IG688,IG244,IJ3:IJ688,1),"")</f>
        <v/>
      </c>
      <c r="IM244">
        <f>IF(IJ244=1,II244-IL244,"")</f>
        <v/>
      </c>
      <c r="IN244" t="inlineStr">
        <is>
          <t>moderate</t>
        </is>
      </c>
      <c r="IO244">
        <f>IF(IN244="good",II244,NA())</f>
        <v/>
      </c>
      <c r="IP244">
        <f>IF(IN244="moderate",II244,NA())</f>
        <v/>
      </c>
      <c r="IQ244">
        <f>IF(IN244="low",II244,NA())</f>
        <v/>
      </c>
      <c r="IR244">
        <f>IF(AND(IN244="good",IJ244=1),IM244,NA())</f>
        <v/>
      </c>
      <c r="IS244">
        <f>IF(AND(IN244="moderate",IJ244=1),IM244,NA())</f>
        <v/>
      </c>
      <c r="IT244">
        <f>IF(AND(IN244="low",IJ244=1),IM244,NA())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  <c r="IG245">
        <f>Base_mundial!A244</f>
        <v/>
      </c>
      <c r="IH245">
        <f>Base_mundial!C244</f>
        <v/>
      </c>
      <c r="II245">
        <f>Base_mundial!E244-MIN(tope,DEGREES(ATAN(TAN(RADIANS(pe0-omega*Base_mundial!B244))*(Base_mundial!C244/sref)^(m_-1))))</f>
        <v/>
      </c>
      <c r="IJ245" t="n">
        <v>0</v>
      </c>
      <c r="IK245">
        <f>IF(IJ245=1,LN(IH245),"")</f>
        <v/>
      </c>
      <c r="IL245">
        <f>IF(IJ245=1,AVERAGEIFS(II3:II688,IG3:IG688,IG245,IJ3:IJ688,1),"")</f>
        <v/>
      </c>
      <c r="IM245">
        <f>IF(IJ245=1,II245-IL245,"")</f>
        <v/>
      </c>
      <c r="IN245" t="inlineStr">
        <is>
          <t>moderate</t>
        </is>
      </c>
      <c r="IO245">
        <f>IF(IN245="good",II245,NA())</f>
        <v/>
      </c>
      <c r="IP245">
        <f>IF(IN245="moderate",II245,NA())</f>
        <v/>
      </c>
      <c r="IQ245">
        <f>IF(IN245="low",II245,NA())</f>
        <v/>
      </c>
      <c r="IR245">
        <f>IF(AND(IN245="good",IJ245=1),IM245,NA())</f>
        <v/>
      </c>
      <c r="IS245">
        <f>IF(AND(IN245="moderate",IJ245=1),IM245,NA())</f>
        <v/>
      </c>
      <c r="IT245">
        <f>IF(AND(IN245="low",IJ245=1),IM245,NA())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  <c r="IG246">
        <f>Base_mundial!A245</f>
        <v/>
      </c>
      <c r="IH246">
        <f>Base_mundial!C245</f>
        <v/>
      </c>
      <c r="II246">
        <f>Base_mundial!E245-MIN(tope,DEGREES(ATAN(TAN(RADIANS(pe0-omega*Base_mundial!B245))*(Base_mundial!C245/sref)^(m_-1))))</f>
        <v/>
      </c>
      <c r="IJ246" t="n">
        <v>1</v>
      </c>
      <c r="IK246">
        <f>IF(IJ246=1,LN(IH246),"")</f>
        <v/>
      </c>
      <c r="IL246">
        <f>IF(IJ246=1,AVERAGEIFS(II3:II688,IG3:IG688,IG246,IJ3:IJ688,1),"")</f>
        <v/>
      </c>
      <c r="IM246">
        <f>IF(IJ246=1,II246-IL246,"")</f>
        <v/>
      </c>
      <c r="IN246" t="inlineStr">
        <is>
          <t>moderate</t>
        </is>
      </c>
      <c r="IO246">
        <f>IF(IN246="good",II246,NA())</f>
        <v/>
      </c>
      <c r="IP246">
        <f>IF(IN246="moderate",II246,NA())</f>
        <v/>
      </c>
      <c r="IQ246">
        <f>IF(IN246="low",II246,NA())</f>
        <v/>
      </c>
      <c r="IR246">
        <f>IF(AND(IN246="good",IJ246=1),IM246,NA())</f>
        <v/>
      </c>
      <c r="IS246">
        <f>IF(AND(IN246="moderate",IJ246=1),IM246,NA())</f>
        <v/>
      </c>
      <c r="IT246">
        <f>IF(AND(IN246="low",IJ246=1),IM246,NA())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  <c r="IG247">
        <f>Base_mundial!A246</f>
        <v/>
      </c>
      <c r="IH247">
        <f>Base_mundial!C246</f>
        <v/>
      </c>
      <c r="II247">
        <f>Base_mundial!E246-MIN(tope,DEGREES(ATAN(TAN(RADIANS(pe0-omega*Base_mundial!B246))*(Base_mundial!C246/sref)^(m_-1))))</f>
        <v/>
      </c>
      <c r="IJ247" t="n">
        <v>1</v>
      </c>
      <c r="IK247">
        <f>IF(IJ247=1,LN(IH247),"")</f>
        <v/>
      </c>
      <c r="IL247">
        <f>IF(IJ247=1,AVERAGEIFS(II3:II688,IG3:IG688,IG247,IJ3:IJ688,1),"")</f>
        <v/>
      </c>
      <c r="IM247">
        <f>IF(IJ247=1,II247-IL247,"")</f>
        <v/>
      </c>
      <c r="IN247" t="inlineStr">
        <is>
          <t>moderate</t>
        </is>
      </c>
      <c r="IO247">
        <f>IF(IN247="good",II247,NA())</f>
        <v/>
      </c>
      <c r="IP247">
        <f>IF(IN247="moderate",II247,NA())</f>
        <v/>
      </c>
      <c r="IQ247">
        <f>IF(IN247="low",II247,NA())</f>
        <v/>
      </c>
      <c r="IR247">
        <f>IF(AND(IN247="good",IJ247=1),IM247,NA())</f>
        <v/>
      </c>
      <c r="IS247">
        <f>IF(AND(IN247="moderate",IJ247=1),IM247,NA())</f>
        <v/>
      </c>
      <c r="IT247">
        <f>IF(AND(IN247="low",IJ247=1),IM247,NA())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  <c r="IG248">
        <f>Base_mundial!A247</f>
        <v/>
      </c>
      <c r="IH248">
        <f>Base_mundial!C247</f>
        <v/>
      </c>
      <c r="II248">
        <f>Base_mundial!E247-MIN(tope,DEGREES(ATAN(TAN(RADIANS(pe0-omega*Base_mundial!B247))*(Base_mundial!C247/sref)^(m_-1))))</f>
        <v/>
      </c>
      <c r="IJ248" t="n">
        <v>0</v>
      </c>
      <c r="IK248">
        <f>IF(IJ248=1,LN(IH248),"")</f>
        <v/>
      </c>
      <c r="IL248">
        <f>IF(IJ248=1,AVERAGEIFS(II3:II688,IG3:IG688,IG248,IJ3:IJ688,1),"")</f>
        <v/>
      </c>
      <c r="IM248">
        <f>IF(IJ248=1,II248-IL248,"")</f>
        <v/>
      </c>
      <c r="IN248" t="inlineStr">
        <is>
          <t>moderate</t>
        </is>
      </c>
      <c r="IO248">
        <f>IF(IN248="good",II248,NA())</f>
        <v/>
      </c>
      <c r="IP248">
        <f>IF(IN248="moderate",II248,NA())</f>
        <v/>
      </c>
      <c r="IQ248">
        <f>IF(IN248="low",II248,NA())</f>
        <v/>
      </c>
      <c r="IR248">
        <f>IF(AND(IN248="good",IJ248=1),IM248,NA())</f>
        <v/>
      </c>
      <c r="IS248">
        <f>IF(AND(IN248="moderate",IJ248=1),IM248,NA())</f>
        <v/>
      </c>
      <c r="IT248">
        <f>IF(AND(IN248="low",IJ248=1),IM248,NA())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  <c r="IG249">
        <f>Base_mundial!A248</f>
        <v/>
      </c>
      <c r="IH249">
        <f>Base_mundial!C248</f>
        <v/>
      </c>
      <c r="II249">
        <f>Base_mundial!E248-MIN(tope,DEGREES(ATAN(TAN(RADIANS(pe0-omega*Base_mundial!B248))*(Base_mundial!C248/sref)^(m_-1))))</f>
        <v/>
      </c>
      <c r="IJ249" t="n">
        <v>0</v>
      </c>
      <c r="IK249">
        <f>IF(IJ249=1,LN(IH249),"")</f>
        <v/>
      </c>
      <c r="IL249">
        <f>IF(IJ249=1,AVERAGEIFS(II3:II688,IG3:IG688,IG249,IJ3:IJ688,1),"")</f>
        <v/>
      </c>
      <c r="IM249">
        <f>IF(IJ249=1,II249-IL249,"")</f>
        <v/>
      </c>
      <c r="IN249" t="inlineStr">
        <is>
          <t>moderate</t>
        </is>
      </c>
      <c r="IO249">
        <f>IF(IN249="good",II249,NA())</f>
        <v/>
      </c>
      <c r="IP249">
        <f>IF(IN249="moderate",II249,NA())</f>
        <v/>
      </c>
      <c r="IQ249">
        <f>IF(IN249="low",II249,NA())</f>
        <v/>
      </c>
      <c r="IR249">
        <f>IF(AND(IN249="good",IJ249=1),IM249,NA())</f>
        <v/>
      </c>
      <c r="IS249">
        <f>IF(AND(IN249="moderate",IJ249=1),IM249,NA())</f>
        <v/>
      </c>
      <c r="IT249">
        <f>IF(AND(IN249="low",IJ249=1),IM249,NA())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  <c r="IG250">
        <f>Base_mundial!A249</f>
        <v/>
      </c>
      <c r="IH250">
        <f>Base_mundial!C249</f>
        <v/>
      </c>
      <c r="II250">
        <f>Base_mundial!E249-MIN(tope,DEGREES(ATAN(TAN(RADIANS(pe0-omega*Base_mundial!B249))*(Base_mundial!C249/sref)^(m_-1))))</f>
        <v/>
      </c>
      <c r="IJ250" t="n">
        <v>0</v>
      </c>
      <c r="IK250">
        <f>IF(IJ250=1,LN(IH250),"")</f>
        <v/>
      </c>
      <c r="IL250">
        <f>IF(IJ250=1,AVERAGEIFS(II3:II688,IG3:IG688,IG250,IJ3:IJ688,1),"")</f>
        <v/>
      </c>
      <c r="IM250">
        <f>IF(IJ250=1,II250-IL250,"")</f>
        <v/>
      </c>
      <c r="IN250" t="inlineStr">
        <is>
          <t>moderate</t>
        </is>
      </c>
      <c r="IO250">
        <f>IF(IN250="good",II250,NA())</f>
        <v/>
      </c>
      <c r="IP250">
        <f>IF(IN250="moderate",II250,NA())</f>
        <v/>
      </c>
      <c r="IQ250">
        <f>IF(IN250="low",II250,NA())</f>
        <v/>
      </c>
      <c r="IR250">
        <f>IF(AND(IN250="good",IJ250=1),IM250,NA())</f>
        <v/>
      </c>
      <c r="IS250">
        <f>IF(AND(IN250="moderate",IJ250=1),IM250,NA())</f>
        <v/>
      </c>
      <c r="IT250">
        <f>IF(AND(IN250="low",IJ250=1),IM250,NA())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  <c r="IG251">
        <f>Base_mundial!A250</f>
        <v/>
      </c>
      <c r="IH251">
        <f>Base_mundial!C250</f>
        <v/>
      </c>
      <c r="II251">
        <f>Base_mundial!E250-MIN(tope,DEGREES(ATAN(TAN(RADIANS(pe0-omega*Base_mundial!B250))*(Base_mundial!C250/sref)^(m_-1))))</f>
        <v/>
      </c>
      <c r="IJ251" t="n">
        <v>0</v>
      </c>
      <c r="IK251">
        <f>IF(IJ251=1,LN(IH251),"")</f>
        <v/>
      </c>
      <c r="IL251">
        <f>IF(IJ251=1,AVERAGEIFS(II3:II688,IG3:IG688,IG251,IJ3:IJ688,1),"")</f>
        <v/>
      </c>
      <c r="IM251">
        <f>IF(IJ251=1,II251-IL251,"")</f>
        <v/>
      </c>
      <c r="IN251" t="inlineStr">
        <is>
          <t>moderate</t>
        </is>
      </c>
      <c r="IO251">
        <f>IF(IN251="good",II251,NA())</f>
        <v/>
      </c>
      <c r="IP251">
        <f>IF(IN251="moderate",II251,NA())</f>
        <v/>
      </c>
      <c r="IQ251">
        <f>IF(IN251="low",II251,NA())</f>
        <v/>
      </c>
      <c r="IR251">
        <f>IF(AND(IN251="good",IJ251=1),IM251,NA())</f>
        <v/>
      </c>
      <c r="IS251">
        <f>IF(AND(IN251="moderate",IJ251=1),IM251,NA())</f>
        <v/>
      </c>
      <c r="IT251">
        <f>IF(AND(IN251="low",IJ251=1),IM251,NA())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  <c r="IG252">
        <f>Base_mundial!A251</f>
        <v/>
      </c>
      <c r="IH252">
        <f>Base_mundial!C251</f>
        <v/>
      </c>
      <c r="II252">
        <f>Base_mundial!E251-MIN(tope,DEGREES(ATAN(TAN(RADIANS(pe0-omega*Base_mundial!B251))*(Base_mundial!C251/sref)^(m_-1))))</f>
        <v/>
      </c>
      <c r="IJ252" t="n">
        <v>1</v>
      </c>
      <c r="IK252">
        <f>IF(IJ252=1,LN(IH252),"")</f>
        <v/>
      </c>
      <c r="IL252">
        <f>IF(IJ252=1,AVERAGEIFS(II3:II688,IG3:IG688,IG252,IJ3:IJ688,1),"")</f>
        <v/>
      </c>
      <c r="IM252">
        <f>IF(IJ252=1,II252-IL252,"")</f>
        <v/>
      </c>
      <c r="IN252" t="inlineStr">
        <is>
          <t>moderate</t>
        </is>
      </c>
      <c r="IO252">
        <f>IF(IN252="good",II252,NA())</f>
        <v/>
      </c>
      <c r="IP252">
        <f>IF(IN252="moderate",II252,NA())</f>
        <v/>
      </c>
      <c r="IQ252">
        <f>IF(IN252="low",II252,NA())</f>
        <v/>
      </c>
      <c r="IR252">
        <f>IF(AND(IN252="good",IJ252=1),IM252,NA())</f>
        <v/>
      </c>
      <c r="IS252">
        <f>IF(AND(IN252="moderate",IJ252=1),IM252,NA())</f>
        <v/>
      </c>
      <c r="IT252">
        <f>IF(AND(IN252="low",IJ252=1),IM252,NA())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  <c r="IG253">
        <f>Base_mundial!A252</f>
        <v/>
      </c>
      <c r="IH253">
        <f>Base_mundial!C252</f>
        <v/>
      </c>
      <c r="II253">
        <f>Base_mundial!E252-MIN(tope,DEGREES(ATAN(TAN(RADIANS(pe0-omega*Base_mundial!B252))*(Base_mundial!C252/sref)^(m_-1))))</f>
        <v/>
      </c>
      <c r="IJ253" t="n">
        <v>1</v>
      </c>
      <c r="IK253">
        <f>IF(IJ253=1,LN(IH253),"")</f>
        <v/>
      </c>
      <c r="IL253">
        <f>IF(IJ253=1,AVERAGEIFS(II3:II688,IG3:IG688,IG253,IJ3:IJ688,1),"")</f>
        <v/>
      </c>
      <c r="IM253">
        <f>IF(IJ253=1,II253-IL253,"")</f>
        <v/>
      </c>
      <c r="IN253" t="inlineStr">
        <is>
          <t>moderate</t>
        </is>
      </c>
      <c r="IO253">
        <f>IF(IN253="good",II253,NA())</f>
        <v/>
      </c>
      <c r="IP253">
        <f>IF(IN253="moderate",II253,NA())</f>
        <v/>
      </c>
      <c r="IQ253">
        <f>IF(IN253="low",II253,NA())</f>
        <v/>
      </c>
      <c r="IR253">
        <f>IF(AND(IN253="good",IJ253=1),IM253,NA())</f>
        <v/>
      </c>
      <c r="IS253">
        <f>IF(AND(IN253="moderate",IJ253=1),IM253,NA())</f>
        <v/>
      </c>
      <c r="IT253">
        <f>IF(AND(IN253="low",IJ253=1),IM253,NA())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  <c r="IG254">
        <f>Base_mundial!A253</f>
        <v/>
      </c>
      <c r="IH254">
        <f>Base_mundial!C253</f>
        <v/>
      </c>
      <c r="II254">
        <f>Base_mundial!E253-MIN(tope,DEGREES(ATAN(TAN(RADIANS(pe0-omega*Base_mundial!B253))*(Base_mundial!C253/sref)^(m_-1))))</f>
        <v/>
      </c>
      <c r="IJ254" t="n">
        <v>1</v>
      </c>
      <c r="IK254">
        <f>IF(IJ254=1,LN(IH254),"")</f>
        <v/>
      </c>
      <c r="IL254">
        <f>IF(IJ254=1,AVERAGEIFS(II3:II688,IG3:IG688,IG254,IJ3:IJ688,1),"")</f>
        <v/>
      </c>
      <c r="IM254">
        <f>IF(IJ254=1,II254-IL254,"")</f>
        <v/>
      </c>
      <c r="IN254" t="inlineStr">
        <is>
          <t>moderate</t>
        </is>
      </c>
      <c r="IO254">
        <f>IF(IN254="good",II254,NA())</f>
        <v/>
      </c>
      <c r="IP254">
        <f>IF(IN254="moderate",II254,NA())</f>
        <v/>
      </c>
      <c r="IQ254">
        <f>IF(IN254="low",II254,NA())</f>
        <v/>
      </c>
      <c r="IR254">
        <f>IF(AND(IN254="good",IJ254=1),IM254,NA())</f>
        <v/>
      </c>
      <c r="IS254">
        <f>IF(AND(IN254="moderate",IJ254=1),IM254,NA())</f>
        <v/>
      </c>
      <c r="IT254">
        <f>IF(AND(IN254="low",IJ254=1),IM254,NA())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  <c r="IG255">
        <f>Base_mundial!A254</f>
        <v/>
      </c>
      <c r="IH255">
        <f>Base_mundial!C254</f>
        <v/>
      </c>
      <c r="II255">
        <f>Base_mundial!E254-MIN(tope,DEGREES(ATAN(TAN(RADIANS(pe0-omega*Base_mundial!B254))*(Base_mundial!C254/sref)^(m_-1))))</f>
        <v/>
      </c>
      <c r="IJ255" t="n">
        <v>0</v>
      </c>
      <c r="IK255">
        <f>IF(IJ255=1,LN(IH255),"")</f>
        <v/>
      </c>
      <c r="IL255">
        <f>IF(IJ255=1,AVERAGEIFS(II3:II688,IG3:IG688,IG255,IJ3:IJ688,1),"")</f>
        <v/>
      </c>
      <c r="IM255">
        <f>IF(IJ255=1,II255-IL255,"")</f>
        <v/>
      </c>
      <c r="IN255" t="inlineStr">
        <is>
          <t>low</t>
        </is>
      </c>
      <c r="IO255">
        <f>IF(IN255="good",II255,NA())</f>
        <v/>
      </c>
      <c r="IP255">
        <f>IF(IN255="moderate",II255,NA())</f>
        <v/>
      </c>
      <c r="IQ255">
        <f>IF(IN255="low",II255,NA())</f>
        <v/>
      </c>
      <c r="IR255">
        <f>IF(AND(IN255="good",IJ255=1),IM255,NA())</f>
        <v/>
      </c>
      <c r="IS255">
        <f>IF(AND(IN255="moderate",IJ255=1),IM255,NA())</f>
        <v/>
      </c>
      <c r="IT255">
        <f>IF(AND(IN255="low",IJ255=1),IM255,NA())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  <c r="IG256">
        <f>Base_mundial!A255</f>
        <v/>
      </c>
      <c r="IH256">
        <f>Base_mundial!C255</f>
        <v/>
      </c>
      <c r="II256">
        <f>Base_mundial!E255-MIN(tope,DEGREES(ATAN(TAN(RADIANS(pe0-omega*Base_mundial!B255))*(Base_mundial!C255/sref)^(m_-1))))</f>
        <v/>
      </c>
      <c r="IJ256" t="n">
        <v>0</v>
      </c>
      <c r="IK256">
        <f>IF(IJ256=1,LN(IH256),"")</f>
        <v/>
      </c>
      <c r="IL256">
        <f>IF(IJ256=1,AVERAGEIFS(II3:II688,IG3:IG688,IG256,IJ3:IJ688,1),"")</f>
        <v/>
      </c>
      <c r="IM256">
        <f>IF(IJ256=1,II256-IL256,"")</f>
        <v/>
      </c>
      <c r="IN256" t="inlineStr">
        <is>
          <t>low</t>
        </is>
      </c>
      <c r="IO256">
        <f>IF(IN256="good",II256,NA())</f>
        <v/>
      </c>
      <c r="IP256">
        <f>IF(IN256="moderate",II256,NA())</f>
        <v/>
      </c>
      <c r="IQ256">
        <f>IF(IN256="low",II256,NA())</f>
        <v/>
      </c>
      <c r="IR256">
        <f>IF(AND(IN256="good",IJ256=1),IM256,NA())</f>
        <v/>
      </c>
      <c r="IS256">
        <f>IF(AND(IN256="moderate",IJ256=1),IM256,NA())</f>
        <v/>
      </c>
      <c r="IT256">
        <f>IF(AND(IN256="low",IJ256=1),IM256,NA())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  <c r="IG257">
        <f>Base_mundial!A256</f>
        <v/>
      </c>
      <c r="IH257">
        <f>Base_mundial!C256</f>
        <v/>
      </c>
      <c r="II257">
        <f>Base_mundial!E256-MIN(tope,DEGREES(ATAN(TAN(RADIANS(pe0-omega*Base_mundial!B256))*(Base_mundial!C256/sref)^(m_-1))))</f>
        <v/>
      </c>
      <c r="IJ257" t="n">
        <v>0</v>
      </c>
      <c r="IK257">
        <f>IF(IJ257=1,LN(IH257),"")</f>
        <v/>
      </c>
      <c r="IL257">
        <f>IF(IJ257=1,AVERAGEIFS(II3:II688,IG3:IG688,IG257,IJ3:IJ688,1),"")</f>
        <v/>
      </c>
      <c r="IM257">
        <f>IF(IJ257=1,II257-IL257,"")</f>
        <v/>
      </c>
      <c r="IN257" t="inlineStr">
        <is>
          <t>low</t>
        </is>
      </c>
      <c r="IO257">
        <f>IF(IN257="good",II257,NA())</f>
        <v/>
      </c>
      <c r="IP257">
        <f>IF(IN257="moderate",II257,NA())</f>
        <v/>
      </c>
      <c r="IQ257">
        <f>IF(IN257="low",II257,NA())</f>
        <v/>
      </c>
      <c r="IR257">
        <f>IF(AND(IN257="good",IJ257=1),IM257,NA())</f>
        <v/>
      </c>
      <c r="IS257">
        <f>IF(AND(IN257="moderate",IJ257=1),IM257,NA())</f>
        <v/>
      </c>
      <c r="IT257">
        <f>IF(AND(IN257="low",IJ257=1),IM257,NA())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  <c r="IG258">
        <f>Base_mundial!A257</f>
        <v/>
      </c>
      <c r="IH258">
        <f>Base_mundial!C257</f>
        <v/>
      </c>
      <c r="II258">
        <f>Base_mundial!E257-MIN(tope,DEGREES(ATAN(TAN(RADIANS(pe0-omega*Base_mundial!B257))*(Base_mundial!C257/sref)^(m_-1))))</f>
        <v/>
      </c>
      <c r="IJ258" t="n">
        <v>0</v>
      </c>
      <c r="IK258">
        <f>IF(IJ258=1,LN(IH258),"")</f>
        <v/>
      </c>
      <c r="IL258">
        <f>IF(IJ258=1,AVERAGEIFS(II3:II688,IG3:IG688,IG258,IJ3:IJ688,1),"")</f>
        <v/>
      </c>
      <c r="IM258">
        <f>IF(IJ258=1,II258-IL258,"")</f>
        <v/>
      </c>
      <c r="IN258" t="inlineStr">
        <is>
          <t>low</t>
        </is>
      </c>
      <c r="IO258">
        <f>IF(IN258="good",II258,NA())</f>
        <v/>
      </c>
      <c r="IP258">
        <f>IF(IN258="moderate",II258,NA())</f>
        <v/>
      </c>
      <c r="IQ258">
        <f>IF(IN258="low",II258,NA())</f>
        <v/>
      </c>
      <c r="IR258">
        <f>IF(AND(IN258="good",IJ258=1),IM258,NA())</f>
        <v/>
      </c>
      <c r="IS258">
        <f>IF(AND(IN258="moderate",IJ258=1),IM258,NA())</f>
        <v/>
      </c>
      <c r="IT258">
        <f>IF(AND(IN258="low",IJ258=1),IM258,NA())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  <c r="IG259">
        <f>Base_mundial!A258</f>
        <v/>
      </c>
      <c r="IH259">
        <f>Base_mundial!C258</f>
        <v/>
      </c>
      <c r="II259">
        <f>Base_mundial!E258-MIN(tope,DEGREES(ATAN(TAN(RADIANS(pe0-omega*Base_mundial!B258))*(Base_mundial!C258/sref)^(m_-1))))</f>
        <v/>
      </c>
      <c r="IJ259" t="n">
        <v>0</v>
      </c>
      <c r="IK259">
        <f>IF(IJ259=1,LN(IH259),"")</f>
        <v/>
      </c>
      <c r="IL259">
        <f>IF(IJ259=1,AVERAGEIFS(II3:II688,IG3:IG688,IG259,IJ3:IJ688,1),"")</f>
        <v/>
      </c>
      <c r="IM259">
        <f>IF(IJ259=1,II259-IL259,"")</f>
        <v/>
      </c>
      <c r="IN259" t="inlineStr">
        <is>
          <t>low</t>
        </is>
      </c>
      <c r="IO259">
        <f>IF(IN259="good",II259,NA())</f>
        <v/>
      </c>
      <c r="IP259">
        <f>IF(IN259="moderate",II259,NA())</f>
        <v/>
      </c>
      <c r="IQ259">
        <f>IF(IN259="low",II259,NA())</f>
        <v/>
      </c>
      <c r="IR259">
        <f>IF(AND(IN259="good",IJ259=1),IM259,NA())</f>
        <v/>
      </c>
      <c r="IS259">
        <f>IF(AND(IN259="moderate",IJ259=1),IM259,NA())</f>
        <v/>
      </c>
      <c r="IT259">
        <f>IF(AND(IN259="low",IJ259=1),IM259,NA())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  <c r="IG260">
        <f>Base_mundial!A259</f>
        <v/>
      </c>
      <c r="IH260">
        <f>Base_mundial!C259</f>
        <v/>
      </c>
      <c r="II260">
        <f>Base_mundial!E259-MIN(tope,DEGREES(ATAN(TAN(RADIANS(pe0-omega*Base_mundial!B259))*(Base_mundial!C259/sref)^(m_-1))))</f>
        <v/>
      </c>
      <c r="IJ260" t="n">
        <v>0</v>
      </c>
      <c r="IK260">
        <f>IF(IJ260=1,LN(IH260),"")</f>
        <v/>
      </c>
      <c r="IL260">
        <f>IF(IJ260=1,AVERAGEIFS(II3:II688,IG3:IG688,IG260,IJ3:IJ688,1),"")</f>
        <v/>
      </c>
      <c r="IM260">
        <f>IF(IJ260=1,II260-IL260,"")</f>
        <v/>
      </c>
      <c r="IN260" t="inlineStr">
        <is>
          <t>low</t>
        </is>
      </c>
      <c r="IO260">
        <f>IF(IN260="good",II260,NA())</f>
        <v/>
      </c>
      <c r="IP260">
        <f>IF(IN260="moderate",II260,NA())</f>
        <v/>
      </c>
      <c r="IQ260">
        <f>IF(IN260="low",II260,NA())</f>
        <v/>
      </c>
      <c r="IR260">
        <f>IF(AND(IN260="good",IJ260=1),IM260,NA())</f>
        <v/>
      </c>
      <c r="IS260">
        <f>IF(AND(IN260="moderate",IJ260=1),IM260,NA())</f>
        <v/>
      </c>
      <c r="IT260">
        <f>IF(AND(IN260="low",IJ260=1),IM260,NA())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  <c r="IG261">
        <f>Base_mundial!A260</f>
        <v/>
      </c>
      <c r="IH261">
        <f>Base_mundial!C260</f>
        <v/>
      </c>
      <c r="II261">
        <f>Base_mundial!E260-MIN(tope,DEGREES(ATAN(TAN(RADIANS(pe0-omega*Base_mundial!B260))*(Base_mundial!C260/sref)^(m_-1))))</f>
        <v/>
      </c>
      <c r="IJ261" t="n">
        <v>0</v>
      </c>
      <c r="IK261">
        <f>IF(IJ261=1,LN(IH261),"")</f>
        <v/>
      </c>
      <c r="IL261">
        <f>IF(IJ261=1,AVERAGEIFS(II3:II688,IG3:IG688,IG261,IJ3:IJ688,1),"")</f>
        <v/>
      </c>
      <c r="IM261">
        <f>IF(IJ261=1,II261-IL261,"")</f>
        <v/>
      </c>
      <c r="IN261" t="inlineStr">
        <is>
          <t>low</t>
        </is>
      </c>
      <c r="IO261">
        <f>IF(IN261="good",II261,NA())</f>
        <v/>
      </c>
      <c r="IP261">
        <f>IF(IN261="moderate",II261,NA())</f>
        <v/>
      </c>
      <c r="IQ261">
        <f>IF(IN261="low",II261,NA())</f>
        <v/>
      </c>
      <c r="IR261">
        <f>IF(AND(IN261="good",IJ261=1),IM261,NA())</f>
        <v/>
      </c>
      <c r="IS261">
        <f>IF(AND(IN261="moderate",IJ261=1),IM261,NA())</f>
        <v/>
      </c>
      <c r="IT261">
        <f>IF(AND(IN261="low",IJ261=1),IM261,NA())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  <c r="IG262">
        <f>Base_mundial!A261</f>
        <v/>
      </c>
      <c r="IH262">
        <f>Base_mundial!C261</f>
        <v/>
      </c>
      <c r="II262">
        <f>Base_mundial!E261-MIN(tope,DEGREES(ATAN(TAN(RADIANS(pe0-omega*Base_mundial!B261))*(Base_mundial!C261/sref)^(m_-1))))</f>
        <v/>
      </c>
      <c r="IJ262" t="n">
        <v>0</v>
      </c>
      <c r="IK262">
        <f>IF(IJ262=1,LN(IH262),"")</f>
        <v/>
      </c>
      <c r="IL262">
        <f>IF(IJ262=1,AVERAGEIFS(II3:II688,IG3:IG688,IG262,IJ3:IJ688,1),"")</f>
        <v/>
      </c>
      <c r="IM262">
        <f>IF(IJ262=1,II262-IL262,"")</f>
        <v/>
      </c>
      <c r="IN262" t="inlineStr">
        <is>
          <t>low</t>
        </is>
      </c>
      <c r="IO262">
        <f>IF(IN262="good",II262,NA())</f>
        <v/>
      </c>
      <c r="IP262">
        <f>IF(IN262="moderate",II262,NA())</f>
        <v/>
      </c>
      <c r="IQ262">
        <f>IF(IN262="low",II262,NA())</f>
        <v/>
      </c>
      <c r="IR262">
        <f>IF(AND(IN262="good",IJ262=1),IM262,NA())</f>
        <v/>
      </c>
      <c r="IS262">
        <f>IF(AND(IN262="moderate",IJ262=1),IM262,NA())</f>
        <v/>
      </c>
      <c r="IT262">
        <f>IF(AND(IN262="low",IJ262=1),IM262,NA())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  <c r="IG263">
        <f>Base_mundial!A262</f>
        <v/>
      </c>
      <c r="IH263">
        <f>Base_mundial!C262</f>
        <v/>
      </c>
      <c r="II263">
        <f>Base_mundial!E262-MIN(tope,DEGREES(ATAN(TAN(RADIANS(pe0-omega*Base_mundial!B262))*(Base_mundial!C262/sref)^(m_-1))))</f>
        <v/>
      </c>
      <c r="IJ263" t="n">
        <v>0</v>
      </c>
      <c r="IK263">
        <f>IF(IJ263=1,LN(IH263),"")</f>
        <v/>
      </c>
      <c r="IL263">
        <f>IF(IJ263=1,AVERAGEIFS(II3:II688,IG3:IG688,IG263,IJ3:IJ688,1),"")</f>
        <v/>
      </c>
      <c r="IM263">
        <f>IF(IJ263=1,II263-IL263,"")</f>
        <v/>
      </c>
      <c r="IN263" t="inlineStr">
        <is>
          <t>moderate</t>
        </is>
      </c>
      <c r="IO263">
        <f>IF(IN263="good",II263,NA())</f>
        <v/>
      </c>
      <c r="IP263">
        <f>IF(IN263="moderate",II263,NA())</f>
        <v/>
      </c>
      <c r="IQ263">
        <f>IF(IN263="low",II263,NA())</f>
        <v/>
      </c>
      <c r="IR263">
        <f>IF(AND(IN263="good",IJ263=1),IM263,NA())</f>
        <v/>
      </c>
      <c r="IS263">
        <f>IF(AND(IN263="moderate",IJ263=1),IM263,NA())</f>
        <v/>
      </c>
      <c r="IT263">
        <f>IF(AND(IN263="low",IJ263=1),IM263,NA())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  <c r="IG264">
        <f>Base_mundial!A263</f>
        <v/>
      </c>
      <c r="IH264">
        <f>Base_mundial!C263</f>
        <v/>
      </c>
      <c r="II264">
        <f>Base_mundial!E263-MIN(tope,DEGREES(ATAN(TAN(RADIANS(pe0-omega*Base_mundial!B263))*(Base_mundial!C263/sref)^(m_-1))))</f>
        <v/>
      </c>
      <c r="IJ264" t="n">
        <v>0</v>
      </c>
      <c r="IK264">
        <f>IF(IJ264=1,LN(IH264),"")</f>
        <v/>
      </c>
      <c r="IL264">
        <f>IF(IJ264=1,AVERAGEIFS(II3:II688,IG3:IG688,IG264,IJ3:IJ688,1),"")</f>
        <v/>
      </c>
      <c r="IM264">
        <f>IF(IJ264=1,II264-IL264,"")</f>
        <v/>
      </c>
      <c r="IN264" t="inlineStr">
        <is>
          <t>moderate</t>
        </is>
      </c>
      <c r="IO264">
        <f>IF(IN264="good",II264,NA())</f>
        <v/>
      </c>
      <c r="IP264">
        <f>IF(IN264="moderate",II264,NA())</f>
        <v/>
      </c>
      <c r="IQ264">
        <f>IF(IN264="low",II264,NA())</f>
        <v/>
      </c>
      <c r="IR264">
        <f>IF(AND(IN264="good",IJ264=1),IM264,NA())</f>
        <v/>
      </c>
      <c r="IS264">
        <f>IF(AND(IN264="moderate",IJ264=1),IM264,NA())</f>
        <v/>
      </c>
      <c r="IT264">
        <f>IF(AND(IN264="low",IJ264=1),IM264,NA())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  <c r="IG265">
        <f>Base_mundial!A264</f>
        <v/>
      </c>
      <c r="IH265">
        <f>Base_mundial!C264</f>
        <v/>
      </c>
      <c r="II265">
        <f>Base_mundial!E264-MIN(tope,DEGREES(ATAN(TAN(RADIANS(pe0-omega*Base_mundial!B264))*(Base_mundial!C264/sref)^(m_-1))))</f>
        <v/>
      </c>
      <c r="IJ265" t="n">
        <v>0</v>
      </c>
      <c r="IK265">
        <f>IF(IJ265=1,LN(IH265),"")</f>
        <v/>
      </c>
      <c r="IL265">
        <f>IF(IJ265=1,AVERAGEIFS(II3:II688,IG3:IG688,IG265,IJ3:IJ688,1),"")</f>
        <v/>
      </c>
      <c r="IM265">
        <f>IF(IJ265=1,II265-IL265,"")</f>
        <v/>
      </c>
      <c r="IN265" t="inlineStr">
        <is>
          <t>moderate</t>
        </is>
      </c>
      <c r="IO265">
        <f>IF(IN265="good",II265,NA())</f>
        <v/>
      </c>
      <c r="IP265">
        <f>IF(IN265="moderate",II265,NA())</f>
        <v/>
      </c>
      <c r="IQ265">
        <f>IF(IN265="low",II265,NA())</f>
        <v/>
      </c>
      <c r="IR265">
        <f>IF(AND(IN265="good",IJ265=1),IM265,NA())</f>
        <v/>
      </c>
      <c r="IS265">
        <f>IF(AND(IN265="moderate",IJ265=1),IM265,NA())</f>
        <v/>
      </c>
      <c r="IT265">
        <f>IF(AND(IN265="low",IJ265=1),IM265,NA())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  <c r="IG266">
        <f>Base_mundial!A265</f>
        <v/>
      </c>
      <c r="IH266">
        <f>Base_mundial!C265</f>
        <v/>
      </c>
      <c r="II266">
        <f>Base_mundial!E265-MIN(tope,DEGREES(ATAN(TAN(RADIANS(pe0-omega*Base_mundial!B265))*(Base_mundial!C265/sref)^(m_-1))))</f>
        <v/>
      </c>
      <c r="IJ266" t="n">
        <v>0</v>
      </c>
      <c r="IK266">
        <f>IF(IJ266=1,LN(IH266),"")</f>
        <v/>
      </c>
      <c r="IL266">
        <f>IF(IJ266=1,AVERAGEIFS(II3:II688,IG3:IG688,IG266,IJ3:IJ688,1),"")</f>
        <v/>
      </c>
      <c r="IM266">
        <f>IF(IJ266=1,II266-IL266,"")</f>
        <v/>
      </c>
      <c r="IN266" t="inlineStr">
        <is>
          <t>moderate</t>
        </is>
      </c>
      <c r="IO266">
        <f>IF(IN266="good",II266,NA())</f>
        <v/>
      </c>
      <c r="IP266">
        <f>IF(IN266="moderate",II266,NA())</f>
        <v/>
      </c>
      <c r="IQ266">
        <f>IF(IN266="low",II266,NA())</f>
        <v/>
      </c>
      <c r="IR266">
        <f>IF(AND(IN266="good",IJ266=1),IM266,NA())</f>
        <v/>
      </c>
      <c r="IS266">
        <f>IF(AND(IN266="moderate",IJ266=1),IM266,NA())</f>
        <v/>
      </c>
      <c r="IT266">
        <f>IF(AND(IN266="low",IJ266=1),IM266,NA())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  <c r="IG267">
        <f>Base_mundial!A266</f>
        <v/>
      </c>
      <c r="IH267">
        <f>Base_mundial!C266</f>
        <v/>
      </c>
      <c r="II267">
        <f>Base_mundial!E266-MIN(tope,DEGREES(ATAN(TAN(RADIANS(pe0-omega*Base_mundial!B266))*(Base_mundial!C266/sref)^(m_-1))))</f>
        <v/>
      </c>
      <c r="IJ267" t="n">
        <v>0</v>
      </c>
      <c r="IK267">
        <f>IF(IJ267=1,LN(IH267),"")</f>
        <v/>
      </c>
      <c r="IL267">
        <f>IF(IJ267=1,AVERAGEIFS(II3:II688,IG3:IG688,IG267,IJ3:IJ688,1),"")</f>
        <v/>
      </c>
      <c r="IM267">
        <f>IF(IJ267=1,II267-IL267,"")</f>
        <v/>
      </c>
      <c r="IN267" t="inlineStr">
        <is>
          <t>moderate</t>
        </is>
      </c>
      <c r="IO267">
        <f>IF(IN267="good",II267,NA())</f>
        <v/>
      </c>
      <c r="IP267">
        <f>IF(IN267="moderate",II267,NA())</f>
        <v/>
      </c>
      <c r="IQ267">
        <f>IF(IN267="low",II267,NA())</f>
        <v/>
      </c>
      <c r="IR267">
        <f>IF(AND(IN267="good",IJ267=1),IM267,NA())</f>
        <v/>
      </c>
      <c r="IS267">
        <f>IF(AND(IN267="moderate",IJ267=1),IM267,NA())</f>
        <v/>
      </c>
      <c r="IT267">
        <f>IF(AND(IN267="low",IJ267=1),IM267,NA())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  <c r="IG268">
        <f>Base_mundial!A267</f>
        <v/>
      </c>
      <c r="IH268">
        <f>Base_mundial!C267</f>
        <v/>
      </c>
      <c r="II268">
        <f>Base_mundial!E267-MIN(tope,DEGREES(ATAN(TAN(RADIANS(pe0-omega*Base_mundial!B267))*(Base_mundial!C267/sref)^(m_-1))))</f>
        <v/>
      </c>
      <c r="IJ268" t="n">
        <v>0</v>
      </c>
      <c r="IK268">
        <f>IF(IJ268=1,LN(IH268),"")</f>
        <v/>
      </c>
      <c r="IL268">
        <f>IF(IJ268=1,AVERAGEIFS(II3:II688,IG3:IG688,IG268,IJ3:IJ688,1),"")</f>
        <v/>
      </c>
      <c r="IM268">
        <f>IF(IJ268=1,II268-IL268,"")</f>
        <v/>
      </c>
      <c r="IN268" t="inlineStr">
        <is>
          <t>moderate</t>
        </is>
      </c>
      <c r="IO268">
        <f>IF(IN268="good",II268,NA())</f>
        <v/>
      </c>
      <c r="IP268">
        <f>IF(IN268="moderate",II268,NA())</f>
        <v/>
      </c>
      <c r="IQ268">
        <f>IF(IN268="low",II268,NA())</f>
        <v/>
      </c>
      <c r="IR268">
        <f>IF(AND(IN268="good",IJ268=1),IM268,NA())</f>
        <v/>
      </c>
      <c r="IS268">
        <f>IF(AND(IN268="moderate",IJ268=1),IM268,NA())</f>
        <v/>
      </c>
      <c r="IT268">
        <f>IF(AND(IN268="low",IJ268=1),IM268,NA())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  <c r="IG269">
        <f>Base_mundial!A268</f>
        <v/>
      </c>
      <c r="IH269">
        <f>Base_mundial!C268</f>
        <v/>
      </c>
      <c r="II269">
        <f>Base_mundial!E268-MIN(tope,DEGREES(ATAN(TAN(RADIANS(pe0-omega*Base_mundial!B268))*(Base_mundial!C268/sref)^(m_-1))))</f>
        <v/>
      </c>
      <c r="IJ269" t="n">
        <v>0</v>
      </c>
      <c r="IK269">
        <f>IF(IJ269=1,LN(IH269),"")</f>
        <v/>
      </c>
      <c r="IL269">
        <f>IF(IJ269=1,AVERAGEIFS(II3:II688,IG3:IG688,IG269,IJ3:IJ688,1),"")</f>
        <v/>
      </c>
      <c r="IM269">
        <f>IF(IJ269=1,II269-IL269,"")</f>
        <v/>
      </c>
      <c r="IN269" t="inlineStr">
        <is>
          <t>moderate</t>
        </is>
      </c>
      <c r="IO269">
        <f>IF(IN269="good",II269,NA())</f>
        <v/>
      </c>
      <c r="IP269">
        <f>IF(IN269="moderate",II269,NA())</f>
        <v/>
      </c>
      <c r="IQ269">
        <f>IF(IN269="low",II269,NA())</f>
        <v/>
      </c>
      <c r="IR269">
        <f>IF(AND(IN269="good",IJ269=1),IM269,NA())</f>
        <v/>
      </c>
      <c r="IS269">
        <f>IF(AND(IN269="moderate",IJ269=1),IM269,NA())</f>
        <v/>
      </c>
      <c r="IT269">
        <f>IF(AND(IN269="low",IJ269=1),IM269,NA())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  <c r="IG270">
        <f>Base_mundial!A269</f>
        <v/>
      </c>
      <c r="IH270">
        <f>Base_mundial!C269</f>
        <v/>
      </c>
      <c r="II270">
        <f>Base_mundial!E269-MIN(tope,DEGREES(ATAN(TAN(RADIANS(pe0-omega*Base_mundial!B269))*(Base_mundial!C269/sref)^(m_-1))))</f>
        <v/>
      </c>
      <c r="IJ270" t="n">
        <v>0</v>
      </c>
      <c r="IK270">
        <f>IF(IJ270=1,LN(IH270),"")</f>
        <v/>
      </c>
      <c r="IL270">
        <f>IF(IJ270=1,AVERAGEIFS(II3:II688,IG3:IG688,IG270,IJ3:IJ688,1),"")</f>
        <v/>
      </c>
      <c r="IM270">
        <f>IF(IJ270=1,II270-IL270,"")</f>
        <v/>
      </c>
      <c r="IN270" t="inlineStr">
        <is>
          <t>moderate</t>
        </is>
      </c>
      <c r="IO270">
        <f>IF(IN270="good",II270,NA())</f>
        <v/>
      </c>
      <c r="IP270">
        <f>IF(IN270="moderate",II270,NA())</f>
        <v/>
      </c>
      <c r="IQ270">
        <f>IF(IN270="low",II270,NA())</f>
        <v/>
      </c>
      <c r="IR270">
        <f>IF(AND(IN270="good",IJ270=1),IM270,NA())</f>
        <v/>
      </c>
      <c r="IS270">
        <f>IF(AND(IN270="moderate",IJ270=1),IM270,NA())</f>
        <v/>
      </c>
      <c r="IT270">
        <f>IF(AND(IN270="low",IJ270=1),IM270,NA())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  <c r="IG271">
        <f>Base_mundial!A270</f>
        <v/>
      </c>
      <c r="IH271">
        <f>Base_mundial!C270</f>
        <v/>
      </c>
      <c r="II271">
        <f>Base_mundial!E270-MIN(tope,DEGREES(ATAN(TAN(RADIANS(pe0-omega*Base_mundial!B270))*(Base_mundial!C270/sref)^(m_-1))))</f>
        <v/>
      </c>
      <c r="IJ271" t="n">
        <v>0</v>
      </c>
      <c r="IK271">
        <f>IF(IJ271=1,LN(IH271),"")</f>
        <v/>
      </c>
      <c r="IL271">
        <f>IF(IJ271=1,AVERAGEIFS(II3:II688,IG3:IG688,IG271,IJ3:IJ688,1),"")</f>
        <v/>
      </c>
      <c r="IM271">
        <f>IF(IJ271=1,II271-IL271,"")</f>
        <v/>
      </c>
      <c r="IN271" t="inlineStr">
        <is>
          <t>moderate</t>
        </is>
      </c>
      <c r="IO271">
        <f>IF(IN271="good",II271,NA())</f>
        <v/>
      </c>
      <c r="IP271">
        <f>IF(IN271="moderate",II271,NA())</f>
        <v/>
      </c>
      <c r="IQ271">
        <f>IF(IN271="low",II271,NA())</f>
        <v/>
      </c>
      <c r="IR271">
        <f>IF(AND(IN271="good",IJ271=1),IM271,NA())</f>
        <v/>
      </c>
      <c r="IS271">
        <f>IF(AND(IN271="moderate",IJ271=1),IM271,NA())</f>
        <v/>
      </c>
      <c r="IT271">
        <f>IF(AND(IN271="low",IJ271=1),IM271,NA())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  <c r="IG272">
        <f>Base_mundial!A271</f>
        <v/>
      </c>
      <c r="IH272">
        <f>Base_mundial!C271</f>
        <v/>
      </c>
      <c r="II272">
        <f>Base_mundial!E271-MIN(tope,DEGREES(ATAN(TAN(RADIANS(pe0-omega*Base_mundial!B271))*(Base_mundial!C271/sref)^(m_-1))))</f>
        <v/>
      </c>
      <c r="IJ272" t="n">
        <v>0</v>
      </c>
      <c r="IK272">
        <f>IF(IJ272=1,LN(IH272),"")</f>
        <v/>
      </c>
      <c r="IL272">
        <f>IF(IJ272=1,AVERAGEIFS(II3:II688,IG3:IG688,IG272,IJ3:IJ688,1),"")</f>
        <v/>
      </c>
      <c r="IM272">
        <f>IF(IJ272=1,II272-IL272,"")</f>
        <v/>
      </c>
      <c r="IN272" t="inlineStr">
        <is>
          <t>moderate</t>
        </is>
      </c>
      <c r="IO272">
        <f>IF(IN272="good",II272,NA())</f>
        <v/>
      </c>
      <c r="IP272">
        <f>IF(IN272="moderate",II272,NA())</f>
        <v/>
      </c>
      <c r="IQ272">
        <f>IF(IN272="low",II272,NA())</f>
        <v/>
      </c>
      <c r="IR272">
        <f>IF(AND(IN272="good",IJ272=1),IM272,NA())</f>
        <v/>
      </c>
      <c r="IS272">
        <f>IF(AND(IN272="moderate",IJ272=1),IM272,NA())</f>
        <v/>
      </c>
      <c r="IT272">
        <f>IF(AND(IN272="low",IJ272=1),IM272,NA())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  <c r="IG273">
        <f>Base_mundial!A272</f>
        <v/>
      </c>
      <c r="IH273">
        <f>Base_mundial!C272</f>
        <v/>
      </c>
      <c r="II273">
        <f>Base_mundial!E272-MIN(tope,DEGREES(ATAN(TAN(RADIANS(pe0-omega*Base_mundial!B272))*(Base_mundial!C272/sref)^(m_-1))))</f>
        <v/>
      </c>
      <c r="IJ273" t="n">
        <v>0</v>
      </c>
      <c r="IK273">
        <f>IF(IJ273=1,LN(IH273),"")</f>
        <v/>
      </c>
      <c r="IL273">
        <f>IF(IJ273=1,AVERAGEIFS(II3:II688,IG3:IG688,IG273,IJ3:IJ688,1),"")</f>
        <v/>
      </c>
      <c r="IM273">
        <f>IF(IJ273=1,II273-IL273,"")</f>
        <v/>
      </c>
      <c r="IN273" t="inlineStr">
        <is>
          <t>moderate</t>
        </is>
      </c>
      <c r="IO273">
        <f>IF(IN273="good",II273,NA())</f>
        <v/>
      </c>
      <c r="IP273">
        <f>IF(IN273="moderate",II273,NA())</f>
        <v/>
      </c>
      <c r="IQ273">
        <f>IF(IN273="low",II273,NA())</f>
        <v/>
      </c>
      <c r="IR273">
        <f>IF(AND(IN273="good",IJ273=1),IM273,NA())</f>
        <v/>
      </c>
      <c r="IS273">
        <f>IF(AND(IN273="moderate",IJ273=1),IM273,NA())</f>
        <v/>
      </c>
      <c r="IT273">
        <f>IF(AND(IN273="low",IJ273=1),IM273,NA())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  <c r="IG274">
        <f>Base_mundial!A273</f>
        <v/>
      </c>
      <c r="IH274">
        <f>Base_mundial!C273</f>
        <v/>
      </c>
      <c r="II274">
        <f>Base_mundial!E273-MIN(tope,DEGREES(ATAN(TAN(RADIANS(pe0-omega*Base_mundial!B273))*(Base_mundial!C273/sref)^(m_-1))))</f>
        <v/>
      </c>
      <c r="IJ274" t="n">
        <v>0</v>
      </c>
      <c r="IK274">
        <f>IF(IJ274=1,LN(IH274),"")</f>
        <v/>
      </c>
      <c r="IL274">
        <f>IF(IJ274=1,AVERAGEIFS(II3:II688,IG3:IG688,IG274,IJ3:IJ688,1),"")</f>
        <v/>
      </c>
      <c r="IM274">
        <f>IF(IJ274=1,II274-IL274,"")</f>
        <v/>
      </c>
      <c r="IN274" t="inlineStr">
        <is>
          <t>moderate</t>
        </is>
      </c>
      <c r="IO274">
        <f>IF(IN274="good",II274,NA())</f>
        <v/>
      </c>
      <c r="IP274">
        <f>IF(IN274="moderate",II274,NA())</f>
        <v/>
      </c>
      <c r="IQ274">
        <f>IF(IN274="low",II274,NA())</f>
        <v/>
      </c>
      <c r="IR274">
        <f>IF(AND(IN274="good",IJ274=1),IM274,NA())</f>
        <v/>
      </c>
      <c r="IS274">
        <f>IF(AND(IN274="moderate",IJ274=1),IM274,NA())</f>
        <v/>
      </c>
      <c r="IT274">
        <f>IF(AND(IN274="low",IJ274=1),IM274,NA())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  <c r="IG275">
        <f>Base_mundial!A274</f>
        <v/>
      </c>
      <c r="IH275">
        <f>Base_mundial!C274</f>
        <v/>
      </c>
      <c r="II275">
        <f>Base_mundial!E274-MIN(tope,DEGREES(ATAN(TAN(RADIANS(pe0-omega*Base_mundial!B274))*(Base_mundial!C274/sref)^(m_-1))))</f>
        <v/>
      </c>
      <c r="IJ275" t="n">
        <v>0</v>
      </c>
      <c r="IK275">
        <f>IF(IJ275=1,LN(IH275),"")</f>
        <v/>
      </c>
      <c r="IL275">
        <f>IF(IJ275=1,AVERAGEIFS(II3:II688,IG3:IG688,IG275,IJ3:IJ688,1),"")</f>
        <v/>
      </c>
      <c r="IM275">
        <f>IF(IJ275=1,II275-IL275,"")</f>
        <v/>
      </c>
      <c r="IN275" t="inlineStr">
        <is>
          <t>moderate</t>
        </is>
      </c>
      <c r="IO275">
        <f>IF(IN275="good",II275,NA())</f>
        <v/>
      </c>
      <c r="IP275">
        <f>IF(IN275="moderate",II275,NA())</f>
        <v/>
      </c>
      <c r="IQ275">
        <f>IF(IN275="low",II275,NA())</f>
        <v/>
      </c>
      <c r="IR275">
        <f>IF(AND(IN275="good",IJ275=1),IM275,NA())</f>
        <v/>
      </c>
      <c r="IS275">
        <f>IF(AND(IN275="moderate",IJ275=1),IM275,NA())</f>
        <v/>
      </c>
      <c r="IT275">
        <f>IF(AND(IN275="low",IJ275=1),IM275,NA())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  <c r="IG276">
        <f>Base_mundial!A275</f>
        <v/>
      </c>
      <c r="IH276">
        <f>Base_mundial!C275</f>
        <v/>
      </c>
      <c r="II276">
        <f>Base_mundial!E275-MIN(tope,DEGREES(ATAN(TAN(RADIANS(pe0-omega*Base_mundial!B275))*(Base_mundial!C275/sref)^(m_-1))))</f>
        <v/>
      </c>
      <c r="IJ276" t="n">
        <v>0</v>
      </c>
      <c r="IK276">
        <f>IF(IJ276=1,LN(IH276),"")</f>
        <v/>
      </c>
      <c r="IL276">
        <f>IF(IJ276=1,AVERAGEIFS(II3:II688,IG3:IG688,IG276,IJ3:IJ688,1),"")</f>
        <v/>
      </c>
      <c r="IM276">
        <f>IF(IJ276=1,II276-IL276,"")</f>
        <v/>
      </c>
      <c r="IN276" t="inlineStr">
        <is>
          <t>moderate</t>
        </is>
      </c>
      <c r="IO276">
        <f>IF(IN276="good",II276,NA())</f>
        <v/>
      </c>
      <c r="IP276">
        <f>IF(IN276="moderate",II276,NA())</f>
        <v/>
      </c>
      <c r="IQ276">
        <f>IF(IN276="low",II276,NA())</f>
        <v/>
      </c>
      <c r="IR276">
        <f>IF(AND(IN276="good",IJ276=1),IM276,NA())</f>
        <v/>
      </c>
      <c r="IS276">
        <f>IF(AND(IN276="moderate",IJ276=1),IM276,NA())</f>
        <v/>
      </c>
      <c r="IT276">
        <f>IF(AND(IN276="low",IJ276=1),IM276,NA())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  <c r="IG277">
        <f>Base_mundial!A276</f>
        <v/>
      </c>
      <c r="IH277">
        <f>Base_mundial!C276</f>
        <v/>
      </c>
      <c r="II277">
        <f>Base_mundial!E276-MIN(tope,DEGREES(ATAN(TAN(RADIANS(pe0-omega*Base_mundial!B276))*(Base_mundial!C276/sref)^(m_-1))))</f>
        <v/>
      </c>
      <c r="IJ277" t="n">
        <v>0</v>
      </c>
      <c r="IK277">
        <f>IF(IJ277=1,LN(IH277),"")</f>
        <v/>
      </c>
      <c r="IL277">
        <f>IF(IJ277=1,AVERAGEIFS(II3:II688,IG3:IG688,IG277,IJ3:IJ688,1),"")</f>
        <v/>
      </c>
      <c r="IM277">
        <f>IF(IJ277=1,II277-IL277,"")</f>
        <v/>
      </c>
      <c r="IN277" t="inlineStr">
        <is>
          <t>moderate</t>
        </is>
      </c>
      <c r="IO277">
        <f>IF(IN277="good",II277,NA())</f>
        <v/>
      </c>
      <c r="IP277">
        <f>IF(IN277="moderate",II277,NA())</f>
        <v/>
      </c>
      <c r="IQ277">
        <f>IF(IN277="low",II277,NA())</f>
        <v/>
      </c>
      <c r="IR277">
        <f>IF(AND(IN277="good",IJ277=1),IM277,NA())</f>
        <v/>
      </c>
      <c r="IS277">
        <f>IF(AND(IN277="moderate",IJ277=1),IM277,NA())</f>
        <v/>
      </c>
      <c r="IT277">
        <f>IF(AND(IN277="low",IJ277=1),IM277,NA())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  <c r="IG278">
        <f>Base_mundial!A277</f>
        <v/>
      </c>
      <c r="IH278">
        <f>Base_mundial!C277</f>
        <v/>
      </c>
      <c r="II278">
        <f>Base_mundial!E277-MIN(tope,DEGREES(ATAN(TAN(RADIANS(pe0-omega*Base_mundial!B277))*(Base_mundial!C277/sref)^(m_-1))))</f>
        <v/>
      </c>
      <c r="IJ278" t="n">
        <v>0</v>
      </c>
      <c r="IK278">
        <f>IF(IJ278=1,LN(IH278),"")</f>
        <v/>
      </c>
      <c r="IL278">
        <f>IF(IJ278=1,AVERAGEIFS(II3:II688,IG3:IG688,IG278,IJ3:IJ688,1),"")</f>
        <v/>
      </c>
      <c r="IM278">
        <f>IF(IJ278=1,II278-IL278,"")</f>
        <v/>
      </c>
      <c r="IN278" t="inlineStr">
        <is>
          <t>moderate</t>
        </is>
      </c>
      <c r="IO278">
        <f>IF(IN278="good",II278,NA())</f>
        <v/>
      </c>
      <c r="IP278">
        <f>IF(IN278="moderate",II278,NA())</f>
        <v/>
      </c>
      <c r="IQ278">
        <f>IF(IN278="low",II278,NA())</f>
        <v/>
      </c>
      <c r="IR278">
        <f>IF(AND(IN278="good",IJ278=1),IM278,NA())</f>
        <v/>
      </c>
      <c r="IS278">
        <f>IF(AND(IN278="moderate",IJ278=1),IM278,NA())</f>
        <v/>
      </c>
      <c r="IT278">
        <f>IF(AND(IN278="low",IJ278=1),IM278,NA())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  <c r="IG279">
        <f>Base_mundial!A278</f>
        <v/>
      </c>
      <c r="IH279">
        <f>Base_mundial!C278</f>
        <v/>
      </c>
      <c r="II279">
        <f>Base_mundial!E278-MIN(tope,DEGREES(ATAN(TAN(RADIANS(pe0-omega*Base_mundial!B278))*(Base_mundial!C278/sref)^(m_-1))))</f>
        <v/>
      </c>
      <c r="IJ279" t="n">
        <v>0</v>
      </c>
      <c r="IK279">
        <f>IF(IJ279=1,LN(IH279),"")</f>
        <v/>
      </c>
      <c r="IL279">
        <f>IF(IJ279=1,AVERAGEIFS(II3:II688,IG3:IG688,IG279,IJ3:IJ688,1),"")</f>
        <v/>
      </c>
      <c r="IM279">
        <f>IF(IJ279=1,II279-IL279,"")</f>
        <v/>
      </c>
      <c r="IN279" t="inlineStr">
        <is>
          <t>moderate</t>
        </is>
      </c>
      <c r="IO279">
        <f>IF(IN279="good",II279,NA())</f>
        <v/>
      </c>
      <c r="IP279">
        <f>IF(IN279="moderate",II279,NA())</f>
        <v/>
      </c>
      <c r="IQ279">
        <f>IF(IN279="low",II279,NA())</f>
        <v/>
      </c>
      <c r="IR279">
        <f>IF(AND(IN279="good",IJ279=1),IM279,NA())</f>
        <v/>
      </c>
      <c r="IS279">
        <f>IF(AND(IN279="moderate",IJ279=1),IM279,NA())</f>
        <v/>
      </c>
      <c r="IT279">
        <f>IF(AND(IN279="low",IJ279=1),IM279,NA())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  <c r="IG280">
        <f>Base_mundial!A279</f>
        <v/>
      </c>
      <c r="IH280">
        <f>Base_mundial!C279</f>
        <v/>
      </c>
      <c r="II280">
        <f>Base_mundial!E279-MIN(tope,DEGREES(ATAN(TAN(RADIANS(pe0-omega*Base_mundial!B279))*(Base_mundial!C279/sref)^(m_-1))))</f>
        <v/>
      </c>
      <c r="IJ280" t="n">
        <v>0</v>
      </c>
      <c r="IK280">
        <f>IF(IJ280=1,LN(IH280),"")</f>
        <v/>
      </c>
      <c r="IL280">
        <f>IF(IJ280=1,AVERAGEIFS(II3:II688,IG3:IG688,IG280,IJ3:IJ688,1),"")</f>
        <v/>
      </c>
      <c r="IM280">
        <f>IF(IJ280=1,II280-IL280,"")</f>
        <v/>
      </c>
      <c r="IN280" t="inlineStr">
        <is>
          <t>moderate</t>
        </is>
      </c>
      <c r="IO280">
        <f>IF(IN280="good",II280,NA())</f>
        <v/>
      </c>
      <c r="IP280">
        <f>IF(IN280="moderate",II280,NA())</f>
        <v/>
      </c>
      <c r="IQ280">
        <f>IF(IN280="low",II280,NA())</f>
        <v/>
      </c>
      <c r="IR280">
        <f>IF(AND(IN280="good",IJ280=1),IM280,NA())</f>
        <v/>
      </c>
      <c r="IS280">
        <f>IF(AND(IN280="moderate",IJ280=1),IM280,NA())</f>
        <v/>
      </c>
      <c r="IT280">
        <f>IF(AND(IN280="low",IJ280=1),IM280,NA())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  <c r="IG281">
        <f>Base_mundial!A280</f>
        <v/>
      </c>
      <c r="IH281">
        <f>Base_mundial!C280</f>
        <v/>
      </c>
      <c r="II281">
        <f>Base_mundial!E280-MIN(tope,DEGREES(ATAN(TAN(RADIANS(pe0-omega*Base_mundial!B280))*(Base_mundial!C280/sref)^(m_-1))))</f>
        <v/>
      </c>
      <c r="IJ281" t="n">
        <v>0</v>
      </c>
      <c r="IK281">
        <f>IF(IJ281=1,LN(IH281),"")</f>
        <v/>
      </c>
      <c r="IL281">
        <f>IF(IJ281=1,AVERAGEIFS(II3:II688,IG3:IG688,IG281,IJ3:IJ688,1),"")</f>
        <v/>
      </c>
      <c r="IM281">
        <f>IF(IJ281=1,II281-IL281,"")</f>
        <v/>
      </c>
      <c r="IN281" t="inlineStr">
        <is>
          <t>moderate</t>
        </is>
      </c>
      <c r="IO281">
        <f>IF(IN281="good",II281,NA())</f>
        <v/>
      </c>
      <c r="IP281">
        <f>IF(IN281="moderate",II281,NA())</f>
        <v/>
      </c>
      <c r="IQ281">
        <f>IF(IN281="low",II281,NA())</f>
        <v/>
      </c>
      <c r="IR281">
        <f>IF(AND(IN281="good",IJ281=1),IM281,NA())</f>
        <v/>
      </c>
      <c r="IS281">
        <f>IF(AND(IN281="moderate",IJ281=1),IM281,NA())</f>
        <v/>
      </c>
      <c r="IT281">
        <f>IF(AND(IN281="low",IJ281=1),IM281,NA())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  <c r="IG282">
        <f>Base_mundial!A281</f>
        <v/>
      </c>
      <c r="IH282">
        <f>Base_mundial!C281</f>
        <v/>
      </c>
      <c r="II282">
        <f>Base_mundial!E281-MIN(tope,DEGREES(ATAN(TAN(RADIANS(pe0-omega*Base_mundial!B281))*(Base_mundial!C281/sref)^(m_-1))))</f>
        <v/>
      </c>
      <c r="IJ282" t="n">
        <v>0</v>
      </c>
      <c r="IK282">
        <f>IF(IJ282=1,LN(IH282),"")</f>
        <v/>
      </c>
      <c r="IL282">
        <f>IF(IJ282=1,AVERAGEIFS(II3:II688,IG3:IG688,IG282,IJ3:IJ688,1),"")</f>
        <v/>
      </c>
      <c r="IM282">
        <f>IF(IJ282=1,II282-IL282,"")</f>
        <v/>
      </c>
      <c r="IN282" t="inlineStr">
        <is>
          <t>moderate</t>
        </is>
      </c>
      <c r="IO282">
        <f>IF(IN282="good",II282,NA())</f>
        <v/>
      </c>
      <c r="IP282">
        <f>IF(IN282="moderate",II282,NA())</f>
        <v/>
      </c>
      <c r="IQ282">
        <f>IF(IN282="low",II282,NA())</f>
        <v/>
      </c>
      <c r="IR282">
        <f>IF(AND(IN282="good",IJ282=1),IM282,NA())</f>
        <v/>
      </c>
      <c r="IS282">
        <f>IF(AND(IN282="moderate",IJ282=1),IM282,NA())</f>
        <v/>
      </c>
      <c r="IT282">
        <f>IF(AND(IN282="low",IJ282=1),IM282,NA())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  <c r="IG283">
        <f>Base_mundial!A282</f>
        <v/>
      </c>
      <c r="IH283">
        <f>Base_mundial!C282</f>
        <v/>
      </c>
      <c r="II283">
        <f>Base_mundial!E282-MIN(tope,DEGREES(ATAN(TAN(RADIANS(pe0-omega*Base_mundial!B282))*(Base_mundial!C282/sref)^(m_-1))))</f>
        <v/>
      </c>
      <c r="IJ283" t="n">
        <v>0</v>
      </c>
      <c r="IK283">
        <f>IF(IJ283=1,LN(IH283),"")</f>
        <v/>
      </c>
      <c r="IL283">
        <f>IF(IJ283=1,AVERAGEIFS(II3:II688,IG3:IG688,IG283,IJ3:IJ688,1),"")</f>
        <v/>
      </c>
      <c r="IM283">
        <f>IF(IJ283=1,II283-IL283,"")</f>
        <v/>
      </c>
      <c r="IN283" t="inlineStr">
        <is>
          <t>moderate</t>
        </is>
      </c>
      <c r="IO283">
        <f>IF(IN283="good",II283,NA())</f>
        <v/>
      </c>
      <c r="IP283">
        <f>IF(IN283="moderate",II283,NA())</f>
        <v/>
      </c>
      <c r="IQ283">
        <f>IF(IN283="low",II283,NA())</f>
        <v/>
      </c>
      <c r="IR283">
        <f>IF(AND(IN283="good",IJ283=1),IM283,NA())</f>
        <v/>
      </c>
      <c r="IS283">
        <f>IF(AND(IN283="moderate",IJ283=1),IM283,NA())</f>
        <v/>
      </c>
      <c r="IT283">
        <f>IF(AND(IN283="low",IJ283=1),IM283,NA())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  <c r="IG284">
        <f>Base_mundial!A283</f>
        <v/>
      </c>
      <c r="IH284">
        <f>Base_mundial!C283</f>
        <v/>
      </c>
      <c r="II284">
        <f>Base_mundial!E283-MIN(tope,DEGREES(ATAN(TAN(RADIANS(pe0-omega*Base_mundial!B283))*(Base_mundial!C283/sref)^(m_-1))))</f>
        <v/>
      </c>
      <c r="IJ284" t="n">
        <v>0</v>
      </c>
      <c r="IK284">
        <f>IF(IJ284=1,LN(IH284),"")</f>
        <v/>
      </c>
      <c r="IL284">
        <f>IF(IJ284=1,AVERAGEIFS(II3:II688,IG3:IG688,IG284,IJ3:IJ688,1),"")</f>
        <v/>
      </c>
      <c r="IM284">
        <f>IF(IJ284=1,II284-IL284,"")</f>
        <v/>
      </c>
      <c r="IN284" t="inlineStr">
        <is>
          <t>moderate</t>
        </is>
      </c>
      <c r="IO284">
        <f>IF(IN284="good",II284,NA())</f>
        <v/>
      </c>
      <c r="IP284">
        <f>IF(IN284="moderate",II284,NA())</f>
        <v/>
      </c>
      <c r="IQ284">
        <f>IF(IN284="low",II284,NA())</f>
        <v/>
      </c>
      <c r="IR284">
        <f>IF(AND(IN284="good",IJ284=1),IM284,NA())</f>
        <v/>
      </c>
      <c r="IS284">
        <f>IF(AND(IN284="moderate",IJ284=1),IM284,NA())</f>
        <v/>
      </c>
      <c r="IT284">
        <f>IF(AND(IN284="low",IJ284=1),IM284,NA())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  <c r="IG285">
        <f>Base_mundial!A284</f>
        <v/>
      </c>
      <c r="IH285">
        <f>Base_mundial!C284</f>
        <v/>
      </c>
      <c r="II285">
        <f>Base_mundial!E284-MIN(tope,DEGREES(ATAN(TAN(RADIANS(pe0-omega*Base_mundial!B284))*(Base_mundial!C284/sref)^(m_-1))))</f>
        <v/>
      </c>
      <c r="IJ285" t="n">
        <v>0</v>
      </c>
      <c r="IK285">
        <f>IF(IJ285=1,LN(IH285),"")</f>
        <v/>
      </c>
      <c r="IL285">
        <f>IF(IJ285=1,AVERAGEIFS(II3:II688,IG3:IG688,IG285,IJ3:IJ688,1),"")</f>
        <v/>
      </c>
      <c r="IM285">
        <f>IF(IJ285=1,II285-IL285,"")</f>
        <v/>
      </c>
      <c r="IN285" t="inlineStr">
        <is>
          <t>moderate</t>
        </is>
      </c>
      <c r="IO285">
        <f>IF(IN285="good",II285,NA())</f>
        <v/>
      </c>
      <c r="IP285">
        <f>IF(IN285="moderate",II285,NA())</f>
        <v/>
      </c>
      <c r="IQ285">
        <f>IF(IN285="low",II285,NA())</f>
        <v/>
      </c>
      <c r="IR285">
        <f>IF(AND(IN285="good",IJ285=1),IM285,NA())</f>
        <v/>
      </c>
      <c r="IS285">
        <f>IF(AND(IN285="moderate",IJ285=1),IM285,NA())</f>
        <v/>
      </c>
      <c r="IT285">
        <f>IF(AND(IN285="low",IJ285=1),IM285,NA())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  <c r="IG286">
        <f>Base_mundial!A285</f>
        <v/>
      </c>
      <c r="IH286">
        <f>Base_mundial!C285</f>
        <v/>
      </c>
      <c r="II286">
        <f>Base_mundial!E285-MIN(tope,DEGREES(ATAN(TAN(RADIANS(pe0-omega*Base_mundial!B285))*(Base_mundial!C285/sref)^(m_-1))))</f>
        <v/>
      </c>
      <c r="IJ286" t="n">
        <v>1</v>
      </c>
      <c r="IK286">
        <f>IF(IJ286=1,LN(IH286),"")</f>
        <v/>
      </c>
      <c r="IL286">
        <f>IF(IJ286=1,AVERAGEIFS(II3:II688,IG3:IG688,IG286,IJ3:IJ688,1),"")</f>
        <v/>
      </c>
      <c r="IM286">
        <f>IF(IJ286=1,II286-IL286,"")</f>
        <v/>
      </c>
      <c r="IN286" t="inlineStr">
        <is>
          <t>moderate</t>
        </is>
      </c>
      <c r="IO286">
        <f>IF(IN286="good",II286,NA())</f>
        <v/>
      </c>
      <c r="IP286">
        <f>IF(IN286="moderate",II286,NA())</f>
        <v/>
      </c>
      <c r="IQ286">
        <f>IF(IN286="low",II286,NA())</f>
        <v/>
      </c>
      <c r="IR286">
        <f>IF(AND(IN286="good",IJ286=1),IM286,NA())</f>
        <v/>
      </c>
      <c r="IS286">
        <f>IF(AND(IN286="moderate",IJ286=1),IM286,NA())</f>
        <v/>
      </c>
      <c r="IT286">
        <f>IF(AND(IN286="low",IJ286=1),IM286,NA())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  <c r="IG287">
        <f>Base_mundial!A286</f>
        <v/>
      </c>
      <c r="IH287">
        <f>Base_mundial!C286</f>
        <v/>
      </c>
      <c r="II287">
        <f>Base_mundial!E286-MIN(tope,DEGREES(ATAN(TAN(RADIANS(pe0-omega*Base_mundial!B286))*(Base_mundial!C286/sref)^(m_-1))))</f>
        <v/>
      </c>
      <c r="IJ287" t="n">
        <v>1</v>
      </c>
      <c r="IK287">
        <f>IF(IJ287=1,LN(IH287),"")</f>
        <v/>
      </c>
      <c r="IL287">
        <f>IF(IJ287=1,AVERAGEIFS(II3:II688,IG3:IG688,IG287,IJ3:IJ688,1),"")</f>
        <v/>
      </c>
      <c r="IM287">
        <f>IF(IJ287=1,II287-IL287,"")</f>
        <v/>
      </c>
      <c r="IN287" t="inlineStr">
        <is>
          <t>moderate</t>
        </is>
      </c>
      <c r="IO287">
        <f>IF(IN287="good",II287,NA())</f>
        <v/>
      </c>
      <c r="IP287">
        <f>IF(IN287="moderate",II287,NA())</f>
        <v/>
      </c>
      <c r="IQ287">
        <f>IF(IN287="low",II287,NA())</f>
        <v/>
      </c>
      <c r="IR287">
        <f>IF(AND(IN287="good",IJ287=1),IM287,NA())</f>
        <v/>
      </c>
      <c r="IS287">
        <f>IF(AND(IN287="moderate",IJ287=1),IM287,NA())</f>
        <v/>
      </c>
      <c r="IT287">
        <f>IF(AND(IN287="low",IJ287=1),IM287,NA())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  <c r="IG288">
        <f>Base_mundial!A287</f>
        <v/>
      </c>
      <c r="IH288">
        <f>Base_mundial!C287</f>
        <v/>
      </c>
      <c r="II288">
        <f>Base_mundial!E287-MIN(tope,DEGREES(ATAN(TAN(RADIANS(pe0-omega*Base_mundial!B287))*(Base_mundial!C287/sref)^(m_-1))))</f>
        <v/>
      </c>
      <c r="IJ288" t="n">
        <v>0</v>
      </c>
      <c r="IK288">
        <f>IF(IJ288=1,LN(IH288),"")</f>
        <v/>
      </c>
      <c r="IL288">
        <f>IF(IJ288=1,AVERAGEIFS(II3:II688,IG3:IG688,IG288,IJ3:IJ688,1),"")</f>
        <v/>
      </c>
      <c r="IM288">
        <f>IF(IJ288=1,II288-IL288,"")</f>
        <v/>
      </c>
      <c r="IN288" t="inlineStr">
        <is>
          <t>low</t>
        </is>
      </c>
      <c r="IO288">
        <f>IF(IN288="good",II288,NA())</f>
        <v/>
      </c>
      <c r="IP288">
        <f>IF(IN288="moderate",II288,NA())</f>
        <v/>
      </c>
      <c r="IQ288">
        <f>IF(IN288="low",II288,NA())</f>
        <v/>
      </c>
      <c r="IR288">
        <f>IF(AND(IN288="good",IJ288=1),IM288,NA())</f>
        <v/>
      </c>
      <c r="IS288">
        <f>IF(AND(IN288="moderate",IJ288=1),IM288,NA())</f>
        <v/>
      </c>
      <c r="IT288">
        <f>IF(AND(IN288="low",IJ288=1),IM288,NA())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  <c r="IG289">
        <f>Base_mundial!A288</f>
        <v/>
      </c>
      <c r="IH289">
        <f>Base_mundial!C288</f>
        <v/>
      </c>
      <c r="II289">
        <f>Base_mundial!E288-MIN(tope,DEGREES(ATAN(TAN(RADIANS(pe0-omega*Base_mundial!B288))*(Base_mundial!C288/sref)^(m_-1))))</f>
        <v/>
      </c>
      <c r="IJ289" t="n">
        <v>0</v>
      </c>
      <c r="IK289">
        <f>IF(IJ289=1,LN(IH289),"")</f>
        <v/>
      </c>
      <c r="IL289">
        <f>IF(IJ289=1,AVERAGEIFS(II3:II688,IG3:IG688,IG289,IJ3:IJ688,1),"")</f>
        <v/>
      </c>
      <c r="IM289">
        <f>IF(IJ289=1,II289-IL289,"")</f>
        <v/>
      </c>
      <c r="IN289" t="inlineStr">
        <is>
          <t>low</t>
        </is>
      </c>
      <c r="IO289">
        <f>IF(IN289="good",II289,NA())</f>
        <v/>
      </c>
      <c r="IP289">
        <f>IF(IN289="moderate",II289,NA())</f>
        <v/>
      </c>
      <c r="IQ289">
        <f>IF(IN289="low",II289,NA())</f>
        <v/>
      </c>
      <c r="IR289">
        <f>IF(AND(IN289="good",IJ289=1),IM289,NA())</f>
        <v/>
      </c>
      <c r="IS289">
        <f>IF(AND(IN289="moderate",IJ289=1),IM289,NA())</f>
        <v/>
      </c>
      <c r="IT289">
        <f>IF(AND(IN289="low",IJ289=1),IM289,NA())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  <c r="IG290">
        <f>Base_mundial!A289</f>
        <v/>
      </c>
      <c r="IH290">
        <f>Base_mundial!C289</f>
        <v/>
      </c>
      <c r="II290">
        <f>Base_mundial!E289-MIN(tope,DEGREES(ATAN(TAN(RADIANS(pe0-omega*Base_mundial!B289))*(Base_mundial!C289/sref)^(m_-1))))</f>
        <v/>
      </c>
      <c r="IJ290" t="n">
        <v>0</v>
      </c>
      <c r="IK290">
        <f>IF(IJ290=1,LN(IH290),"")</f>
        <v/>
      </c>
      <c r="IL290">
        <f>IF(IJ290=1,AVERAGEIFS(II3:II688,IG3:IG688,IG290,IJ3:IJ688,1),"")</f>
        <v/>
      </c>
      <c r="IM290">
        <f>IF(IJ290=1,II290-IL290,"")</f>
        <v/>
      </c>
      <c r="IN290" t="inlineStr">
        <is>
          <t>good</t>
        </is>
      </c>
      <c r="IO290">
        <f>IF(IN290="good",II290,NA())</f>
        <v/>
      </c>
      <c r="IP290">
        <f>IF(IN290="moderate",II290,NA())</f>
        <v/>
      </c>
      <c r="IQ290">
        <f>IF(IN290="low",II290,NA())</f>
        <v/>
      </c>
      <c r="IR290">
        <f>IF(AND(IN290="good",IJ290=1),IM290,NA())</f>
        <v/>
      </c>
      <c r="IS290">
        <f>IF(AND(IN290="moderate",IJ290=1),IM290,NA())</f>
        <v/>
      </c>
      <c r="IT290">
        <f>IF(AND(IN290="low",IJ290=1),IM290,NA())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  <c r="IG291">
        <f>Base_mundial!A290</f>
        <v/>
      </c>
      <c r="IH291">
        <f>Base_mundial!C290</f>
        <v/>
      </c>
      <c r="II291">
        <f>Base_mundial!E290-MIN(tope,DEGREES(ATAN(TAN(RADIANS(pe0-omega*Base_mundial!B290))*(Base_mundial!C290/sref)^(m_-1))))</f>
        <v/>
      </c>
      <c r="IJ291" t="n">
        <v>0</v>
      </c>
      <c r="IK291">
        <f>IF(IJ291=1,LN(IH291),"")</f>
        <v/>
      </c>
      <c r="IL291">
        <f>IF(IJ291=1,AVERAGEIFS(II3:II688,IG3:IG688,IG291,IJ3:IJ688,1),"")</f>
        <v/>
      </c>
      <c r="IM291">
        <f>IF(IJ291=1,II291-IL291,"")</f>
        <v/>
      </c>
      <c r="IN291" t="inlineStr">
        <is>
          <t>good</t>
        </is>
      </c>
      <c r="IO291">
        <f>IF(IN291="good",II291,NA())</f>
        <v/>
      </c>
      <c r="IP291">
        <f>IF(IN291="moderate",II291,NA())</f>
        <v/>
      </c>
      <c r="IQ291">
        <f>IF(IN291="low",II291,NA())</f>
        <v/>
      </c>
      <c r="IR291">
        <f>IF(AND(IN291="good",IJ291=1),IM291,NA())</f>
        <v/>
      </c>
      <c r="IS291">
        <f>IF(AND(IN291="moderate",IJ291=1),IM291,NA())</f>
        <v/>
      </c>
      <c r="IT291">
        <f>IF(AND(IN291="low",IJ291=1),IM291,NA())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  <c r="IG292">
        <f>Base_mundial!A291</f>
        <v/>
      </c>
      <c r="IH292">
        <f>Base_mundial!C291</f>
        <v/>
      </c>
      <c r="II292">
        <f>Base_mundial!E291-MIN(tope,DEGREES(ATAN(TAN(RADIANS(pe0-omega*Base_mundial!B291))*(Base_mundial!C291/sref)^(m_-1))))</f>
        <v/>
      </c>
      <c r="IJ292" t="n">
        <v>0</v>
      </c>
      <c r="IK292">
        <f>IF(IJ292=1,LN(IH292),"")</f>
        <v/>
      </c>
      <c r="IL292">
        <f>IF(IJ292=1,AVERAGEIFS(II3:II688,IG3:IG688,IG292,IJ3:IJ688,1),"")</f>
        <v/>
      </c>
      <c r="IM292">
        <f>IF(IJ292=1,II292-IL292,"")</f>
        <v/>
      </c>
      <c r="IN292" t="inlineStr">
        <is>
          <t>good</t>
        </is>
      </c>
      <c r="IO292">
        <f>IF(IN292="good",II292,NA())</f>
        <v/>
      </c>
      <c r="IP292">
        <f>IF(IN292="moderate",II292,NA())</f>
        <v/>
      </c>
      <c r="IQ292">
        <f>IF(IN292="low",II292,NA())</f>
        <v/>
      </c>
      <c r="IR292">
        <f>IF(AND(IN292="good",IJ292=1),IM292,NA())</f>
        <v/>
      </c>
      <c r="IS292">
        <f>IF(AND(IN292="moderate",IJ292=1),IM292,NA())</f>
        <v/>
      </c>
      <c r="IT292">
        <f>IF(AND(IN292="low",IJ292=1),IM292,NA())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  <c r="IG293">
        <f>Base_mundial!A292</f>
        <v/>
      </c>
      <c r="IH293">
        <f>Base_mundial!C292</f>
        <v/>
      </c>
      <c r="II293">
        <f>Base_mundial!E292-MIN(tope,DEGREES(ATAN(TAN(RADIANS(pe0-omega*Base_mundial!B292))*(Base_mundial!C292/sref)^(m_-1))))</f>
        <v/>
      </c>
      <c r="IJ293" t="n">
        <v>1</v>
      </c>
      <c r="IK293">
        <f>IF(IJ293=1,LN(IH293),"")</f>
        <v/>
      </c>
      <c r="IL293">
        <f>IF(IJ293=1,AVERAGEIFS(II3:II688,IG3:IG688,IG293,IJ3:IJ688,1),"")</f>
        <v/>
      </c>
      <c r="IM293">
        <f>IF(IJ293=1,II293-IL293,"")</f>
        <v/>
      </c>
      <c r="IN293" t="inlineStr">
        <is>
          <t>good</t>
        </is>
      </c>
      <c r="IO293">
        <f>IF(IN293="good",II293,NA())</f>
        <v/>
      </c>
      <c r="IP293">
        <f>IF(IN293="moderate",II293,NA())</f>
        <v/>
      </c>
      <c r="IQ293">
        <f>IF(IN293="low",II293,NA())</f>
        <v/>
      </c>
      <c r="IR293">
        <f>IF(AND(IN293="good",IJ293=1),IM293,NA())</f>
        <v/>
      </c>
      <c r="IS293">
        <f>IF(AND(IN293="moderate",IJ293=1),IM293,NA())</f>
        <v/>
      </c>
      <c r="IT293">
        <f>IF(AND(IN293="low",IJ293=1),IM293,NA())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  <c r="IG294">
        <f>Base_mundial!A293</f>
        <v/>
      </c>
      <c r="IH294">
        <f>Base_mundial!C293</f>
        <v/>
      </c>
      <c r="II294">
        <f>Base_mundial!E293-MIN(tope,DEGREES(ATAN(TAN(RADIANS(pe0-omega*Base_mundial!B293))*(Base_mundial!C293/sref)^(m_-1))))</f>
        <v/>
      </c>
      <c r="IJ294" t="n">
        <v>1</v>
      </c>
      <c r="IK294">
        <f>IF(IJ294=1,LN(IH294),"")</f>
        <v/>
      </c>
      <c r="IL294">
        <f>IF(IJ294=1,AVERAGEIFS(II3:II688,IG3:IG688,IG294,IJ3:IJ688,1),"")</f>
        <v/>
      </c>
      <c r="IM294">
        <f>IF(IJ294=1,II294-IL294,"")</f>
        <v/>
      </c>
      <c r="IN294" t="inlineStr">
        <is>
          <t>good</t>
        </is>
      </c>
      <c r="IO294">
        <f>IF(IN294="good",II294,NA())</f>
        <v/>
      </c>
      <c r="IP294">
        <f>IF(IN294="moderate",II294,NA())</f>
        <v/>
      </c>
      <c r="IQ294">
        <f>IF(IN294="low",II294,NA())</f>
        <v/>
      </c>
      <c r="IR294">
        <f>IF(AND(IN294="good",IJ294=1),IM294,NA())</f>
        <v/>
      </c>
      <c r="IS294">
        <f>IF(AND(IN294="moderate",IJ294=1),IM294,NA())</f>
        <v/>
      </c>
      <c r="IT294">
        <f>IF(AND(IN294="low",IJ294=1),IM294,NA())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  <c r="IG295">
        <f>Base_mundial!A294</f>
        <v/>
      </c>
      <c r="IH295">
        <f>Base_mundial!C294</f>
        <v/>
      </c>
      <c r="II295">
        <f>Base_mundial!E294-MIN(tope,DEGREES(ATAN(TAN(RADIANS(pe0-omega*Base_mundial!B294))*(Base_mundial!C294/sref)^(m_-1))))</f>
        <v/>
      </c>
      <c r="IJ295" t="n">
        <v>0</v>
      </c>
      <c r="IK295">
        <f>IF(IJ295=1,LN(IH295),"")</f>
        <v/>
      </c>
      <c r="IL295">
        <f>IF(IJ295=1,AVERAGEIFS(II3:II688,IG3:IG688,IG295,IJ3:IJ688,1),"")</f>
        <v/>
      </c>
      <c r="IM295">
        <f>IF(IJ295=1,II295-IL295,"")</f>
        <v/>
      </c>
      <c r="IN295" t="inlineStr">
        <is>
          <t>good</t>
        </is>
      </c>
      <c r="IO295">
        <f>IF(IN295="good",II295,NA())</f>
        <v/>
      </c>
      <c r="IP295">
        <f>IF(IN295="moderate",II295,NA())</f>
        <v/>
      </c>
      <c r="IQ295">
        <f>IF(IN295="low",II295,NA())</f>
        <v/>
      </c>
      <c r="IR295">
        <f>IF(AND(IN295="good",IJ295=1),IM295,NA())</f>
        <v/>
      </c>
      <c r="IS295">
        <f>IF(AND(IN295="moderate",IJ295=1),IM295,NA())</f>
        <v/>
      </c>
      <c r="IT295">
        <f>IF(AND(IN295="low",IJ295=1),IM295,NA())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  <c r="IG296">
        <f>Base_mundial!A295</f>
        <v/>
      </c>
      <c r="IH296">
        <f>Base_mundial!C295</f>
        <v/>
      </c>
      <c r="II296">
        <f>Base_mundial!E295-MIN(tope,DEGREES(ATAN(TAN(RADIANS(pe0-omega*Base_mundial!B295))*(Base_mundial!C295/sref)^(m_-1))))</f>
        <v/>
      </c>
      <c r="IJ296" t="n">
        <v>1</v>
      </c>
      <c r="IK296">
        <f>IF(IJ296=1,LN(IH296),"")</f>
        <v/>
      </c>
      <c r="IL296">
        <f>IF(IJ296=1,AVERAGEIFS(II3:II688,IG3:IG688,IG296,IJ3:IJ688,1),"")</f>
        <v/>
      </c>
      <c r="IM296">
        <f>IF(IJ296=1,II296-IL296,"")</f>
        <v/>
      </c>
      <c r="IN296" t="inlineStr">
        <is>
          <t>good</t>
        </is>
      </c>
      <c r="IO296">
        <f>IF(IN296="good",II296,NA())</f>
        <v/>
      </c>
      <c r="IP296">
        <f>IF(IN296="moderate",II296,NA())</f>
        <v/>
      </c>
      <c r="IQ296">
        <f>IF(IN296="low",II296,NA())</f>
        <v/>
      </c>
      <c r="IR296">
        <f>IF(AND(IN296="good",IJ296=1),IM296,NA())</f>
        <v/>
      </c>
      <c r="IS296">
        <f>IF(AND(IN296="moderate",IJ296=1),IM296,NA())</f>
        <v/>
      </c>
      <c r="IT296">
        <f>IF(AND(IN296="low",IJ296=1),IM296,NA())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  <c r="IG297">
        <f>Base_mundial!A296</f>
        <v/>
      </c>
      <c r="IH297">
        <f>Base_mundial!C296</f>
        <v/>
      </c>
      <c r="II297">
        <f>Base_mundial!E296-MIN(tope,DEGREES(ATAN(TAN(RADIANS(pe0-omega*Base_mundial!B296))*(Base_mundial!C296/sref)^(m_-1))))</f>
        <v/>
      </c>
      <c r="IJ297" t="n">
        <v>1</v>
      </c>
      <c r="IK297">
        <f>IF(IJ297=1,LN(IH297),"")</f>
        <v/>
      </c>
      <c r="IL297">
        <f>IF(IJ297=1,AVERAGEIFS(II3:II688,IG3:IG688,IG297,IJ3:IJ688,1),"")</f>
        <v/>
      </c>
      <c r="IM297">
        <f>IF(IJ297=1,II297-IL297,"")</f>
        <v/>
      </c>
      <c r="IN297" t="inlineStr">
        <is>
          <t>good</t>
        </is>
      </c>
      <c r="IO297">
        <f>IF(IN297="good",II297,NA())</f>
        <v/>
      </c>
      <c r="IP297">
        <f>IF(IN297="moderate",II297,NA())</f>
        <v/>
      </c>
      <c r="IQ297">
        <f>IF(IN297="low",II297,NA())</f>
        <v/>
      </c>
      <c r="IR297">
        <f>IF(AND(IN297="good",IJ297=1),IM297,NA())</f>
        <v/>
      </c>
      <c r="IS297">
        <f>IF(AND(IN297="moderate",IJ297=1),IM297,NA())</f>
        <v/>
      </c>
      <c r="IT297">
        <f>IF(AND(IN297="low",IJ297=1),IM297,NA())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  <c r="IG298">
        <f>Base_mundial!A297</f>
        <v/>
      </c>
      <c r="IH298">
        <f>Base_mundial!C297</f>
        <v/>
      </c>
      <c r="II298">
        <f>Base_mundial!E297-MIN(tope,DEGREES(ATAN(TAN(RADIANS(pe0-omega*Base_mundial!B297))*(Base_mundial!C297/sref)^(m_-1))))</f>
        <v/>
      </c>
      <c r="IJ298" t="n">
        <v>1</v>
      </c>
      <c r="IK298">
        <f>IF(IJ298=1,LN(IH298),"")</f>
        <v/>
      </c>
      <c r="IL298">
        <f>IF(IJ298=1,AVERAGEIFS(II3:II688,IG3:IG688,IG298,IJ3:IJ688,1),"")</f>
        <v/>
      </c>
      <c r="IM298">
        <f>IF(IJ298=1,II298-IL298,"")</f>
        <v/>
      </c>
      <c r="IN298" t="inlineStr">
        <is>
          <t>good</t>
        </is>
      </c>
      <c r="IO298">
        <f>IF(IN298="good",II298,NA())</f>
        <v/>
      </c>
      <c r="IP298">
        <f>IF(IN298="moderate",II298,NA())</f>
        <v/>
      </c>
      <c r="IQ298">
        <f>IF(IN298="low",II298,NA())</f>
        <v/>
      </c>
      <c r="IR298">
        <f>IF(AND(IN298="good",IJ298=1),IM298,NA())</f>
        <v/>
      </c>
      <c r="IS298">
        <f>IF(AND(IN298="moderate",IJ298=1),IM298,NA())</f>
        <v/>
      </c>
      <c r="IT298">
        <f>IF(AND(IN298="low",IJ298=1),IM298,NA())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  <c r="IG299">
        <f>Base_mundial!A298</f>
        <v/>
      </c>
      <c r="IH299">
        <f>Base_mundial!C298</f>
        <v/>
      </c>
      <c r="II299">
        <f>Base_mundial!E298-MIN(tope,DEGREES(ATAN(TAN(RADIANS(pe0-omega*Base_mundial!B298))*(Base_mundial!C298/sref)^(m_-1))))</f>
        <v/>
      </c>
      <c r="IJ299" t="n">
        <v>0</v>
      </c>
      <c r="IK299">
        <f>IF(IJ299=1,LN(IH299),"")</f>
        <v/>
      </c>
      <c r="IL299">
        <f>IF(IJ299=1,AVERAGEIFS(II3:II688,IG3:IG688,IG299,IJ3:IJ688,1),"")</f>
        <v/>
      </c>
      <c r="IM299">
        <f>IF(IJ299=1,II299-IL299,"")</f>
        <v/>
      </c>
      <c r="IN299" t="inlineStr">
        <is>
          <t>moderate</t>
        </is>
      </c>
      <c r="IO299">
        <f>IF(IN299="good",II299,NA())</f>
        <v/>
      </c>
      <c r="IP299">
        <f>IF(IN299="moderate",II299,NA())</f>
        <v/>
      </c>
      <c r="IQ299">
        <f>IF(IN299="low",II299,NA())</f>
        <v/>
      </c>
      <c r="IR299">
        <f>IF(AND(IN299="good",IJ299=1),IM299,NA())</f>
        <v/>
      </c>
      <c r="IS299">
        <f>IF(AND(IN299="moderate",IJ299=1),IM299,NA())</f>
        <v/>
      </c>
      <c r="IT299">
        <f>IF(AND(IN299="low",IJ299=1),IM299,NA())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  <c r="IG300">
        <f>Base_mundial!A299</f>
        <v/>
      </c>
      <c r="IH300">
        <f>Base_mundial!C299</f>
        <v/>
      </c>
      <c r="II300">
        <f>Base_mundial!E299-MIN(tope,DEGREES(ATAN(TAN(RADIANS(pe0-omega*Base_mundial!B299))*(Base_mundial!C299/sref)^(m_-1))))</f>
        <v/>
      </c>
      <c r="IJ300" t="n">
        <v>1</v>
      </c>
      <c r="IK300">
        <f>IF(IJ300=1,LN(IH300),"")</f>
        <v/>
      </c>
      <c r="IL300">
        <f>IF(IJ300=1,AVERAGEIFS(II3:II688,IG3:IG688,IG300,IJ3:IJ688,1),"")</f>
        <v/>
      </c>
      <c r="IM300">
        <f>IF(IJ300=1,II300-IL300,"")</f>
        <v/>
      </c>
      <c r="IN300" t="inlineStr">
        <is>
          <t>moderate</t>
        </is>
      </c>
      <c r="IO300">
        <f>IF(IN300="good",II300,NA())</f>
        <v/>
      </c>
      <c r="IP300">
        <f>IF(IN300="moderate",II300,NA())</f>
        <v/>
      </c>
      <c r="IQ300">
        <f>IF(IN300="low",II300,NA())</f>
        <v/>
      </c>
      <c r="IR300">
        <f>IF(AND(IN300="good",IJ300=1),IM300,NA())</f>
        <v/>
      </c>
      <c r="IS300">
        <f>IF(AND(IN300="moderate",IJ300=1),IM300,NA())</f>
        <v/>
      </c>
      <c r="IT300">
        <f>IF(AND(IN300="low",IJ300=1),IM300,NA())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  <c r="IG301">
        <f>Base_mundial!A300</f>
        <v/>
      </c>
      <c r="IH301">
        <f>Base_mundial!C300</f>
        <v/>
      </c>
      <c r="II301">
        <f>Base_mundial!E300-MIN(tope,DEGREES(ATAN(TAN(RADIANS(pe0-omega*Base_mundial!B300))*(Base_mundial!C300/sref)^(m_-1))))</f>
        <v/>
      </c>
      <c r="IJ301" t="n">
        <v>1</v>
      </c>
      <c r="IK301">
        <f>IF(IJ301=1,LN(IH301),"")</f>
        <v/>
      </c>
      <c r="IL301">
        <f>IF(IJ301=1,AVERAGEIFS(II3:II688,IG3:IG688,IG301,IJ3:IJ688,1),"")</f>
        <v/>
      </c>
      <c r="IM301">
        <f>IF(IJ301=1,II301-IL301,"")</f>
        <v/>
      </c>
      <c r="IN301" t="inlineStr">
        <is>
          <t>moderate</t>
        </is>
      </c>
      <c r="IO301">
        <f>IF(IN301="good",II301,NA())</f>
        <v/>
      </c>
      <c r="IP301">
        <f>IF(IN301="moderate",II301,NA())</f>
        <v/>
      </c>
      <c r="IQ301">
        <f>IF(IN301="low",II301,NA())</f>
        <v/>
      </c>
      <c r="IR301">
        <f>IF(AND(IN301="good",IJ301=1),IM301,NA())</f>
        <v/>
      </c>
      <c r="IS301">
        <f>IF(AND(IN301="moderate",IJ301=1),IM301,NA())</f>
        <v/>
      </c>
      <c r="IT301">
        <f>IF(AND(IN301="low",IJ301=1),IM301,NA())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  <c r="IG302">
        <f>Base_mundial!A301</f>
        <v/>
      </c>
      <c r="IH302">
        <f>Base_mundial!C301</f>
        <v/>
      </c>
      <c r="II302">
        <f>Base_mundial!E301-MIN(tope,DEGREES(ATAN(TAN(RADIANS(pe0-omega*Base_mundial!B301))*(Base_mundial!C301/sref)^(m_-1))))</f>
        <v/>
      </c>
      <c r="IJ302" t="n">
        <v>1</v>
      </c>
      <c r="IK302">
        <f>IF(IJ302=1,LN(IH302),"")</f>
        <v/>
      </c>
      <c r="IL302">
        <f>IF(IJ302=1,AVERAGEIFS(II3:II688,IG3:IG688,IG302,IJ3:IJ688,1),"")</f>
        <v/>
      </c>
      <c r="IM302">
        <f>IF(IJ302=1,II302-IL302,"")</f>
        <v/>
      </c>
      <c r="IN302" t="inlineStr">
        <is>
          <t>moderate</t>
        </is>
      </c>
      <c r="IO302">
        <f>IF(IN302="good",II302,NA())</f>
        <v/>
      </c>
      <c r="IP302">
        <f>IF(IN302="moderate",II302,NA())</f>
        <v/>
      </c>
      <c r="IQ302">
        <f>IF(IN302="low",II302,NA())</f>
        <v/>
      </c>
      <c r="IR302">
        <f>IF(AND(IN302="good",IJ302=1),IM302,NA())</f>
        <v/>
      </c>
      <c r="IS302">
        <f>IF(AND(IN302="moderate",IJ302=1),IM302,NA())</f>
        <v/>
      </c>
      <c r="IT302">
        <f>IF(AND(IN302="low",IJ302=1),IM302,NA())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  <c r="IG303">
        <f>Base_mundial!A302</f>
        <v/>
      </c>
      <c r="IH303">
        <f>Base_mundial!C302</f>
        <v/>
      </c>
      <c r="II303">
        <f>Base_mundial!E302-MIN(tope,DEGREES(ATAN(TAN(RADIANS(pe0-omega*Base_mundial!B302))*(Base_mundial!C302/sref)^(m_-1))))</f>
        <v/>
      </c>
      <c r="IJ303" t="n">
        <v>0</v>
      </c>
      <c r="IK303">
        <f>IF(IJ303=1,LN(IH303),"")</f>
        <v/>
      </c>
      <c r="IL303">
        <f>IF(IJ303=1,AVERAGEIFS(II3:II688,IG3:IG688,IG303,IJ3:IJ688,1),"")</f>
        <v/>
      </c>
      <c r="IM303">
        <f>IF(IJ303=1,II303-IL303,"")</f>
        <v/>
      </c>
      <c r="IN303" t="inlineStr">
        <is>
          <t>moderate</t>
        </is>
      </c>
      <c r="IO303">
        <f>IF(IN303="good",II303,NA())</f>
        <v/>
      </c>
      <c r="IP303">
        <f>IF(IN303="moderate",II303,NA())</f>
        <v/>
      </c>
      <c r="IQ303">
        <f>IF(IN303="low",II303,NA())</f>
        <v/>
      </c>
      <c r="IR303">
        <f>IF(AND(IN303="good",IJ303=1),IM303,NA())</f>
        <v/>
      </c>
      <c r="IS303">
        <f>IF(AND(IN303="moderate",IJ303=1),IM303,NA())</f>
        <v/>
      </c>
      <c r="IT303">
        <f>IF(AND(IN303="low",IJ303=1),IM303,NA())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  <c r="IG304">
        <f>Base_mundial!A303</f>
        <v/>
      </c>
      <c r="IH304">
        <f>Base_mundial!C303</f>
        <v/>
      </c>
      <c r="II304">
        <f>Base_mundial!E303-MIN(tope,DEGREES(ATAN(TAN(RADIANS(pe0-omega*Base_mundial!B303))*(Base_mundial!C303/sref)^(m_-1))))</f>
        <v/>
      </c>
      <c r="IJ304" t="n">
        <v>1</v>
      </c>
      <c r="IK304">
        <f>IF(IJ304=1,LN(IH304),"")</f>
        <v/>
      </c>
      <c r="IL304">
        <f>IF(IJ304=1,AVERAGEIFS(II3:II688,IG3:IG688,IG304,IJ3:IJ688,1),"")</f>
        <v/>
      </c>
      <c r="IM304">
        <f>IF(IJ304=1,II304-IL304,"")</f>
        <v/>
      </c>
      <c r="IN304" t="inlineStr">
        <is>
          <t>moderate</t>
        </is>
      </c>
      <c r="IO304">
        <f>IF(IN304="good",II304,NA())</f>
        <v/>
      </c>
      <c r="IP304">
        <f>IF(IN304="moderate",II304,NA())</f>
        <v/>
      </c>
      <c r="IQ304">
        <f>IF(IN304="low",II304,NA())</f>
        <v/>
      </c>
      <c r="IR304">
        <f>IF(AND(IN304="good",IJ304=1),IM304,NA())</f>
        <v/>
      </c>
      <c r="IS304">
        <f>IF(AND(IN304="moderate",IJ304=1),IM304,NA())</f>
        <v/>
      </c>
      <c r="IT304">
        <f>IF(AND(IN304="low",IJ304=1),IM304,NA())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  <c r="IG305">
        <f>Base_mundial!A304</f>
        <v/>
      </c>
      <c r="IH305">
        <f>Base_mundial!C304</f>
        <v/>
      </c>
      <c r="II305">
        <f>Base_mundial!E304-MIN(tope,DEGREES(ATAN(TAN(RADIANS(pe0-omega*Base_mundial!B304))*(Base_mundial!C304/sref)^(m_-1))))</f>
        <v/>
      </c>
      <c r="IJ305" t="n">
        <v>1</v>
      </c>
      <c r="IK305">
        <f>IF(IJ305=1,LN(IH305),"")</f>
        <v/>
      </c>
      <c r="IL305">
        <f>IF(IJ305=1,AVERAGEIFS(II3:II688,IG3:IG688,IG305,IJ3:IJ688,1),"")</f>
        <v/>
      </c>
      <c r="IM305">
        <f>IF(IJ305=1,II305-IL305,"")</f>
        <v/>
      </c>
      <c r="IN305" t="inlineStr">
        <is>
          <t>moderate</t>
        </is>
      </c>
      <c r="IO305">
        <f>IF(IN305="good",II305,NA())</f>
        <v/>
      </c>
      <c r="IP305">
        <f>IF(IN305="moderate",II305,NA())</f>
        <v/>
      </c>
      <c r="IQ305">
        <f>IF(IN305="low",II305,NA())</f>
        <v/>
      </c>
      <c r="IR305">
        <f>IF(AND(IN305="good",IJ305=1),IM305,NA())</f>
        <v/>
      </c>
      <c r="IS305">
        <f>IF(AND(IN305="moderate",IJ305=1),IM305,NA())</f>
        <v/>
      </c>
      <c r="IT305">
        <f>IF(AND(IN305="low",IJ305=1),IM305,NA())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  <c r="IG306">
        <f>Base_mundial!A305</f>
        <v/>
      </c>
      <c r="IH306">
        <f>Base_mundial!C305</f>
        <v/>
      </c>
      <c r="II306">
        <f>Base_mundial!E305-MIN(tope,DEGREES(ATAN(TAN(RADIANS(pe0-omega*Base_mundial!B305))*(Base_mundial!C305/sref)^(m_-1))))</f>
        <v/>
      </c>
      <c r="IJ306" t="n">
        <v>1</v>
      </c>
      <c r="IK306">
        <f>IF(IJ306=1,LN(IH306),"")</f>
        <v/>
      </c>
      <c r="IL306">
        <f>IF(IJ306=1,AVERAGEIFS(II3:II688,IG3:IG688,IG306,IJ3:IJ688,1),"")</f>
        <v/>
      </c>
      <c r="IM306">
        <f>IF(IJ306=1,II306-IL306,"")</f>
        <v/>
      </c>
      <c r="IN306" t="inlineStr">
        <is>
          <t>moderate</t>
        </is>
      </c>
      <c r="IO306">
        <f>IF(IN306="good",II306,NA())</f>
        <v/>
      </c>
      <c r="IP306">
        <f>IF(IN306="moderate",II306,NA())</f>
        <v/>
      </c>
      <c r="IQ306">
        <f>IF(IN306="low",II306,NA())</f>
        <v/>
      </c>
      <c r="IR306">
        <f>IF(AND(IN306="good",IJ306=1),IM306,NA())</f>
        <v/>
      </c>
      <c r="IS306">
        <f>IF(AND(IN306="moderate",IJ306=1),IM306,NA())</f>
        <v/>
      </c>
      <c r="IT306">
        <f>IF(AND(IN306="low",IJ306=1),IM306,NA())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  <c r="IG307">
        <f>Base_mundial!A306</f>
        <v/>
      </c>
      <c r="IH307">
        <f>Base_mundial!C306</f>
        <v/>
      </c>
      <c r="II307">
        <f>Base_mundial!E306-MIN(tope,DEGREES(ATAN(TAN(RADIANS(pe0-omega*Base_mundial!B306))*(Base_mundial!C306/sref)^(m_-1))))</f>
        <v/>
      </c>
      <c r="IJ307" t="n">
        <v>0</v>
      </c>
      <c r="IK307">
        <f>IF(IJ307=1,LN(IH307),"")</f>
        <v/>
      </c>
      <c r="IL307">
        <f>IF(IJ307=1,AVERAGEIFS(II3:II688,IG3:IG688,IG307,IJ3:IJ688,1),"")</f>
        <v/>
      </c>
      <c r="IM307">
        <f>IF(IJ307=1,II307-IL307,"")</f>
        <v/>
      </c>
      <c r="IN307" t="inlineStr">
        <is>
          <t>moderate</t>
        </is>
      </c>
      <c r="IO307">
        <f>IF(IN307="good",II307,NA())</f>
        <v/>
      </c>
      <c r="IP307">
        <f>IF(IN307="moderate",II307,NA())</f>
        <v/>
      </c>
      <c r="IQ307">
        <f>IF(IN307="low",II307,NA())</f>
        <v/>
      </c>
      <c r="IR307">
        <f>IF(AND(IN307="good",IJ307=1),IM307,NA())</f>
        <v/>
      </c>
      <c r="IS307">
        <f>IF(AND(IN307="moderate",IJ307=1),IM307,NA())</f>
        <v/>
      </c>
      <c r="IT307">
        <f>IF(AND(IN307="low",IJ307=1),IM307,NA())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  <c r="IG308">
        <f>Base_mundial!A307</f>
        <v/>
      </c>
      <c r="IH308">
        <f>Base_mundial!C307</f>
        <v/>
      </c>
      <c r="II308">
        <f>Base_mundial!E307-MIN(tope,DEGREES(ATAN(TAN(RADIANS(pe0-omega*Base_mundial!B307))*(Base_mundial!C307/sref)^(m_-1))))</f>
        <v/>
      </c>
      <c r="IJ308" t="n">
        <v>1</v>
      </c>
      <c r="IK308">
        <f>IF(IJ308=1,LN(IH308),"")</f>
        <v/>
      </c>
      <c r="IL308">
        <f>IF(IJ308=1,AVERAGEIFS(II3:II688,IG3:IG688,IG308,IJ3:IJ688,1),"")</f>
        <v/>
      </c>
      <c r="IM308">
        <f>IF(IJ308=1,II308-IL308,"")</f>
        <v/>
      </c>
      <c r="IN308" t="inlineStr">
        <is>
          <t>moderate</t>
        </is>
      </c>
      <c r="IO308">
        <f>IF(IN308="good",II308,NA())</f>
        <v/>
      </c>
      <c r="IP308">
        <f>IF(IN308="moderate",II308,NA())</f>
        <v/>
      </c>
      <c r="IQ308">
        <f>IF(IN308="low",II308,NA())</f>
        <v/>
      </c>
      <c r="IR308">
        <f>IF(AND(IN308="good",IJ308=1),IM308,NA())</f>
        <v/>
      </c>
      <c r="IS308">
        <f>IF(AND(IN308="moderate",IJ308=1),IM308,NA())</f>
        <v/>
      </c>
      <c r="IT308">
        <f>IF(AND(IN308="low",IJ308=1),IM308,NA())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  <c r="IG309">
        <f>Base_mundial!A308</f>
        <v/>
      </c>
      <c r="IH309">
        <f>Base_mundial!C308</f>
        <v/>
      </c>
      <c r="II309">
        <f>Base_mundial!E308-MIN(tope,DEGREES(ATAN(TAN(RADIANS(pe0-omega*Base_mundial!B308))*(Base_mundial!C308/sref)^(m_-1))))</f>
        <v/>
      </c>
      <c r="IJ309" t="n">
        <v>1</v>
      </c>
      <c r="IK309">
        <f>IF(IJ309=1,LN(IH309),"")</f>
        <v/>
      </c>
      <c r="IL309">
        <f>IF(IJ309=1,AVERAGEIFS(II3:II688,IG3:IG688,IG309,IJ3:IJ688,1),"")</f>
        <v/>
      </c>
      <c r="IM309">
        <f>IF(IJ309=1,II309-IL309,"")</f>
        <v/>
      </c>
      <c r="IN309" t="inlineStr">
        <is>
          <t>moderate</t>
        </is>
      </c>
      <c r="IO309">
        <f>IF(IN309="good",II309,NA())</f>
        <v/>
      </c>
      <c r="IP309">
        <f>IF(IN309="moderate",II309,NA())</f>
        <v/>
      </c>
      <c r="IQ309">
        <f>IF(IN309="low",II309,NA())</f>
        <v/>
      </c>
      <c r="IR309">
        <f>IF(AND(IN309="good",IJ309=1),IM309,NA())</f>
        <v/>
      </c>
      <c r="IS309">
        <f>IF(AND(IN309="moderate",IJ309=1),IM309,NA())</f>
        <v/>
      </c>
      <c r="IT309">
        <f>IF(AND(IN309="low",IJ309=1),IM309,NA())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  <c r="IG310">
        <f>Base_mundial!A309</f>
        <v/>
      </c>
      <c r="IH310">
        <f>Base_mundial!C309</f>
        <v/>
      </c>
      <c r="II310">
        <f>Base_mundial!E309-MIN(tope,DEGREES(ATAN(TAN(RADIANS(pe0-omega*Base_mundial!B309))*(Base_mundial!C309/sref)^(m_-1))))</f>
        <v/>
      </c>
      <c r="IJ310" t="n">
        <v>1</v>
      </c>
      <c r="IK310">
        <f>IF(IJ310=1,LN(IH310),"")</f>
        <v/>
      </c>
      <c r="IL310">
        <f>IF(IJ310=1,AVERAGEIFS(II3:II688,IG3:IG688,IG310,IJ3:IJ688,1),"")</f>
        <v/>
      </c>
      <c r="IM310">
        <f>IF(IJ310=1,II310-IL310,"")</f>
        <v/>
      </c>
      <c r="IN310" t="inlineStr">
        <is>
          <t>moderate</t>
        </is>
      </c>
      <c r="IO310">
        <f>IF(IN310="good",II310,NA())</f>
        <v/>
      </c>
      <c r="IP310">
        <f>IF(IN310="moderate",II310,NA())</f>
        <v/>
      </c>
      <c r="IQ310">
        <f>IF(IN310="low",II310,NA())</f>
        <v/>
      </c>
      <c r="IR310">
        <f>IF(AND(IN310="good",IJ310=1),IM310,NA())</f>
        <v/>
      </c>
      <c r="IS310">
        <f>IF(AND(IN310="moderate",IJ310=1),IM310,NA())</f>
        <v/>
      </c>
      <c r="IT310">
        <f>IF(AND(IN310="low",IJ310=1),IM310,NA())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  <c r="IG311">
        <f>Base_mundial!A310</f>
        <v/>
      </c>
      <c r="IH311">
        <f>Base_mundial!C310</f>
        <v/>
      </c>
      <c r="II311">
        <f>Base_mundial!E310-MIN(tope,DEGREES(ATAN(TAN(RADIANS(pe0-omega*Base_mundial!B310))*(Base_mundial!C310/sref)^(m_-1))))</f>
        <v/>
      </c>
      <c r="IJ311" t="n">
        <v>0</v>
      </c>
      <c r="IK311">
        <f>IF(IJ311=1,LN(IH311),"")</f>
        <v/>
      </c>
      <c r="IL311">
        <f>IF(IJ311=1,AVERAGEIFS(II3:II688,IG3:IG688,IG311,IJ3:IJ688,1),"")</f>
        <v/>
      </c>
      <c r="IM311">
        <f>IF(IJ311=1,II311-IL311,"")</f>
        <v/>
      </c>
      <c r="IN311" t="inlineStr">
        <is>
          <t>moderate</t>
        </is>
      </c>
      <c r="IO311">
        <f>IF(IN311="good",II311,NA())</f>
        <v/>
      </c>
      <c r="IP311">
        <f>IF(IN311="moderate",II311,NA())</f>
        <v/>
      </c>
      <c r="IQ311">
        <f>IF(IN311="low",II311,NA())</f>
        <v/>
      </c>
      <c r="IR311">
        <f>IF(AND(IN311="good",IJ311=1),IM311,NA())</f>
        <v/>
      </c>
      <c r="IS311">
        <f>IF(AND(IN311="moderate",IJ311=1),IM311,NA())</f>
        <v/>
      </c>
      <c r="IT311">
        <f>IF(AND(IN311="low",IJ311=1),IM311,NA())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  <c r="IG312">
        <f>Base_mundial!A311</f>
        <v/>
      </c>
      <c r="IH312">
        <f>Base_mundial!C311</f>
        <v/>
      </c>
      <c r="II312">
        <f>Base_mundial!E311-MIN(tope,DEGREES(ATAN(TAN(RADIANS(pe0-omega*Base_mundial!B311))*(Base_mundial!C311/sref)^(m_-1))))</f>
        <v/>
      </c>
      <c r="IJ312" t="n">
        <v>0</v>
      </c>
      <c r="IK312">
        <f>IF(IJ312=1,LN(IH312),"")</f>
        <v/>
      </c>
      <c r="IL312">
        <f>IF(IJ312=1,AVERAGEIFS(II3:II688,IG3:IG688,IG312,IJ3:IJ688,1),"")</f>
        <v/>
      </c>
      <c r="IM312">
        <f>IF(IJ312=1,II312-IL312,"")</f>
        <v/>
      </c>
      <c r="IN312" t="inlineStr">
        <is>
          <t>moderate</t>
        </is>
      </c>
      <c r="IO312">
        <f>IF(IN312="good",II312,NA())</f>
        <v/>
      </c>
      <c r="IP312">
        <f>IF(IN312="moderate",II312,NA())</f>
        <v/>
      </c>
      <c r="IQ312">
        <f>IF(IN312="low",II312,NA())</f>
        <v/>
      </c>
      <c r="IR312">
        <f>IF(AND(IN312="good",IJ312=1),IM312,NA())</f>
        <v/>
      </c>
      <c r="IS312">
        <f>IF(AND(IN312="moderate",IJ312=1),IM312,NA())</f>
        <v/>
      </c>
      <c r="IT312">
        <f>IF(AND(IN312="low",IJ312=1),IM312,NA())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  <c r="IG313">
        <f>Base_mundial!A312</f>
        <v/>
      </c>
      <c r="IH313">
        <f>Base_mundial!C312</f>
        <v/>
      </c>
      <c r="II313">
        <f>Base_mundial!E312-MIN(tope,DEGREES(ATAN(TAN(RADIANS(pe0-omega*Base_mundial!B312))*(Base_mundial!C312/sref)^(m_-1))))</f>
        <v/>
      </c>
      <c r="IJ313" t="n">
        <v>0</v>
      </c>
      <c r="IK313">
        <f>IF(IJ313=1,LN(IH313),"")</f>
        <v/>
      </c>
      <c r="IL313">
        <f>IF(IJ313=1,AVERAGEIFS(II3:II688,IG3:IG688,IG313,IJ3:IJ688,1),"")</f>
        <v/>
      </c>
      <c r="IM313">
        <f>IF(IJ313=1,II313-IL313,"")</f>
        <v/>
      </c>
      <c r="IN313" t="inlineStr">
        <is>
          <t>moderate</t>
        </is>
      </c>
      <c r="IO313">
        <f>IF(IN313="good",II313,NA())</f>
        <v/>
      </c>
      <c r="IP313">
        <f>IF(IN313="moderate",II313,NA())</f>
        <v/>
      </c>
      <c r="IQ313">
        <f>IF(IN313="low",II313,NA())</f>
        <v/>
      </c>
      <c r="IR313">
        <f>IF(AND(IN313="good",IJ313=1),IM313,NA())</f>
        <v/>
      </c>
      <c r="IS313">
        <f>IF(AND(IN313="moderate",IJ313=1),IM313,NA())</f>
        <v/>
      </c>
      <c r="IT313">
        <f>IF(AND(IN313="low",IJ313=1),IM313,NA())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  <c r="IG314">
        <f>Base_mundial!A313</f>
        <v/>
      </c>
      <c r="IH314">
        <f>Base_mundial!C313</f>
        <v/>
      </c>
      <c r="II314">
        <f>Base_mundial!E313-MIN(tope,DEGREES(ATAN(TAN(RADIANS(pe0-omega*Base_mundial!B313))*(Base_mundial!C313/sref)^(m_-1))))</f>
        <v/>
      </c>
      <c r="IJ314" t="n">
        <v>0</v>
      </c>
      <c r="IK314">
        <f>IF(IJ314=1,LN(IH314),"")</f>
        <v/>
      </c>
      <c r="IL314">
        <f>IF(IJ314=1,AVERAGEIFS(II3:II688,IG3:IG688,IG314,IJ3:IJ688,1),"")</f>
        <v/>
      </c>
      <c r="IM314">
        <f>IF(IJ314=1,II314-IL314,"")</f>
        <v/>
      </c>
      <c r="IN314" t="inlineStr">
        <is>
          <t>moderate</t>
        </is>
      </c>
      <c r="IO314">
        <f>IF(IN314="good",II314,NA())</f>
        <v/>
      </c>
      <c r="IP314">
        <f>IF(IN314="moderate",II314,NA())</f>
        <v/>
      </c>
      <c r="IQ314">
        <f>IF(IN314="low",II314,NA())</f>
        <v/>
      </c>
      <c r="IR314">
        <f>IF(AND(IN314="good",IJ314=1),IM314,NA())</f>
        <v/>
      </c>
      <c r="IS314">
        <f>IF(AND(IN314="moderate",IJ314=1),IM314,NA())</f>
        <v/>
      </c>
      <c r="IT314">
        <f>IF(AND(IN314="low",IJ314=1),IM314,NA())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  <c r="IG315">
        <f>Base_mundial!A314</f>
        <v/>
      </c>
      <c r="IH315">
        <f>Base_mundial!C314</f>
        <v/>
      </c>
      <c r="II315">
        <f>Base_mundial!E314-MIN(tope,DEGREES(ATAN(TAN(RADIANS(pe0-omega*Base_mundial!B314))*(Base_mundial!C314/sref)^(m_-1))))</f>
        <v/>
      </c>
      <c r="IJ315" t="n">
        <v>0</v>
      </c>
      <c r="IK315">
        <f>IF(IJ315=1,LN(IH315),"")</f>
        <v/>
      </c>
      <c r="IL315">
        <f>IF(IJ315=1,AVERAGEIFS(II3:II688,IG3:IG688,IG315,IJ3:IJ688,1),"")</f>
        <v/>
      </c>
      <c r="IM315">
        <f>IF(IJ315=1,II315-IL315,"")</f>
        <v/>
      </c>
      <c r="IN315" t="inlineStr">
        <is>
          <t>moderate</t>
        </is>
      </c>
      <c r="IO315">
        <f>IF(IN315="good",II315,NA())</f>
        <v/>
      </c>
      <c r="IP315">
        <f>IF(IN315="moderate",II315,NA())</f>
        <v/>
      </c>
      <c r="IQ315">
        <f>IF(IN315="low",II315,NA())</f>
        <v/>
      </c>
      <c r="IR315">
        <f>IF(AND(IN315="good",IJ315=1),IM315,NA())</f>
        <v/>
      </c>
      <c r="IS315">
        <f>IF(AND(IN315="moderate",IJ315=1),IM315,NA())</f>
        <v/>
      </c>
      <c r="IT315">
        <f>IF(AND(IN315="low",IJ315=1),IM315,NA())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  <c r="IG316">
        <f>Base_mundial!A315</f>
        <v/>
      </c>
      <c r="IH316">
        <f>Base_mundial!C315</f>
        <v/>
      </c>
      <c r="II316">
        <f>Base_mundial!E315-MIN(tope,DEGREES(ATAN(TAN(RADIANS(pe0-omega*Base_mundial!B315))*(Base_mundial!C315/sref)^(m_-1))))</f>
        <v/>
      </c>
      <c r="IJ316" t="n">
        <v>1</v>
      </c>
      <c r="IK316">
        <f>IF(IJ316=1,LN(IH316),"")</f>
        <v/>
      </c>
      <c r="IL316">
        <f>IF(IJ316=1,AVERAGEIFS(II3:II688,IG3:IG688,IG316,IJ3:IJ688,1),"")</f>
        <v/>
      </c>
      <c r="IM316">
        <f>IF(IJ316=1,II316-IL316,"")</f>
        <v/>
      </c>
      <c r="IN316" t="inlineStr">
        <is>
          <t>moderate</t>
        </is>
      </c>
      <c r="IO316">
        <f>IF(IN316="good",II316,NA())</f>
        <v/>
      </c>
      <c r="IP316">
        <f>IF(IN316="moderate",II316,NA())</f>
        <v/>
      </c>
      <c r="IQ316">
        <f>IF(IN316="low",II316,NA())</f>
        <v/>
      </c>
      <c r="IR316">
        <f>IF(AND(IN316="good",IJ316=1),IM316,NA())</f>
        <v/>
      </c>
      <c r="IS316">
        <f>IF(AND(IN316="moderate",IJ316=1),IM316,NA())</f>
        <v/>
      </c>
      <c r="IT316">
        <f>IF(AND(IN316="low",IJ316=1),IM316,NA())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  <c r="IG317">
        <f>Base_mundial!A316</f>
        <v/>
      </c>
      <c r="IH317">
        <f>Base_mundial!C316</f>
        <v/>
      </c>
      <c r="II317">
        <f>Base_mundial!E316-MIN(tope,DEGREES(ATAN(TAN(RADIANS(pe0-omega*Base_mundial!B316))*(Base_mundial!C316/sref)^(m_-1))))</f>
        <v/>
      </c>
      <c r="IJ317" t="n">
        <v>1</v>
      </c>
      <c r="IK317">
        <f>IF(IJ317=1,LN(IH317),"")</f>
        <v/>
      </c>
      <c r="IL317">
        <f>IF(IJ317=1,AVERAGEIFS(II3:II688,IG3:IG688,IG317,IJ3:IJ688,1),"")</f>
        <v/>
      </c>
      <c r="IM317">
        <f>IF(IJ317=1,II317-IL317,"")</f>
        <v/>
      </c>
      <c r="IN317" t="inlineStr">
        <is>
          <t>moderate</t>
        </is>
      </c>
      <c r="IO317">
        <f>IF(IN317="good",II317,NA())</f>
        <v/>
      </c>
      <c r="IP317">
        <f>IF(IN317="moderate",II317,NA())</f>
        <v/>
      </c>
      <c r="IQ317">
        <f>IF(IN317="low",II317,NA())</f>
        <v/>
      </c>
      <c r="IR317">
        <f>IF(AND(IN317="good",IJ317=1),IM317,NA())</f>
        <v/>
      </c>
      <c r="IS317">
        <f>IF(AND(IN317="moderate",IJ317=1),IM317,NA())</f>
        <v/>
      </c>
      <c r="IT317">
        <f>IF(AND(IN317="low",IJ317=1),IM317,NA())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  <c r="IG318">
        <f>Base_mundial!A317</f>
        <v/>
      </c>
      <c r="IH318">
        <f>Base_mundial!C317</f>
        <v/>
      </c>
      <c r="II318">
        <f>Base_mundial!E317-MIN(tope,DEGREES(ATAN(TAN(RADIANS(pe0-omega*Base_mundial!B317))*(Base_mundial!C317/sref)^(m_-1))))</f>
        <v/>
      </c>
      <c r="IJ318" t="n">
        <v>1</v>
      </c>
      <c r="IK318">
        <f>IF(IJ318=1,LN(IH318),"")</f>
        <v/>
      </c>
      <c r="IL318">
        <f>IF(IJ318=1,AVERAGEIFS(II3:II688,IG3:IG688,IG318,IJ3:IJ688,1),"")</f>
        <v/>
      </c>
      <c r="IM318">
        <f>IF(IJ318=1,II318-IL318,"")</f>
        <v/>
      </c>
      <c r="IN318" t="inlineStr">
        <is>
          <t>moderate</t>
        </is>
      </c>
      <c r="IO318">
        <f>IF(IN318="good",II318,NA())</f>
        <v/>
      </c>
      <c r="IP318">
        <f>IF(IN318="moderate",II318,NA())</f>
        <v/>
      </c>
      <c r="IQ318">
        <f>IF(IN318="low",II318,NA())</f>
        <v/>
      </c>
      <c r="IR318">
        <f>IF(AND(IN318="good",IJ318=1),IM318,NA())</f>
        <v/>
      </c>
      <c r="IS318">
        <f>IF(AND(IN318="moderate",IJ318=1),IM318,NA())</f>
        <v/>
      </c>
      <c r="IT318">
        <f>IF(AND(IN318="low",IJ318=1),IM318,NA())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  <c r="IG319">
        <f>Base_mundial!A318</f>
        <v/>
      </c>
      <c r="IH319">
        <f>Base_mundial!C318</f>
        <v/>
      </c>
      <c r="II319">
        <f>Base_mundial!E318-MIN(tope,DEGREES(ATAN(TAN(RADIANS(pe0-omega*Base_mundial!B318))*(Base_mundial!C318/sref)^(m_-1))))</f>
        <v/>
      </c>
      <c r="IJ319" t="n">
        <v>0</v>
      </c>
      <c r="IK319">
        <f>IF(IJ319=1,LN(IH319),"")</f>
        <v/>
      </c>
      <c r="IL319">
        <f>IF(IJ319=1,AVERAGEIFS(II3:II688,IG3:IG688,IG319,IJ3:IJ688,1),"")</f>
        <v/>
      </c>
      <c r="IM319">
        <f>IF(IJ319=1,II319-IL319,"")</f>
        <v/>
      </c>
      <c r="IN319" t="inlineStr">
        <is>
          <t>moderate</t>
        </is>
      </c>
      <c r="IO319">
        <f>IF(IN319="good",II319,NA())</f>
        <v/>
      </c>
      <c r="IP319">
        <f>IF(IN319="moderate",II319,NA())</f>
        <v/>
      </c>
      <c r="IQ319">
        <f>IF(IN319="low",II319,NA())</f>
        <v/>
      </c>
      <c r="IR319">
        <f>IF(AND(IN319="good",IJ319=1),IM319,NA())</f>
        <v/>
      </c>
      <c r="IS319">
        <f>IF(AND(IN319="moderate",IJ319=1),IM319,NA())</f>
        <v/>
      </c>
      <c r="IT319">
        <f>IF(AND(IN319="low",IJ319=1),IM319,NA())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  <c r="IG320">
        <f>Base_mundial!A319</f>
        <v/>
      </c>
      <c r="IH320">
        <f>Base_mundial!C319</f>
        <v/>
      </c>
      <c r="II320">
        <f>Base_mundial!E319-MIN(tope,DEGREES(ATAN(TAN(RADIANS(pe0-omega*Base_mundial!B319))*(Base_mundial!C319/sref)^(m_-1))))</f>
        <v/>
      </c>
      <c r="IJ320" t="n">
        <v>0</v>
      </c>
      <c r="IK320">
        <f>IF(IJ320=1,LN(IH320),"")</f>
        <v/>
      </c>
      <c r="IL320">
        <f>IF(IJ320=1,AVERAGEIFS(II3:II688,IG3:IG688,IG320,IJ3:IJ688,1),"")</f>
        <v/>
      </c>
      <c r="IM320">
        <f>IF(IJ320=1,II320-IL320,"")</f>
        <v/>
      </c>
      <c r="IN320" t="inlineStr">
        <is>
          <t>moderate</t>
        </is>
      </c>
      <c r="IO320">
        <f>IF(IN320="good",II320,NA())</f>
        <v/>
      </c>
      <c r="IP320">
        <f>IF(IN320="moderate",II320,NA())</f>
        <v/>
      </c>
      <c r="IQ320">
        <f>IF(IN320="low",II320,NA())</f>
        <v/>
      </c>
      <c r="IR320">
        <f>IF(AND(IN320="good",IJ320=1),IM320,NA())</f>
        <v/>
      </c>
      <c r="IS320">
        <f>IF(AND(IN320="moderate",IJ320=1),IM320,NA())</f>
        <v/>
      </c>
      <c r="IT320">
        <f>IF(AND(IN320="low",IJ320=1),IM320,NA())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  <c r="IG321">
        <f>Base_mundial!A320</f>
        <v/>
      </c>
      <c r="IH321">
        <f>Base_mundial!C320</f>
        <v/>
      </c>
      <c r="II321">
        <f>Base_mundial!E320-MIN(tope,DEGREES(ATAN(TAN(RADIANS(pe0-omega*Base_mundial!B320))*(Base_mundial!C320/sref)^(m_-1))))</f>
        <v/>
      </c>
      <c r="IJ321" t="n">
        <v>0</v>
      </c>
      <c r="IK321">
        <f>IF(IJ321=1,LN(IH321),"")</f>
        <v/>
      </c>
      <c r="IL321">
        <f>IF(IJ321=1,AVERAGEIFS(II3:II688,IG3:IG688,IG321,IJ3:IJ688,1),"")</f>
        <v/>
      </c>
      <c r="IM321">
        <f>IF(IJ321=1,II321-IL321,"")</f>
        <v/>
      </c>
      <c r="IN321" t="inlineStr">
        <is>
          <t>moderate</t>
        </is>
      </c>
      <c r="IO321">
        <f>IF(IN321="good",II321,NA())</f>
        <v/>
      </c>
      <c r="IP321">
        <f>IF(IN321="moderate",II321,NA())</f>
        <v/>
      </c>
      <c r="IQ321">
        <f>IF(IN321="low",II321,NA())</f>
        <v/>
      </c>
      <c r="IR321">
        <f>IF(AND(IN321="good",IJ321=1),IM321,NA())</f>
        <v/>
      </c>
      <c r="IS321">
        <f>IF(AND(IN321="moderate",IJ321=1),IM321,NA())</f>
        <v/>
      </c>
      <c r="IT321">
        <f>IF(AND(IN321="low",IJ321=1),IM321,NA())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  <c r="IG322">
        <f>Base_mundial!A321</f>
        <v/>
      </c>
      <c r="IH322">
        <f>Base_mundial!C321</f>
        <v/>
      </c>
      <c r="II322">
        <f>Base_mundial!E321-MIN(tope,DEGREES(ATAN(TAN(RADIANS(pe0-omega*Base_mundial!B321))*(Base_mundial!C321/sref)^(m_-1))))</f>
        <v/>
      </c>
      <c r="IJ322" t="n">
        <v>1</v>
      </c>
      <c r="IK322">
        <f>IF(IJ322=1,LN(IH322),"")</f>
        <v/>
      </c>
      <c r="IL322">
        <f>IF(IJ322=1,AVERAGEIFS(II3:II688,IG3:IG688,IG322,IJ3:IJ688,1),"")</f>
        <v/>
      </c>
      <c r="IM322">
        <f>IF(IJ322=1,II322-IL322,"")</f>
        <v/>
      </c>
      <c r="IN322" t="inlineStr">
        <is>
          <t>moderate</t>
        </is>
      </c>
      <c r="IO322">
        <f>IF(IN322="good",II322,NA())</f>
        <v/>
      </c>
      <c r="IP322">
        <f>IF(IN322="moderate",II322,NA())</f>
        <v/>
      </c>
      <c r="IQ322">
        <f>IF(IN322="low",II322,NA())</f>
        <v/>
      </c>
      <c r="IR322">
        <f>IF(AND(IN322="good",IJ322=1),IM322,NA())</f>
        <v/>
      </c>
      <c r="IS322">
        <f>IF(AND(IN322="moderate",IJ322=1),IM322,NA())</f>
        <v/>
      </c>
      <c r="IT322">
        <f>IF(AND(IN322="low",IJ322=1),IM322,NA())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  <c r="IG323">
        <f>Base_mundial!A322</f>
        <v/>
      </c>
      <c r="IH323">
        <f>Base_mundial!C322</f>
        <v/>
      </c>
      <c r="II323">
        <f>Base_mundial!E322-MIN(tope,DEGREES(ATAN(TAN(RADIANS(pe0-omega*Base_mundial!B322))*(Base_mundial!C322/sref)^(m_-1))))</f>
        <v/>
      </c>
      <c r="IJ323" t="n">
        <v>1</v>
      </c>
      <c r="IK323">
        <f>IF(IJ323=1,LN(IH323),"")</f>
        <v/>
      </c>
      <c r="IL323">
        <f>IF(IJ323=1,AVERAGEIFS(II3:II688,IG3:IG688,IG323,IJ3:IJ688,1),"")</f>
        <v/>
      </c>
      <c r="IM323">
        <f>IF(IJ323=1,II323-IL323,"")</f>
        <v/>
      </c>
      <c r="IN323" t="inlineStr">
        <is>
          <t>moderate</t>
        </is>
      </c>
      <c r="IO323">
        <f>IF(IN323="good",II323,NA())</f>
        <v/>
      </c>
      <c r="IP323">
        <f>IF(IN323="moderate",II323,NA())</f>
        <v/>
      </c>
      <c r="IQ323">
        <f>IF(IN323="low",II323,NA())</f>
        <v/>
      </c>
      <c r="IR323">
        <f>IF(AND(IN323="good",IJ323=1),IM323,NA())</f>
        <v/>
      </c>
      <c r="IS323">
        <f>IF(AND(IN323="moderate",IJ323=1),IM323,NA())</f>
        <v/>
      </c>
      <c r="IT323">
        <f>IF(AND(IN323="low",IJ323=1),IM323,NA())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  <c r="IG324">
        <f>Base_mundial!A323</f>
        <v/>
      </c>
      <c r="IH324">
        <f>Base_mundial!C323</f>
        <v/>
      </c>
      <c r="II324">
        <f>Base_mundial!E323-MIN(tope,DEGREES(ATAN(TAN(RADIANS(pe0-omega*Base_mundial!B323))*(Base_mundial!C323/sref)^(m_-1))))</f>
        <v/>
      </c>
      <c r="IJ324" t="n">
        <v>1</v>
      </c>
      <c r="IK324">
        <f>IF(IJ324=1,LN(IH324),"")</f>
        <v/>
      </c>
      <c r="IL324">
        <f>IF(IJ324=1,AVERAGEIFS(II3:II688,IG3:IG688,IG324,IJ3:IJ688,1),"")</f>
        <v/>
      </c>
      <c r="IM324">
        <f>IF(IJ324=1,II324-IL324,"")</f>
        <v/>
      </c>
      <c r="IN324" t="inlineStr">
        <is>
          <t>moderate</t>
        </is>
      </c>
      <c r="IO324">
        <f>IF(IN324="good",II324,NA())</f>
        <v/>
      </c>
      <c r="IP324">
        <f>IF(IN324="moderate",II324,NA())</f>
        <v/>
      </c>
      <c r="IQ324">
        <f>IF(IN324="low",II324,NA())</f>
        <v/>
      </c>
      <c r="IR324">
        <f>IF(AND(IN324="good",IJ324=1),IM324,NA())</f>
        <v/>
      </c>
      <c r="IS324">
        <f>IF(AND(IN324="moderate",IJ324=1),IM324,NA())</f>
        <v/>
      </c>
      <c r="IT324">
        <f>IF(AND(IN324="low",IJ324=1),IM324,NA())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  <c r="IG325">
        <f>Base_mundial!A324</f>
        <v/>
      </c>
      <c r="IH325">
        <f>Base_mundial!C324</f>
        <v/>
      </c>
      <c r="II325">
        <f>Base_mundial!E324-MIN(tope,DEGREES(ATAN(TAN(RADIANS(pe0-omega*Base_mundial!B324))*(Base_mundial!C324/sref)^(m_-1))))</f>
        <v/>
      </c>
      <c r="IJ325" t="n">
        <v>0</v>
      </c>
      <c r="IK325">
        <f>IF(IJ325=1,LN(IH325),"")</f>
        <v/>
      </c>
      <c r="IL325">
        <f>IF(IJ325=1,AVERAGEIFS(II3:II688,IG3:IG688,IG325,IJ3:IJ688,1),"")</f>
        <v/>
      </c>
      <c r="IM325">
        <f>IF(IJ325=1,II325-IL325,"")</f>
        <v/>
      </c>
      <c r="IN325" t="inlineStr">
        <is>
          <t>moderate</t>
        </is>
      </c>
      <c r="IO325">
        <f>IF(IN325="good",II325,NA())</f>
        <v/>
      </c>
      <c r="IP325">
        <f>IF(IN325="moderate",II325,NA())</f>
        <v/>
      </c>
      <c r="IQ325">
        <f>IF(IN325="low",II325,NA())</f>
        <v/>
      </c>
      <c r="IR325">
        <f>IF(AND(IN325="good",IJ325=1),IM325,NA())</f>
        <v/>
      </c>
      <c r="IS325">
        <f>IF(AND(IN325="moderate",IJ325=1),IM325,NA())</f>
        <v/>
      </c>
      <c r="IT325">
        <f>IF(AND(IN325="low",IJ325=1),IM325,NA())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  <c r="IG326">
        <f>Base_mundial!A325</f>
        <v/>
      </c>
      <c r="IH326">
        <f>Base_mundial!C325</f>
        <v/>
      </c>
      <c r="II326">
        <f>Base_mundial!E325-MIN(tope,DEGREES(ATAN(TAN(RADIANS(pe0-omega*Base_mundial!B325))*(Base_mundial!C325/sref)^(m_-1))))</f>
        <v/>
      </c>
      <c r="IJ326" t="n">
        <v>0</v>
      </c>
      <c r="IK326">
        <f>IF(IJ326=1,LN(IH326),"")</f>
        <v/>
      </c>
      <c r="IL326">
        <f>IF(IJ326=1,AVERAGEIFS(II3:II688,IG3:IG688,IG326,IJ3:IJ688,1),"")</f>
        <v/>
      </c>
      <c r="IM326">
        <f>IF(IJ326=1,II326-IL326,"")</f>
        <v/>
      </c>
      <c r="IN326" t="inlineStr">
        <is>
          <t>moderate</t>
        </is>
      </c>
      <c r="IO326">
        <f>IF(IN326="good",II326,NA())</f>
        <v/>
      </c>
      <c r="IP326">
        <f>IF(IN326="moderate",II326,NA())</f>
        <v/>
      </c>
      <c r="IQ326">
        <f>IF(IN326="low",II326,NA())</f>
        <v/>
      </c>
      <c r="IR326">
        <f>IF(AND(IN326="good",IJ326=1),IM326,NA())</f>
        <v/>
      </c>
      <c r="IS326">
        <f>IF(AND(IN326="moderate",IJ326=1),IM326,NA())</f>
        <v/>
      </c>
      <c r="IT326">
        <f>IF(AND(IN326="low",IJ326=1),IM326,NA())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  <c r="IG327">
        <f>Base_mundial!A326</f>
        <v/>
      </c>
      <c r="IH327">
        <f>Base_mundial!C326</f>
        <v/>
      </c>
      <c r="II327">
        <f>Base_mundial!E326-MIN(tope,DEGREES(ATAN(TAN(RADIANS(pe0-omega*Base_mundial!B326))*(Base_mundial!C326/sref)^(m_-1))))</f>
        <v/>
      </c>
      <c r="IJ327" t="n">
        <v>0</v>
      </c>
      <c r="IK327">
        <f>IF(IJ327=1,LN(IH327),"")</f>
        <v/>
      </c>
      <c r="IL327">
        <f>IF(IJ327=1,AVERAGEIFS(II3:II688,IG3:IG688,IG327,IJ3:IJ688,1),"")</f>
        <v/>
      </c>
      <c r="IM327">
        <f>IF(IJ327=1,II327-IL327,"")</f>
        <v/>
      </c>
      <c r="IN327" t="inlineStr">
        <is>
          <t>moderate</t>
        </is>
      </c>
      <c r="IO327">
        <f>IF(IN327="good",II327,NA())</f>
        <v/>
      </c>
      <c r="IP327">
        <f>IF(IN327="moderate",II327,NA())</f>
        <v/>
      </c>
      <c r="IQ327">
        <f>IF(IN327="low",II327,NA())</f>
        <v/>
      </c>
      <c r="IR327">
        <f>IF(AND(IN327="good",IJ327=1),IM327,NA())</f>
        <v/>
      </c>
      <c r="IS327">
        <f>IF(AND(IN327="moderate",IJ327=1),IM327,NA())</f>
        <v/>
      </c>
      <c r="IT327">
        <f>IF(AND(IN327="low",IJ327=1),IM327,NA())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  <c r="IG328">
        <f>Base_mundial!A327</f>
        <v/>
      </c>
      <c r="IH328">
        <f>Base_mundial!C327</f>
        <v/>
      </c>
      <c r="II328">
        <f>Base_mundial!E327-MIN(tope,DEGREES(ATAN(TAN(RADIANS(pe0-omega*Base_mundial!B327))*(Base_mundial!C327/sref)^(m_-1))))</f>
        <v/>
      </c>
      <c r="IJ328" t="n">
        <v>1</v>
      </c>
      <c r="IK328">
        <f>IF(IJ328=1,LN(IH328),"")</f>
        <v/>
      </c>
      <c r="IL328">
        <f>IF(IJ328=1,AVERAGEIFS(II3:II688,IG3:IG688,IG328,IJ3:IJ688,1),"")</f>
        <v/>
      </c>
      <c r="IM328">
        <f>IF(IJ328=1,II328-IL328,"")</f>
        <v/>
      </c>
      <c r="IN328" t="inlineStr">
        <is>
          <t>moderate</t>
        </is>
      </c>
      <c r="IO328">
        <f>IF(IN328="good",II328,NA())</f>
        <v/>
      </c>
      <c r="IP328">
        <f>IF(IN328="moderate",II328,NA())</f>
        <v/>
      </c>
      <c r="IQ328">
        <f>IF(IN328="low",II328,NA())</f>
        <v/>
      </c>
      <c r="IR328">
        <f>IF(AND(IN328="good",IJ328=1),IM328,NA())</f>
        <v/>
      </c>
      <c r="IS328">
        <f>IF(AND(IN328="moderate",IJ328=1),IM328,NA())</f>
        <v/>
      </c>
      <c r="IT328">
        <f>IF(AND(IN328="low",IJ328=1),IM328,NA())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  <c r="IG329">
        <f>Base_mundial!A328</f>
        <v/>
      </c>
      <c r="IH329">
        <f>Base_mundial!C328</f>
        <v/>
      </c>
      <c r="II329">
        <f>Base_mundial!E328-MIN(tope,DEGREES(ATAN(TAN(RADIANS(pe0-omega*Base_mundial!B328))*(Base_mundial!C328/sref)^(m_-1))))</f>
        <v/>
      </c>
      <c r="IJ329" t="n">
        <v>1</v>
      </c>
      <c r="IK329">
        <f>IF(IJ329=1,LN(IH329),"")</f>
        <v/>
      </c>
      <c r="IL329">
        <f>IF(IJ329=1,AVERAGEIFS(II3:II688,IG3:IG688,IG329,IJ3:IJ688,1),"")</f>
        <v/>
      </c>
      <c r="IM329">
        <f>IF(IJ329=1,II329-IL329,"")</f>
        <v/>
      </c>
      <c r="IN329" t="inlineStr">
        <is>
          <t>moderate</t>
        </is>
      </c>
      <c r="IO329">
        <f>IF(IN329="good",II329,NA())</f>
        <v/>
      </c>
      <c r="IP329">
        <f>IF(IN329="moderate",II329,NA())</f>
        <v/>
      </c>
      <c r="IQ329">
        <f>IF(IN329="low",II329,NA())</f>
        <v/>
      </c>
      <c r="IR329">
        <f>IF(AND(IN329="good",IJ329=1),IM329,NA())</f>
        <v/>
      </c>
      <c r="IS329">
        <f>IF(AND(IN329="moderate",IJ329=1),IM329,NA())</f>
        <v/>
      </c>
      <c r="IT329">
        <f>IF(AND(IN329="low",IJ329=1),IM329,NA())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  <c r="IG330">
        <f>Base_mundial!A329</f>
        <v/>
      </c>
      <c r="IH330">
        <f>Base_mundial!C329</f>
        <v/>
      </c>
      <c r="II330">
        <f>Base_mundial!E329-MIN(tope,DEGREES(ATAN(TAN(RADIANS(pe0-omega*Base_mundial!B329))*(Base_mundial!C329/sref)^(m_-1))))</f>
        <v/>
      </c>
      <c r="IJ330" t="n">
        <v>0</v>
      </c>
      <c r="IK330">
        <f>IF(IJ330=1,LN(IH330),"")</f>
        <v/>
      </c>
      <c r="IL330">
        <f>IF(IJ330=1,AVERAGEIFS(II3:II688,IG3:IG688,IG330,IJ3:IJ688,1),"")</f>
        <v/>
      </c>
      <c r="IM330">
        <f>IF(IJ330=1,II330-IL330,"")</f>
        <v/>
      </c>
      <c r="IN330" t="inlineStr">
        <is>
          <t>moderate</t>
        </is>
      </c>
      <c r="IO330">
        <f>IF(IN330="good",II330,NA())</f>
        <v/>
      </c>
      <c r="IP330">
        <f>IF(IN330="moderate",II330,NA())</f>
        <v/>
      </c>
      <c r="IQ330">
        <f>IF(IN330="low",II330,NA())</f>
        <v/>
      </c>
      <c r="IR330">
        <f>IF(AND(IN330="good",IJ330=1),IM330,NA())</f>
        <v/>
      </c>
      <c r="IS330">
        <f>IF(AND(IN330="moderate",IJ330=1),IM330,NA())</f>
        <v/>
      </c>
      <c r="IT330">
        <f>IF(AND(IN330="low",IJ330=1),IM330,NA())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  <c r="IG331">
        <f>Base_mundial!A330</f>
        <v/>
      </c>
      <c r="IH331">
        <f>Base_mundial!C330</f>
        <v/>
      </c>
      <c r="II331">
        <f>Base_mundial!E330-MIN(tope,DEGREES(ATAN(TAN(RADIANS(pe0-omega*Base_mundial!B330))*(Base_mundial!C330/sref)^(m_-1))))</f>
        <v/>
      </c>
      <c r="IJ331" t="n">
        <v>1</v>
      </c>
      <c r="IK331">
        <f>IF(IJ331=1,LN(IH331),"")</f>
        <v/>
      </c>
      <c r="IL331">
        <f>IF(IJ331=1,AVERAGEIFS(II3:II688,IG3:IG688,IG331,IJ3:IJ688,1),"")</f>
        <v/>
      </c>
      <c r="IM331">
        <f>IF(IJ331=1,II331-IL331,"")</f>
        <v/>
      </c>
      <c r="IN331" t="inlineStr">
        <is>
          <t>moderate</t>
        </is>
      </c>
      <c r="IO331">
        <f>IF(IN331="good",II331,NA())</f>
        <v/>
      </c>
      <c r="IP331">
        <f>IF(IN331="moderate",II331,NA())</f>
        <v/>
      </c>
      <c r="IQ331">
        <f>IF(IN331="low",II331,NA())</f>
        <v/>
      </c>
      <c r="IR331">
        <f>IF(AND(IN331="good",IJ331=1),IM331,NA())</f>
        <v/>
      </c>
      <c r="IS331">
        <f>IF(AND(IN331="moderate",IJ331=1),IM331,NA())</f>
        <v/>
      </c>
      <c r="IT331">
        <f>IF(AND(IN331="low",IJ331=1),IM331,NA())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  <c r="IG332">
        <f>Base_mundial!A331</f>
        <v/>
      </c>
      <c r="IH332">
        <f>Base_mundial!C331</f>
        <v/>
      </c>
      <c r="II332">
        <f>Base_mundial!E331-MIN(tope,DEGREES(ATAN(TAN(RADIANS(pe0-omega*Base_mundial!B331))*(Base_mundial!C331/sref)^(m_-1))))</f>
        <v/>
      </c>
      <c r="IJ332" t="n">
        <v>1</v>
      </c>
      <c r="IK332">
        <f>IF(IJ332=1,LN(IH332),"")</f>
        <v/>
      </c>
      <c r="IL332">
        <f>IF(IJ332=1,AVERAGEIFS(II3:II688,IG3:IG688,IG332,IJ3:IJ688,1),"")</f>
        <v/>
      </c>
      <c r="IM332">
        <f>IF(IJ332=1,II332-IL332,"")</f>
        <v/>
      </c>
      <c r="IN332" t="inlineStr">
        <is>
          <t>moderate</t>
        </is>
      </c>
      <c r="IO332">
        <f>IF(IN332="good",II332,NA())</f>
        <v/>
      </c>
      <c r="IP332">
        <f>IF(IN332="moderate",II332,NA())</f>
        <v/>
      </c>
      <c r="IQ332">
        <f>IF(IN332="low",II332,NA())</f>
        <v/>
      </c>
      <c r="IR332">
        <f>IF(AND(IN332="good",IJ332=1),IM332,NA())</f>
        <v/>
      </c>
      <c r="IS332">
        <f>IF(AND(IN332="moderate",IJ332=1),IM332,NA())</f>
        <v/>
      </c>
      <c r="IT332">
        <f>IF(AND(IN332="low",IJ332=1),IM332,NA())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  <c r="IG333">
        <f>Base_mundial!A332</f>
        <v/>
      </c>
      <c r="IH333">
        <f>Base_mundial!C332</f>
        <v/>
      </c>
      <c r="II333">
        <f>Base_mundial!E332-MIN(tope,DEGREES(ATAN(TAN(RADIANS(pe0-omega*Base_mundial!B332))*(Base_mundial!C332/sref)^(m_-1))))</f>
        <v/>
      </c>
      <c r="IJ333" t="n">
        <v>1</v>
      </c>
      <c r="IK333">
        <f>IF(IJ333=1,LN(IH333),"")</f>
        <v/>
      </c>
      <c r="IL333">
        <f>IF(IJ333=1,AVERAGEIFS(II3:II688,IG3:IG688,IG333,IJ3:IJ688,1),"")</f>
        <v/>
      </c>
      <c r="IM333">
        <f>IF(IJ333=1,II333-IL333,"")</f>
        <v/>
      </c>
      <c r="IN333" t="inlineStr">
        <is>
          <t>moderate</t>
        </is>
      </c>
      <c r="IO333">
        <f>IF(IN333="good",II333,NA())</f>
        <v/>
      </c>
      <c r="IP333">
        <f>IF(IN333="moderate",II333,NA())</f>
        <v/>
      </c>
      <c r="IQ333">
        <f>IF(IN333="low",II333,NA())</f>
        <v/>
      </c>
      <c r="IR333">
        <f>IF(AND(IN333="good",IJ333=1),IM333,NA())</f>
        <v/>
      </c>
      <c r="IS333">
        <f>IF(AND(IN333="moderate",IJ333=1),IM333,NA())</f>
        <v/>
      </c>
      <c r="IT333">
        <f>IF(AND(IN333="low",IJ333=1),IM333,NA())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  <c r="IG334">
        <f>Base_mundial!A333</f>
        <v/>
      </c>
      <c r="IH334">
        <f>Base_mundial!C333</f>
        <v/>
      </c>
      <c r="II334">
        <f>Base_mundial!E333-MIN(tope,DEGREES(ATAN(TAN(RADIANS(pe0-omega*Base_mundial!B333))*(Base_mundial!C333/sref)^(m_-1))))</f>
        <v/>
      </c>
      <c r="IJ334" t="n">
        <v>1</v>
      </c>
      <c r="IK334">
        <f>IF(IJ334=1,LN(IH334),"")</f>
        <v/>
      </c>
      <c r="IL334">
        <f>IF(IJ334=1,AVERAGEIFS(II3:II688,IG3:IG688,IG334,IJ3:IJ688,1),"")</f>
        <v/>
      </c>
      <c r="IM334">
        <f>IF(IJ334=1,II334-IL334,"")</f>
        <v/>
      </c>
      <c r="IN334" t="inlineStr">
        <is>
          <t>moderate</t>
        </is>
      </c>
      <c r="IO334">
        <f>IF(IN334="good",II334,NA())</f>
        <v/>
      </c>
      <c r="IP334">
        <f>IF(IN334="moderate",II334,NA())</f>
        <v/>
      </c>
      <c r="IQ334">
        <f>IF(IN334="low",II334,NA())</f>
        <v/>
      </c>
      <c r="IR334">
        <f>IF(AND(IN334="good",IJ334=1),IM334,NA())</f>
        <v/>
      </c>
      <c r="IS334">
        <f>IF(AND(IN334="moderate",IJ334=1),IM334,NA())</f>
        <v/>
      </c>
      <c r="IT334">
        <f>IF(AND(IN334="low",IJ334=1),IM334,NA())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  <c r="IG335">
        <f>Base_mundial!A334</f>
        <v/>
      </c>
      <c r="IH335">
        <f>Base_mundial!C334</f>
        <v/>
      </c>
      <c r="II335">
        <f>Base_mundial!E334-MIN(tope,DEGREES(ATAN(TAN(RADIANS(pe0-omega*Base_mundial!B334))*(Base_mundial!C334/sref)^(m_-1))))</f>
        <v/>
      </c>
      <c r="IJ335" t="n">
        <v>1</v>
      </c>
      <c r="IK335">
        <f>IF(IJ335=1,LN(IH335),"")</f>
        <v/>
      </c>
      <c r="IL335">
        <f>IF(IJ335=1,AVERAGEIFS(II3:II688,IG3:IG688,IG335,IJ3:IJ688,1),"")</f>
        <v/>
      </c>
      <c r="IM335">
        <f>IF(IJ335=1,II335-IL335,"")</f>
        <v/>
      </c>
      <c r="IN335" t="inlineStr">
        <is>
          <t>moderate</t>
        </is>
      </c>
      <c r="IO335">
        <f>IF(IN335="good",II335,NA())</f>
        <v/>
      </c>
      <c r="IP335">
        <f>IF(IN335="moderate",II335,NA())</f>
        <v/>
      </c>
      <c r="IQ335">
        <f>IF(IN335="low",II335,NA())</f>
        <v/>
      </c>
      <c r="IR335">
        <f>IF(AND(IN335="good",IJ335=1),IM335,NA())</f>
        <v/>
      </c>
      <c r="IS335">
        <f>IF(AND(IN335="moderate",IJ335=1),IM335,NA())</f>
        <v/>
      </c>
      <c r="IT335">
        <f>IF(AND(IN335="low",IJ335=1),IM335,NA())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  <c r="IG336">
        <f>Base_mundial!A335</f>
        <v/>
      </c>
      <c r="IH336">
        <f>Base_mundial!C335</f>
        <v/>
      </c>
      <c r="II336">
        <f>Base_mundial!E335-MIN(tope,DEGREES(ATAN(TAN(RADIANS(pe0-omega*Base_mundial!B335))*(Base_mundial!C335/sref)^(m_-1))))</f>
        <v/>
      </c>
      <c r="IJ336" t="n">
        <v>0</v>
      </c>
      <c r="IK336">
        <f>IF(IJ336=1,LN(IH336),"")</f>
        <v/>
      </c>
      <c r="IL336">
        <f>IF(IJ336=1,AVERAGEIFS(II3:II688,IG3:IG688,IG336,IJ3:IJ688,1),"")</f>
        <v/>
      </c>
      <c r="IM336">
        <f>IF(IJ336=1,II336-IL336,"")</f>
        <v/>
      </c>
      <c r="IN336" t="inlineStr">
        <is>
          <t>moderate</t>
        </is>
      </c>
      <c r="IO336">
        <f>IF(IN336="good",II336,NA())</f>
        <v/>
      </c>
      <c r="IP336">
        <f>IF(IN336="moderate",II336,NA())</f>
        <v/>
      </c>
      <c r="IQ336">
        <f>IF(IN336="low",II336,NA())</f>
        <v/>
      </c>
      <c r="IR336">
        <f>IF(AND(IN336="good",IJ336=1),IM336,NA())</f>
        <v/>
      </c>
      <c r="IS336">
        <f>IF(AND(IN336="moderate",IJ336=1),IM336,NA())</f>
        <v/>
      </c>
      <c r="IT336">
        <f>IF(AND(IN336="low",IJ336=1),IM336,NA())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  <c r="IG337">
        <f>Base_mundial!A336</f>
        <v/>
      </c>
      <c r="IH337">
        <f>Base_mundial!C336</f>
        <v/>
      </c>
      <c r="II337">
        <f>Base_mundial!E336-MIN(tope,DEGREES(ATAN(TAN(RADIANS(pe0-omega*Base_mundial!B336))*(Base_mundial!C336/sref)^(m_-1))))</f>
        <v/>
      </c>
      <c r="IJ337" t="n">
        <v>1</v>
      </c>
      <c r="IK337">
        <f>IF(IJ337=1,LN(IH337),"")</f>
        <v/>
      </c>
      <c r="IL337">
        <f>IF(IJ337=1,AVERAGEIFS(II3:II688,IG3:IG688,IG337,IJ3:IJ688,1),"")</f>
        <v/>
      </c>
      <c r="IM337">
        <f>IF(IJ337=1,II337-IL337,"")</f>
        <v/>
      </c>
      <c r="IN337" t="inlineStr">
        <is>
          <t>moderate</t>
        </is>
      </c>
      <c r="IO337">
        <f>IF(IN337="good",II337,NA())</f>
        <v/>
      </c>
      <c r="IP337">
        <f>IF(IN337="moderate",II337,NA())</f>
        <v/>
      </c>
      <c r="IQ337">
        <f>IF(IN337="low",II337,NA())</f>
        <v/>
      </c>
      <c r="IR337">
        <f>IF(AND(IN337="good",IJ337=1),IM337,NA())</f>
        <v/>
      </c>
      <c r="IS337">
        <f>IF(AND(IN337="moderate",IJ337=1),IM337,NA())</f>
        <v/>
      </c>
      <c r="IT337">
        <f>IF(AND(IN337="low",IJ337=1),IM337,NA())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  <c r="IG338">
        <f>Base_mundial!A337</f>
        <v/>
      </c>
      <c r="IH338">
        <f>Base_mundial!C337</f>
        <v/>
      </c>
      <c r="II338">
        <f>Base_mundial!E337-MIN(tope,DEGREES(ATAN(TAN(RADIANS(pe0-omega*Base_mundial!B337))*(Base_mundial!C337/sref)^(m_-1))))</f>
        <v/>
      </c>
      <c r="IJ338" t="n">
        <v>1</v>
      </c>
      <c r="IK338">
        <f>IF(IJ338=1,LN(IH338),"")</f>
        <v/>
      </c>
      <c r="IL338">
        <f>IF(IJ338=1,AVERAGEIFS(II3:II688,IG3:IG688,IG338,IJ3:IJ688,1),"")</f>
        <v/>
      </c>
      <c r="IM338">
        <f>IF(IJ338=1,II338-IL338,"")</f>
        <v/>
      </c>
      <c r="IN338" t="inlineStr">
        <is>
          <t>moderate</t>
        </is>
      </c>
      <c r="IO338">
        <f>IF(IN338="good",II338,NA())</f>
        <v/>
      </c>
      <c r="IP338">
        <f>IF(IN338="moderate",II338,NA())</f>
        <v/>
      </c>
      <c r="IQ338">
        <f>IF(IN338="low",II338,NA())</f>
        <v/>
      </c>
      <c r="IR338">
        <f>IF(AND(IN338="good",IJ338=1),IM338,NA())</f>
        <v/>
      </c>
      <c r="IS338">
        <f>IF(AND(IN338="moderate",IJ338=1),IM338,NA())</f>
        <v/>
      </c>
      <c r="IT338">
        <f>IF(AND(IN338="low",IJ338=1),IM338,NA())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  <c r="IG339">
        <f>Base_mundial!A338</f>
        <v/>
      </c>
      <c r="IH339">
        <f>Base_mundial!C338</f>
        <v/>
      </c>
      <c r="II339">
        <f>Base_mundial!E338-MIN(tope,DEGREES(ATAN(TAN(RADIANS(pe0-omega*Base_mundial!B338))*(Base_mundial!C338/sref)^(m_-1))))</f>
        <v/>
      </c>
      <c r="IJ339" t="n">
        <v>1</v>
      </c>
      <c r="IK339">
        <f>IF(IJ339=1,LN(IH339),"")</f>
        <v/>
      </c>
      <c r="IL339">
        <f>IF(IJ339=1,AVERAGEIFS(II3:II688,IG3:IG688,IG339,IJ3:IJ688,1),"")</f>
        <v/>
      </c>
      <c r="IM339">
        <f>IF(IJ339=1,II339-IL339,"")</f>
        <v/>
      </c>
      <c r="IN339" t="inlineStr">
        <is>
          <t>moderate</t>
        </is>
      </c>
      <c r="IO339">
        <f>IF(IN339="good",II339,NA())</f>
        <v/>
      </c>
      <c r="IP339">
        <f>IF(IN339="moderate",II339,NA())</f>
        <v/>
      </c>
      <c r="IQ339">
        <f>IF(IN339="low",II339,NA())</f>
        <v/>
      </c>
      <c r="IR339">
        <f>IF(AND(IN339="good",IJ339=1),IM339,NA())</f>
        <v/>
      </c>
      <c r="IS339">
        <f>IF(AND(IN339="moderate",IJ339=1),IM339,NA())</f>
        <v/>
      </c>
      <c r="IT339">
        <f>IF(AND(IN339="low",IJ339=1),IM339,NA())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  <c r="IG340">
        <f>Base_mundial!A339</f>
        <v/>
      </c>
      <c r="IH340">
        <f>Base_mundial!C339</f>
        <v/>
      </c>
      <c r="II340">
        <f>Base_mundial!E339-MIN(tope,DEGREES(ATAN(TAN(RADIANS(pe0-omega*Base_mundial!B339))*(Base_mundial!C339/sref)^(m_-1))))</f>
        <v/>
      </c>
      <c r="IJ340" t="n">
        <v>1</v>
      </c>
      <c r="IK340">
        <f>IF(IJ340=1,LN(IH340),"")</f>
        <v/>
      </c>
      <c r="IL340">
        <f>IF(IJ340=1,AVERAGEIFS(II3:II688,IG3:IG688,IG340,IJ3:IJ688,1),"")</f>
        <v/>
      </c>
      <c r="IM340">
        <f>IF(IJ340=1,II340-IL340,"")</f>
        <v/>
      </c>
      <c r="IN340" t="inlineStr">
        <is>
          <t>moderate</t>
        </is>
      </c>
      <c r="IO340">
        <f>IF(IN340="good",II340,NA())</f>
        <v/>
      </c>
      <c r="IP340">
        <f>IF(IN340="moderate",II340,NA())</f>
        <v/>
      </c>
      <c r="IQ340">
        <f>IF(IN340="low",II340,NA())</f>
        <v/>
      </c>
      <c r="IR340">
        <f>IF(AND(IN340="good",IJ340=1),IM340,NA())</f>
        <v/>
      </c>
      <c r="IS340">
        <f>IF(AND(IN340="moderate",IJ340=1),IM340,NA())</f>
        <v/>
      </c>
      <c r="IT340">
        <f>IF(AND(IN340="low",IJ340=1),IM340,NA())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  <c r="IG341">
        <f>Base_mundial!A340</f>
        <v/>
      </c>
      <c r="IH341">
        <f>Base_mundial!C340</f>
        <v/>
      </c>
      <c r="II341">
        <f>Base_mundial!E340-MIN(tope,DEGREES(ATAN(TAN(RADIANS(pe0-omega*Base_mundial!B340))*(Base_mundial!C340/sref)^(m_-1))))</f>
        <v/>
      </c>
      <c r="IJ341" t="n">
        <v>1</v>
      </c>
      <c r="IK341">
        <f>IF(IJ341=1,LN(IH341),"")</f>
        <v/>
      </c>
      <c r="IL341">
        <f>IF(IJ341=1,AVERAGEIFS(II3:II688,IG3:IG688,IG341,IJ3:IJ688,1),"")</f>
        <v/>
      </c>
      <c r="IM341">
        <f>IF(IJ341=1,II341-IL341,"")</f>
        <v/>
      </c>
      <c r="IN341" t="inlineStr">
        <is>
          <t>moderate</t>
        </is>
      </c>
      <c r="IO341">
        <f>IF(IN341="good",II341,NA())</f>
        <v/>
      </c>
      <c r="IP341">
        <f>IF(IN341="moderate",II341,NA())</f>
        <v/>
      </c>
      <c r="IQ341">
        <f>IF(IN341="low",II341,NA())</f>
        <v/>
      </c>
      <c r="IR341">
        <f>IF(AND(IN341="good",IJ341=1),IM341,NA())</f>
        <v/>
      </c>
      <c r="IS341">
        <f>IF(AND(IN341="moderate",IJ341=1),IM341,NA())</f>
        <v/>
      </c>
      <c r="IT341">
        <f>IF(AND(IN341="low",IJ341=1),IM341,NA())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  <c r="IG342">
        <f>Base_mundial!A341</f>
        <v/>
      </c>
      <c r="IH342">
        <f>Base_mundial!C341</f>
        <v/>
      </c>
      <c r="II342">
        <f>Base_mundial!E341-MIN(tope,DEGREES(ATAN(TAN(RADIANS(pe0-omega*Base_mundial!B341))*(Base_mundial!C341/sref)^(m_-1))))</f>
        <v/>
      </c>
      <c r="IJ342" t="n">
        <v>1</v>
      </c>
      <c r="IK342">
        <f>IF(IJ342=1,LN(IH342),"")</f>
        <v/>
      </c>
      <c r="IL342">
        <f>IF(IJ342=1,AVERAGEIFS(II3:II688,IG3:IG688,IG342,IJ3:IJ688,1),"")</f>
        <v/>
      </c>
      <c r="IM342">
        <f>IF(IJ342=1,II342-IL342,"")</f>
        <v/>
      </c>
      <c r="IN342" t="inlineStr">
        <is>
          <t>moderate</t>
        </is>
      </c>
      <c r="IO342">
        <f>IF(IN342="good",II342,NA())</f>
        <v/>
      </c>
      <c r="IP342">
        <f>IF(IN342="moderate",II342,NA())</f>
        <v/>
      </c>
      <c r="IQ342">
        <f>IF(IN342="low",II342,NA())</f>
        <v/>
      </c>
      <c r="IR342">
        <f>IF(AND(IN342="good",IJ342=1),IM342,NA())</f>
        <v/>
      </c>
      <c r="IS342">
        <f>IF(AND(IN342="moderate",IJ342=1),IM342,NA())</f>
        <v/>
      </c>
      <c r="IT342">
        <f>IF(AND(IN342="low",IJ342=1),IM342,NA())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  <c r="IG343">
        <f>Base_mundial!A342</f>
        <v/>
      </c>
      <c r="IH343">
        <f>Base_mundial!C342</f>
        <v/>
      </c>
      <c r="II343">
        <f>Base_mundial!E342-MIN(tope,DEGREES(ATAN(TAN(RADIANS(pe0-omega*Base_mundial!B342))*(Base_mundial!C342/sref)^(m_-1))))</f>
        <v/>
      </c>
      <c r="IJ343" t="n">
        <v>0</v>
      </c>
      <c r="IK343">
        <f>IF(IJ343=1,LN(IH343),"")</f>
        <v/>
      </c>
      <c r="IL343">
        <f>IF(IJ343=1,AVERAGEIFS(II3:II688,IG3:IG688,IG343,IJ3:IJ688,1),"")</f>
        <v/>
      </c>
      <c r="IM343">
        <f>IF(IJ343=1,II343-IL343,"")</f>
        <v/>
      </c>
      <c r="IN343" t="inlineStr">
        <is>
          <t>moderate</t>
        </is>
      </c>
      <c r="IO343">
        <f>IF(IN343="good",II343,NA())</f>
        <v/>
      </c>
      <c r="IP343">
        <f>IF(IN343="moderate",II343,NA())</f>
        <v/>
      </c>
      <c r="IQ343">
        <f>IF(IN343="low",II343,NA())</f>
        <v/>
      </c>
      <c r="IR343">
        <f>IF(AND(IN343="good",IJ343=1),IM343,NA())</f>
        <v/>
      </c>
      <c r="IS343">
        <f>IF(AND(IN343="moderate",IJ343=1),IM343,NA())</f>
        <v/>
      </c>
      <c r="IT343">
        <f>IF(AND(IN343="low",IJ343=1),IM343,NA())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  <c r="IG344">
        <f>Base_mundial!A343</f>
        <v/>
      </c>
      <c r="IH344">
        <f>Base_mundial!C343</f>
        <v/>
      </c>
      <c r="II344">
        <f>Base_mundial!E343-MIN(tope,DEGREES(ATAN(TAN(RADIANS(pe0-omega*Base_mundial!B343))*(Base_mundial!C343/sref)^(m_-1))))</f>
        <v/>
      </c>
      <c r="IJ344" t="n">
        <v>0</v>
      </c>
      <c r="IK344">
        <f>IF(IJ344=1,LN(IH344),"")</f>
        <v/>
      </c>
      <c r="IL344">
        <f>IF(IJ344=1,AVERAGEIFS(II3:II688,IG3:IG688,IG344,IJ3:IJ688,1),"")</f>
        <v/>
      </c>
      <c r="IM344">
        <f>IF(IJ344=1,II344-IL344,"")</f>
        <v/>
      </c>
      <c r="IN344" t="inlineStr">
        <is>
          <t>moderate</t>
        </is>
      </c>
      <c r="IO344">
        <f>IF(IN344="good",II344,NA())</f>
        <v/>
      </c>
      <c r="IP344">
        <f>IF(IN344="moderate",II344,NA())</f>
        <v/>
      </c>
      <c r="IQ344">
        <f>IF(IN344="low",II344,NA())</f>
        <v/>
      </c>
      <c r="IR344">
        <f>IF(AND(IN344="good",IJ344=1),IM344,NA())</f>
        <v/>
      </c>
      <c r="IS344">
        <f>IF(AND(IN344="moderate",IJ344=1),IM344,NA())</f>
        <v/>
      </c>
      <c r="IT344">
        <f>IF(AND(IN344="low",IJ344=1),IM344,NA())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  <c r="IG345">
        <f>Base_mundial!A344</f>
        <v/>
      </c>
      <c r="IH345">
        <f>Base_mundial!C344</f>
        <v/>
      </c>
      <c r="II345">
        <f>Base_mundial!E344-MIN(tope,DEGREES(ATAN(TAN(RADIANS(pe0-omega*Base_mundial!B344))*(Base_mundial!C344/sref)^(m_-1))))</f>
        <v/>
      </c>
      <c r="IJ345" t="n">
        <v>0</v>
      </c>
      <c r="IK345">
        <f>IF(IJ345=1,LN(IH345),"")</f>
        <v/>
      </c>
      <c r="IL345">
        <f>IF(IJ345=1,AVERAGEIFS(II3:II688,IG3:IG688,IG345,IJ3:IJ688,1),"")</f>
        <v/>
      </c>
      <c r="IM345">
        <f>IF(IJ345=1,II345-IL345,"")</f>
        <v/>
      </c>
      <c r="IN345" t="inlineStr">
        <is>
          <t>moderate</t>
        </is>
      </c>
      <c r="IO345">
        <f>IF(IN345="good",II345,NA())</f>
        <v/>
      </c>
      <c r="IP345">
        <f>IF(IN345="moderate",II345,NA())</f>
        <v/>
      </c>
      <c r="IQ345">
        <f>IF(IN345="low",II345,NA())</f>
        <v/>
      </c>
      <c r="IR345">
        <f>IF(AND(IN345="good",IJ345=1),IM345,NA())</f>
        <v/>
      </c>
      <c r="IS345">
        <f>IF(AND(IN345="moderate",IJ345=1),IM345,NA())</f>
        <v/>
      </c>
      <c r="IT345">
        <f>IF(AND(IN345="low",IJ345=1),IM345,NA())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  <c r="IG346">
        <f>Base_mundial!A345</f>
        <v/>
      </c>
      <c r="IH346">
        <f>Base_mundial!C345</f>
        <v/>
      </c>
      <c r="II346">
        <f>Base_mundial!E345-MIN(tope,DEGREES(ATAN(TAN(RADIANS(pe0-omega*Base_mundial!B345))*(Base_mundial!C345/sref)^(m_-1))))</f>
        <v/>
      </c>
      <c r="IJ346" t="n">
        <v>1</v>
      </c>
      <c r="IK346">
        <f>IF(IJ346=1,LN(IH346),"")</f>
        <v/>
      </c>
      <c r="IL346">
        <f>IF(IJ346=1,AVERAGEIFS(II3:II688,IG3:IG688,IG346,IJ3:IJ688,1),"")</f>
        <v/>
      </c>
      <c r="IM346">
        <f>IF(IJ346=1,II346-IL346,"")</f>
        <v/>
      </c>
      <c r="IN346" t="inlineStr">
        <is>
          <t>moderate</t>
        </is>
      </c>
      <c r="IO346">
        <f>IF(IN346="good",II346,NA())</f>
        <v/>
      </c>
      <c r="IP346">
        <f>IF(IN346="moderate",II346,NA())</f>
        <v/>
      </c>
      <c r="IQ346">
        <f>IF(IN346="low",II346,NA())</f>
        <v/>
      </c>
      <c r="IR346">
        <f>IF(AND(IN346="good",IJ346=1),IM346,NA())</f>
        <v/>
      </c>
      <c r="IS346">
        <f>IF(AND(IN346="moderate",IJ346=1),IM346,NA())</f>
        <v/>
      </c>
      <c r="IT346">
        <f>IF(AND(IN346="low",IJ346=1),IM346,NA())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  <c r="IG347">
        <f>Base_mundial!A346</f>
        <v/>
      </c>
      <c r="IH347">
        <f>Base_mundial!C346</f>
        <v/>
      </c>
      <c r="II347">
        <f>Base_mundial!E346-MIN(tope,DEGREES(ATAN(TAN(RADIANS(pe0-omega*Base_mundial!B346))*(Base_mundial!C346/sref)^(m_-1))))</f>
        <v/>
      </c>
      <c r="IJ347" t="n">
        <v>1</v>
      </c>
      <c r="IK347">
        <f>IF(IJ347=1,LN(IH347),"")</f>
        <v/>
      </c>
      <c r="IL347">
        <f>IF(IJ347=1,AVERAGEIFS(II3:II688,IG3:IG688,IG347,IJ3:IJ688,1),"")</f>
        <v/>
      </c>
      <c r="IM347">
        <f>IF(IJ347=1,II347-IL347,"")</f>
        <v/>
      </c>
      <c r="IN347" t="inlineStr">
        <is>
          <t>moderate</t>
        </is>
      </c>
      <c r="IO347">
        <f>IF(IN347="good",II347,NA())</f>
        <v/>
      </c>
      <c r="IP347">
        <f>IF(IN347="moderate",II347,NA())</f>
        <v/>
      </c>
      <c r="IQ347">
        <f>IF(IN347="low",II347,NA())</f>
        <v/>
      </c>
      <c r="IR347">
        <f>IF(AND(IN347="good",IJ347=1),IM347,NA())</f>
        <v/>
      </c>
      <c r="IS347">
        <f>IF(AND(IN347="moderate",IJ347=1),IM347,NA())</f>
        <v/>
      </c>
      <c r="IT347">
        <f>IF(AND(IN347="low",IJ347=1),IM347,NA())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  <c r="IG348">
        <f>Base_mundial!A347</f>
        <v/>
      </c>
      <c r="IH348">
        <f>Base_mundial!C347</f>
        <v/>
      </c>
      <c r="II348">
        <f>Base_mundial!E347-MIN(tope,DEGREES(ATAN(TAN(RADIANS(pe0-omega*Base_mundial!B347))*(Base_mundial!C347/sref)^(m_-1))))</f>
        <v/>
      </c>
      <c r="IJ348" t="n">
        <v>1</v>
      </c>
      <c r="IK348">
        <f>IF(IJ348=1,LN(IH348),"")</f>
        <v/>
      </c>
      <c r="IL348">
        <f>IF(IJ348=1,AVERAGEIFS(II3:II688,IG3:IG688,IG348,IJ3:IJ688,1),"")</f>
        <v/>
      </c>
      <c r="IM348">
        <f>IF(IJ348=1,II348-IL348,"")</f>
        <v/>
      </c>
      <c r="IN348" t="inlineStr">
        <is>
          <t>moderate</t>
        </is>
      </c>
      <c r="IO348">
        <f>IF(IN348="good",II348,NA())</f>
        <v/>
      </c>
      <c r="IP348">
        <f>IF(IN348="moderate",II348,NA())</f>
        <v/>
      </c>
      <c r="IQ348">
        <f>IF(IN348="low",II348,NA())</f>
        <v/>
      </c>
      <c r="IR348">
        <f>IF(AND(IN348="good",IJ348=1),IM348,NA())</f>
        <v/>
      </c>
      <c r="IS348">
        <f>IF(AND(IN348="moderate",IJ348=1),IM348,NA())</f>
        <v/>
      </c>
      <c r="IT348">
        <f>IF(AND(IN348="low",IJ348=1),IM348,NA())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  <c r="IG349">
        <f>Base_mundial!A348</f>
        <v/>
      </c>
      <c r="IH349">
        <f>Base_mundial!C348</f>
        <v/>
      </c>
      <c r="II349">
        <f>Base_mundial!E348-MIN(tope,DEGREES(ATAN(TAN(RADIANS(pe0-omega*Base_mundial!B348))*(Base_mundial!C348/sref)^(m_-1))))</f>
        <v/>
      </c>
      <c r="IJ349" t="n">
        <v>0</v>
      </c>
      <c r="IK349">
        <f>IF(IJ349=1,LN(IH349),"")</f>
        <v/>
      </c>
      <c r="IL349">
        <f>IF(IJ349=1,AVERAGEIFS(II3:II688,IG3:IG688,IG349,IJ3:IJ688,1),"")</f>
        <v/>
      </c>
      <c r="IM349">
        <f>IF(IJ349=1,II349-IL349,"")</f>
        <v/>
      </c>
      <c r="IN349" t="inlineStr">
        <is>
          <t>low</t>
        </is>
      </c>
      <c r="IO349">
        <f>IF(IN349="good",II349,NA())</f>
        <v/>
      </c>
      <c r="IP349">
        <f>IF(IN349="moderate",II349,NA())</f>
        <v/>
      </c>
      <c r="IQ349">
        <f>IF(IN349="low",II349,NA())</f>
        <v/>
      </c>
      <c r="IR349">
        <f>IF(AND(IN349="good",IJ349=1),IM349,NA())</f>
        <v/>
      </c>
      <c r="IS349">
        <f>IF(AND(IN349="moderate",IJ349=1),IM349,NA())</f>
        <v/>
      </c>
      <c r="IT349">
        <f>IF(AND(IN349="low",IJ349=1),IM349,NA())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  <c r="IG350">
        <f>Base_mundial!A349</f>
        <v/>
      </c>
      <c r="IH350">
        <f>Base_mundial!C349</f>
        <v/>
      </c>
      <c r="II350">
        <f>Base_mundial!E349-MIN(tope,DEGREES(ATAN(TAN(RADIANS(pe0-omega*Base_mundial!B349))*(Base_mundial!C349/sref)^(m_-1))))</f>
        <v/>
      </c>
      <c r="IJ350" t="n">
        <v>0</v>
      </c>
      <c r="IK350">
        <f>IF(IJ350=1,LN(IH350),"")</f>
        <v/>
      </c>
      <c r="IL350">
        <f>IF(IJ350=1,AVERAGEIFS(II3:II688,IG3:IG688,IG350,IJ3:IJ688,1),"")</f>
        <v/>
      </c>
      <c r="IM350">
        <f>IF(IJ350=1,II350-IL350,"")</f>
        <v/>
      </c>
      <c r="IN350" t="inlineStr">
        <is>
          <t>low</t>
        </is>
      </c>
      <c r="IO350">
        <f>IF(IN350="good",II350,NA())</f>
        <v/>
      </c>
      <c r="IP350">
        <f>IF(IN350="moderate",II350,NA())</f>
        <v/>
      </c>
      <c r="IQ350">
        <f>IF(IN350="low",II350,NA())</f>
        <v/>
      </c>
      <c r="IR350">
        <f>IF(AND(IN350="good",IJ350=1),IM350,NA())</f>
        <v/>
      </c>
      <c r="IS350">
        <f>IF(AND(IN350="moderate",IJ350=1),IM350,NA())</f>
        <v/>
      </c>
      <c r="IT350">
        <f>IF(AND(IN350="low",IJ350=1),IM350,NA())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  <c r="IG351">
        <f>Base_mundial!A350</f>
        <v/>
      </c>
      <c r="IH351">
        <f>Base_mundial!C350</f>
        <v/>
      </c>
      <c r="II351">
        <f>Base_mundial!E350-MIN(tope,DEGREES(ATAN(TAN(RADIANS(pe0-omega*Base_mundial!B350))*(Base_mundial!C350/sref)^(m_-1))))</f>
        <v/>
      </c>
      <c r="IJ351" t="n">
        <v>1</v>
      </c>
      <c r="IK351">
        <f>IF(IJ351=1,LN(IH351),"")</f>
        <v/>
      </c>
      <c r="IL351">
        <f>IF(IJ351=1,AVERAGEIFS(II3:II688,IG3:IG688,IG351,IJ3:IJ688,1),"")</f>
        <v/>
      </c>
      <c r="IM351">
        <f>IF(IJ351=1,II351-IL351,"")</f>
        <v/>
      </c>
      <c r="IN351" t="inlineStr">
        <is>
          <t>low</t>
        </is>
      </c>
      <c r="IO351">
        <f>IF(IN351="good",II351,NA())</f>
        <v/>
      </c>
      <c r="IP351">
        <f>IF(IN351="moderate",II351,NA())</f>
        <v/>
      </c>
      <c r="IQ351">
        <f>IF(IN351="low",II351,NA())</f>
        <v/>
      </c>
      <c r="IR351">
        <f>IF(AND(IN351="good",IJ351=1),IM351,NA())</f>
        <v/>
      </c>
      <c r="IS351">
        <f>IF(AND(IN351="moderate",IJ351=1),IM351,NA())</f>
        <v/>
      </c>
      <c r="IT351">
        <f>IF(AND(IN351="low",IJ351=1),IM351,NA())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  <c r="IG352">
        <f>Base_mundial!A351</f>
        <v/>
      </c>
      <c r="IH352">
        <f>Base_mundial!C351</f>
        <v/>
      </c>
      <c r="II352">
        <f>Base_mundial!E351-MIN(tope,DEGREES(ATAN(TAN(RADIANS(pe0-omega*Base_mundial!B351))*(Base_mundial!C351/sref)^(m_-1))))</f>
        <v/>
      </c>
      <c r="IJ352" t="n">
        <v>1</v>
      </c>
      <c r="IK352">
        <f>IF(IJ352=1,LN(IH352),"")</f>
        <v/>
      </c>
      <c r="IL352">
        <f>IF(IJ352=1,AVERAGEIFS(II3:II688,IG3:IG688,IG352,IJ3:IJ688,1),"")</f>
        <v/>
      </c>
      <c r="IM352">
        <f>IF(IJ352=1,II352-IL352,"")</f>
        <v/>
      </c>
      <c r="IN352" t="inlineStr">
        <is>
          <t>low</t>
        </is>
      </c>
      <c r="IO352">
        <f>IF(IN352="good",II352,NA())</f>
        <v/>
      </c>
      <c r="IP352">
        <f>IF(IN352="moderate",II352,NA())</f>
        <v/>
      </c>
      <c r="IQ352">
        <f>IF(IN352="low",II352,NA())</f>
        <v/>
      </c>
      <c r="IR352">
        <f>IF(AND(IN352="good",IJ352=1),IM352,NA())</f>
        <v/>
      </c>
      <c r="IS352">
        <f>IF(AND(IN352="moderate",IJ352=1),IM352,NA())</f>
        <v/>
      </c>
      <c r="IT352">
        <f>IF(AND(IN352="low",IJ352=1),IM352,NA())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  <c r="IG353">
        <f>Base_mundial!A352</f>
        <v/>
      </c>
      <c r="IH353">
        <f>Base_mundial!C352</f>
        <v/>
      </c>
      <c r="II353">
        <f>Base_mundial!E352-MIN(tope,DEGREES(ATAN(TAN(RADIANS(pe0-omega*Base_mundial!B352))*(Base_mundial!C352/sref)^(m_-1))))</f>
        <v/>
      </c>
      <c r="IJ353" t="n">
        <v>1</v>
      </c>
      <c r="IK353">
        <f>IF(IJ353=1,LN(IH353),"")</f>
        <v/>
      </c>
      <c r="IL353">
        <f>IF(IJ353=1,AVERAGEIFS(II3:II688,IG3:IG688,IG353,IJ3:IJ688,1),"")</f>
        <v/>
      </c>
      <c r="IM353">
        <f>IF(IJ353=1,II353-IL353,"")</f>
        <v/>
      </c>
      <c r="IN353" t="inlineStr">
        <is>
          <t>low</t>
        </is>
      </c>
      <c r="IO353">
        <f>IF(IN353="good",II353,NA())</f>
        <v/>
      </c>
      <c r="IP353">
        <f>IF(IN353="moderate",II353,NA())</f>
        <v/>
      </c>
      <c r="IQ353">
        <f>IF(IN353="low",II353,NA())</f>
        <v/>
      </c>
      <c r="IR353">
        <f>IF(AND(IN353="good",IJ353=1),IM353,NA())</f>
        <v/>
      </c>
      <c r="IS353">
        <f>IF(AND(IN353="moderate",IJ353=1),IM353,NA())</f>
        <v/>
      </c>
      <c r="IT353">
        <f>IF(AND(IN353="low",IJ353=1),IM353,NA())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  <c r="IG354">
        <f>Base_mundial!A353</f>
        <v/>
      </c>
      <c r="IH354">
        <f>Base_mundial!C353</f>
        <v/>
      </c>
      <c r="II354">
        <f>Base_mundial!E353-MIN(tope,DEGREES(ATAN(TAN(RADIANS(pe0-omega*Base_mundial!B353))*(Base_mundial!C353/sref)^(m_-1))))</f>
        <v/>
      </c>
      <c r="IJ354" t="n">
        <v>0</v>
      </c>
      <c r="IK354">
        <f>IF(IJ354=1,LN(IH354),"")</f>
        <v/>
      </c>
      <c r="IL354">
        <f>IF(IJ354=1,AVERAGEIFS(II3:II688,IG3:IG688,IG354,IJ3:IJ688,1),"")</f>
        <v/>
      </c>
      <c r="IM354">
        <f>IF(IJ354=1,II354-IL354,"")</f>
        <v/>
      </c>
      <c r="IN354" t="inlineStr">
        <is>
          <t>moderate</t>
        </is>
      </c>
      <c r="IO354">
        <f>IF(IN354="good",II354,NA())</f>
        <v/>
      </c>
      <c r="IP354">
        <f>IF(IN354="moderate",II354,NA())</f>
        <v/>
      </c>
      <c r="IQ354">
        <f>IF(IN354="low",II354,NA())</f>
        <v/>
      </c>
      <c r="IR354">
        <f>IF(AND(IN354="good",IJ354=1),IM354,NA())</f>
        <v/>
      </c>
      <c r="IS354">
        <f>IF(AND(IN354="moderate",IJ354=1),IM354,NA())</f>
        <v/>
      </c>
      <c r="IT354">
        <f>IF(AND(IN354="low",IJ354=1),IM354,NA())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  <c r="IG355">
        <f>Base_mundial!A354</f>
        <v/>
      </c>
      <c r="IH355">
        <f>Base_mundial!C354</f>
        <v/>
      </c>
      <c r="II355">
        <f>Base_mundial!E354-MIN(tope,DEGREES(ATAN(TAN(RADIANS(pe0-omega*Base_mundial!B354))*(Base_mundial!C354/sref)^(m_-1))))</f>
        <v/>
      </c>
      <c r="IJ355" t="n">
        <v>0</v>
      </c>
      <c r="IK355">
        <f>IF(IJ355=1,LN(IH355),"")</f>
        <v/>
      </c>
      <c r="IL355">
        <f>IF(IJ355=1,AVERAGEIFS(II3:II688,IG3:IG688,IG355,IJ3:IJ688,1),"")</f>
        <v/>
      </c>
      <c r="IM355">
        <f>IF(IJ355=1,II355-IL355,"")</f>
        <v/>
      </c>
      <c r="IN355" t="inlineStr">
        <is>
          <t>moderate</t>
        </is>
      </c>
      <c r="IO355">
        <f>IF(IN355="good",II355,NA())</f>
        <v/>
      </c>
      <c r="IP355">
        <f>IF(IN355="moderate",II355,NA())</f>
        <v/>
      </c>
      <c r="IQ355">
        <f>IF(IN355="low",II355,NA())</f>
        <v/>
      </c>
      <c r="IR355">
        <f>IF(AND(IN355="good",IJ355=1),IM355,NA())</f>
        <v/>
      </c>
      <c r="IS355">
        <f>IF(AND(IN355="moderate",IJ355=1),IM355,NA())</f>
        <v/>
      </c>
      <c r="IT355">
        <f>IF(AND(IN355="low",IJ355=1),IM355,NA())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  <c r="IG356">
        <f>Base_mundial!A355</f>
        <v/>
      </c>
      <c r="IH356">
        <f>Base_mundial!C355</f>
        <v/>
      </c>
      <c r="II356">
        <f>Base_mundial!E355-MIN(tope,DEGREES(ATAN(TAN(RADIANS(pe0-omega*Base_mundial!B355))*(Base_mundial!C355/sref)^(m_-1))))</f>
        <v/>
      </c>
      <c r="IJ356" t="n">
        <v>1</v>
      </c>
      <c r="IK356">
        <f>IF(IJ356=1,LN(IH356),"")</f>
        <v/>
      </c>
      <c r="IL356">
        <f>IF(IJ356=1,AVERAGEIFS(II3:II688,IG3:IG688,IG356,IJ3:IJ688,1),"")</f>
        <v/>
      </c>
      <c r="IM356">
        <f>IF(IJ356=1,II356-IL356,"")</f>
        <v/>
      </c>
      <c r="IN356" t="inlineStr">
        <is>
          <t>moderate</t>
        </is>
      </c>
      <c r="IO356">
        <f>IF(IN356="good",II356,NA())</f>
        <v/>
      </c>
      <c r="IP356">
        <f>IF(IN356="moderate",II356,NA())</f>
        <v/>
      </c>
      <c r="IQ356">
        <f>IF(IN356="low",II356,NA())</f>
        <v/>
      </c>
      <c r="IR356">
        <f>IF(AND(IN356="good",IJ356=1),IM356,NA())</f>
        <v/>
      </c>
      <c r="IS356">
        <f>IF(AND(IN356="moderate",IJ356=1),IM356,NA())</f>
        <v/>
      </c>
      <c r="IT356">
        <f>IF(AND(IN356="low",IJ356=1),IM356,NA())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  <c r="IG357">
        <f>Base_mundial!A356</f>
        <v/>
      </c>
      <c r="IH357">
        <f>Base_mundial!C356</f>
        <v/>
      </c>
      <c r="II357">
        <f>Base_mundial!E356-MIN(tope,DEGREES(ATAN(TAN(RADIANS(pe0-omega*Base_mundial!B356))*(Base_mundial!C356/sref)^(m_-1))))</f>
        <v/>
      </c>
      <c r="IJ357" t="n">
        <v>1</v>
      </c>
      <c r="IK357">
        <f>IF(IJ357=1,LN(IH357),"")</f>
        <v/>
      </c>
      <c r="IL357">
        <f>IF(IJ357=1,AVERAGEIFS(II3:II688,IG3:IG688,IG357,IJ3:IJ688,1),"")</f>
        <v/>
      </c>
      <c r="IM357">
        <f>IF(IJ357=1,II357-IL357,"")</f>
        <v/>
      </c>
      <c r="IN357" t="inlineStr">
        <is>
          <t>moderate</t>
        </is>
      </c>
      <c r="IO357">
        <f>IF(IN357="good",II357,NA())</f>
        <v/>
      </c>
      <c r="IP357">
        <f>IF(IN357="moderate",II357,NA())</f>
        <v/>
      </c>
      <c r="IQ357">
        <f>IF(IN357="low",II357,NA())</f>
        <v/>
      </c>
      <c r="IR357">
        <f>IF(AND(IN357="good",IJ357=1),IM357,NA())</f>
        <v/>
      </c>
      <c r="IS357">
        <f>IF(AND(IN357="moderate",IJ357=1),IM357,NA())</f>
        <v/>
      </c>
      <c r="IT357">
        <f>IF(AND(IN357="low",IJ357=1),IM357,NA())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  <c r="IG358">
        <f>Base_mundial!A357</f>
        <v/>
      </c>
      <c r="IH358">
        <f>Base_mundial!C357</f>
        <v/>
      </c>
      <c r="II358">
        <f>Base_mundial!E357-MIN(tope,DEGREES(ATAN(TAN(RADIANS(pe0-omega*Base_mundial!B357))*(Base_mundial!C357/sref)^(m_-1))))</f>
        <v/>
      </c>
      <c r="IJ358" t="n">
        <v>1</v>
      </c>
      <c r="IK358">
        <f>IF(IJ358=1,LN(IH358),"")</f>
        <v/>
      </c>
      <c r="IL358">
        <f>IF(IJ358=1,AVERAGEIFS(II3:II688,IG3:IG688,IG358,IJ3:IJ688,1),"")</f>
        <v/>
      </c>
      <c r="IM358">
        <f>IF(IJ358=1,II358-IL358,"")</f>
        <v/>
      </c>
      <c r="IN358" t="inlineStr">
        <is>
          <t>moderate</t>
        </is>
      </c>
      <c r="IO358">
        <f>IF(IN358="good",II358,NA())</f>
        <v/>
      </c>
      <c r="IP358">
        <f>IF(IN358="moderate",II358,NA())</f>
        <v/>
      </c>
      <c r="IQ358">
        <f>IF(IN358="low",II358,NA())</f>
        <v/>
      </c>
      <c r="IR358">
        <f>IF(AND(IN358="good",IJ358=1),IM358,NA())</f>
        <v/>
      </c>
      <c r="IS358">
        <f>IF(AND(IN358="moderate",IJ358=1),IM358,NA())</f>
        <v/>
      </c>
      <c r="IT358">
        <f>IF(AND(IN358="low",IJ358=1),IM358,NA())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  <c r="IG359">
        <f>Base_mundial!A358</f>
        <v/>
      </c>
      <c r="IH359">
        <f>Base_mundial!C358</f>
        <v/>
      </c>
      <c r="II359">
        <f>Base_mundial!E358-MIN(tope,DEGREES(ATAN(TAN(RADIANS(pe0-omega*Base_mundial!B358))*(Base_mundial!C358/sref)^(m_-1))))</f>
        <v/>
      </c>
      <c r="IJ359" t="n">
        <v>0</v>
      </c>
      <c r="IK359">
        <f>IF(IJ359=1,LN(IH359),"")</f>
        <v/>
      </c>
      <c r="IL359">
        <f>IF(IJ359=1,AVERAGEIFS(II3:II688,IG3:IG688,IG359,IJ3:IJ688,1),"")</f>
        <v/>
      </c>
      <c r="IM359">
        <f>IF(IJ359=1,II359-IL359,"")</f>
        <v/>
      </c>
      <c r="IN359" t="inlineStr">
        <is>
          <t>good</t>
        </is>
      </c>
      <c r="IO359">
        <f>IF(IN359="good",II359,NA())</f>
        <v/>
      </c>
      <c r="IP359">
        <f>IF(IN359="moderate",II359,NA())</f>
        <v/>
      </c>
      <c r="IQ359">
        <f>IF(IN359="low",II359,NA())</f>
        <v/>
      </c>
      <c r="IR359">
        <f>IF(AND(IN359="good",IJ359=1),IM359,NA())</f>
        <v/>
      </c>
      <c r="IS359">
        <f>IF(AND(IN359="moderate",IJ359=1),IM359,NA())</f>
        <v/>
      </c>
      <c r="IT359">
        <f>IF(AND(IN359="low",IJ359=1),IM359,NA())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  <c r="IG360">
        <f>Base_mundial!A359</f>
        <v/>
      </c>
      <c r="IH360">
        <f>Base_mundial!C359</f>
        <v/>
      </c>
      <c r="II360">
        <f>Base_mundial!E359-MIN(tope,DEGREES(ATAN(TAN(RADIANS(pe0-omega*Base_mundial!B359))*(Base_mundial!C359/sref)^(m_-1))))</f>
        <v/>
      </c>
      <c r="IJ360" t="n">
        <v>1</v>
      </c>
      <c r="IK360">
        <f>IF(IJ360=1,LN(IH360),"")</f>
        <v/>
      </c>
      <c r="IL360">
        <f>IF(IJ360=1,AVERAGEIFS(II3:II688,IG3:IG688,IG360,IJ3:IJ688,1),"")</f>
        <v/>
      </c>
      <c r="IM360">
        <f>IF(IJ360=1,II360-IL360,"")</f>
        <v/>
      </c>
      <c r="IN360" t="inlineStr">
        <is>
          <t>good</t>
        </is>
      </c>
      <c r="IO360">
        <f>IF(IN360="good",II360,NA())</f>
        <v/>
      </c>
      <c r="IP360">
        <f>IF(IN360="moderate",II360,NA())</f>
        <v/>
      </c>
      <c r="IQ360">
        <f>IF(IN360="low",II360,NA())</f>
        <v/>
      </c>
      <c r="IR360">
        <f>IF(AND(IN360="good",IJ360=1),IM360,NA())</f>
        <v/>
      </c>
      <c r="IS360">
        <f>IF(AND(IN360="moderate",IJ360=1),IM360,NA())</f>
        <v/>
      </c>
      <c r="IT360">
        <f>IF(AND(IN360="low",IJ360=1),IM360,NA())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  <c r="IG361">
        <f>Base_mundial!A360</f>
        <v/>
      </c>
      <c r="IH361">
        <f>Base_mundial!C360</f>
        <v/>
      </c>
      <c r="II361">
        <f>Base_mundial!E360-MIN(tope,DEGREES(ATAN(TAN(RADIANS(pe0-omega*Base_mundial!B360))*(Base_mundial!C360/sref)^(m_-1))))</f>
        <v/>
      </c>
      <c r="IJ361" t="n">
        <v>1</v>
      </c>
      <c r="IK361">
        <f>IF(IJ361=1,LN(IH361),"")</f>
        <v/>
      </c>
      <c r="IL361">
        <f>IF(IJ361=1,AVERAGEIFS(II3:II688,IG3:IG688,IG361,IJ3:IJ688,1),"")</f>
        <v/>
      </c>
      <c r="IM361">
        <f>IF(IJ361=1,II361-IL361,"")</f>
        <v/>
      </c>
      <c r="IN361" t="inlineStr">
        <is>
          <t>good</t>
        </is>
      </c>
      <c r="IO361">
        <f>IF(IN361="good",II361,NA())</f>
        <v/>
      </c>
      <c r="IP361">
        <f>IF(IN361="moderate",II361,NA())</f>
        <v/>
      </c>
      <c r="IQ361">
        <f>IF(IN361="low",II361,NA())</f>
        <v/>
      </c>
      <c r="IR361">
        <f>IF(AND(IN361="good",IJ361=1),IM361,NA())</f>
        <v/>
      </c>
      <c r="IS361">
        <f>IF(AND(IN361="moderate",IJ361=1),IM361,NA())</f>
        <v/>
      </c>
      <c r="IT361">
        <f>IF(AND(IN361="low",IJ361=1),IM361,NA())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  <c r="IG362">
        <f>Base_mundial!A361</f>
        <v/>
      </c>
      <c r="IH362">
        <f>Base_mundial!C361</f>
        <v/>
      </c>
      <c r="II362">
        <f>Base_mundial!E361-MIN(tope,DEGREES(ATAN(TAN(RADIANS(pe0-omega*Base_mundial!B361))*(Base_mundial!C361/sref)^(m_-1))))</f>
        <v/>
      </c>
      <c r="IJ362" t="n">
        <v>0</v>
      </c>
      <c r="IK362">
        <f>IF(IJ362=1,LN(IH362),"")</f>
        <v/>
      </c>
      <c r="IL362">
        <f>IF(IJ362=1,AVERAGEIFS(II3:II688,IG3:IG688,IG362,IJ3:IJ688,1),"")</f>
        <v/>
      </c>
      <c r="IM362">
        <f>IF(IJ362=1,II362-IL362,"")</f>
        <v/>
      </c>
      <c r="IN362" t="inlineStr">
        <is>
          <t>good</t>
        </is>
      </c>
      <c r="IO362">
        <f>IF(IN362="good",II362,NA())</f>
        <v/>
      </c>
      <c r="IP362">
        <f>IF(IN362="moderate",II362,NA())</f>
        <v/>
      </c>
      <c r="IQ362">
        <f>IF(IN362="low",II362,NA())</f>
        <v/>
      </c>
      <c r="IR362">
        <f>IF(AND(IN362="good",IJ362=1),IM362,NA())</f>
        <v/>
      </c>
      <c r="IS362">
        <f>IF(AND(IN362="moderate",IJ362=1),IM362,NA())</f>
        <v/>
      </c>
      <c r="IT362">
        <f>IF(AND(IN362="low",IJ362=1),IM362,NA())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  <c r="IG363">
        <f>Base_mundial!A362</f>
        <v/>
      </c>
      <c r="IH363">
        <f>Base_mundial!C362</f>
        <v/>
      </c>
      <c r="II363">
        <f>Base_mundial!E362-MIN(tope,DEGREES(ATAN(TAN(RADIANS(pe0-omega*Base_mundial!B362))*(Base_mundial!C362/sref)^(m_-1))))</f>
        <v/>
      </c>
      <c r="IJ363" t="n">
        <v>1</v>
      </c>
      <c r="IK363">
        <f>IF(IJ363=1,LN(IH363),"")</f>
        <v/>
      </c>
      <c r="IL363">
        <f>IF(IJ363=1,AVERAGEIFS(II3:II688,IG3:IG688,IG363,IJ3:IJ688,1),"")</f>
        <v/>
      </c>
      <c r="IM363">
        <f>IF(IJ363=1,II363-IL363,"")</f>
        <v/>
      </c>
      <c r="IN363" t="inlineStr">
        <is>
          <t>good</t>
        </is>
      </c>
      <c r="IO363">
        <f>IF(IN363="good",II363,NA())</f>
        <v/>
      </c>
      <c r="IP363">
        <f>IF(IN363="moderate",II363,NA())</f>
        <v/>
      </c>
      <c r="IQ363">
        <f>IF(IN363="low",II363,NA())</f>
        <v/>
      </c>
      <c r="IR363">
        <f>IF(AND(IN363="good",IJ363=1),IM363,NA())</f>
        <v/>
      </c>
      <c r="IS363">
        <f>IF(AND(IN363="moderate",IJ363=1),IM363,NA())</f>
        <v/>
      </c>
      <c r="IT363">
        <f>IF(AND(IN363="low",IJ363=1),IM363,NA())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  <c r="IG364">
        <f>Base_mundial!A363</f>
        <v/>
      </c>
      <c r="IH364">
        <f>Base_mundial!C363</f>
        <v/>
      </c>
      <c r="II364">
        <f>Base_mundial!E363-MIN(tope,DEGREES(ATAN(TAN(RADIANS(pe0-omega*Base_mundial!B363))*(Base_mundial!C363/sref)^(m_-1))))</f>
        <v/>
      </c>
      <c r="IJ364" t="n">
        <v>1</v>
      </c>
      <c r="IK364">
        <f>IF(IJ364=1,LN(IH364),"")</f>
        <v/>
      </c>
      <c r="IL364">
        <f>IF(IJ364=1,AVERAGEIFS(II3:II688,IG3:IG688,IG364,IJ3:IJ688,1),"")</f>
        <v/>
      </c>
      <c r="IM364">
        <f>IF(IJ364=1,II364-IL364,"")</f>
        <v/>
      </c>
      <c r="IN364" t="inlineStr">
        <is>
          <t>good</t>
        </is>
      </c>
      <c r="IO364">
        <f>IF(IN364="good",II364,NA())</f>
        <v/>
      </c>
      <c r="IP364">
        <f>IF(IN364="moderate",II364,NA())</f>
        <v/>
      </c>
      <c r="IQ364">
        <f>IF(IN364="low",II364,NA())</f>
        <v/>
      </c>
      <c r="IR364">
        <f>IF(AND(IN364="good",IJ364=1),IM364,NA())</f>
        <v/>
      </c>
      <c r="IS364">
        <f>IF(AND(IN364="moderate",IJ364=1),IM364,NA())</f>
        <v/>
      </c>
      <c r="IT364">
        <f>IF(AND(IN364="low",IJ364=1),IM364,NA())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  <c r="IG365">
        <f>Base_mundial!A364</f>
        <v/>
      </c>
      <c r="IH365">
        <f>Base_mundial!C364</f>
        <v/>
      </c>
      <c r="II365">
        <f>Base_mundial!E364-MIN(tope,DEGREES(ATAN(TAN(RADIANS(pe0-omega*Base_mundial!B364))*(Base_mundial!C364/sref)^(m_-1))))</f>
        <v/>
      </c>
      <c r="IJ365" t="n">
        <v>0</v>
      </c>
      <c r="IK365">
        <f>IF(IJ365=1,LN(IH365),"")</f>
        <v/>
      </c>
      <c r="IL365">
        <f>IF(IJ365=1,AVERAGEIFS(II3:II688,IG3:IG688,IG365,IJ3:IJ688,1),"")</f>
        <v/>
      </c>
      <c r="IM365">
        <f>IF(IJ365=1,II365-IL365,"")</f>
        <v/>
      </c>
      <c r="IN365" t="inlineStr">
        <is>
          <t>moderate</t>
        </is>
      </c>
      <c r="IO365">
        <f>IF(IN365="good",II365,NA())</f>
        <v/>
      </c>
      <c r="IP365">
        <f>IF(IN365="moderate",II365,NA())</f>
        <v/>
      </c>
      <c r="IQ365">
        <f>IF(IN365="low",II365,NA())</f>
        <v/>
      </c>
      <c r="IR365">
        <f>IF(AND(IN365="good",IJ365=1),IM365,NA())</f>
        <v/>
      </c>
      <c r="IS365">
        <f>IF(AND(IN365="moderate",IJ365=1),IM365,NA())</f>
        <v/>
      </c>
      <c r="IT365">
        <f>IF(AND(IN365="low",IJ365=1),IM365,NA())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  <c r="IG366">
        <f>Base_mundial!A365</f>
        <v/>
      </c>
      <c r="IH366">
        <f>Base_mundial!C365</f>
        <v/>
      </c>
      <c r="II366">
        <f>Base_mundial!E365-MIN(tope,DEGREES(ATAN(TAN(RADIANS(pe0-omega*Base_mundial!B365))*(Base_mundial!C365/sref)^(m_-1))))</f>
        <v/>
      </c>
      <c r="IJ366" t="n">
        <v>0</v>
      </c>
      <c r="IK366">
        <f>IF(IJ366=1,LN(IH366),"")</f>
        <v/>
      </c>
      <c r="IL366">
        <f>IF(IJ366=1,AVERAGEIFS(II3:II688,IG3:IG688,IG366,IJ3:IJ688,1),"")</f>
        <v/>
      </c>
      <c r="IM366">
        <f>IF(IJ366=1,II366-IL366,"")</f>
        <v/>
      </c>
      <c r="IN366" t="inlineStr">
        <is>
          <t>moderate</t>
        </is>
      </c>
      <c r="IO366">
        <f>IF(IN366="good",II366,NA())</f>
        <v/>
      </c>
      <c r="IP366">
        <f>IF(IN366="moderate",II366,NA())</f>
        <v/>
      </c>
      <c r="IQ366">
        <f>IF(IN366="low",II366,NA())</f>
        <v/>
      </c>
      <c r="IR366">
        <f>IF(AND(IN366="good",IJ366=1),IM366,NA())</f>
        <v/>
      </c>
      <c r="IS366">
        <f>IF(AND(IN366="moderate",IJ366=1),IM366,NA())</f>
        <v/>
      </c>
      <c r="IT366">
        <f>IF(AND(IN366="low",IJ366=1),IM366,NA())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  <c r="IG367">
        <f>Base_mundial!A366</f>
        <v/>
      </c>
      <c r="IH367">
        <f>Base_mundial!C366</f>
        <v/>
      </c>
      <c r="II367">
        <f>Base_mundial!E366-MIN(tope,DEGREES(ATAN(TAN(RADIANS(pe0-omega*Base_mundial!B366))*(Base_mundial!C366/sref)^(m_-1))))</f>
        <v/>
      </c>
      <c r="IJ367" t="n">
        <v>1</v>
      </c>
      <c r="IK367">
        <f>IF(IJ367=1,LN(IH367),"")</f>
        <v/>
      </c>
      <c r="IL367">
        <f>IF(IJ367=1,AVERAGEIFS(II3:II688,IG3:IG688,IG367,IJ3:IJ688,1),"")</f>
        <v/>
      </c>
      <c r="IM367">
        <f>IF(IJ367=1,II367-IL367,"")</f>
        <v/>
      </c>
      <c r="IN367" t="inlineStr">
        <is>
          <t>moderate</t>
        </is>
      </c>
      <c r="IO367">
        <f>IF(IN367="good",II367,NA())</f>
        <v/>
      </c>
      <c r="IP367">
        <f>IF(IN367="moderate",II367,NA())</f>
        <v/>
      </c>
      <c r="IQ367">
        <f>IF(IN367="low",II367,NA())</f>
        <v/>
      </c>
      <c r="IR367">
        <f>IF(AND(IN367="good",IJ367=1),IM367,NA())</f>
        <v/>
      </c>
      <c r="IS367">
        <f>IF(AND(IN367="moderate",IJ367=1),IM367,NA())</f>
        <v/>
      </c>
      <c r="IT367">
        <f>IF(AND(IN367="low",IJ367=1),IM367,NA())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  <c r="IG368">
        <f>Base_mundial!A367</f>
        <v/>
      </c>
      <c r="IH368">
        <f>Base_mundial!C367</f>
        <v/>
      </c>
      <c r="II368">
        <f>Base_mundial!E367-MIN(tope,DEGREES(ATAN(TAN(RADIANS(pe0-omega*Base_mundial!B367))*(Base_mundial!C367/sref)^(m_-1))))</f>
        <v/>
      </c>
      <c r="IJ368" t="n">
        <v>1</v>
      </c>
      <c r="IK368">
        <f>IF(IJ368=1,LN(IH368),"")</f>
        <v/>
      </c>
      <c r="IL368">
        <f>IF(IJ368=1,AVERAGEIFS(II3:II688,IG3:IG688,IG368,IJ3:IJ688,1),"")</f>
        <v/>
      </c>
      <c r="IM368">
        <f>IF(IJ368=1,II368-IL368,"")</f>
        <v/>
      </c>
      <c r="IN368" t="inlineStr">
        <is>
          <t>moderate</t>
        </is>
      </c>
      <c r="IO368">
        <f>IF(IN368="good",II368,NA())</f>
        <v/>
      </c>
      <c r="IP368">
        <f>IF(IN368="moderate",II368,NA())</f>
        <v/>
      </c>
      <c r="IQ368">
        <f>IF(IN368="low",II368,NA())</f>
        <v/>
      </c>
      <c r="IR368">
        <f>IF(AND(IN368="good",IJ368=1),IM368,NA())</f>
        <v/>
      </c>
      <c r="IS368">
        <f>IF(AND(IN368="moderate",IJ368=1),IM368,NA())</f>
        <v/>
      </c>
      <c r="IT368">
        <f>IF(AND(IN368="low",IJ368=1),IM368,NA())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  <c r="IG369">
        <f>Base_mundial!A368</f>
        <v/>
      </c>
      <c r="IH369">
        <f>Base_mundial!C368</f>
        <v/>
      </c>
      <c r="II369">
        <f>Base_mundial!E368-MIN(tope,DEGREES(ATAN(TAN(RADIANS(pe0-omega*Base_mundial!B368))*(Base_mundial!C368/sref)^(m_-1))))</f>
        <v/>
      </c>
      <c r="IJ369" t="n">
        <v>0</v>
      </c>
      <c r="IK369">
        <f>IF(IJ369=1,LN(IH369),"")</f>
        <v/>
      </c>
      <c r="IL369">
        <f>IF(IJ369=1,AVERAGEIFS(II3:II688,IG3:IG688,IG369,IJ3:IJ688,1),"")</f>
        <v/>
      </c>
      <c r="IM369">
        <f>IF(IJ369=1,II369-IL369,"")</f>
        <v/>
      </c>
      <c r="IN369" t="inlineStr">
        <is>
          <t>moderate</t>
        </is>
      </c>
      <c r="IO369">
        <f>IF(IN369="good",II369,NA())</f>
        <v/>
      </c>
      <c r="IP369">
        <f>IF(IN369="moderate",II369,NA())</f>
        <v/>
      </c>
      <c r="IQ369">
        <f>IF(IN369="low",II369,NA())</f>
        <v/>
      </c>
      <c r="IR369">
        <f>IF(AND(IN369="good",IJ369=1),IM369,NA())</f>
        <v/>
      </c>
      <c r="IS369">
        <f>IF(AND(IN369="moderate",IJ369=1),IM369,NA())</f>
        <v/>
      </c>
      <c r="IT369">
        <f>IF(AND(IN369="low",IJ369=1),IM369,NA())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  <c r="IG370">
        <f>Base_mundial!A369</f>
        <v/>
      </c>
      <c r="IH370">
        <f>Base_mundial!C369</f>
        <v/>
      </c>
      <c r="II370">
        <f>Base_mundial!E369-MIN(tope,DEGREES(ATAN(TAN(RADIANS(pe0-omega*Base_mundial!B369))*(Base_mundial!C369/sref)^(m_-1))))</f>
        <v/>
      </c>
      <c r="IJ370" t="n">
        <v>0</v>
      </c>
      <c r="IK370">
        <f>IF(IJ370=1,LN(IH370),"")</f>
        <v/>
      </c>
      <c r="IL370">
        <f>IF(IJ370=1,AVERAGEIFS(II3:II688,IG3:IG688,IG370,IJ3:IJ688,1),"")</f>
        <v/>
      </c>
      <c r="IM370">
        <f>IF(IJ370=1,II370-IL370,"")</f>
        <v/>
      </c>
      <c r="IN370" t="inlineStr">
        <is>
          <t>moderate</t>
        </is>
      </c>
      <c r="IO370">
        <f>IF(IN370="good",II370,NA())</f>
        <v/>
      </c>
      <c r="IP370">
        <f>IF(IN370="moderate",II370,NA())</f>
        <v/>
      </c>
      <c r="IQ370">
        <f>IF(IN370="low",II370,NA())</f>
        <v/>
      </c>
      <c r="IR370">
        <f>IF(AND(IN370="good",IJ370=1),IM370,NA())</f>
        <v/>
      </c>
      <c r="IS370">
        <f>IF(AND(IN370="moderate",IJ370=1),IM370,NA())</f>
        <v/>
      </c>
      <c r="IT370">
        <f>IF(AND(IN370="low",IJ370=1),IM370,NA())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  <c r="IG371">
        <f>Base_mundial!A370</f>
        <v/>
      </c>
      <c r="IH371">
        <f>Base_mundial!C370</f>
        <v/>
      </c>
      <c r="II371">
        <f>Base_mundial!E370-MIN(tope,DEGREES(ATAN(TAN(RADIANS(pe0-omega*Base_mundial!B370))*(Base_mundial!C370/sref)^(m_-1))))</f>
        <v/>
      </c>
      <c r="IJ371" t="n">
        <v>0</v>
      </c>
      <c r="IK371">
        <f>IF(IJ371=1,LN(IH371),"")</f>
        <v/>
      </c>
      <c r="IL371">
        <f>IF(IJ371=1,AVERAGEIFS(II3:II688,IG3:IG688,IG371,IJ3:IJ688,1),"")</f>
        <v/>
      </c>
      <c r="IM371">
        <f>IF(IJ371=1,II371-IL371,"")</f>
        <v/>
      </c>
      <c r="IN371" t="inlineStr">
        <is>
          <t>moderate</t>
        </is>
      </c>
      <c r="IO371">
        <f>IF(IN371="good",II371,NA())</f>
        <v/>
      </c>
      <c r="IP371">
        <f>IF(IN371="moderate",II371,NA())</f>
        <v/>
      </c>
      <c r="IQ371">
        <f>IF(IN371="low",II371,NA())</f>
        <v/>
      </c>
      <c r="IR371">
        <f>IF(AND(IN371="good",IJ371=1),IM371,NA())</f>
        <v/>
      </c>
      <c r="IS371">
        <f>IF(AND(IN371="moderate",IJ371=1),IM371,NA())</f>
        <v/>
      </c>
      <c r="IT371">
        <f>IF(AND(IN371="low",IJ371=1),IM371,NA())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  <c r="IG372">
        <f>Base_mundial!A371</f>
        <v/>
      </c>
      <c r="IH372">
        <f>Base_mundial!C371</f>
        <v/>
      </c>
      <c r="II372">
        <f>Base_mundial!E371-MIN(tope,DEGREES(ATAN(TAN(RADIANS(pe0-omega*Base_mundial!B371))*(Base_mundial!C371/sref)^(m_-1))))</f>
        <v/>
      </c>
      <c r="IJ372" t="n">
        <v>1</v>
      </c>
      <c r="IK372">
        <f>IF(IJ372=1,LN(IH372),"")</f>
        <v/>
      </c>
      <c r="IL372">
        <f>IF(IJ372=1,AVERAGEIFS(II3:II688,IG3:IG688,IG372,IJ3:IJ688,1),"")</f>
        <v/>
      </c>
      <c r="IM372">
        <f>IF(IJ372=1,II372-IL372,"")</f>
        <v/>
      </c>
      <c r="IN372" t="inlineStr">
        <is>
          <t>moderate</t>
        </is>
      </c>
      <c r="IO372">
        <f>IF(IN372="good",II372,NA())</f>
        <v/>
      </c>
      <c r="IP372">
        <f>IF(IN372="moderate",II372,NA())</f>
        <v/>
      </c>
      <c r="IQ372">
        <f>IF(IN372="low",II372,NA())</f>
        <v/>
      </c>
      <c r="IR372">
        <f>IF(AND(IN372="good",IJ372=1),IM372,NA())</f>
        <v/>
      </c>
      <c r="IS372">
        <f>IF(AND(IN372="moderate",IJ372=1),IM372,NA())</f>
        <v/>
      </c>
      <c r="IT372">
        <f>IF(AND(IN372="low",IJ372=1),IM372,NA())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  <c r="IG373">
        <f>Base_mundial!A372</f>
        <v/>
      </c>
      <c r="IH373">
        <f>Base_mundial!C372</f>
        <v/>
      </c>
      <c r="II373">
        <f>Base_mundial!E372-MIN(tope,DEGREES(ATAN(TAN(RADIANS(pe0-omega*Base_mundial!B372))*(Base_mundial!C372/sref)^(m_-1))))</f>
        <v/>
      </c>
      <c r="IJ373" t="n">
        <v>1</v>
      </c>
      <c r="IK373">
        <f>IF(IJ373=1,LN(IH373),"")</f>
        <v/>
      </c>
      <c r="IL373">
        <f>IF(IJ373=1,AVERAGEIFS(II3:II688,IG3:IG688,IG373,IJ3:IJ688,1),"")</f>
        <v/>
      </c>
      <c r="IM373">
        <f>IF(IJ373=1,II373-IL373,"")</f>
        <v/>
      </c>
      <c r="IN373" t="inlineStr">
        <is>
          <t>moderate</t>
        </is>
      </c>
      <c r="IO373">
        <f>IF(IN373="good",II373,NA())</f>
        <v/>
      </c>
      <c r="IP373">
        <f>IF(IN373="moderate",II373,NA())</f>
        <v/>
      </c>
      <c r="IQ373">
        <f>IF(IN373="low",II373,NA())</f>
        <v/>
      </c>
      <c r="IR373">
        <f>IF(AND(IN373="good",IJ373=1),IM373,NA())</f>
        <v/>
      </c>
      <c r="IS373">
        <f>IF(AND(IN373="moderate",IJ373=1),IM373,NA())</f>
        <v/>
      </c>
      <c r="IT373">
        <f>IF(AND(IN373="low",IJ373=1),IM373,NA())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  <c r="IG374">
        <f>Base_mundial!A373</f>
        <v/>
      </c>
      <c r="IH374">
        <f>Base_mundial!C373</f>
        <v/>
      </c>
      <c r="II374">
        <f>Base_mundial!E373-MIN(tope,DEGREES(ATAN(TAN(RADIANS(pe0-omega*Base_mundial!B373))*(Base_mundial!C373/sref)^(m_-1))))</f>
        <v/>
      </c>
      <c r="IJ374" t="n">
        <v>0</v>
      </c>
      <c r="IK374">
        <f>IF(IJ374=1,LN(IH374),"")</f>
        <v/>
      </c>
      <c r="IL374">
        <f>IF(IJ374=1,AVERAGEIFS(II3:II688,IG3:IG688,IG374,IJ3:IJ688,1),"")</f>
        <v/>
      </c>
      <c r="IM374">
        <f>IF(IJ374=1,II374-IL374,"")</f>
        <v/>
      </c>
      <c r="IN374" t="inlineStr">
        <is>
          <t>moderate</t>
        </is>
      </c>
      <c r="IO374">
        <f>IF(IN374="good",II374,NA())</f>
        <v/>
      </c>
      <c r="IP374">
        <f>IF(IN374="moderate",II374,NA())</f>
        <v/>
      </c>
      <c r="IQ374">
        <f>IF(IN374="low",II374,NA())</f>
        <v/>
      </c>
      <c r="IR374">
        <f>IF(AND(IN374="good",IJ374=1),IM374,NA())</f>
        <v/>
      </c>
      <c r="IS374">
        <f>IF(AND(IN374="moderate",IJ374=1),IM374,NA())</f>
        <v/>
      </c>
      <c r="IT374">
        <f>IF(AND(IN374="low",IJ374=1),IM374,NA())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  <c r="IG375">
        <f>Base_mundial!A374</f>
        <v/>
      </c>
      <c r="IH375">
        <f>Base_mundial!C374</f>
        <v/>
      </c>
      <c r="II375">
        <f>Base_mundial!E374-MIN(tope,DEGREES(ATAN(TAN(RADIANS(pe0-omega*Base_mundial!B374))*(Base_mundial!C374/sref)^(m_-1))))</f>
        <v/>
      </c>
      <c r="IJ375" t="n">
        <v>0</v>
      </c>
      <c r="IK375">
        <f>IF(IJ375=1,LN(IH375),"")</f>
        <v/>
      </c>
      <c r="IL375">
        <f>IF(IJ375=1,AVERAGEIFS(II3:II688,IG3:IG688,IG375,IJ3:IJ688,1),"")</f>
        <v/>
      </c>
      <c r="IM375">
        <f>IF(IJ375=1,II375-IL375,"")</f>
        <v/>
      </c>
      <c r="IN375" t="inlineStr">
        <is>
          <t>moderate</t>
        </is>
      </c>
      <c r="IO375">
        <f>IF(IN375="good",II375,NA())</f>
        <v/>
      </c>
      <c r="IP375">
        <f>IF(IN375="moderate",II375,NA())</f>
        <v/>
      </c>
      <c r="IQ375">
        <f>IF(IN375="low",II375,NA())</f>
        <v/>
      </c>
      <c r="IR375">
        <f>IF(AND(IN375="good",IJ375=1),IM375,NA())</f>
        <v/>
      </c>
      <c r="IS375">
        <f>IF(AND(IN375="moderate",IJ375=1),IM375,NA())</f>
        <v/>
      </c>
      <c r="IT375">
        <f>IF(AND(IN375="low",IJ375=1),IM375,NA())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  <c r="IG376">
        <f>Base_mundial!A375</f>
        <v/>
      </c>
      <c r="IH376">
        <f>Base_mundial!C375</f>
        <v/>
      </c>
      <c r="II376">
        <f>Base_mundial!E375-MIN(tope,DEGREES(ATAN(TAN(RADIANS(pe0-omega*Base_mundial!B375))*(Base_mundial!C375/sref)^(m_-1))))</f>
        <v/>
      </c>
      <c r="IJ376" t="n">
        <v>1</v>
      </c>
      <c r="IK376">
        <f>IF(IJ376=1,LN(IH376),"")</f>
        <v/>
      </c>
      <c r="IL376">
        <f>IF(IJ376=1,AVERAGEIFS(II3:II688,IG3:IG688,IG376,IJ3:IJ688,1),"")</f>
        <v/>
      </c>
      <c r="IM376">
        <f>IF(IJ376=1,II376-IL376,"")</f>
        <v/>
      </c>
      <c r="IN376" t="inlineStr">
        <is>
          <t>moderate</t>
        </is>
      </c>
      <c r="IO376">
        <f>IF(IN376="good",II376,NA())</f>
        <v/>
      </c>
      <c r="IP376">
        <f>IF(IN376="moderate",II376,NA())</f>
        <v/>
      </c>
      <c r="IQ376">
        <f>IF(IN376="low",II376,NA())</f>
        <v/>
      </c>
      <c r="IR376">
        <f>IF(AND(IN376="good",IJ376=1),IM376,NA())</f>
        <v/>
      </c>
      <c r="IS376">
        <f>IF(AND(IN376="moderate",IJ376=1),IM376,NA())</f>
        <v/>
      </c>
      <c r="IT376">
        <f>IF(AND(IN376="low",IJ376=1),IM376,NA())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  <c r="IG377">
        <f>Base_mundial!A376</f>
        <v/>
      </c>
      <c r="IH377">
        <f>Base_mundial!C376</f>
        <v/>
      </c>
      <c r="II377">
        <f>Base_mundial!E376-MIN(tope,DEGREES(ATAN(TAN(RADIANS(pe0-omega*Base_mundial!B376))*(Base_mundial!C376/sref)^(m_-1))))</f>
        <v/>
      </c>
      <c r="IJ377" t="n">
        <v>1</v>
      </c>
      <c r="IK377">
        <f>IF(IJ377=1,LN(IH377),"")</f>
        <v/>
      </c>
      <c r="IL377">
        <f>IF(IJ377=1,AVERAGEIFS(II3:II688,IG3:IG688,IG377,IJ3:IJ688,1),"")</f>
        <v/>
      </c>
      <c r="IM377">
        <f>IF(IJ377=1,II377-IL377,"")</f>
        <v/>
      </c>
      <c r="IN377" t="inlineStr">
        <is>
          <t>moderate</t>
        </is>
      </c>
      <c r="IO377">
        <f>IF(IN377="good",II377,NA())</f>
        <v/>
      </c>
      <c r="IP377">
        <f>IF(IN377="moderate",II377,NA())</f>
        <v/>
      </c>
      <c r="IQ377">
        <f>IF(IN377="low",II377,NA())</f>
        <v/>
      </c>
      <c r="IR377">
        <f>IF(AND(IN377="good",IJ377=1),IM377,NA())</f>
        <v/>
      </c>
      <c r="IS377">
        <f>IF(AND(IN377="moderate",IJ377=1),IM377,NA())</f>
        <v/>
      </c>
      <c r="IT377">
        <f>IF(AND(IN377="low",IJ377=1),IM377,NA())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  <c r="IG378">
        <f>Base_mundial!A377</f>
        <v/>
      </c>
      <c r="IH378">
        <f>Base_mundial!C377</f>
        <v/>
      </c>
      <c r="II378">
        <f>Base_mundial!E377-MIN(tope,DEGREES(ATAN(TAN(RADIANS(pe0-omega*Base_mundial!B377))*(Base_mundial!C377/sref)^(m_-1))))</f>
        <v/>
      </c>
      <c r="IJ378" t="n">
        <v>1</v>
      </c>
      <c r="IK378">
        <f>IF(IJ378=1,LN(IH378),"")</f>
        <v/>
      </c>
      <c r="IL378">
        <f>IF(IJ378=1,AVERAGEIFS(II3:II688,IG3:IG688,IG378,IJ3:IJ688,1),"")</f>
        <v/>
      </c>
      <c r="IM378">
        <f>IF(IJ378=1,II378-IL378,"")</f>
        <v/>
      </c>
      <c r="IN378" t="inlineStr">
        <is>
          <t>moderate</t>
        </is>
      </c>
      <c r="IO378">
        <f>IF(IN378="good",II378,NA())</f>
        <v/>
      </c>
      <c r="IP378">
        <f>IF(IN378="moderate",II378,NA())</f>
        <v/>
      </c>
      <c r="IQ378">
        <f>IF(IN378="low",II378,NA())</f>
        <v/>
      </c>
      <c r="IR378">
        <f>IF(AND(IN378="good",IJ378=1),IM378,NA())</f>
        <v/>
      </c>
      <c r="IS378">
        <f>IF(AND(IN378="moderate",IJ378=1),IM378,NA())</f>
        <v/>
      </c>
      <c r="IT378">
        <f>IF(AND(IN378="low",IJ378=1),IM378,NA())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  <c r="IG379">
        <f>Base_mundial!A378</f>
        <v/>
      </c>
      <c r="IH379">
        <f>Base_mundial!C378</f>
        <v/>
      </c>
      <c r="II379">
        <f>Base_mundial!E378-MIN(tope,DEGREES(ATAN(TAN(RADIANS(pe0-omega*Base_mundial!B378))*(Base_mundial!C378/sref)^(m_-1))))</f>
        <v/>
      </c>
      <c r="IJ379" t="n">
        <v>0</v>
      </c>
      <c r="IK379">
        <f>IF(IJ379=1,LN(IH379),"")</f>
        <v/>
      </c>
      <c r="IL379">
        <f>IF(IJ379=1,AVERAGEIFS(II3:II688,IG3:IG688,IG379,IJ3:IJ688,1),"")</f>
        <v/>
      </c>
      <c r="IM379">
        <f>IF(IJ379=1,II379-IL379,"")</f>
        <v/>
      </c>
      <c r="IN379" t="inlineStr">
        <is>
          <t>moderate</t>
        </is>
      </c>
      <c r="IO379">
        <f>IF(IN379="good",II379,NA())</f>
        <v/>
      </c>
      <c r="IP379">
        <f>IF(IN379="moderate",II379,NA())</f>
        <v/>
      </c>
      <c r="IQ379">
        <f>IF(IN379="low",II379,NA())</f>
        <v/>
      </c>
      <c r="IR379">
        <f>IF(AND(IN379="good",IJ379=1),IM379,NA())</f>
        <v/>
      </c>
      <c r="IS379">
        <f>IF(AND(IN379="moderate",IJ379=1),IM379,NA())</f>
        <v/>
      </c>
      <c r="IT379">
        <f>IF(AND(IN379="low",IJ379=1),IM379,NA())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  <c r="IG380">
        <f>Base_mundial!A379</f>
        <v/>
      </c>
      <c r="IH380">
        <f>Base_mundial!C379</f>
        <v/>
      </c>
      <c r="II380">
        <f>Base_mundial!E379-MIN(tope,DEGREES(ATAN(TAN(RADIANS(pe0-omega*Base_mundial!B379))*(Base_mundial!C379/sref)^(m_-1))))</f>
        <v/>
      </c>
      <c r="IJ380" t="n">
        <v>1</v>
      </c>
      <c r="IK380">
        <f>IF(IJ380=1,LN(IH380),"")</f>
        <v/>
      </c>
      <c r="IL380">
        <f>IF(IJ380=1,AVERAGEIFS(II3:II688,IG3:IG688,IG380,IJ3:IJ688,1),"")</f>
        <v/>
      </c>
      <c r="IM380">
        <f>IF(IJ380=1,II380-IL380,"")</f>
        <v/>
      </c>
      <c r="IN380" t="inlineStr">
        <is>
          <t>moderate</t>
        </is>
      </c>
      <c r="IO380">
        <f>IF(IN380="good",II380,NA())</f>
        <v/>
      </c>
      <c r="IP380">
        <f>IF(IN380="moderate",II380,NA())</f>
        <v/>
      </c>
      <c r="IQ380">
        <f>IF(IN380="low",II380,NA())</f>
        <v/>
      </c>
      <c r="IR380">
        <f>IF(AND(IN380="good",IJ380=1),IM380,NA())</f>
        <v/>
      </c>
      <c r="IS380">
        <f>IF(AND(IN380="moderate",IJ380=1),IM380,NA())</f>
        <v/>
      </c>
      <c r="IT380">
        <f>IF(AND(IN380="low",IJ380=1),IM380,NA())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  <c r="IG381">
        <f>Base_mundial!A380</f>
        <v/>
      </c>
      <c r="IH381">
        <f>Base_mundial!C380</f>
        <v/>
      </c>
      <c r="II381">
        <f>Base_mundial!E380-MIN(tope,DEGREES(ATAN(TAN(RADIANS(pe0-omega*Base_mundial!B380))*(Base_mundial!C380/sref)^(m_-1))))</f>
        <v/>
      </c>
      <c r="IJ381" t="n">
        <v>1</v>
      </c>
      <c r="IK381">
        <f>IF(IJ381=1,LN(IH381),"")</f>
        <v/>
      </c>
      <c r="IL381">
        <f>IF(IJ381=1,AVERAGEIFS(II3:II688,IG3:IG688,IG381,IJ3:IJ688,1),"")</f>
        <v/>
      </c>
      <c r="IM381">
        <f>IF(IJ381=1,II381-IL381,"")</f>
        <v/>
      </c>
      <c r="IN381" t="inlineStr">
        <is>
          <t>moderate</t>
        </is>
      </c>
      <c r="IO381">
        <f>IF(IN381="good",II381,NA())</f>
        <v/>
      </c>
      <c r="IP381">
        <f>IF(IN381="moderate",II381,NA())</f>
        <v/>
      </c>
      <c r="IQ381">
        <f>IF(IN381="low",II381,NA())</f>
        <v/>
      </c>
      <c r="IR381">
        <f>IF(AND(IN381="good",IJ381=1),IM381,NA())</f>
        <v/>
      </c>
      <c r="IS381">
        <f>IF(AND(IN381="moderate",IJ381=1),IM381,NA())</f>
        <v/>
      </c>
      <c r="IT381">
        <f>IF(AND(IN381="low",IJ381=1),IM381,NA())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  <c r="IG382">
        <f>Base_mundial!A381</f>
        <v/>
      </c>
      <c r="IH382">
        <f>Base_mundial!C381</f>
        <v/>
      </c>
      <c r="II382">
        <f>Base_mundial!E381-MIN(tope,DEGREES(ATAN(TAN(RADIANS(pe0-omega*Base_mundial!B381))*(Base_mundial!C381/sref)^(m_-1))))</f>
        <v/>
      </c>
      <c r="IJ382" t="n">
        <v>0</v>
      </c>
      <c r="IK382">
        <f>IF(IJ382=1,LN(IH382),"")</f>
        <v/>
      </c>
      <c r="IL382">
        <f>IF(IJ382=1,AVERAGEIFS(II3:II688,IG3:IG688,IG382,IJ3:IJ688,1),"")</f>
        <v/>
      </c>
      <c r="IM382">
        <f>IF(IJ382=1,II382-IL382,"")</f>
        <v/>
      </c>
      <c r="IN382" t="inlineStr">
        <is>
          <t>moderate</t>
        </is>
      </c>
      <c r="IO382">
        <f>IF(IN382="good",II382,NA())</f>
        <v/>
      </c>
      <c r="IP382">
        <f>IF(IN382="moderate",II382,NA())</f>
        <v/>
      </c>
      <c r="IQ382">
        <f>IF(IN382="low",II382,NA())</f>
        <v/>
      </c>
      <c r="IR382">
        <f>IF(AND(IN382="good",IJ382=1),IM382,NA())</f>
        <v/>
      </c>
      <c r="IS382">
        <f>IF(AND(IN382="moderate",IJ382=1),IM382,NA())</f>
        <v/>
      </c>
      <c r="IT382">
        <f>IF(AND(IN382="low",IJ382=1),IM382,NA())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  <c r="IG383">
        <f>Base_mundial!A382</f>
        <v/>
      </c>
      <c r="IH383">
        <f>Base_mundial!C382</f>
        <v/>
      </c>
      <c r="II383">
        <f>Base_mundial!E382-MIN(tope,DEGREES(ATAN(TAN(RADIANS(pe0-omega*Base_mundial!B382))*(Base_mundial!C382/sref)^(m_-1))))</f>
        <v/>
      </c>
      <c r="IJ383" t="n">
        <v>1</v>
      </c>
      <c r="IK383">
        <f>IF(IJ383=1,LN(IH383),"")</f>
        <v/>
      </c>
      <c r="IL383">
        <f>IF(IJ383=1,AVERAGEIFS(II3:II688,IG3:IG688,IG383,IJ3:IJ688,1),"")</f>
        <v/>
      </c>
      <c r="IM383">
        <f>IF(IJ383=1,II383-IL383,"")</f>
        <v/>
      </c>
      <c r="IN383" t="inlineStr">
        <is>
          <t>moderate</t>
        </is>
      </c>
      <c r="IO383">
        <f>IF(IN383="good",II383,NA())</f>
        <v/>
      </c>
      <c r="IP383">
        <f>IF(IN383="moderate",II383,NA())</f>
        <v/>
      </c>
      <c r="IQ383">
        <f>IF(IN383="low",II383,NA())</f>
        <v/>
      </c>
      <c r="IR383">
        <f>IF(AND(IN383="good",IJ383=1),IM383,NA())</f>
        <v/>
      </c>
      <c r="IS383">
        <f>IF(AND(IN383="moderate",IJ383=1),IM383,NA())</f>
        <v/>
      </c>
      <c r="IT383">
        <f>IF(AND(IN383="low",IJ383=1),IM383,NA())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  <c r="IG384">
        <f>Base_mundial!A383</f>
        <v/>
      </c>
      <c r="IH384">
        <f>Base_mundial!C383</f>
        <v/>
      </c>
      <c r="II384">
        <f>Base_mundial!E383-MIN(tope,DEGREES(ATAN(TAN(RADIANS(pe0-omega*Base_mundial!B383))*(Base_mundial!C383/sref)^(m_-1))))</f>
        <v/>
      </c>
      <c r="IJ384" t="n">
        <v>1</v>
      </c>
      <c r="IK384">
        <f>IF(IJ384=1,LN(IH384),"")</f>
        <v/>
      </c>
      <c r="IL384">
        <f>IF(IJ384=1,AVERAGEIFS(II3:II688,IG3:IG688,IG384,IJ3:IJ688,1),"")</f>
        <v/>
      </c>
      <c r="IM384">
        <f>IF(IJ384=1,II384-IL384,"")</f>
        <v/>
      </c>
      <c r="IN384" t="inlineStr">
        <is>
          <t>moderate</t>
        </is>
      </c>
      <c r="IO384">
        <f>IF(IN384="good",II384,NA())</f>
        <v/>
      </c>
      <c r="IP384">
        <f>IF(IN384="moderate",II384,NA())</f>
        <v/>
      </c>
      <c r="IQ384">
        <f>IF(IN384="low",II384,NA())</f>
        <v/>
      </c>
      <c r="IR384">
        <f>IF(AND(IN384="good",IJ384=1),IM384,NA())</f>
        <v/>
      </c>
      <c r="IS384">
        <f>IF(AND(IN384="moderate",IJ384=1),IM384,NA())</f>
        <v/>
      </c>
      <c r="IT384">
        <f>IF(AND(IN384="low",IJ384=1),IM384,NA())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  <c r="IG385">
        <f>Base_mundial!A384</f>
        <v/>
      </c>
      <c r="IH385">
        <f>Base_mundial!C384</f>
        <v/>
      </c>
      <c r="II385">
        <f>Base_mundial!E384-MIN(tope,DEGREES(ATAN(TAN(RADIANS(pe0-omega*Base_mundial!B384))*(Base_mundial!C384/sref)^(m_-1))))</f>
        <v/>
      </c>
      <c r="IJ385" t="n">
        <v>0</v>
      </c>
      <c r="IK385">
        <f>IF(IJ385=1,LN(IH385),"")</f>
        <v/>
      </c>
      <c r="IL385">
        <f>IF(IJ385=1,AVERAGEIFS(II3:II688,IG3:IG688,IG385,IJ3:IJ688,1),"")</f>
        <v/>
      </c>
      <c r="IM385">
        <f>IF(IJ385=1,II385-IL385,"")</f>
        <v/>
      </c>
      <c r="IN385" t="inlineStr">
        <is>
          <t>moderate</t>
        </is>
      </c>
      <c r="IO385">
        <f>IF(IN385="good",II385,NA())</f>
        <v/>
      </c>
      <c r="IP385">
        <f>IF(IN385="moderate",II385,NA())</f>
        <v/>
      </c>
      <c r="IQ385">
        <f>IF(IN385="low",II385,NA())</f>
        <v/>
      </c>
      <c r="IR385">
        <f>IF(AND(IN385="good",IJ385=1),IM385,NA())</f>
        <v/>
      </c>
      <c r="IS385">
        <f>IF(AND(IN385="moderate",IJ385=1),IM385,NA())</f>
        <v/>
      </c>
      <c r="IT385">
        <f>IF(AND(IN385="low",IJ385=1),IM385,NA())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  <c r="IG386">
        <f>Base_mundial!A385</f>
        <v/>
      </c>
      <c r="IH386">
        <f>Base_mundial!C385</f>
        <v/>
      </c>
      <c r="II386">
        <f>Base_mundial!E385-MIN(tope,DEGREES(ATAN(TAN(RADIANS(pe0-omega*Base_mundial!B385))*(Base_mundial!C385/sref)^(m_-1))))</f>
        <v/>
      </c>
      <c r="IJ386" t="n">
        <v>1</v>
      </c>
      <c r="IK386">
        <f>IF(IJ386=1,LN(IH386),"")</f>
        <v/>
      </c>
      <c r="IL386">
        <f>IF(IJ386=1,AVERAGEIFS(II3:II688,IG3:IG688,IG386,IJ3:IJ688,1),"")</f>
        <v/>
      </c>
      <c r="IM386">
        <f>IF(IJ386=1,II386-IL386,"")</f>
        <v/>
      </c>
      <c r="IN386" t="inlineStr">
        <is>
          <t>moderate</t>
        </is>
      </c>
      <c r="IO386">
        <f>IF(IN386="good",II386,NA())</f>
        <v/>
      </c>
      <c r="IP386">
        <f>IF(IN386="moderate",II386,NA())</f>
        <v/>
      </c>
      <c r="IQ386">
        <f>IF(IN386="low",II386,NA())</f>
        <v/>
      </c>
      <c r="IR386">
        <f>IF(AND(IN386="good",IJ386=1),IM386,NA())</f>
        <v/>
      </c>
      <c r="IS386">
        <f>IF(AND(IN386="moderate",IJ386=1),IM386,NA())</f>
        <v/>
      </c>
      <c r="IT386">
        <f>IF(AND(IN386="low",IJ386=1),IM386,NA())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  <c r="IG387">
        <f>Base_mundial!A386</f>
        <v/>
      </c>
      <c r="IH387">
        <f>Base_mundial!C386</f>
        <v/>
      </c>
      <c r="II387">
        <f>Base_mundial!E386-MIN(tope,DEGREES(ATAN(TAN(RADIANS(pe0-omega*Base_mundial!B386))*(Base_mundial!C386/sref)^(m_-1))))</f>
        <v/>
      </c>
      <c r="IJ387" t="n">
        <v>1</v>
      </c>
      <c r="IK387">
        <f>IF(IJ387=1,LN(IH387),"")</f>
        <v/>
      </c>
      <c r="IL387">
        <f>IF(IJ387=1,AVERAGEIFS(II3:II688,IG3:IG688,IG387,IJ3:IJ688,1),"")</f>
        <v/>
      </c>
      <c r="IM387">
        <f>IF(IJ387=1,II387-IL387,"")</f>
        <v/>
      </c>
      <c r="IN387" t="inlineStr">
        <is>
          <t>moderate</t>
        </is>
      </c>
      <c r="IO387">
        <f>IF(IN387="good",II387,NA())</f>
        <v/>
      </c>
      <c r="IP387">
        <f>IF(IN387="moderate",II387,NA())</f>
        <v/>
      </c>
      <c r="IQ387">
        <f>IF(IN387="low",II387,NA())</f>
        <v/>
      </c>
      <c r="IR387">
        <f>IF(AND(IN387="good",IJ387=1),IM387,NA())</f>
        <v/>
      </c>
      <c r="IS387">
        <f>IF(AND(IN387="moderate",IJ387=1),IM387,NA())</f>
        <v/>
      </c>
      <c r="IT387">
        <f>IF(AND(IN387="low",IJ387=1),IM387,NA())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  <c r="IG388">
        <f>Base_mundial!A387</f>
        <v/>
      </c>
      <c r="IH388">
        <f>Base_mundial!C387</f>
        <v/>
      </c>
      <c r="II388">
        <f>Base_mundial!E387-MIN(tope,DEGREES(ATAN(TAN(RADIANS(pe0-omega*Base_mundial!B387))*(Base_mundial!C387/sref)^(m_-1))))</f>
        <v/>
      </c>
      <c r="IJ388" t="n">
        <v>0</v>
      </c>
      <c r="IK388">
        <f>IF(IJ388=1,LN(IH388),"")</f>
        <v/>
      </c>
      <c r="IL388">
        <f>IF(IJ388=1,AVERAGEIFS(II3:II688,IG3:IG688,IG388,IJ3:IJ688,1),"")</f>
        <v/>
      </c>
      <c r="IM388">
        <f>IF(IJ388=1,II388-IL388,"")</f>
        <v/>
      </c>
      <c r="IN388" t="inlineStr">
        <is>
          <t>moderate</t>
        </is>
      </c>
      <c r="IO388">
        <f>IF(IN388="good",II388,NA())</f>
        <v/>
      </c>
      <c r="IP388">
        <f>IF(IN388="moderate",II388,NA())</f>
        <v/>
      </c>
      <c r="IQ388">
        <f>IF(IN388="low",II388,NA())</f>
        <v/>
      </c>
      <c r="IR388">
        <f>IF(AND(IN388="good",IJ388=1),IM388,NA())</f>
        <v/>
      </c>
      <c r="IS388">
        <f>IF(AND(IN388="moderate",IJ388=1),IM388,NA())</f>
        <v/>
      </c>
      <c r="IT388">
        <f>IF(AND(IN388="low",IJ388=1),IM388,NA())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  <c r="IG389">
        <f>Base_mundial!A388</f>
        <v/>
      </c>
      <c r="IH389">
        <f>Base_mundial!C388</f>
        <v/>
      </c>
      <c r="II389">
        <f>Base_mundial!E388-MIN(tope,DEGREES(ATAN(TAN(RADIANS(pe0-omega*Base_mundial!B388))*(Base_mundial!C388/sref)^(m_-1))))</f>
        <v/>
      </c>
      <c r="IJ389" t="n">
        <v>0</v>
      </c>
      <c r="IK389">
        <f>IF(IJ389=1,LN(IH389),"")</f>
        <v/>
      </c>
      <c r="IL389">
        <f>IF(IJ389=1,AVERAGEIFS(II3:II688,IG3:IG688,IG389,IJ3:IJ688,1),"")</f>
        <v/>
      </c>
      <c r="IM389">
        <f>IF(IJ389=1,II389-IL389,"")</f>
        <v/>
      </c>
      <c r="IN389" t="inlineStr">
        <is>
          <t>moderate</t>
        </is>
      </c>
      <c r="IO389">
        <f>IF(IN389="good",II389,NA())</f>
        <v/>
      </c>
      <c r="IP389">
        <f>IF(IN389="moderate",II389,NA())</f>
        <v/>
      </c>
      <c r="IQ389">
        <f>IF(IN389="low",II389,NA())</f>
        <v/>
      </c>
      <c r="IR389">
        <f>IF(AND(IN389="good",IJ389=1),IM389,NA())</f>
        <v/>
      </c>
      <c r="IS389">
        <f>IF(AND(IN389="moderate",IJ389=1),IM389,NA())</f>
        <v/>
      </c>
      <c r="IT389">
        <f>IF(AND(IN389="low",IJ389=1),IM389,NA())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  <c r="IG390">
        <f>Base_mundial!A389</f>
        <v/>
      </c>
      <c r="IH390">
        <f>Base_mundial!C389</f>
        <v/>
      </c>
      <c r="II390">
        <f>Base_mundial!E389-MIN(tope,DEGREES(ATAN(TAN(RADIANS(pe0-omega*Base_mundial!B389))*(Base_mundial!C389/sref)^(m_-1))))</f>
        <v/>
      </c>
      <c r="IJ390" t="n">
        <v>0</v>
      </c>
      <c r="IK390">
        <f>IF(IJ390=1,LN(IH390),"")</f>
        <v/>
      </c>
      <c r="IL390">
        <f>IF(IJ390=1,AVERAGEIFS(II3:II688,IG3:IG688,IG390,IJ3:IJ688,1),"")</f>
        <v/>
      </c>
      <c r="IM390">
        <f>IF(IJ390=1,II390-IL390,"")</f>
        <v/>
      </c>
      <c r="IN390" t="inlineStr">
        <is>
          <t>moderate</t>
        </is>
      </c>
      <c r="IO390">
        <f>IF(IN390="good",II390,NA())</f>
        <v/>
      </c>
      <c r="IP390">
        <f>IF(IN390="moderate",II390,NA())</f>
        <v/>
      </c>
      <c r="IQ390">
        <f>IF(IN390="low",II390,NA())</f>
        <v/>
      </c>
      <c r="IR390">
        <f>IF(AND(IN390="good",IJ390=1),IM390,NA())</f>
        <v/>
      </c>
      <c r="IS390">
        <f>IF(AND(IN390="moderate",IJ390=1),IM390,NA())</f>
        <v/>
      </c>
      <c r="IT390">
        <f>IF(AND(IN390="low",IJ390=1),IM390,NA())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  <c r="IG391">
        <f>Base_mundial!A390</f>
        <v/>
      </c>
      <c r="IH391">
        <f>Base_mundial!C390</f>
        <v/>
      </c>
      <c r="II391">
        <f>Base_mundial!E390-MIN(tope,DEGREES(ATAN(TAN(RADIANS(pe0-omega*Base_mundial!B390))*(Base_mundial!C390/sref)^(m_-1))))</f>
        <v/>
      </c>
      <c r="IJ391" t="n">
        <v>1</v>
      </c>
      <c r="IK391">
        <f>IF(IJ391=1,LN(IH391),"")</f>
        <v/>
      </c>
      <c r="IL391">
        <f>IF(IJ391=1,AVERAGEIFS(II3:II688,IG3:IG688,IG391,IJ3:IJ688,1),"")</f>
        <v/>
      </c>
      <c r="IM391">
        <f>IF(IJ391=1,II391-IL391,"")</f>
        <v/>
      </c>
      <c r="IN391" t="inlineStr">
        <is>
          <t>moderate</t>
        </is>
      </c>
      <c r="IO391">
        <f>IF(IN391="good",II391,NA())</f>
        <v/>
      </c>
      <c r="IP391">
        <f>IF(IN391="moderate",II391,NA())</f>
        <v/>
      </c>
      <c r="IQ391">
        <f>IF(IN391="low",II391,NA())</f>
        <v/>
      </c>
      <c r="IR391">
        <f>IF(AND(IN391="good",IJ391=1),IM391,NA())</f>
        <v/>
      </c>
      <c r="IS391">
        <f>IF(AND(IN391="moderate",IJ391=1),IM391,NA())</f>
        <v/>
      </c>
      <c r="IT391">
        <f>IF(AND(IN391="low",IJ391=1),IM391,NA())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  <c r="IG392">
        <f>Base_mundial!A391</f>
        <v/>
      </c>
      <c r="IH392">
        <f>Base_mundial!C391</f>
        <v/>
      </c>
      <c r="II392">
        <f>Base_mundial!E391-MIN(tope,DEGREES(ATAN(TAN(RADIANS(pe0-omega*Base_mundial!B391))*(Base_mundial!C391/sref)^(m_-1))))</f>
        <v/>
      </c>
      <c r="IJ392" t="n">
        <v>1</v>
      </c>
      <c r="IK392">
        <f>IF(IJ392=1,LN(IH392),"")</f>
        <v/>
      </c>
      <c r="IL392">
        <f>IF(IJ392=1,AVERAGEIFS(II3:II688,IG3:IG688,IG392,IJ3:IJ688,1),"")</f>
        <v/>
      </c>
      <c r="IM392">
        <f>IF(IJ392=1,II392-IL392,"")</f>
        <v/>
      </c>
      <c r="IN392" t="inlineStr">
        <is>
          <t>moderate</t>
        </is>
      </c>
      <c r="IO392">
        <f>IF(IN392="good",II392,NA())</f>
        <v/>
      </c>
      <c r="IP392">
        <f>IF(IN392="moderate",II392,NA())</f>
        <v/>
      </c>
      <c r="IQ392">
        <f>IF(IN392="low",II392,NA())</f>
        <v/>
      </c>
      <c r="IR392">
        <f>IF(AND(IN392="good",IJ392=1),IM392,NA())</f>
        <v/>
      </c>
      <c r="IS392">
        <f>IF(AND(IN392="moderate",IJ392=1),IM392,NA())</f>
        <v/>
      </c>
      <c r="IT392">
        <f>IF(AND(IN392="low",IJ392=1),IM392,NA())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  <c r="IG393">
        <f>Base_mundial!A392</f>
        <v/>
      </c>
      <c r="IH393">
        <f>Base_mundial!C392</f>
        <v/>
      </c>
      <c r="II393">
        <f>Base_mundial!E392-MIN(tope,DEGREES(ATAN(TAN(RADIANS(pe0-omega*Base_mundial!B392))*(Base_mundial!C392/sref)^(m_-1))))</f>
        <v/>
      </c>
      <c r="IJ393" t="n">
        <v>0</v>
      </c>
      <c r="IK393">
        <f>IF(IJ393=1,LN(IH393),"")</f>
        <v/>
      </c>
      <c r="IL393">
        <f>IF(IJ393=1,AVERAGEIFS(II3:II688,IG3:IG688,IG393,IJ3:IJ688,1),"")</f>
        <v/>
      </c>
      <c r="IM393">
        <f>IF(IJ393=1,II393-IL393,"")</f>
        <v/>
      </c>
      <c r="IN393" t="inlineStr">
        <is>
          <t>moderate</t>
        </is>
      </c>
      <c r="IO393">
        <f>IF(IN393="good",II393,NA())</f>
        <v/>
      </c>
      <c r="IP393">
        <f>IF(IN393="moderate",II393,NA())</f>
        <v/>
      </c>
      <c r="IQ393">
        <f>IF(IN393="low",II393,NA())</f>
        <v/>
      </c>
      <c r="IR393">
        <f>IF(AND(IN393="good",IJ393=1),IM393,NA())</f>
        <v/>
      </c>
      <c r="IS393">
        <f>IF(AND(IN393="moderate",IJ393=1),IM393,NA())</f>
        <v/>
      </c>
      <c r="IT393">
        <f>IF(AND(IN393="low",IJ393=1),IM393,NA())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  <c r="IG394">
        <f>Base_mundial!A393</f>
        <v/>
      </c>
      <c r="IH394">
        <f>Base_mundial!C393</f>
        <v/>
      </c>
      <c r="II394">
        <f>Base_mundial!E393-MIN(tope,DEGREES(ATAN(TAN(RADIANS(pe0-omega*Base_mundial!B393))*(Base_mundial!C393/sref)^(m_-1))))</f>
        <v/>
      </c>
      <c r="IJ394" t="n">
        <v>1</v>
      </c>
      <c r="IK394">
        <f>IF(IJ394=1,LN(IH394),"")</f>
        <v/>
      </c>
      <c r="IL394">
        <f>IF(IJ394=1,AVERAGEIFS(II3:II688,IG3:IG688,IG394,IJ3:IJ688,1),"")</f>
        <v/>
      </c>
      <c r="IM394">
        <f>IF(IJ394=1,II394-IL394,"")</f>
        <v/>
      </c>
      <c r="IN394" t="inlineStr">
        <is>
          <t>moderate</t>
        </is>
      </c>
      <c r="IO394">
        <f>IF(IN394="good",II394,NA())</f>
        <v/>
      </c>
      <c r="IP394">
        <f>IF(IN394="moderate",II394,NA())</f>
        <v/>
      </c>
      <c r="IQ394">
        <f>IF(IN394="low",II394,NA())</f>
        <v/>
      </c>
      <c r="IR394">
        <f>IF(AND(IN394="good",IJ394=1),IM394,NA())</f>
        <v/>
      </c>
      <c r="IS394">
        <f>IF(AND(IN394="moderate",IJ394=1),IM394,NA())</f>
        <v/>
      </c>
      <c r="IT394">
        <f>IF(AND(IN394="low",IJ394=1),IM394,NA())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  <c r="IG395">
        <f>Base_mundial!A394</f>
        <v/>
      </c>
      <c r="IH395">
        <f>Base_mundial!C394</f>
        <v/>
      </c>
      <c r="II395">
        <f>Base_mundial!E394-MIN(tope,DEGREES(ATAN(TAN(RADIANS(pe0-omega*Base_mundial!B394))*(Base_mundial!C394/sref)^(m_-1))))</f>
        <v/>
      </c>
      <c r="IJ395" t="n">
        <v>1</v>
      </c>
      <c r="IK395">
        <f>IF(IJ395=1,LN(IH395),"")</f>
        <v/>
      </c>
      <c r="IL395">
        <f>IF(IJ395=1,AVERAGEIFS(II3:II688,IG3:IG688,IG395,IJ3:IJ688,1),"")</f>
        <v/>
      </c>
      <c r="IM395">
        <f>IF(IJ395=1,II395-IL395,"")</f>
        <v/>
      </c>
      <c r="IN395" t="inlineStr">
        <is>
          <t>moderate</t>
        </is>
      </c>
      <c r="IO395">
        <f>IF(IN395="good",II395,NA())</f>
        <v/>
      </c>
      <c r="IP395">
        <f>IF(IN395="moderate",II395,NA())</f>
        <v/>
      </c>
      <c r="IQ395">
        <f>IF(IN395="low",II395,NA())</f>
        <v/>
      </c>
      <c r="IR395">
        <f>IF(AND(IN395="good",IJ395=1),IM395,NA())</f>
        <v/>
      </c>
      <c r="IS395">
        <f>IF(AND(IN395="moderate",IJ395=1),IM395,NA())</f>
        <v/>
      </c>
      <c r="IT395">
        <f>IF(AND(IN395="low",IJ395=1),IM395,NA())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  <c r="IG396">
        <f>Base_mundial!A395</f>
        <v/>
      </c>
      <c r="IH396">
        <f>Base_mundial!C395</f>
        <v/>
      </c>
      <c r="II396">
        <f>Base_mundial!E395-MIN(tope,DEGREES(ATAN(TAN(RADIANS(pe0-omega*Base_mundial!B395))*(Base_mundial!C395/sref)^(m_-1))))</f>
        <v/>
      </c>
      <c r="IJ396" t="n">
        <v>0</v>
      </c>
      <c r="IK396">
        <f>IF(IJ396=1,LN(IH396),"")</f>
        <v/>
      </c>
      <c r="IL396">
        <f>IF(IJ396=1,AVERAGEIFS(II3:II688,IG3:IG688,IG396,IJ3:IJ688,1),"")</f>
        <v/>
      </c>
      <c r="IM396">
        <f>IF(IJ396=1,II396-IL396,"")</f>
        <v/>
      </c>
      <c r="IN396" t="inlineStr">
        <is>
          <t>low</t>
        </is>
      </c>
      <c r="IO396">
        <f>IF(IN396="good",II396,NA())</f>
        <v/>
      </c>
      <c r="IP396">
        <f>IF(IN396="moderate",II396,NA())</f>
        <v/>
      </c>
      <c r="IQ396">
        <f>IF(IN396="low",II396,NA())</f>
        <v/>
      </c>
      <c r="IR396">
        <f>IF(AND(IN396="good",IJ396=1),IM396,NA())</f>
        <v/>
      </c>
      <c r="IS396">
        <f>IF(AND(IN396="moderate",IJ396=1),IM396,NA())</f>
        <v/>
      </c>
      <c r="IT396">
        <f>IF(AND(IN396="low",IJ396=1),IM396,NA())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  <c r="IG397">
        <f>Base_mundial!A396</f>
        <v/>
      </c>
      <c r="IH397">
        <f>Base_mundial!C396</f>
        <v/>
      </c>
      <c r="II397">
        <f>Base_mundial!E396-MIN(tope,DEGREES(ATAN(TAN(RADIANS(pe0-omega*Base_mundial!B396))*(Base_mundial!C396/sref)^(m_-1))))</f>
        <v/>
      </c>
      <c r="IJ397" t="n">
        <v>0</v>
      </c>
      <c r="IK397">
        <f>IF(IJ397=1,LN(IH397),"")</f>
        <v/>
      </c>
      <c r="IL397">
        <f>IF(IJ397=1,AVERAGEIFS(II3:II688,IG3:IG688,IG397,IJ3:IJ688,1),"")</f>
        <v/>
      </c>
      <c r="IM397">
        <f>IF(IJ397=1,II397-IL397,"")</f>
        <v/>
      </c>
      <c r="IN397" t="inlineStr">
        <is>
          <t>low</t>
        </is>
      </c>
      <c r="IO397">
        <f>IF(IN397="good",II397,NA())</f>
        <v/>
      </c>
      <c r="IP397">
        <f>IF(IN397="moderate",II397,NA())</f>
        <v/>
      </c>
      <c r="IQ397">
        <f>IF(IN397="low",II397,NA())</f>
        <v/>
      </c>
      <c r="IR397">
        <f>IF(AND(IN397="good",IJ397=1),IM397,NA())</f>
        <v/>
      </c>
      <c r="IS397">
        <f>IF(AND(IN397="moderate",IJ397=1),IM397,NA())</f>
        <v/>
      </c>
      <c r="IT397">
        <f>IF(AND(IN397="low",IJ397=1),IM397,NA())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  <c r="IG398">
        <f>Base_mundial!A397</f>
        <v/>
      </c>
      <c r="IH398">
        <f>Base_mundial!C397</f>
        <v/>
      </c>
      <c r="II398">
        <f>Base_mundial!E397-MIN(tope,DEGREES(ATAN(TAN(RADIANS(pe0-omega*Base_mundial!B397))*(Base_mundial!C397/sref)^(m_-1))))</f>
        <v/>
      </c>
      <c r="IJ398" t="n">
        <v>0</v>
      </c>
      <c r="IK398">
        <f>IF(IJ398=1,LN(IH398),"")</f>
        <v/>
      </c>
      <c r="IL398">
        <f>IF(IJ398=1,AVERAGEIFS(II3:II688,IG3:IG688,IG398,IJ3:IJ688,1),"")</f>
        <v/>
      </c>
      <c r="IM398">
        <f>IF(IJ398=1,II398-IL398,"")</f>
        <v/>
      </c>
      <c r="IN398" t="inlineStr">
        <is>
          <t>low</t>
        </is>
      </c>
      <c r="IO398">
        <f>IF(IN398="good",II398,NA())</f>
        <v/>
      </c>
      <c r="IP398">
        <f>IF(IN398="moderate",II398,NA())</f>
        <v/>
      </c>
      <c r="IQ398">
        <f>IF(IN398="low",II398,NA())</f>
        <v/>
      </c>
      <c r="IR398">
        <f>IF(AND(IN398="good",IJ398=1),IM398,NA())</f>
        <v/>
      </c>
      <c r="IS398">
        <f>IF(AND(IN398="moderate",IJ398=1),IM398,NA())</f>
        <v/>
      </c>
      <c r="IT398">
        <f>IF(AND(IN398="low",IJ398=1),IM398,NA())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  <c r="IG399">
        <f>Base_mundial!A398</f>
        <v/>
      </c>
      <c r="IH399">
        <f>Base_mundial!C398</f>
        <v/>
      </c>
      <c r="II399">
        <f>Base_mundial!E398-MIN(tope,DEGREES(ATAN(TAN(RADIANS(pe0-omega*Base_mundial!B398))*(Base_mundial!C398/sref)^(m_-1))))</f>
        <v/>
      </c>
      <c r="IJ399" t="n">
        <v>0</v>
      </c>
      <c r="IK399">
        <f>IF(IJ399=1,LN(IH399),"")</f>
        <v/>
      </c>
      <c r="IL399">
        <f>IF(IJ399=1,AVERAGEIFS(II3:II688,IG3:IG688,IG399,IJ3:IJ688,1),"")</f>
        <v/>
      </c>
      <c r="IM399">
        <f>IF(IJ399=1,II399-IL399,"")</f>
        <v/>
      </c>
      <c r="IN399" t="inlineStr">
        <is>
          <t>low</t>
        </is>
      </c>
      <c r="IO399">
        <f>IF(IN399="good",II399,NA())</f>
        <v/>
      </c>
      <c r="IP399">
        <f>IF(IN399="moderate",II399,NA())</f>
        <v/>
      </c>
      <c r="IQ399">
        <f>IF(IN399="low",II399,NA())</f>
        <v/>
      </c>
      <c r="IR399">
        <f>IF(AND(IN399="good",IJ399=1),IM399,NA())</f>
        <v/>
      </c>
      <c r="IS399">
        <f>IF(AND(IN399="moderate",IJ399=1),IM399,NA())</f>
        <v/>
      </c>
      <c r="IT399">
        <f>IF(AND(IN399="low",IJ399=1),IM399,NA())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  <c r="IG400">
        <f>Base_mundial!A399</f>
        <v/>
      </c>
      <c r="IH400">
        <f>Base_mundial!C399</f>
        <v/>
      </c>
      <c r="II400">
        <f>Base_mundial!E399-MIN(tope,DEGREES(ATAN(TAN(RADIANS(pe0-omega*Base_mundial!B399))*(Base_mundial!C399/sref)^(m_-1))))</f>
        <v/>
      </c>
      <c r="IJ400" t="n">
        <v>0</v>
      </c>
      <c r="IK400">
        <f>IF(IJ400=1,LN(IH400),"")</f>
        <v/>
      </c>
      <c r="IL400">
        <f>IF(IJ400=1,AVERAGEIFS(II3:II688,IG3:IG688,IG400,IJ3:IJ688,1),"")</f>
        <v/>
      </c>
      <c r="IM400">
        <f>IF(IJ400=1,II400-IL400,"")</f>
        <v/>
      </c>
      <c r="IN400" t="inlineStr">
        <is>
          <t>moderate</t>
        </is>
      </c>
      <c r="IO400">
        <f>IF(IN400="good",II400,NA())</f>
        <v/>
      </c>
      <c r="IP400">
        <f>IF(IN400="moderate",II400,NA())</f>
        <v/>
      </c>
      <c r="IQ400">
        <f>IF(IN400="low",II400,NA())</f>
        <v/>
      </c>
      <c r="IR400">
        <f>IF(AND(IN400="good",IJ400=1),IM400,NA())</f>
        <v/>
      </c>
      <c r="IS400">
        <f>IF(AND(IN400="moderate",IJ400=1),IM400,NA())</f>
        <v/>
      </c>
      <c r="IT400">
        <f>IF(AND(IN400="low",IJ400=1),IM400,NA())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  <c r="IG401">
        <f>Base_mundial!A400</f>
        <v/>
      </c>
      <c r="IH401">
        <f>Base_mundial!C400</f>
        <v/>
      </c>
      <c r="II401">
        <f>Base_mundial!E400-MIN(tope,DEGREES(ATAN(TAN(RADIANS(pe0-omega*Base_mundial!B400))*(Base_mundial!C400/sref)^(m_-1))))</f>
        <v/>
      </c>
      <c r="IJ401" t="n">
        <v>0</v>
      </c>
      <c r="IK401">
        <f>IF(IJ401=1,LN(IH401),"")</f>
        <v/>
      </c>
      <c r="IL401">
        <f>IF(IJ401=1,AVERAGEIFS(II3:II688,IG3:IG688,IG401,IJ3:IJ688,1),"")</f>
        <v/>
      </c>
      <c r="IM401">
        <f>IF(IJ401=1,II401-IL401,"")</f>
        <v/>
      </c>
      <c r="IN401" t="inlineStr">
        <is>
          <t>moderate</t>
        </is>
      </c>
      <c r="IO401">
        <f>IF(IN401="good",II401,NA())</f>
        <v/>
      </c>
      <c r="IP401">
        <f>IF(IN401="moderate",II401,NA())</f>
        <v/>
      </c>
      <c r="IQ401">
        <f>IF(IN401="low",II401,NA())</f>
        <v/>
      </c>
      <c r="IR401">
        <f>IF(AND(IN401="good",IJ401=1),IM401,NA())</f>
        <v/>
      </c>
      <c r="IS401">
        <f>IF(AND(IN401="moderate",IJ401=1),IM401,NA())</f>
        <v/>
      </c>
      <c r="IT401">
        <f>IF(AND(IN401="low",IJ401=1),IM401,NA())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  <c r="IG402">
        <f>Base_mundial!A401</f>
        <v/>
      </c>
      <c r="IH402">
        <f>Base_mundial!C401</f>
        <v/>
      </c>
      <c r="II402">
        <f>Base_mundial!E401-MIN(tope,DEGREES(ATAN(TAN(RADIANS(pe0-omega*Base_mundial!B401))*(Base_mundial!C401/sref)^(m_-1))))</f>
        <v/>
      </c>
      <c r="IJ402" t="n">
        <v>0</v>
      </c>
      <c r="IK402">
        <f>IF(IJ402=1,LN(IH402),"")</f>
        <v/>
      </c>
      <c r="IL402">
        <f>IF(IJ402=1,AVERAGEIFS(II3:II688,IG3:IG688,IG402,IJ3:IJ688,1),"")</f>
        <v/>
      </c>
      <c r="IM402">
        <f>IF(IJ402=1,II402-IL402,"")</f>
        <v/>
      </c>
      <c r="IN402" t="inlineStr">
        <is>
          <t>good</t>
        </is>
      </c>
      <c r="IO402">
        <f>IF(IN402="good",II402,NA())</f>
        <v/>
      </c>
      <c r="IP402">
        <f>IF(IN402="moderate",II402,NA())</f>
        <v/>
      </c>
      <c r="IQ402">
        <f>IF(IN402="low",II402,NA())</f>
        <v/>
      </c>
      <c r="IR402">
        <f>IF(AND(IN402="good",IJ402=1),IM402,NA())</f>
        <v/>
      </c>
      <c r="IS402">
        <f>IF(AND(IN402="moderate",IJ402=1),IM402,NA())</f>
        <v/>
      </c>
      <c r="IT402">
        <f>IF(AND(IN402="low",IJ402=1),IM402,NA())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  <c r="IG403">
        <f>Base_mundial!A402</f>
        <v/>
      </c>
      <c r="IH403">
        <f>Base_mundial!C402</f>
        <v/>
      </c>
      <c r="II403">
        <f>Base_mundial!E402-MIN(tope,DEGREES(ATAN(TAN(RADIANS(pe0-omega*Base_mundial!B402))*(Base_mundial!C402/sref)^(m_-1))))</f>
        <v/>
      </c>
      <c r="IJ403" t="n">
        <v>1</v>
      </c>
      <c r="IK403">
        <f>IF(IJ403=1,LN(IH403),"")</f>
        <v/>
      </c>
      <c r="IL403">
        <f>IF(IJ403=1,AVERAGEIFS(II3:II688,IG3:IG688,IG403,IJ3:IJ688,1),"")</f>
        <v/>
      </c>
      <c r="IM403">
        <f>IF(IJ403=1,II403-IL403,"")</f>
        <v/>
      </c>
      <c r="IN403" t="inlineStr">
        <is>
          <t>good</t>
        </is>
      </c>
      <c r="IO403">
        <f>IF(IN403="good",II403,NA())</f>
        <v/>
      </c>
      <c r="IP403">
        <f>IF(IN403="moderate",II403,NA())</f>
        <v/>
      </c>
      <c r="IQ403">
        <f>IF(IN403="low",II403,NA())</f>
        <v/>
      </c>
      <c r="IR403">
        <f>IF(AND(IN403="good",IJ403=1),IM403,NA())</f>
        <v/>
      </c>
      <c r="IS403">
        <f>IF(AND(IN403="moderate",IJ403=1),IM403,NA())</f>
        <v/>
      </c>
      <c r="IT403">
        <f>IF(AND(IN403="low",IJ403=1),IM403,NA())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  <c r="IG404">
        <f>Base_mundial!A403</f>
        <v/>
      </c>
      <c r="IH404">
        <f>Base_mundial!C403</f>
        <v/>
      </c>
      <c r="II404">
        <f>Base_mundial!E403-MIN(tope,DEGREES(ATAN(TAN(RADIANS(pe0-omega*Base_mundial!B403))*(Base_mundial!C403/sref)^(m_-1))))</f>
        <v/>
      </c>
      <c r="IJ404" t="n">
        <v>1</v>
      </c>
      <c r="IK404">
        <f>IF(IJ404=1,LN(IH404),"")</f>
        <v/>
      </c>
      <c r="IL404">
        <f>IF(IJ404=1,AVERAGEIFS(II3:II688,IG3:IG688,IG404,IJ3:IJ688,1),"")</f>
        <v/>
      </c>
      <c r="IM404">
        <f>IF(IJ404=1,II404-IL404,"")</f>
        <v/>
      </c>
      <c r="IN404" t="inlineStr">
        <is>
          <t>good</t>
        </is>
      </c>
      <c r="IO404">
        <f>IF(IN404="good",II404,NA())</f>
        <v/>
      </c>
      <c r="IP404">
        <f>IF(IN404="moderate",II404,NA())</f>
        <v/>
      </c>
      <c r="IQ404">
        <f>IF(IN404="low",II404,NA())</f>
        <v/>
      </c>
      <c r="IR404">
        <f>IF(AND(IN404="good",IJ404=1),IM404,NA())</f>
        <v/>
      </c>
      <c r="IS404">
        <f>IF(AND(IN404="moderate",IJ404=1),IM404,NA())</f>
        <v/>
      </c>
      <c r="IT404">
        <f>IF(AND(IN404="low",IJ404=1),IM404,NA())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  <c r="IG405">
        <f>Base_mundial!A404</f>
        <v/>
      </c>
      <c r="IH405">
        <f>Base_mundial!C404</f>
        <v/>
      </c>
      <c r="II405">
        <f>Base_mundial!E404-MIN(tope,DEGREES(ATAN(TAN(RADIANS(pe0-omega*Base_mundial!B404))*(Base_mundial!C404/sref)^(m_-1))))</f>
        <v/>
      </c>
      <c r="IJ405" t="n">
        <v>1</v>
      </c>
      <c r="IK405">
        <f>IF(IJ405=1,LN(IH405),"")</f>
        <v/>
      </c>
      <c r="IL405">
        <f>IF(IJ405=1,AVERAGEIFS(II3:II688,IG3:IG688,IG405,IJ3:IJ688,1),"")</f>
        <v/>
      </c>
      <c r="IM405">
        <f>IF(IJ405=1,II405-IL405,"")</f>
        <v/>
      </c>
      <c r="IN405" t="inlineStr">
        <is>
          <t>good</t>
        </is>
      </c>
      <c r="IO405">
        <f>IF(IN405="good",II405,NA())</f>
        <v/>
      </c>
      <c r="IP405">
        <f>IF(IN405="moderate",II405,NA())</f>
        <v/>
      </c>
      <c r="IQ405">
        <f>IF(IN405="low",II405,NA())</f>
        <v/>
      </c>
      <c r="IR405">
        <f>IF(AND(IN405="good",IJ405=1),IM405,NA())</f>
        <v/>
      </c>
      <c r="IS405">
        <f>IF(AND(IN405="moderate",IJ405=1),IM405,NA())</f>
        <v/>
      </c>
      <c r="IT405">
        <f>IF(AND(IN405="low",IJ405=1),IM405,NA())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  <c r="IG406">
        <f>Base_mundial!A405</f>
        <v/>
      </c>
      <c r="IH406">
        <f>Base_mundial!C405</f>
        <v/>
      </c>
      <c r="II406">
        <f>Base_mundial!E405-MIN(tope,DEGREES(ATAN(TAN(RADIANS(pe0-omega*Base_mundial!B405))*(Base_mundial!C405/sref)^(m_-1))))</f>
        <v/>
      </c>
      <c r="IJ406" t="n">
        <v>0</v>
      </c>
      <c r="IK406">
        <f>IF(IJ406=1,LN(IH406),"")</f>
        <v/>
      </c>
      <c r="IL406">
        <f>IF(IJ406=1,AVERAGEIFS(II3:II688,IG3:IG688,IG406,IJ3:IJ688,1),"")</f>
        <v/>
      </c>
      <c r="IM406">
        <f>IF(IJ406=1,II406-IL406,"")</f>
        <v/>
      </c>
      <c r="IN406" t="inlineStr">
        <is>
          <t>good</t>
        </is>
      </c>
      <c r="IO406">
        <f>IF(IN406="good",II406,NA())</f>
        <v/>
      </c>
      <c r="IP406">
        <f>IF(IN406="moderate",II406,NA())</f>
        <v/>
      </c>
      <c r="IQ406">
        <f>IF(IN406="low",II406,NA())</f>
        <v/>
      </c>
      <c r="IR406">
        <f>IF(AND(IN406="good",IJ406=1),IM406,NA())</f>
        <v/>
      </c>
      <c r="IS406">
        <f>IF(AND(IN406="moderate",IJ406=1),IM406,NA())</f>
        <v/>
      </c>
      <c r="IT406">
        <f>IF(AND(IN406="low",IJ406=1),IM406,NA())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  <c r="IG407">
        <f>Base_mundial!A406</f>
        <v/>
      </c>
      <c r="IH407">
        <f>Base_mundial!C406</f>
        <v/>
      </c>
      <c r="II407">
        <f>Base_mundial!E406-MIN(tope,DEGREES(ATAN(TAN(RADIANS(pe0-omega*Base_mundial!B406))*(Base_mundial!C406/sref)^(m_-1))))</f>
        <v/>
      </c>
      <c r="IJ407" t="n">
        <v>1</v>
      </c>
      <c r="IK407">
        <f>IF(IJ407=1,LN(IH407),"")</f>
        <v/>
      </c>
      <c r="IL407">
        <f>IF(IJ407=1,AVERAGEIFS(II3:II688,IG3:IG688,IG407,IJ3:IJ688,1),"")</f>
        <v/>
      </c>
      <c r="IM407">
        <f>IF(IJ407=1,II407-IL407,"")</f>
        <v/>
      </c>
      <c r="IN407" t="inlineStr">
        <is>
          <t>good</t>
        </is>
      </c>
      <c r="IO407">
        <f>IF(IN407="good",II407,NA())</f>
        <v/>
      </c>
      <c r="IP407">
        <f>IF(IN407="moderate",II407,NA())</f>
        <v/>
      </c>
      <c r="IQ407">
        <f>IF(IN407="low",II407,NA())</f>
        <v/>
      </c>
      <c r="IR407">
        <f>IF(AND(IN407="good",IJ407=1),IM407,NA())</f>
        <v/>
      </c>
      <c r="IS407">
        <f>IF(AND(IN407="moderate",IJ407=1),IM407,NA())</f>
        <v/>
      </c>
      <c r="IT407">
        <f>IF(AND(IN407="low",IJ407=1),IM407,NA())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  <c r="IG408">
        <f>Base_mundial!A407</f>
        <v/>
      </c>
      <c r="IH408">
        <f>Base_mundial!C407</f>
        <v/>
      </c>
      <c r="II408">
        <f>Base_mundial!E407-MIN(tope,DEGREES(ATAN(TAN(RADIANS(pe0-omega*Base_mundial!B407))*(Base_mundial!C407/sref)^(m_-1))))</f>
        <v/>
      </c>
      <c r="IJ408" t="n">
        <v>1</v>
      </c>
      <c r="IK408">
        <f>IF(IJ408=1,LN(IH408),"")</f>
        <v/>
      </c>
      <c r="IL408">
        <f>IF(IJ408=1,AVERAGEIFS(II3:II688,IG3:IG688,IG408,IJ3:IJ688,1),"")</f>
        <v/>
      </c>
      <c r="IM408">
        <f>IF(IJ408=1,II408-IL408,"")</f>
        <v/>
      </c>
      <c r="IN408" t="inlineStr">
        <is>
          <t>good</t>
        </is>
      </c>
      <c r="IO408">
        <f>IF(IN408="good",II408,NA())</f>
        <v/>
      </c>
      <c r="IP408">
        <f>IF(IN408="moderate",II408,NA())</f>
        <v/>
      </c>
      <c r="IQ408">
        <f>IF(IN408="low",II408,NA())</f>
        <v/>
      </c>
      <c r="IR408">
        <f>IF(AND(IN408="good",IJ408=1),IM408,NA())</f>
        <v/>
      </c>
      <c r="IS408">
        <f>IF(AND(IN408="moderate",IJ408=1),IM408,NA())</f>
        <v/>
      </c>
      <c r="IT408">
        <f>IF(AND(IN408="low",IJ408=1),IM408,NA())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  <c r="IG409">
        <f>Base_mundial!A408</f>
        <v/>
      </c>
      <c r="IH409">
        <f>Base_mundial!C408</f>
        <v/>
      </c>
      <c r="II409">
        <f>Base_mundial!E408-MIN(tope,DEGREES(ATAN(TAN(RADIANS(pe0-omega*Base_mundial!B408))*(Base_mundial!C408/sref)^(m_-1))))</f>
        <v/>
      </c>
      <c r="IJ409" t="n">
        <v>1</v>
      </c>
      <c r="IK409">
        <f>IF(IJ409=1,LN(IH409),"")</f>
        <v/>
      </c>
      <c r="IL409">
        <f>IF(IJ409=1,AVERAGEIFS(II3:II688,IG3:IG688,IG409,IJ3:IJ688,1),"")</f>
        <v/>
      </c>
      <c r="IM409">
        <f>IF(IJ409=1,II409-IL409,"")</f>
        <v/>
      </c>
      <c r="IN409" t="inlineStr">
        <is>
          <t>good</t>
        </is>
      </c>
      <c r="IO409">
        <f>IF(IN409="good",II409,NA())</f>
        <v/>
      </c>
      <c r="IP409">
        <f>IF(IN409="moderate",II409,NA())</f>
        <v/>
      </c>
      <c r="IQ409">
        <f>IF(IN409="low",II409,NA())</f>
        <v/>
      </c>
      <c r="IR409">
        <f>IF(AND(IN409="good",IJ409=1),IM409,NA())</f>
        <v/>
      </c>
      <c r="IS409">
        <f>IF(AND(IN409="moderate",IJ409=1),IM409,NA())</f>
        <v/>
      </c>
      <c r="IT409">
        <f>IF(AND(IN409="low",IJ409=1),IM409,NA())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  <c r="IG410">
        <f>Base_mundial!A409</f>
        <v/>
      </c>
      <c r="IH410">
        <f>Base_mundial!C409</f>
        <v/>
      </c>
      <c r="II410">
        <f>Base_mundial!E409-MIN(tope,DEGREES(ATAN(TAN(RADIANS(pe0-omega*Base_mundial!B409))*(Base_mundial!C409/sref)^(m_-1))))</f>
        <v/>
      </c>
      <c r="IJ410" t="n">
        <v>0</v>
      </c>
      <c r="IK410">
        <f>IF(IJ410=1,LN(IH410),"")</f>
        <v/>
      </c>
      <c r="IL410">
        <f>IF(IJ410=1,AVERAGEIFS(II3:II688,IG3:IG688,IG410,IJ3:IJ688,1),"")</f>
        <v/>
      </c>
      <c r="IM410">
        <f>IF(IJ410=1,II410-IL410,"")</f>
        <v/>
      </c>
      <c r="IN410" t="inlineStr">
        <is>
          <t>moderate</t>
        </is>
      </c>
      <c r="IO410">
        <f>IF(IN410="good",II410,NA())</f>
        <v/>
      </c>
      <c r="IP410">
        <f>IF(IN410="moderate",II410,NA())</f>
        <v/>
      </c>
      <c r="IQ410">
        <f>IF(IN410="low",II410,NA())</f>
        <v/>
      </c>
      <c r="IR410">
        <f>IF(AND(IN410="good",IJ410=1),IM410,NA())</f>
        <v/>
      </c>
      <c r="IS410">
        <f>IF(AND(IN410="moderate",IJ410=1),IM410,NA())</f>
        <v/>
      </c>
      <c r="IT410">
        <f>IF(AND(IN410="low",IJ410=1),IM410,NA())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  <c r="IG411">
        <f>Base_mundial!A410</f>
        <v/>
      </c>
      <c r="IH411">
        <f>Base_mundial!C410</f>
        <v/>
      </c>
      <c r="II411">
        <f>Base_mundial!E410-MIN(tope,DEGREES(ATAN(TAN(RADIANS(pe0-omega*Base_mundial!B410))*(Base_mundial!C410/sref)^(m_-1))))</f>
        <v/>
      </c>
      <c r="IJ411" t="n">
        <v>1</v>
      </c>
      <c r="IK411">
        <f>IF(IJ411=1,LN(IH411),"")</f>
        <v/>
      </c>
      <c r="IL411">
        <f>IF(IJ411=1,AVERAGEIFS(II3:II688,IG3:IG688,IG411,IJ3:IJ688,1),"")</f>
        <v/>
      </c>
      <c r="IM411">
        <f>IF(IJ411=1,II411-IL411,"")</f>
        <v/>
      </c>
      <c r="IN411" t="inlineStr">
        <is>
          <t>moderate</t>
        </is>
      </c>
      <c r="IO411">
        <f>IF(IN411="good",II411,NA())</f>
        <v/>
      </c>
      <c r="IP411">
        <f>IF(IN411="moderate",II411,NA())</f>
        <v/>
      </c>
      <c r="IQ411">
        <f>IF(IN411="low",II411,NA())</f>
        <v/>
      </c>
      <c r="IR411">
        <f>IF(AND(IN411="good",IJ411=1),IM411,NA())</f>
        <v/>
      </c>
      <c r="IS411">
        <f>IF(AND(IN411="moderate",IJ411=1),IM411,NA())</f>
        <v/>
      </c>
      <c r="IT411">
        <f>IF(AND(IN411="low",IJ411=1),IM411,NA())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  <c r="IG412">
        <f>Base_mundial!A411</f>
        <v/>
      </c>
      <c r="IH412">
        <f>Base_mundial!C411</f>
        <v/>
      </c>
      <c r="II412">
        <f>Base_mundial!E411-MIN(tope,DEGREES(ATAN(TAN(RADIANS(pe0-omega*Base_mundial!B411))*(Base_mundial!C411/sref)^(m_-1))))</f>
        <v/>
      </c>
      <c r="IJ412" t="n">
        <v>1</v>
      </c>
      <c r="IK412">
        <f>IF(IJ412=1,LN(IH412),"")</f>
        <v/>
      </c>
      <c r="IL412">
        <f>IF(IJ412=1,AVERAGEIFS(II3:II688,IG3:IG688,IG412,IJ3:IJ688,1),"")</f>
        <v/>
      </c>
      <c r="IM412">
        <f>IF(IJ412=1,II412-IL412,"")</f>
        <v/>
      </c>
      <c r="IN412" t="inlineStr">
        <is>
          <t>moderate</t>
        </is>
      </c>
      <c r="IO412">
        <f>IF(IN412="good",II412,NA())</f>
        <v/>
      </c>
      <c r="IP412">
        <f>IF(IN412="moderate",II412,NA())</f>
        <v/>
      </c>
      <c r="IQ412">
        <f>IF(IN412="low",II412,NA())</f>
        <v/>
      </c>
      <c r="IR412">
        <f>IF(AND(IN412="good",IJ412=1),IM412,NA())</f>
        <v/>
      </c>
      <c r="IS412">
        <f>IF(AND(IN412="moderate",IJ412=1),IM412,NA())</f>
        <v/>
      </c>
      <c r="IT412">
        <f>IF(AND(IN412="low",IJ412=1),IM412,NA())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  <c r="IG413">
        <f>Base_mundial!A412</f>
        <v/>
      </c>
      <c r="IH413">
        <f>Base_mundial!C412</f>
        <v/>
      </c>
      <c r="II413">
        <f>Base_mundial!E412-MIN(tope,DEGREES(ATAN(TAN(RADIANS(pe0-omega*Base_mundial!B412))*(Base_mundial!C412/sref)^(m_-1))))</f>
        <v/>
      </c>
      <c r="IJ413" t="n">
        <v>1</v>
      </c>
      <c r="IK413">
        <f>IF(IJ413=1,LN(IH413),"")</f>
        <v/>
      </c>
      <c r="IL413">
        <f>IF(IJ413=1,AVERAGEIFS(II3:II688,IG3:IG688,IG413,IJ3:IJ688,1),"")</f>
        <v/>
      </c>
      <c r="IM413">
        <f>IF(IJ413=1,II413-IL413,"")</f>
        <v/>
      </c>
      <c r="IN413" t="inlineStr">
        <is>
          <t>moderate</t>
        </is>
      </c>
      <c r="IO413">
        <f>IF(IN413="good",II413,NA())</f>
        <v/>
      </c>
      <c r="IP413">
        <f>IF(IN413="moderate",II413,NA())</f>
        <v/>
      </c>
      <c r="IQ413">
        <f>IF(IN413="low",II413,NA())</f>
        <v/>
      </c>
      <c r="IR413">
        <f>IF(AND(IN413="good",IJ413=1),IM413,NA())</f>
        <v/>
      </c>
      <c r="IS413">
        <f>IF(AND(IN413="moderate",IJ413=1),IM413,NA())</f>
        <v/>
      </c>
      <c r="IT413">
        <f>IF(AND(IN413="low",IJ413=1),IM413,NA())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  <c r="IG414">
        <f>Base_mundial!A413</f>
        <v/>
      </c>
      <c r="IH414">
        <f>Base_mundial!C413</f>
        <v/>
      </c>
      <c r="II414">
        <f>Base_mundial!E413-MIN(tope,DEGREES(ATAN(TAN(RADIANS(pe0-omega*Base_mundial!B413))*(Base_mundial!C413/sref)^(m_-1))))</f>
        <v/>
      </c>
      <c r="IJ414" t="n">
        <v>0</v>
      </c>
      <c r="IK414">
        <f>IF(IJ414=1,LN(IH414),"")</f>
        <v/>
      </c>
      <c r="IL414">
        <f>IF(IJ414=1,AVERAGEIFS(II3:II688,IG3:IG688,IG414,IJ3:IJ688,1),"")</f>
        <v/>
      </c>
      <c r="IM414">
        <f>IF(IJ414=1,II414-IL414,"")</f>
        <v/>
      </c>
      <c r="IN414" t="inlineStr">
        <is>
          <t>low</t>
        </is>
      </c>
      <c r="IO414">
        <f>IF(IN414="good",II414,NA())</f>
        <v/>
      </c>
      <c r="IP414">
        <f>IF(IN414="moderate",II414,NA())</f>
        <v/>
      </c>
      <c r="IQ414">
        <f>IF(IN414="low",II414,NA())</f>
        <v/>
      </c>
      <c r="IR414">
        <f>IF(AND(IN414="good",IJ414=1),IM414,NA())</f>
        <v/>
      </c>
      <c r="IS414">
        <f>IF(AND(IN414="moderate",IJ414=1),IM414,NA())</f>
        <v/>
      </c>
      <c r="IT414">
        <f>IF(AND(IN414="low",IJ414=1),IM414,NA())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  <c r="IG415">
        <f>Base_mundial!A414</f>
        <v/>
      </c>
      <c r="IH415">
        <f>Base_mundial!C414</f>
        <v/>
      </c>
      <c r="II415">
        <f>Base_mundial!E414-MIN(tope,DEGREES(ATAN(TAN(RADIANS(pe0-omega*Base_mundial!B414))*(Base_mundial!C414/sref)^(m_-1))))</f>
        <v/>
      </c>
      <c r="IJ415" t="n">
        <v>1</v>
      </c>
      <c r="IK415">
        <f>IF(IJ415=1,LN(IH415),"")</f>
        <v/>
      </c>
      <c r="IL415">
        <f>IF(IJ415=1,AVERAGEIFS(II3:II688,IG3:IG688,IG415,IJ3:IJ688,1),"")</f>
        <v/>
      </c>
      <c r="IM415">
        <f>IF(IJ415=1,II415-IL415,"")</f>
        <v/>
      </c>
      <c r="IN415" t="inlineStr">
        <is>
          <t>low</t>
        </is>
      </c>
      <c r="IO415">
        <f>IF(IN415="good",II415,NA())</f>
        <v/>
      </c>
      <c r="IP415">
        <f>IF(IN415="moderate",II415,NA())</f>
        <v/>
      </c>
      <c r="IQ415">
        <f>IF(IN415="low",II415,NA())</f>
        <v/>
      </c>
      <c r="IR415">
        <f>IF(AND(IN415="good",IJ415=1),IM415,NA())</f>
        <v/>
      </c>
      <c r="IS415">
        <f>IF(AND(IN415="moderate",IJ415=1),IM415,NA())</f>
        <v/>
      </c>
      <c r="IT415">
        <f>IF(AND(IN415="low",IJ415=1),IM415,NA())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  <c r="IG416">
        <f>Base_mundial!A415</f>
        <v/>
      </c>
      <c r="IH416">
        <f>Base_mundial!C415</f>
        <v/>
      </c>
      <c r="II416">
        <f>Base_mundial!E415-MIN(tope,DEGREES(ATAN(TAN(RADIANS(pe0-omega*Base_mundial!B415))*(Base_mundial!C415/sref)^(m_-1))))</f>
        <v/>
      </c>
      <c r="IJ416" t="n">
        <v>1</v>
      </c>
      <c r="IK416">
        <f>IF(IJ416=1,LN(IH416),"")</f>
        <v/>
      </c>
      <c r="IL416">
        <f>IF(IJ416=1,AVERAGEIFS(II3:II688,IG3:IG688,IG416,IJ3:IJ688,1),"")</f>
        <v/>
      </c>
      <c r="IM416">
        <f>IF(IJ416=1,II416-IL416,"")</f>
        <v/>
      </c>
      <c r="IN416" t="inlineStr">
        <is>
          <t>low</t>
        </is>
      </c>
      <c r="IO416">
        <f>IF(IN416="good",II416,NA())</f>
        <v/>
      </c>
      <c r="IP416">
        <f>IF(IN416="moderate",II416,NA())</f>
        <v/>
      </c>
      <c r="IQ416">
        <f>IF(IN416="low",II416,NA())</f>
        <v/>
      </c>
      <c r="IR416">
        <f>IF(AND(IN416="good",IJ416=1),IM416,NA())</f>
        <v/>
      </c>
      <c r="IS416">
        <f>IF(AND(IN416="moderate",IJ416=1),IM416,NA())</f>
        <v/>
      </c>
      <c r="IT416">
        <f>IF(AND(IN416="low",IJ416=1),IM416,NA())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  <c r="IG417">
        <f>Base_mundial!A416</f>
        <v/>
      </c>
      <c r="IH417">
        <f>Base_mundial!C416</f>
        <v/>
      </c>
      <c r="II417">
        <f>Base_mundial!E416-MIN(tope,DEGREES(ATAN(TAN(RADIANS(pe0-omega*Base_mundial!B416))*(Base_mundial!C416/sref)^(m_-1))))</f>
        <v/>
      </c>
      <c r="IJ417" t="n">
        <v>1</v>
      </c>
      <c r="IK417">
        <f>IF(IJ417=1,LN(IH417),"")</f>
        <v/>
      </c>
      <c r="IL417">
        <f>IF(IJ417=1,AVERAGEIFS(II3:II688,IG3:IG688,IG417,IJ3:IJ688,1),"")</f>
        <v/>
      </c>
      <c r="IM417">
        <f>IF(IJ417=1,II417-IL417,"")</f>
        <v/>
      </c>
      <c r="IN417" t="inlineStr">
        <is>
          <t>low</t>
        </is>
      </c>
      <c r="IO417">
        <f>IF(IN417="good",II417,NA())</f>
        <v/>
      </c>
      <c r="IP417">
        <f>IF(IN417="moderate",II417,NA())</f>
        <v/>
      </c>
      <c r="IQ417">
        <f>IF(IN417="low",II417,NA())</f>
        <v/>
      </c>
      <c r="IR417">
        <f>IF(AND(IN417="good",IJ417=1),IM417,NA())</f>
        <v/>
      </c>
      <c r="IS417">
        <f>IF(AND(IN417="moderate",IJ417=1),IM417,NA())</f>
        <v/>
      </c>
      <c r="IT417">
        <f>IF(AND(IN417="low",IJ417=1),IM417,NA())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  <c r="IG418">
        <f>Base_mundial!A417</f>
        <v/>
      </c>
      <c r="IH418">
        <f>Base_mundial!C417</f>
        <v/>
      </c>
      <c r="II418">
        <f>Base_mundial!E417-MIN(tope,DEGREES(ATAN(TAN(RADIANS(pe0-omega*Base_mundial!B417))*(Base_mundial!C417/sref)^(m_-1))))</f>
        <v/>
      </c>
      <c r="IJ418" t="n">
        <v>0</v>
      </c>
      <c r="IK418">
        <f>IF(IJ418=1,LN(IH418),"")</f>
        <v/>
      </c>
      <c r="IL418">
        <f>IF(IJ418=1,AVERAGEIFS(II3:II688,IG3:IG688,IG418,IJ3:IJ688,1),"")</f>
        <v/>
      </c>
      <c r="IM418">
        <f>IF(IJ418=1,II418-IL418,"")</f>
        <v/>
      </c>
      <c r="IN418" t="inlineStr">
        <is>
          <t>low</t>
        </is>
      </c>
      <c r="IO418">
        <f>IF(IN418="good",II418,NA())</f>
        <v/>
      </c>
      <c r="IP418">
        <f>IF(IN418="moderate",II418,NA())</f>
        <v/>
      </c>
      <c r="IQ418">
        <f>IF(IN418="low",II418,NA())</f>
        <v/>
      </c>
      <c r="IR418">
        <f>IF(AND(IN418="good",IJ418=1),IM418,NA())</f>
        <v/>
      </c>
      <c r="IS418">
        <f>IF(AND(IN418="moderate",IJ418=1),IM418,NA())</f>
        <v/>
      </c>
      <c r="IT418">
        <f>IF(AND(IN418="low",IJ418=1),IM418,NA())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  <c r="IG419">
        <f>Base_mundial!A418</f>
        <v/>
      </c>
      <c r="IH419">
        <f>Base_mundial!C418</f>
        <v/>
      </c>
      <c r="II419">
        <f>Base_mundial!E418-MIN(tope,DEGREES(ATAN(TAN(RADIANS(pe0-omega*Base_mundial!B418))*(Base_mundial!C418/sref)^(m_-1))))</f>
        <v/>
      </c>
      <c r="IJ419" t="n">
        <v>1</v>
      </c>
      <c r="IK419">
        <f>IF(IJ419=1,LN(IH419),"")</f>
        <v/>
      </c>
      <c r="IL419">
        <f>IF(IJ419=1,AVERAGEIFS(II3:II688,IG3:IG688,IG419,IJ3:IJ688,1),"")</f>
        <v/>
      </c>
      <c r="IM419">
        <f>IF(IJ419=1,II419-IL419,"")</f>
        <v/>
      </c>
      <c r="IN419" t="inlineStr">
        <is>
          <t>low</t>
        </is>
      </c>
      <c r="IO419">
        <f>IF(IN419="good",II419,NA())</f>
        <v/>
      </c>
      <c r="IP419">
        <f>IF(IN419="moderate",II419,NA())</f>
        <v/>
      </c>
      <c r="IQ419">
        <f>IF(IN419="low",II419,NA())</f>
        <v/>
      </c>
      <c r="IR419">
        <f>IF(AND(IN419="good",IJ419=1),IM419,NA())</f>
        <v/>
      </c>
      <c r="IS419">
        <f>IF(AND(IN419="moderate",IJ419=1),IM419,NA())</f>
        <v/>
      </c>
      <c r="IT419">
        <f>IF(AND(IN419="low",IJ419=1),IM419,NA())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  <c r="IG420">
        <f>Base_mundial!A419</f>
        <v/>
      </c>
      <c r="IH420">
        <f>Base_mundial!C419</f>
        <v/>
      </c>
      <c r="II420">
        <f>Base_mundial!E419-MIN(tope,DEGREES(ATAN(TAN(RADIANS(pe0-omega*Base_mundial!B419))*(Base_mundial!C419/sref)^(m_-1))))</f>
        <v/>
      </c>
      <c r="IJ420" t="n">
        <v>1</v>
      </c>
      <c r="IK420">
        <f>IF(IJ420=1,LN(IH420),"")</f>
        <v/>
      </c>
      <c r="IL420">
        <f>IF(IJ420=1,AVERAGEIFS(II3:II688,IG3:IG688,IG420,IJ3:IJ688,1),"")</f>
        <v/>
      </c>
      <c r="IM420">
        <f>IF(IJ420=1,II420-IL420,"")</f>
        <v/>
      </c>
      <c r="IN420" t="inlineStr">
        <is>
          <t>low</t>
        </is>
      </c>
      <c r="IO420">
        <f>IF(IN420="good",II420,NA())</f>
        <v/>
      </c>
      <c r="IP420">
        <f>IF(IN420="moderate",II420,NA())</f>
        <v/>
      </c>
      <c r="IQ420">
        <f>IF(IN420="low",II420,NA())</f>
        <v/>
      </c>
      <c r="IR420">
        <f>IF(AND(IN420="good",IJ420=1),IM420,NA())</f>
        <v/>
      </c>
      <c r="IS420">
        <f>IF(AND(IN420="moderate",IJ420=1),IM420,NA())</f>
        <v/>
      </c>
      <c r="IT420">
        <f>IF(AND(IN420="low",IJ420=1),IM420,NA())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  <c r="IG421">
        <f>Base_mundial!A420</f>
        <v/>
      </c>
      <c r="IH421">
        <f>Base_mundial!C420</f>
        <v/>
      </c>
      <c r="II421">
        <f>Base_mundial!E420-MIN(tope,DEGREES(ATAN(TAN(RADIANS(pe0-omega*Base_mundial!B420))*(Base_mundial!C420/sref)^(m_-1))))</f>
        <v/>
      </c>
      <c r="IJ421" t="n">
        <v>0</v>
      </c>
      <c r="IK421">
        <f>IF(IJ421=1,LN(IH421),"")</f>
        <v/>
      </c>
      <c r="IL421">
        <f>IF(IJ421=1,AVERAGEIFS(II3:II688,IG3:IG688,IG421,IJ3:IJ688,1),"")</f>
        <v/>
      </c>
      <c r="IM421">
        <f>IF(IJ421=1,II421-IL421,"")</f>
        <v/>
      </c>
      <c r="IN421" t="inlineStr">
        <is>
          <t>moderate</t>
        </is>
      </c>
      <c r="IO421">
        <f>IF(IN421="good",II421,NA())</f>
        <v/>
      </c>
      <c r="IP421">
        <f>IF(IN421="moderate",II421,NA())</f>
        <v/>
      </c>
      <c r="IQ421">
        <f>IF(IN421="low",II421,NA())</f>
        <v/>
      </c>
      <c r="IR421">
        <f>IF(AND(IN421="good",IJ421=1),IM421,NA())</f>
        <v/>
      </c>
      <c r="IS421">
        <f>IF(AND(IN421="moderate",IJ421=1),IM421,NA())</f>
        <v/>
      </c>
      <c r="IT421">
        <f>IF(AND(IN421="low",IJ421=1),IM421,NA())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  <c r="IG422">
        <f>Base_mundial!A421</f>
        <v/>
      </c>
      <c r="IH422">
        <f>Base_mundial!C421</f>
        <v/>
      </c>
      <c r="II422">
        <f>Base_mundial!E421-MIN(tope,DEGREES(ATAN(TAN(RADIANS(pe0-omega*Base_mundial!B421))*(Base_mundial!C421/sref)^(m_-1))))</f>
        <v/>
      </c>
      <c r="IJ422" t="n">
        <v>1</v>
      </c>
      <c r="IK422">
        <f>IF(IJ422=1,LN(IH422),"")</f>
        <v/>
      </c>
      <c r="IL422">
        <f>IF(IJ422=1,AVERAGEIFS(II3:II688,IG3:IG688,IG422,IJ3:IJ688,1),"")</f>
        <v/>
      </c>
      <c r="IM422">
        <f>IF(IJ422=1,II422-IL422,"")</f>
        <v/>
      </c>
      <c r="IN422" t="inlineStr">
        <is>
          <t>moderate</t>
        </is>
      </c>
      <c r="IO422">
        <f>IF(IN422="good",II422,NA())</f>
        <v/>
      </c>
      <c r="IP422">
        <f>IF(IN422="moderate",II422,NA())</f>
        <v/>
      </c>
      <c r="IQ422">
        <f>IF(IN422="low",II422,NA())</f>
        <v/>
      </c>
      <c r="IR422">
        <f>IF(AND(IN422="good",IJ422=1),IM422,NA())</f>
        <v/>
      </c>
      <c r="IS422">
        <f>IF(AND(IN422="moderate",IJ422=1),IM422,NA())</f>
        <v/>
      </c>
      <c r="IT422">
        <f>IF(AND(IN422="low",IJ422=1),IM422,NA())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  <c r="IG423">
        <f>Base_mundial!A422</f>
        <v/>
      </c>
      <c r="IH423">
        <f>Base_mundial!C422</f>
        <v/>
      </c>
      <c r="II423">
        <f>Base_mundial!E422-MIN(tope,DEGREES(ATAN(TAN(RADIANS(pe0-omega*Base_mundial!B422))*(Base_mundial!C422/sref)^(m_-1))))</f>
        <v/>
      </c>
      <c r="IJ423" t="n">
        <v>1</v>
      </c>
      <c r="IK423">
        <f>IF(IJ423=1,LN(IH423),"")</f>
        <v/>
      </c>
      <c r="IL423">
        <f>IF(IJ423=1,AVERAGEIFS(II3:II688,IG3:IG688,IG423,IJ3:IJ688,1),"")</f>
        <v/>
      </c>
      <c r="IM423">
        <f>IF(IJ423=1,II423-IL423,"")</f>
        <v/>
      </c>
      <c r="IN423" t="inlineStr">
        <is>
          <t>moderate</t>
        </is>
      </c>
      <c r="IO423">
        <f>IF(IN423="good",II423,NA())</f>
        <v/>
      </c>
      <c r="IP423">
        <f>IF(IN423="moderate",II423,NA())</f>
        <v/>
      </c>
      <c r="IQ423">
        <f>IF(IN423="low",II423,NA())</f>
        <v/>
      </c>
      <c r="IR423">
        <f>IF(AND(IN423="good",IJ423=1),IM423,NA())</f>
        <v/>
      </c>
      <c r="IS423">
        <f>IF(AND(IN423="moderate",IJ423=1),IM423,NA())</f>
        <v/>
      </c>
      <c r="IT423">
        <f>IF(AND(IN423="low",IJ423=1),IM423,NA())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  <c r="IG424">
        <f>Base_mundial!A423</f>
        <v/>
      </c>
      <c r="IH424">
        <f>Base_mundial!C423</f>
        <v/>
      </c>
      <c r="II424">
        <f>Base_mundial!E423-MIN(tope,DEGREES(ATAN(TAN(RADIANS(pe0-omega*Base_mundial!B423))*(Base_mundial!C423/sref)^(m_-1))))</f>
        <v/>
      </c>
      <c r="IJ424" t="n">
        <v>1</v>
      </c>
      <c r="IK424">
        <f>IF(IJ424=1,LN(IH424),"")</f>
        <v/>
      </c>
      <c r="IL424">
        <f>IF(IJ424=1,AVERAGEIFS(II3:II688,IG3:IG688,IG424,IJ3:IJ688,1),"")</f>
        <v/>
      </c>
      <c r="IM424">
        <f>IF(IJ424=1,II424-IL424,"")</f>
        <v/>
      </c>
      <c r="IN424" t="inlineStr">
        <is>
          <t>moderate</t>
        </is>
      </c>
      <c r="IO424">
        <f>IF(IN424="good",II424,NA())</f>
        <v/>
      </c>
      <c r="IP424">
        <f>IF(IN424="moderate",II424,NA())</f>
        <v/>
      </c>
      <c r="IQ424">
        <f>IF(IN424="low",II424,NA())</f>
        <v/>
      </c>
      <c r="IR424">
        <f>IF(AND(IN424="good",IJ424=1),IM424,NA())</f>
        <v/>
      </c>
      <c r="IS424">
        <f>IF(AND(IN424="moderate",IJ424=1),IM424,NA())</f>
        <v/>
      </c>
      <c r="IT424">
        <f>IF(AND(IN424="low",IJ424=1),IM424,NA())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  <c r="IG425">
        <f>Base_mundial!A424</f>
        <v/>
      </c>
      <c r="IH425">
        <f>Base_mundial!C424</f>
        <v/>
      </c>
      <c r="II425">
        <f>Base_mundial!E424-MIN(tope,DEGREES(ATAN(TAN(RADIANS(pe0-omega*Base_mundial!B424))*(Base_mundial!C424/sref)^(m_-1))))</f>
        <v/>
      </c>
      <c r="IJ425" t="n">
        <v>0</v>
      </c>
      <c r="IK425">
        <f>IF(IJ425=1,LN(IH425),"")</f>
        <v/>
      </c>
      <c r="IL425">
        <f>IF(IJ425=1,AVERAGEIFS(II3:II688,IG3:IG688,IG425,IJ3:IJ688,1),"")</f>
        <v/>
      </c>
      <c r="IM425">
        <f>IF(IJ425=1,II425-IL425,"")</f>
        <v/>
      </c>
      <c r="IN425" t="inlineStr">
        <is>
          <t>moderate</t>
        </is>
      </c>
      <c r="IO425">
        <f>IF(IN425="good",II425,NA())</f>
        <v/>
      </c>
      <c r="IP425">
        <f>IF(IN425="moderate",II425,NA())</f>
        <v/>
      </c>
      <c r="IQ425">
        <f>IF(IN425="low",II425,NA())</f>
        <v/>
      </c>
      <c r="IR425">
        <f>IF(AND(IN425="good",IJ425=1),IM425,NA())</f>
        <v/>
      </c>
      <c r="IS425">
        <f>IF(AND(IN425="moderate",IJ425=1),IM425,NA())</f>
        <v/>
      </c>
      <c r="IT425">
        <f>IF(AND(IN425="low",IJ425=1),IM425,NA())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  <c r="IG426">
        <f>Base_mundial!A425</f>
        <v/>
      </c>
      <c r="IH426">
        <f>Base_mundial!C425</f>
        <v/>
      </c>
      <c r="II426">
        <f>Base_mundial!E425-MIN(tope,DEGREES(ATAN(TAN(RADIANS(pe0-omega*Base_mundial!B425))*(Base_mundial!C425/sref)^(m_-1))))</f>
        <v/>
      </c>
      <c r="IJ426" t="n">
        <v>0</v>
      </c>
      <c r="IK426">
        <f>IF(IJ426=1,LN(IH426),"")</f>
        <v/>
      </c>
      <c r="IL426">
        <f>IF(IJ426=1,AVERAGEIFS(II3:II688,IG3:IG688,IG426,IJ3:IJ688,1),"")</f>
        <v/>
      </c>
      <c r="IM426">
        <f>IF(IJ426=1,II426-IL426,"")</f>
        <v/>
      </c>
      <c r="IN426" t="inlineStr">
        <is>
          <t>moderate</t>
        </is>
      </c>
      <c r="IO426">
        <f>IF(IN426="good",II426,NA())</f>
        <v/>
      </c>
      <c r="IP426">
        <f>IF(IN426="moderate",II426,NA())</f>
        <v/>
      </c>
      <c r="IQ426">
        <f>IF(IN426="low",II426,NA())</f>
        <v/>
      </c>
      <c r="IR426">
        <f>IF(AND(IN426="good",IJ426=1),IM426,NA())</f>
        <v/>
      </c>
      <c r="IS426">
        <f>IF(AND(IN426="moderate",IJ426=1),IM426,NA())</f>
        <v/>
      </c>
      <c r="IT426">
        <f>IF(AND(IN426="low",IJ426=1),IM426,NA())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  <c r="IG427">
        <f>Base_mundial!A426</f>
        <v/>
      </c>
      <c r="IH427">
        <f>Base_mundial!C426</f>
        <v/>
      </c>
      <c r="II427">
        <f>Base_mundial!E426-MIN(tope,DEGREES(ATAN(TAN(RADIANS(pe0-omega*Base_mundial!B426))*(Base_mundial!C426/sref)^(m_-1))))</f>
        <v/>
      </c>
      <c r="IJ427" t="n">
        <v>0</v>
      </c>
      <c r="IK427">
        <f>IF(IJ427=1,LN(IH427),"")</f>
        <v/>
      </c>
      <c r="IL427">
        <f>IF(IJ427=1,AVERAGEIFS(II3:II688,IG3:IG688,IG427,IJ3:IJ688,1),"")</f>
        <v/>
      </c>
      <c r="IM427">
        <f>IF(IJ427=1,II427-IL427,"")</f>
        <v/>
      </c>
      <c r="IN427" t="inlineStr">
        <is>
          <t>good</t>
        </is>
      </c>
      <c r="IO427">
        <f>IF(IN427="good",II427,NA())</f>
        <v/>
      </c>
      <c r="IP427">
        <f>IF(IN427="moderate",II427,NA())</f>
        <v/>
      </c>
      <c r="IQ427">
        <f>IF(IN427="low",II427,NA())</f>
        <v/>
      </c>
      <c r="IR427">
        <f>IF(AND(IN427="good",IJ427=1),IM427,NA())</f>
        <v/>
      </c>
      <c r="IS427">
        <f>IF(AND(IN427="moderate",IJ427=1),IM427,NA())</f>
        <v/>
      </c>
      <c r="IT427">
        <f>IF(AND(IN427="low",IJ427=1),IM427,NA())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  <c r="IG428">
        <f>Base_mundial!A427</f>
        <v/>
      </c>
      <c r="IH428">
        <f>Base_mundial!C427</f>
        <v/>
      </c>
      <c r="II428">
        <f>Base_mundial!E427-MIN(tope,DEGREES(ATAN(TAN(RADIANS(pe0-omega*Base_mundial!B427))*(Base_mundial!C427/sref)^(m_-1))))</f>
        <v/>
      </c>
      <c r="IJ428" t="n">
        <v>1</v>
      </c>
      <c r="IK428">
        <f>IF(IJ428=1,LN(IH428),"")</f>
        <v/>
      </c>
      <c r="IL428">
        <f>IF(IJ428=1,AVERAGEIFS(II3:II688,IG3:IG688,IG428,IJ3:IJ688,1),"")</f>
        <v/>
      </c>
      <c r="IM428">
        <f>IF(IJ428=1,II428-IL428,"")</f>
        <v/>
      </c>
      <c r="IN428" t="inlineStr">
        <is>
          <t>good</t>
        </is>
      </c>
      <c r="IO428">
        <f>IF(IN428="good",II428,NA())</f>
        <v/>
      </c>
      <c r="IP428">
        <f>IF(IN428="moderate",II428,NA())</f>
        <v/>
      </c>
      <c r="IQ428">
        <f>IF(IN428="low",II428,NA())</f>
        <v/>
      </c>
      <c r="IR428">
        <f>IF(AND(IN428="good",IJ428=1),IM428,NA())</f>
        <v/>
      </c>
      <c r="IS428">
        <f>IF(AND(IN428="moderate",IJ428=1),IM428,NA())</f>
        <v/>
      </c>
      <c r="IT428">
        <f>IF(AND(IN428="low",IJ428=1),IM428,NA())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  <c r="IG429">
        <f>Base_mundial!A428</f>
        <v/>
      </c>
      <c r="IH429">
        <f>Base_mundial!C428</f>
        <v/>
      </c>
      <c r="II429">
        <f>Base_mundial!E428-MIN(tope,DEGREES(ATAN(TAN(RADIANS(pe0-omega*Base_mundial!B428))*(Base_mundial!C428/sref)^(m_-1))))</f>
        <v/>
      </c>
      <c r="IJ429" t="n">
        <v>1</v>
      </c>
      <c r="IK429">
        <f>IF(IJ429=1,LN(IH429),"")</f>
        <v/>
      </c>
      <c r="IL429">
        <f>IF(IJ429=1,AVERAGEIFS(II3:II688,IG3:IG688,IG429,IJ3:IJ688,1),"")</f>
        <v/>
      </c>
      <c r="IM429">
        <f>IF(IJ429=1,II429-IL429,"")</f>
        <v/>
      </c>
      <c r="IN429" t="inlineStr">
        <is>
          <t>good</t>
        </is>
      </c>
      <c r="IO429">
        <f>IF(IN429="good",II429,NA())</f>
        <v/>
      </c>
      <c r="IP429">
        <f>IF(IN429="moderate",II429,NA())</f>
        <v/>
      </c>
      <c r="IQ429">
        <f>IF(IN429="low",II429,NA())</f>
        <v/>
      </c>
      <c r="IR429">
        <f>IF(AND(IN429="good",IJ429=1),IM429,NA())</f>
        <v/>
      </c>
      <c r="IS429">
        <f>IF(AND(IN429="moderate",IJ429=1),IM429,NA())</f>
        <v/>
      </c>
      <c r="IT429">
        <f>IF(AND(IN429="low",IJ429=1),IM429,NA())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  <c r="IG430">
        <f>Base_mundial!A429</f>
        <v/>
      </c>
      <c r="IH430">
        <f>Base_mundial!C429</f>
        <v/>
      </c>
      <c r="II430">
        <f>Base_mundial!E429-MIN(tope,DEGREES(ATAN(TAN(RADIANS(pe0-omega*Base_mundial!B429))*(Base_mundial!C429/sref)^(m_-1))))</f>
        <v/>
      </c>
      <c r="IJ430" t="n">
        <v>1</v>
      </c>
      <c r="IK430">
        <f>IF(IJ430=1,LN(IH430),"")</f>
        <v/>
      </c>
      <c r="IL430">
        <f>IF(IJ430=1,AVERAGEIFS(II3:II688,IG3:IG688,IG430,IJ3:IJ688,1),"")</f>
        <v/>
      </c>
      <c r="IM430">
        <f>IF(IJ430=1,II430-IL430,"")</f>
        <v/>
      </c>
      <c r="IN430" t="inlineStr">
        <is>
          <t>good</t>
        </is>
      </c>
      <c r="IO430">
        <f>IF(IN430="good",II430,NA())</f>
        <v/>
      </c>
      <c r="IP430">
        <f>IF(IN430="moderate",II430,NA())</f>
        <v/>
      </c>
      <c r="IQ430">
        <f>IF(IN430="low",II430,NA())</f>
        <v/>
      </c>
      <c r="IR430">
        <f>IF(AND(IN430="good",IJ430=1),IM430,NA())</f>
        <v/>
      </c>
      <c r="IS430">
        <f>IF(AND(IN430="moderate",IJ430=1),IM430,NA())</f>
        <v/>
      </c>
      <c r="IT430">
        <f>IF(AND(IN430="low",IJ430=1),IM430,NA())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  <c r="IG431">
        <f>Base_mundial!A430</f>
        <v/>
      </c>
      <c r="IH431">
        <f>Base_mundial!C430</f>
        <v/>
      </c>
      <c r="II431">
        <f>Base_mundial!E430-MIN(tope,DEGREES(ATAN(TAN(RADIANS(pe0-omega*Base_mundial!B430))*(Base_mundial!C430/sref)^(m_-1))))</f>
        <v/>
      </c>
      <c r="IJ431" t="n">
        <v>0</v>
      </c>
      <c r="IK431">
        <f>IF(IJ431=1,LN(IH431),"")</f>
        <v/>
      </c>
      <c r="IL431">
        <f>IF(IJ431=1,AVERAGEIFS(II3:II688,IG3:IG688,IG431,IJ3:IJ688,1),"")</f>
        <v/>
      </c>
      <c r="IM431">
        <f>IF(IJ431=1,II431-IL431,"")</f>
        <v/>
      </c>
      <c r="IN431" t="inlineStr">
        <is>
          <t>good</t>
        </is>
      </c>
      <c r="IO431">
        <f>IF(IN431="good",II431,NA())</f>
        <v/>
      </c>
      <c r="IP431">
        <f>IF(IN431="moderate",II431,NA())</f>
        <v/>
      </c>
      <c r="IQ431">
        <f>IF(IN431="low",II431,NA())</f>
        <v/>
      </c>
      <c r="IR431">
        <f>IF(AND(IN431="good",IJ431=1),IM431,NA())</f>
        <v/>
      </c>
      <c r="IS431">
        <f>IF(AND(IN431="moderate",IJ431=1),IM431,NA())</f>
        <v/>
      </c>
      <c r="IT431">
        <f>IF(AND(IN431="low",IJ431=1),IM431,NA())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  <c r="IG432">
        <f>Base_mundial!A431</f>
        <v/>
      </c>
      <c r="IH432">
        <f>Base_mundial!C431</f>
        <v/>
      </c>
      <c r="II432">
        <f>Base_mundial!E431-MIN(tope,DEGREES(ATAN(TAN(RADIANS(pe0-omega*Base_mundial!B431))*(Base_mundial!C431/sref)^(m_-1))))</f>
        <v/>
      </c>
      <c r="IJ432" t="n">
        <v>1</v>
      </c>
      <c r="IK432">
        <f>IF(IJ432=1,LN(IH432),"")</f>
        <v/>
      </c>
      <c r="IL432">
        <f>IF(IJ432=1,AVERAGEIFS(II3:II688,IG3:IG688,IG432,IJ3:IJ688,1),"")</f>
        <v/>
      </c>
      <c r="IM432">
        <f>IF(IJ432=1,II432-IL432,"")</f>
        <v/>
      </c>
      <c r="IN432" t="inlineStr">
        <is>
          <t>good</t>
        </is>
      </c>
      <c r="IO432">
        <f>IF(IN432="good",II432,NA())</f>
        <v/>
      </c>
      <c r="IP432">
        <f>IF(IN432="moderate",II432,NA())</f>
        <v/>
      </c>
      <c r="IQ432">
        <f>IF(IN432="low",II432,NA())</f>
        <v/>
      </c>
      <c r="IR432">
        <f>IF(AND(IN432="good",IJ432=1),IM432,NA())</f>
        <v/>
      </c>
      <c r="IS432">
        <f>IF(AND(IN432="moderate",IJ432=1),IM432,NA())</f>
        <v/>
      </c>
      <c r="IT432">
        <f>IF(AND(IN432="low",IJ432=1),IM432,NA())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  <c r="IG433">
        <f>Base_mundial!A432</f>
        <v/>
      </c>
      <c r="IH433">
        <f>Base_mundial!C432</f>
        <v/>
      </c>
      <c r="II433">
        <f>Base_mundial!E432-MIN(tope,DEGREES(ATAN(TAN(RADIANS(pe0-omega*Base_mundial!B432))*(Base_mundial!C432/sref)^(m_-1))))</f>
        <v/>
      </c>
      <c r="IJ433" t="n">
        <v>1</v>
      </c>
      <c r="IK433">
        <f>IF(IJ433=1,LN(IH433),"")</f>
        <v/>
      </c>
      <c r="IL433">
        <f>IF(IJ433=1,AVERAGEIFS(II3:II688,IG3:IG688,IG433,IJ3:IJ688,1),"")</f>
        <v/>
      </c>
      <c r="IM433">
        <f>IF(IJ433=1,II433-IL433,"")</f>
        <v/>
      </c>
      <c r="IN433" t="inlineStr">
        <is>
          <t>good</t>
        </is>
      </c>
      <c r="IO433">
        <f>IF(IN433="good",II433,NA())</f>
        <v/>
      </c>
      <c r="IP433">
        <f>IF(IN433="moderate",II433,NA())</f>
        <v/>
      </c>
      <c r="IQ433">
        <f>IF(IN433="low",II433,NA())</f>
        <v/>
      </c>
      <c r="IR433">
        <f>IF(AND(IN433="good",IJ433=1),IM433,NA())</f>
        <v/>
      </c>
      <c r="IS433">
        <f>IF(AND(IN433="moderate",IJ433=1),IM433,NA())</f>
        <v/>
      </c>
      <c r="IT433">
        <f>IF(AND(IN433="low",IJ433=1),IM433,NA())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  <c r="IG434">
        <f>Base_mundial!A433</f>
        <v/>
      </c>
      <c r="IH434">
        <f>Base_mundial!C433</f>
        <v/>
      </c>
      <c r="II434">
        <f>Base_mundial!E433-MIN(tope,DEGREES(ATAN(TAN(RADIANS(pe0-omega*Base_mundial!B433))*(Base_mundial!C433/sref)^(m_-1))))</f>
        <v/>
      </c>
      <c r="IJ434" t="n">
        <v>1</v>
      </c>
      <c r="IK434">
        <f>IF(IJ434=1,LN(IH434),"")</f>
        <v/>
      </c>
      <c r="IL434">
        <f>IF(IJ434=1,AVERAGEIFS(II3:II688,IG3:IG688,IG434,IJ3:IJ688,1),"")</f>
        <v/>
      </c>
      <c r="IM434">
        <f>IF(IJ434=1,II434-IL434,"")</f>
        <v/>
      </c>
      <c r="IN434" t="inlineStr">
        <is>
          <t>good</t>
        </is>
      </c>
      <c r="IO434">
        <f>IF(IN434="good",II434,NA())</f>
        <v/>
      </c>
      <c r="IP434">
        <f>IF(IN434="moderate",II434,NA())</f>
        <v/>
      </c>
      <c r="IQ434">
        <f>IF(IN434="low",II434,NA())</f>
        <v/>
      </c>
      <c r="IR434">
        <f>IF(AND(IN434="good",IJ434=1),IM434,NA())</f>
        <v/>
      </c>
      <c r="IS434">
        <f>IF(AND(IN434="moderate",IJ434=1),IM434,NA())</f>
        <v/>
      </c>
      <c r="IT434">
        <f>IF(AND(IN434="low",IJ434=1),IM434,NA())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  <c r="IG435">
        <f>Base_mundial!A434</f>
        <v/>
      </c>
      <c r="IH435">
        <f>Base_mundial!C434</f>
        <v/>
      </c>
      <c r="II435">
        <f>Base_mundial!E434-MIN(tope,DEGREES(ATAN(TAN(RADIANS(pe0-omega*Base_mundial!B434))*(Base_mundial!C434/sref)^(m_-1))))</f>
        <v/>
      </c>
      <c r="IJ435" t="n">
        <v>0</v>
      </c>
      <c r="IK435">
        <f>IF(IJ435=1,LN(IH435),"")</f>
        <v/>
      </c>
      <c r="IL435">
        <f>IF(IJ435=1,AVERAGEIFS(II3:II688,IG3:IG688,IG435,IJ3:IJ688,1),"")</f>
        <v/>
      </c>
      <c r="IM435">
        <f>IF(IJ435=1,II435-IL435,"")</f>
        <v/>
      </c>
      <c r="IN435" t="inlineStr">
        <is>
          <t>good</t>
        </is>
      </c>
      <c r="IO435">
        <f>IF(IN435="good",II435,NA())</f>
        <v/>
      </c>
      <c r="IP435">
        <f>IF(IN435="moderate",II435,NA())</f>
        <v/>
      </c>
      <c r="IQ435">
        <f>IF(IN435="low",II435,NA())</f>
        <v/>
      </c>
      <c r="IR435">
        <f>IF(AND(IN435="good",IJ435=1),IM435,NA())</f>
        <v/>
      </c>
      <c r="IS435">
        <f>IF(AND(IN435="moderate",IJ435=1),IM435,NA())</f>
        <v/>
      </c>
      <c r="IT435">
        <f>IF(AND(IN435="low",IJ435=1),IM435,NA())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  <c r="IG436">
        <f>Base_mundial!A435</f>
        <v/>
      </c>
      <c r="IH436">
        <f>Base_mundial!C435</f>
        <v/>
      </c>
      <c r="II436">
        <f>Base_mundial!E435-MIN(tope,DEGREES(ATAN(TAN(RADIANS(pe0-omega*Base_mundial!B435))*(Base_mundial!C435/sref)^(m_-1))))</f>
        <v/>
      </c>
      <c r="IJ436" t="n">
        <v>0</v>
      </c>
      <c r="IK436">
        <f>IF(IJ436=1,LN(IH436),"")</f>
        <v/>
      </c>
      <c r="IL436">
        <f>IF(IJ436=1,AVERAGEIFS(II3:II688,IG3:IG688,IG436,IJ3:IJ688,1),"")</f>
        <v/>
      </c>
      <c r="IM436">
        <f>IF(IJ436=1,II436-IL436,"")</f>
        <v/>
      </c>
      <c r="IN436" t="inlineStr">
        <is>
          <t>good</t>
        </is>
      </c>
      <c r="IO436">
        <f>IF(IN436="good",II436,NA())</f>
        <v/>
      </c>
      <c r="IP436">
        <f>IF(IN436="moderate",II436,NA())</f>
        <v/>
      </c>
      <c r="IQ436">
        <f>IF(IN436="low",II436,NA())</f>
        <v/>
      </c>
      <c r="IR436">
        <f>IF(AND(IN436="good",IJ436=1),IM436,NA())</f>
        <v/>
      </c>
      <c r="IS436">
        <f>IF(AND(IN436="moderate",IJ436=1),IM436,NA())</f>
        <v/>
      </c>
      <c r="IT436">
        <f>IF(AND(IN436="low",IJ436=1),IM436,NA())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  <c r="IG437">
        <f>Base_mundial!A436</f>
        <v/>
      </c>
      <c r="IH437">
        <f>Base_mundial!C436</f>
        <v/>
      </c>
      <c r="II437">
        <f>Base_mundial!E436-MIN(tope,DEGREES(ATAN(TAN(RADIANS(pe0-omega*Base_mundial!B436))*(Base_mundial!C436/sref)^(m_-1))))</f>
        <v/>
      </c>
      <c r="IJ437" t="n">
        <v>0</v>
      </c>
      <c r="IK437">
        <f>IF(IJ437=1,LN(IH437),"")</f>
        <v/>
      </c>
      <c r="IL437">
        <f>IF(IJ437=1,AVERAGEIFS(II3:II688,IG3:IG688,IG437,IJ3:IJ688,1),"")</f>
        <v/>
      </c>
      <c r="IM437">
        <f>IF(IJ437=1,II437-IL437,"")</f>
        <v/>
      </c>
      <c r="IN437" t="inlineStr">
        <is>
          <t>good</t>
        </is>
      </c>
      <c r="IO437">
        <f>IF(IN437="good",II437,NA())</f>
        <v/>
      </c>
      <c r="IP437">
        <f>IF(IN437="moderate",II437,NA())</f>
        <v/>
      </c>
      <c r="IQ437">
        <f>IF(IN437="low",II437,NA())</f>
        <v/>
      </c>
      <c r="IR437">
        <f>IF(AND(IN437="good",IJ437=1),IM437,NA())</f>
        <v/>
      </c>
      <c r="IS437">
        <f>IF(AND(IN437="moderate",IJ437=1),IM437,NA())</f>
        <v/>
      </c>
      <c r="IT437">
        <f>IF(AND(IN437="low",IJ437=1),IM437,NA())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  <c r="IG438">
        <f>Base_mundial!A437</f>
        <v/>
      </c>
      <c r="IH438">
        <f>Base_mundial!C437</f>
        <v/>
      </c>
      <c r="II438">
        <f>Base_mundial!E437-MIN(tope,DEGREES(ATAN(TAN(RADIANS(pe0-omega*Base_mundial!B437))*(Base_mundial!C437/sref)^(m_-1))))</f>
        <v/>
      </c>
      <c r="IJ438" t="n">
        <v>0</v>
      </c>
      <c r="IK438">
        <f>IF(IJ438=1,LN(IH438),"")</f>
        <v/>
      </c>
      <c r="IL438">
        <f>IF(IJ438=1,AVERAGEIFS(II3:II688,IG3:IG688,IG438,IJ3:IJ688,1),"")</f>
        <v/>
      </c>
      <c r="IM438">
        <f>IF(IJ438=1,II438-IL438,"")</f>
        <v/>
      </c>
      <c r="IN438" t="inlineStr">
        <is>
          <t>good</t>
        </is>
      </c>
      <c r="IO438">
        <f>IF(IN438="good",II438,NA())</f>
        <v/>
      </c>
      <c r="IP438">
        <f>IF(IN438="moderate",II438,NA())</f>
        <v/>
      </c>
      <c r="IQ438">
        <f>IF(IN438="low",II438,NA())</f>
        <v/>
      </c>
      <c r="IR438">
        <f>IF(AND(IN438="good",IJ438=1),IM438,NA())</f>
        <v/>
      </c>
      <c r="IS438">
        <f>IF(AND(IN438="moderate",IJ438=1),IM438,NA())</f>
        <v/>
      </c>
      <c r="IT438">
        <f>IF(AND(IN438="low",IJ438=1),IM438,NA())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  <c r="IG439">
        <f>Base_mundial!A438</f>
        <v/>
      </c>
      <c r="IH439">
        <f>Base_mundial!C438</f>
        <v/>
      </c>
      <c r="II439">
        <f>Base_mundial!E438-MIN(tope,DEGREES(ATAN(TAN(RADIANS(pe0-omega*Base_mundial!B438))*(Base_mundial!C438/sref)^(m_-1))))</f>
        <v/>
      </c>
      <c r="IJ439" t="n">
        <v>0</v>
      </c>
      <c r="IK439">
        <f>IF(IJ439=1,LN(IH439),"")</f>
        <v/>
      </c>
      <c r="IL439">
        <f>IF(IJ439=1,AVERAGEIFS(II3:II688,IG3:IG688,IG439,IJ3:IJ688,1),"")</f>
        <v/>
      </c>
      <c r="IM439">
        <f>IF(IJ439=1,II439-IL439,"")</f>
        <v/>
      </c>
      <c r="IN439" t="inlineStr">
        <is>
          <t>low</t>
        </is>
      </c>
      <c r="IO439">
        <f>IF(IN439="good",II439,NA())</f>
        <v/>
      </c>
      <c r="IP439">
        <f>IF(IN439="moderate",II439,NA())</f>
        <v/>
      </c>
      <c r="IQ439">
        <f>IF(IN439="low",II439,NA())</f>
        <v/>
      </c>
      <c r="IR439">
        <f>IF(AND(IN439="good",IJ439=1),IM439,NA())</f>
        <v/>
      </c>
      <c r="IS439">
        <f>IF(AND(IN439="moderate",IJ439=1),IM439,NA())</f>
        <v/>
      </c>
      <c r="IT439">
        <f>IF(AND(IN439="low",IJ439=1),IM439,NA())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  <c r="IG440">
        <f>Base_mundial!A439</f>
        <v/>
      </c>
      <c r="IH440">
        <f>Base_mundial!C439</f>
        <v/>
      </c>
      <c r="II440">
        <f>Base_mundial!E439-MIN(tope,DEGREES(ATAN(TAN(RADIANS(pe0-omega*Base_mundial!B439))*(Base_mundial!C439/sref)^(m_-1))))</f>
        <v/>
      </c>
      <c r="IJ440" t="n">
        <v>0</v>
      </c>
      <c r="IK440">
        <f>IF(IJ440=1,LN(IH440),"")</f>
        <v/>
      </c>
      <c r="IL440">
        <f>IF(IJ440=1,AVERAGEIFS(II3:II688,IG3:IG688,IG440,IJ3:IJ688,1),"")</f>
        <v/>
      </c>
      <c r="IM440">
        <f>IF(IJ440=1,II440-IL440,"")</f>
        <v/>
      </c>
      <c r="IN440" t="inlineStr">
        <is>
          <t>low</t>
        </is>
      </c>
      <c r="IO440">
        <f>IF(IN440="good",II440,NA())</f>
        <v/>
      </c>
      <c r="IP440">
        <f>IF(IN440="moderate",II440,NA())</f>
        <v/>
      </c>
      <c r="IQ440">
        <f>IF(IN440="low",II440,NA())</f>
        <v/>
      </c>
      <c r="IR440">
        <f>IF(AND(IN440="good",IJ440=1),IM440,NA())</f>
        <v/>
      </c>
      <c r="IS440">
        <f>IF(AND(IN440="moderate",IJ440=1),IM440,NA())</f>
        <v/>
      </c>
      <c r="IT440">
        <f>IF(AND(IN440="low",IJ440=1),IM440,NA())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  <c r="IG441">
        <f>Base_mundial!A440</f>
        <v/>
      </c>
      <c r="IH441">
        <f>Base_mundial!C440</f>
        <v/>
      </c>
      <c r="II441">
        <f>Base_mundial!E440-MIN(tope,DEGREES(ATAN(TAN(RADIANS(pe0-omega*Base_mundial!B440))*(Base_mundial!C440/sref)^(m_-1))))</f>
        <v/>
      </c>
      <c r="IJ441" t="n">
        <v>0</v>
      </c>
      <c r="IK441">
        <f>IF(IJ441=1,LN(IH441),"")</f>
        <v/>
      </c>
      <c r="IL441">
        <f>IF(IJ441=1,AVERAGEIFS(II3:II688,IG3:IG688,IG441,IJ3:IJ688,1),"")</f>
        <v/>
      </c>
      <c r="IM441">
        <f>IF(IJ441=1,II441-IL441,"")</f>
        <v/>
      </c>
      <c r="IN441" t="inlineStr">
        <is>
          <t>low</t>
        </is>
      </c>
      <c r="IO441">
        <f>IF(IN441="good",II441,NA())</f>
        <v/>
      </c>
      <c r="IP441">
        <f>IF(IN441="moderate",II441,NA())</f>
        <v/>
      </c>
      <c r="IQ441">
        <f>IF(IN441="low",II441,NA())</f>
        <v/>
      </c>
      <c r="IR441">
        <f>IF(AND(IN441="good",IJ441=1),IM441,NA())</f>
        <v/>
      </c>
      <c r="IS441">
        <f>IF(AND(IN441="moderate",IJ441=1),IM441,NA())</f>
        <v/>
      </c>
      <c r="IT441">
        <f>IF(AND(IN441="low",IJ441=1),IM441,NA())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  <c r="IG442">
        <f>Base_mundial!A441</f>
        <v/>
      </c>
      <c r="IH442">
        <f>Base_mundial!C441</f>
        <v/>
      </c>
      <c r="II442">
        <f>Base_mundial!E441-MIN(tope,DEGREES(ATAN(TAN(RADIANS(pe0-omega*Base_mundial!B441))*(Base_mundial!C441/sref)^(m_-1))))</f>
        <v/>
      </c>
      <c r="IJ442" t="n">
        <v>0</v>
      </c>
      <c r="IK442">
        <f>IF(IJ442=1,LN(IH442),"")</f>
        <v/>
      </c>
      <c r="IL442">
        <f>IF(IJ442=1,AVERAGEIFS(II3:II688,IG3:IG688,IG442,IJ3:IJ688,1),"")</f>
        <v/>
      </c>
      <c r="IM442">
        <f>IF(IJ442=1,II442-IL442,"")</f>
        <v/>
      </c>
      <c r="IN442" t="inlineStr">
        <is>
          <t>low</t>
        </is>
      </c>
      <c r="IO442">
        <f>IF(IN442="good",II442,NA())</f>
        <v/>
      </c>
      <c r="IP442">
        <f>IF(IN442="moderate",II442,NA())</f>
        <v/>
      </c>
      <c r="IQ442">
        <f>IF(IN442="low",II442,NA())</f>
        <v/>
      </c>
      <c r="IR442">
        <f>IF(AND(IN442="good",IJ442=1),IM442,NA())</f>
        <v/>
      </c>
      <c r="IS442">
        <f>IF(AND(IN442="moderate",IJ442=1),IM442,NA())</f>
        <v/>
      </c>
      <c r="IT442">
        <f>IF(AND(IN442="low",IJ442=1),IM442,NA())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  <c r="IG443">
        <f>Base_mundial!A442</f>
        <v/>
      </c>
      <c r="IH443">
        <f>Base_mundial!C442</f>
        <v/>
      </c>
      <c r="II443">
        <f>Base_mundial!E442-MIN(tope,DEGREES(ATAN(TAN(RADIANS(pe0-omega*Base_mundial!B442))*(Base_mundial!C442/sref)^(m_-1))))</f>
        <v/>
      </c>
      <c r="IJ443" t="n">
        <v>0</v>
      </c>
      <c r="IK443">
        <f>IF(IJ443=1,LN(IH443),"")</f>
        <v/>
      </c>
      <c r="IL443">
        <f>IF(IJ443=1,AVERAGEIFS(II3:II688,IG3:IG688,IG443,IJ3:IJ688,1),"")</f>
        <v/>
      </c>
      <c r="IM443">
        <f>IF(IJ443=1,II443-IL443,"")</f>
        <v/>
      </c>
      <c r="IN443" t="inlineStr">
        <is>
          <t>low</t>
        </is>
      </c>
      <c r="IO443">
        <f>IF(IN443="good",II443,NA())</f>
        <v/>
      </c>
      <c r="IP443">
        <f>IF(IN443="moderate",II443,NA())</f>
        <v/>
      </c>
      <c r="IQ443">
        <f>IF(IN443="low",II443,NA())</f>
        <v/>
      </c>
      <c r="IR443">
        <f>IF(AND(IN443="good",IJ443=1),IM443,NA())</f>
        <v/>
      </c>
      <c r="IS443">
        <f>IF(AND(IN443="moderate",IJ443=1),IM443,NA())</f>
        <v/>
      </c>
      <c r="IT443">
        <f>IF(AND(IN443="low",IJ443=1),IM443,NA())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  <c r="IG444">
        <f>Base_mundial!A443</f>
        <v/>
      </c>
      <c r="IH444">
        <f>Base_mundial!C443</f>
        <v/>
      </c>
      <c r="II444">
        <f>Base_mundial!E443-MIN(tope,DEGREES(ATAN(TAN(RADIANS(pe0-omega*Base_mundial!B443))*(Base_mundial!C443/sref)^(m_-1))))</f>
        <v/>
      </c>
      <c r="IJ444" t="n">
        <v>0</v>
      </c>
      <c r="IK444">
        <f>IF(IJ444=1,LN(IH444),"")</f>
        <v/>
      </c>
      <c r="IL444">
        <f>IF(IJ444=1,AVERAGEIFS(II3:II688,IG3:IG688,IG444,IJ3:IJ688,1),"")</f>
        <v/>
      </c>
      <c r="IM444">
        <f>IF(IJ444=1,II444-IL444,"")</f>
        <v/>
      </c>
      <c r="IN444" t="inlineStr">
        <is>
          <t>low</t>
        </is>
      </c>
      <c r="IO444">
        <f>IF(IN444="good",II444,NA())</f>
        <v/>
      </c>
      <c r="IP444">
        <f>IF(IN444="moderate",II444,NA())</f>
        <v/>
      </c>
      <c r="IQ444">
        <f>IF(IN444="low",II444,NA())</f>
        <v/>
      </c>
      <c r="IR444">
        <f>IF(AND(IN444="good",IJ444=1),IM444,NA())</f>
        <v/>
      </c>
      <c r="IS444">
        <f>IF(AND(IN444="moderate",IJ444=1),IM444,NA())</f>
        <v/>
      </c>
      <c r="IT444">
        <f>IF(AND(IN444="low",IJ444=1),IM444,NA())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  <c r="IG445">
        <f>Base_mundial!A444</f>
        <v/>
      </c>
      <c r="IH445">
        <f>Base_mundial!C444</f>
        <v/>
      </c>
      <c r="II445">
        <f>Base_mundial!E444-MIN(tope,DEGREES(ATAN(TAN(RADIANS(pe0-omega*Base_mundial!B444))*(Base_mundial!C444/sref)^(m_-1))))</f>
        <v/>
      </c>
      <c r="IJ445" t="n">
        <v>0</v>
      </c>
      <c r="IK445">
        <f>IF(IJ445=1,LN(IH445),"")</f>
        <v/>
      </c>
      <c r="IL445">
        <f>IF(IJ445=1,AVERAGEIFS(II3:II688,IG3:IG688,IG445,IJ3:IJ688,1),"")</f>
        <v/>
      </c>
      <c r="IM445">
        <f>IF(IJ445=1,II445-IL445,"")</f>
        <v/>
      </c>
      <c r="IN445" t="inlineStr">
        <is>
          <t>low</t>
        </is>
      </c>
      <c r="IO445">
        <f>IF(IN445="good",II445,NA())</f>
        <v/>
      </c>
      <c r="IP445">
        <f>IF(IN445="moderate",II445,NA())</f>
        <v/>
      </c>
      <c r="IQ445">
        <f>IF(IN445="low",II445,NA())</f>
        <v/>
      </c>
      <c r="IR445">
        <f>IF(AND(IN445="good",IJ445=1),IM445,NA())</f>
        <v/>
      </c>
      <c r="IS445">
        <f>IF(AND(IN445="moderate",IJ445=1),IM445,NA())</f>
        <v/>
      </c>
      <c r="IT445">
        <f>IF(AND(IN445="low",IJ445=1),IM445,NA())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  <c r="IG446">
        <f>Base_mundial!A445</f>
        <v/>
      </c>
      <c r="IH446">
        <f>Base_mundial!C445</f>
        <v/>
      </c>
      <c r="II446">
        <f>Base_mundial!E445-MIN(tope,DEGREES(ATAN(TAN(RADIANS(pe0-omega*Base_mundial!B445))*(Base_mundial!C445/sref)^(m_-1))))</f>
        <v/>
      </c>
      <c r="IJ446" t="n">
        <v>0</v>
      </c>
      <c r="IK446">
        <f>IF(IJ446=1,LN(IH446),"")</f>
        <v/>
      </c>
      <c r="IL446">
        <f>IF(IJ446=1,AVERAGEIFS(II3:II688,IG3:IG688,IG446,IJ3:IJ688,1),"")</f>
        <v/>
      </c>
      <c r="IM446">
        <f>IF(IJ446=1,II446-IL446,"")</f>
        <v/>
      </c>
      <c r="IN446" t="inlineStr">
        <is>
          <t>low</t>
        </is>
      </c>
      <c r="IO446">
        <f>IF(IN446="good",II446,NA())</f>
        <v/>
      </c>
      <c r="IP446">
        <f>IF(IN446="moderate",II446,NA())</f>
        <v/>
      </c>
      <c r="IQ446">
        <f>IF(IN446="low",II446,NA())</f>
        <v/>
      </c>
      <c r="IR446">
        <f>IF(AND(IN446="good",IJ446=1),IM446,NA())</f>
        <v/>
      </c>
      <c r="IS446">
        <f>IF(AND(IN446="moderate",IJ446=1),IM446,NA())</f>
        <v/>
      </c>
      <c r="IT446">
        <f>IF(AND(IN446="low",IJ446=1),IM446,NA())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  <c r="IG447">
        <f>Base_mundial!A446</f>
        <v/>
      </c>
      <c r="IH447">
        <f>Base_mundial!C446</f>
        <v/>
      </c>
      <c r="II447">
        <f>Base_mundial!E446-MIN(tope,DEGREES(ATAN(TAN(RADIANS(pe0-omega*Base_mundial!B446))*(Base_mundial!C446/sref)^(m_-1))))</f>
        <v/>
      </c>
      <c r="IJ447" t="n">
        <v>0</v>
      </c>
      <c r="IK447">
        <f>IF(IJ447=1,LN(IH447),"")</f>
        <v/>
      </c>
      <c r="IL447">
        <f>IF(IJ447=1,AVERAGEIFS(II3:II688,IG3:IG688,IG447,IJ3:IJ688,1),"")</f>
        <v/>
      </c>
      <c r="IM447">
        <f>IF(IJ447=1,II447-IL447,"")</f>
        <v/>
      </c>
      <c r="IN447" t="inlineStr">
        <is>
          <t>low</t>
        </is>
      </c>
      <c r="IO447">
        <f>IF(IN447="good",II447,NA())</f>
        <v/>
      </c>
      <c r="IP447">
        <f>IF(IN447="moderate",II447,NA())</f>
        <v/>
      </c>
      <c r="IQ447">
        <f>IF(IN447="low",II447,NA())</f>
        <v/>
      </c>
      <c r="IR447">
        <f>IF(AND(IN447="good",IJ447=1),IM447,NA())</f>
        <v/>
      </c>
      <c r="IS447">
        <f>IF(AND(IN447="moderate",IJ447=1),IM447,NA())</f>
        <v/>
      </c>
      <c r="IT447">
        <f>IF(AND(IN447="low",IJ447=1),IM447,NA())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  <c r="IG448">
        <f>Base_mundial!A447</f>
        <v/>
      </c>
      <c r="IH448">
        <f>Base_mundial!C447</f>
        <v/>
      </c>
      <c r="II448">
        <f>Base_mundial!E447-MIN(tope,DEGREES(ATAN(TAN(RADIANS(pe0-omega*Base_mundial!B447))*(Base_mundial!C447/sref)^(m_-1))))</f>
        <v/>
      </c>
      <c r="IJ448" t="n">
        <v>0</v>
      </c>
      <c r="IK448">
        <f>IF(IJ448=1,LN(IH448),"")</f>
        <v/>
      </c>
      <c r="IL448">
        <f>IF(IJ448=1,AVERAGEIFS(II3:II688,IG3:IG688,IG448,IJ3:IJ688,1),"")</f>
        <v/>
      </c>
      <c r="IM448">
        <f>IF(IJ448=1,II448-IL448,"")</f>
        <v/>
      </c>
      <c r="IN448" t="inlineStr">
        <is>
          <t>low</t>
        </is>
      </c>
      <c r="IO448">
        <f>IF(IN448="good",II448,NA())</f>
        <v/>
      </c>
      <c r="IP448">
        <f>IF(IN448="moderate",II448,NA())</f>
        <v/>
      </c>
      <c r="IQ448">
        <f>IF(IN448="low",II448,NA())</f>
        <v/>
      </c>
      <c r="IR448">
        <f>IF(AND(IN448="good",IJ448=1),IM448,NA())</f>
        <v/>
      </c>
      <c r="IS448">
        <f>IF(AND(IN448="moderate",IJ448=1),IM448,NA())</f>
        <v/>
      </c>
      <c r="IT448">
        <f>IF(AND(IN448="low",IJ448=1),IM448,NA())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  <c r="IG449">
        <f>Base_mundial!A448</f>
        <v/>
      </c>
      <c r="IH449">
        <f>Base_mundial!C448</f>
        <v/>
      </c>
      <c r="II449">
        <f>Base_mundial!E448-MIN(tope,DEGREES(ATAN(TAN(RADIANS(pe0-omega*Base_mundial!B448))*(Base_mundial!C448/sref)^(m_-1))))</f>
        <v/>
      </c>
      <c r="IJ449" t="n">
        <v>0</v>
      </c>
      <c r="IK449">
        <f>IF(IJ449=1,LN(IH449),"")</f>
        <v/>
      </c>
      <c r="IL449">
        <f>IF(IJ449=1,AVERAGEIFS(II3:II688,IG3:IG688,IG449,IJ3:IJ688,1),"")</f>
        <v/>
      </c>
      <c r="IM449">
        <f>IF(IJ449=1,II449-IL449,"")</f>
        <v/>
      </c>
      <c r="IN449" t="inlineStr">
        <is>
          <t>low</t>
        </is>
      </c>
      <c r="IO449">
        <f>IF(IN449="good",II449,NA())</f>
        <v/>
      </c>
      <c r="IP449">
        <f>IF(IN449="moderate",II449,NA())</f>
        <v/>
      </c>
      <c r="IQ449">
        <f>IF(IN449="low",II449,NA())</f>
        <v/>
      </c>
      <c r="IR449">
        <f>IF(AND(IN449="good",IJ449=1),IM449,NA())</f>
        <v/>
      </c>
      <c r="IS449">
        <f>IF(AND(IN449="moderate",IJ449=1),IM449,NA())</f>
        <v/>
      </c>
      <c r="IT449">
        <f>IF(AND(IN449="low",IJ449=1),IM449,NA())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  <c r="IG450">
        <f>Base_mundial!A449</f>
        <v/>
      </c>
      <c r="IH450">
        <f>Base_mundial!C449</f>
        <v/>
      </c>
      <c r="II450">
        <f>Base_mundial!E449-MIN(tope,DEGREES(ATAN(TAN(RADIANS(pe0-omega*Base_mundial!B449))*(Base_mundial!C449/sref)^(m_-1))))</f>
        <v/>
      </c>
      <c r="IJ450" t="n">
        <v>0</v>
      </c>
      <c r="IK450">
        <f>IF(IJ450=1,LN(IH450),"")</f>
        <v/>
      </c>
      <c r="IL450">
        <f>IF(IJ450=1,AVERAGEIFS(II3:II688,IG3:IG688,IG450,IJ3:IJ688,1),"")</f>
        <v/>
      </c>
      <c r="IM450">
        <f>IF(IJ450=1,II450-IL450,"")</f>
        <v/>
      </c>
      <c r="IN450" t="inlineStr">
        <is>
          <t>low</t>
        </is>
      </c>
      <c r="IO450">
        <f>IF(IN450="good",II450,NA())</f>
        <v/>
      </c>
      <c r="IP450">
        <f>IF(IN450="moderate",II450,NA())</f>
        <v/>
      </c>
      <c r="IQ450">
        <f>IF(IN450="low",II450,NA())</f>
        <v/>
      </c>
      <c r="IR450">
        <f>IF(AND(IN450="good",IJ450=1),IM450,NA())</f>
        <v/>
      </c>
      <c r="IS450">
        <f>IF(AND(IN450="moderate",IJ450=1),IM450,NA())</f>
        <v/>
      </c>
      <c r="IT450">
        <f>IF(AND(IN450="low",IJ450=1),IM450,NA())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  <c r="IG451">
        <f>Base_mundial!A450</f>
        <v/>
      </c>
      <c r="IH451">
        <f>Base_mundial!C450</f>
        <v/>
      </c>
      <c r="II451">
        <f>Base_mundial!E450-MIN(tope,DEGREES(ATAN(TAN(RADIANS(pe0-omega*Base_mundial!B450))*(Base_mundial!C450/sref)^(m_-1))))</f>
        <v/>
      </c>
      <c r="IJ451" t="n">
        <v>0</v>
      </c>
      <c r="IK451">
        <f>IF(IJ451=1,LN(IH451),"")</f>
        <v/>
      </c>
      <c r="IL451">
        <f>IF(IJ451=1,AVERAGEIFS(II3:II688,IG3:IG688,IG451,IJ3:IJ688,1),"")</f>
        <v/>
      </c>
      <c r="IM451">
        <f>IF(IJ451=1,II451-IL451,"")</f>
        <v/>
      </c>
      <c r="IN451" t="inlineStr">
        <is>
          <t>good</t>
        </is>
      </c>
      <c r="IO451">
        <f>IF(IN451="good",II451,NA())</f>
        <v/>
      </c>
      <c r="IP451">
        <f>IF(IN451="moderate",II451,NA())</f>
        <v/>
      </c>
      <c r="IQ451">
        <f>IF(IN451="low",II451,NA())</f>
        <v/>
      </c>
      <c r="IR451">
        <f>IF(AND(IN451="good",IJ451=1),IM451,NA())</f>
        <v/>
      </c>
      <c r="IS451">
        <f>IF(AND(IN451="moderate",IJ451=1),IM451,NA())</f>
        <v/>
      </c>
      <c r="IT451">
        <f>IF(AND(IN451="low",IJ451=1),IM451,NA())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  <c r="IG452">
        <f>Base_mundial!A451</f>
        <v/>
      </c>
      <c r="IH452">
        <f>Base_mundial!C451</f>
        <v/>
      </c>
      <c r="II452">
        <f>Base_mundial!E451-MIN(tope,DEGREES(ATAN(TAN(RADIANS(pe0-omega*Base_mundial!B451))*(Base_mundial!C451/sref)^(m_-1))))</f>
        <v/>
      </c>
      <c r="IJ452" t="n">
        <v>0</v>
      </c>
      <c r="IK452">
        <f>IF(IJ452=1,LN(IH452),"")</f>
        <v/>
      </c>
      <c r="IL452">
        <f>IF(IJ452=1,AVERAGEIFS(II3:II688,IG3:IG688,IG452,IJ3:IJ688,1),"")</f>
        <v/>
      </c>
      <c r="IM452">
        <f>IF(IJ452=1,II452-IL452,"")</f>
        <v/>
      </c>
      <c r="IN452" t="inlineStr">
        <is>
          <t>good</t>
        </is>
      </c>
      <c r="IO452">
        <f>IF(IN452="good",II452,NA())</f>
        <v/>
      </c>
      <c r="IP452">
        <f>IF(IN452="moderate",II452,NA())</f>
        <v/>
      </c>
      <c r="IQ452">
        <f>IF(IN452="low",II452,NA())</f>
        <v/>
      </c>
      <c r="IR452">
        <f>IF(AND(IN452="good",IJ452=1),IM452,NA())</f>
        <v/>
      </c>
      <c r="IS452">
        <f>IF(AND(IN452="moderate",IJ452=1),IM452,NA())</f>
        <v/>
      </c>
      <c r="IT452">
        <f>IF(AND(IN452="low",IJ452=1),IM452,NA())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  <c r="IG453">
        <f>Base_mundial!A452</f>
        <v/>
      </c>
      <c r="IH453">
        <f>Base_mundial!C452</f>
        <v/>
      </c>
      <c r="II453">
        <f>Base_mundial!E452-MIN(tope,DEGREES(ATAN(TAN(RADIANS(pe0-omega*Base_mundial!B452))*(Base_mundial!C452/sref)^(m_-1))))</f>
        <v/>
      </c>
      <c r="IJ453" t="n">
        <v>0</v>
      </c>
      <c r="IK453">
        <f>IF(IJ453=1,LN(IH453),"")</f>
        <v/>
      </c>
      <c r="IL453">
        <f>IF(IJ453=1,AVERAGEIFS(II3:II688,IG3:IG688,IG453,IJ3:IJ688,1),"")</f>
        <v/>
      </c>
      <c r="IM453">
        <f>IF(IJ453=1,II453-IL453,"")</f>
        <v/>
      </c>
      <c r="IN453" t="inlineStr">
        <is>
          <t>good</t>
        </is>
      </c>
      <c r="IO453">
        <f>IF(IN453="good",II453,NA())</f>
        <v/>
      </c>
      <c r="IP453">
        <f>IF(IN453="moderate",II453,NA())</f>
        <v/>
      </c>
      <c r="IQ453">
        <f>IF(IN453="low",II453,NA())</f>
        <v/>
      </c>
      <c r="IR453">
        <f>IF(AND(IN453="good",IJ453=1),IM453,NA())</f>
        <v/>
      </c>
      <c r="IS453">
        <f>IF(AND(IN453="moderate",IJ453=1),IM453,NA())</f>
        <v/>
      </c>
      <c r="IT453">
        <f>IF(AND(IN453="low",IJ453=1),IM453,NA())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  <c r="IG454">
        <f>Base_mundial!A453</f>
        <v/>
      </c>
      <c r="IH454">
        <f>Base_mundial!C453</f>
        <v/>
      </c>
      <c r="II454">
        <f>Base_mundial!E453-MIN(tope,DEGREES(ATAN(TAN(RADIANS(pe0-omega*Base_mundial!B453))*(Base_mundial!C453/sref)^(m_-1))))</f>
        <v/>
      </c>
      <c r="IJ454" t="n">
        <v>0</v>
      </c>
      <c r="IK454">
        <f>IF(IJ454=1,LN(IH454),"")</f>
        <v/>
      </c>
      <c r="IL454">
        <f>IF(IJ454=1,AVERAGEIFS(II3:II688,IG3:IG688,IG454,IJ3:IJ688,1),"")</f>
        <v/>
      </c>
      <c r="IM454">
        <f>IF(IJ454=1,II454-IL454,"")</f>
        <v/>
      </c>
      <c r="IN454" t="inlineStr">
        <is>
          <t>good</t>
        </is>
      </c>
      <c r="IO454">
        <f>IF(IN454="good",II454,NA())</f>
        <v/>
      </c>
      <c r="IP454">
        <f>IF(IN454="moderate",II454,NA())</f>
        <v/>
      </c>
      <c r="IQ454">
        <f>IF(IN454="low",II454,NA())</f>
        <v/>
      </c>
      <c r="IR454">
        <f>IF(AND(IN454="good",IJ454=1),IM454,NA())</f>
        <v/>
      </c>
      <c r="IS454">
        <f>IF(AND(IN454="moderate",IJ454=1),IM454,NA())</f>
        <v/>
      </c>
      <c r="IT454">
        <f>IF(AND(IN454="low",IJ454=1),IM454,NA())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  <c r="IG455">
        <f>Base_mundial!A454</f>
        <v/>
      </c>
      <c r="IH455">
        <f>Base_mundial!C454</f>
        <v/>
      </c>
      <c r="II455">
        <f>Base_mundial!E454-MIN(tope,DEGREES(ATAN(TAN(RADIANS(pe0-omega*Base_mundial!B454))*(Base_mundial!C454/sref)^(m_-1))))</f>
        <v/>
      </c>
      <c r="IJ455" t="n">
        <v>0</v>
      </c>
      <c r="IK455">
        <f>IF(IJ455=1,LN(IH455),"")</f>
        <v/>
      </c>
      <c r="IL455">
        <f>IF(IJ455=1,AVERAGEIFS(II3:II688,IG3:IG688,IG455,IJ3:IJ688,1),"")</f>
        <v/>
      </c>
      <c r="IM455">
        <f>IF(IJ455=1,II455-IL455,"")</f>
        <v/>
      </c>
      <c r="IN455" t="inlineStr">
        <is>
          <t>good</t>
        </is>
      </c>
      <c r="IO455">
        <f>IF(IN455="good",II455,NA())</f>
        <v/>
      </c>
      <c r="IP455">
        <f>IF(IN455="moderate",II455,NA())</f>
        <v/>
      </c>
      <c r="IQ455">
        <f>IF(IN455="low",II455,NA())</f>
        <v/>
      </c>
      <c r="IR455">
        <f>IF(AND(IN455="good",IJ455=1),IM455,NA())</f>
        <v/>
      </c>
      <c r="IS455">
        <f>IF(AND(IN455="moderate",IJ455=1),IM455,NA())</f>
        <v/>
      </c>
      <c r="IT455">
        <f>IF(AND(IN455="low",IJ455=1),IM455,NA())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  <c r="IG456">
        <f>Base_mundial!A455</f>
        <v/>
      </c>
      <c r="IH456">
        <f>Base_mundial!C455</f>
        <v/>
      </c>
      <c r="II456">
        <f>Base_mundial!E455-MIN(tope,DEGREES(ATAN(TAN(RADIANS(pe0-omega*Base_mundial!B455))*(Base_mundial!C455/sref)^(m_-1))))</f>
        <v/>
      </c>
      <c r="IJ456" t="n">
        <v>0</v>
      </c>
      <c r="IK456">
        <f>IF(IJ456=1,LN(IH456),"")</f>
        <v/>
      </c>
      <c r="IL456">
        <f>IF(IJ456=1,AVERAGEIFS(II3:II688,IG3:IG688,IG456,IJ3:IJ688,1),"")</f>
        <v/>
      </c>
      <c r="IM456">
        <f>IF(IJ456=1,II456-IL456,"")</f>
        <v/>
      </c>
      <c r="IN456" t="inlineStr">
        <is>
          <t>good</t>
        </is>
      </c>
      <c r="IO456">
        <f>IF(IN456="good",II456,NA())</f>
        <v/>
      </c>
      <c r="IP456">
        <f>IF(IN456="moderate",II456,NA())</f>
        <v/>
      </c>
      <c r="IQ456">
        <f>IF(IN456="low",II456,NA())</f>
        <v/>
      </c>
      <c r="IR456">
        <f>IF(AND(IN456="good",IJ456=1),IM456,NA())</f>
        <v/>
      </c>
      <c r="IS456">
        <f>IF(AND(IN456="moderate",IJ456=1),IM456,NA())</f>
        <v/>
      </c>
      <c r="IT456">
        <f>IF(AND(IN456="low",IJ456=1),IM456,NA())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  <c r="IG457">
        <f>Base_mundial!A456</f>
        <v/>
      </c>
      <c r="IH457">
        <f>Base_mundial!C456</f>
        <v/>
      </c>
      <c r="II457">
        <f>Base_mundial!E456-MIN(tope,DEGREES(ATAN(TAN(RADIANS(pe0-omega*Base_mundial!B456))*(Base_mundial!C456/sref)^(m_-1))))</f>
        <v/>
      </c>
      <c r="IJ457" t="n">
        <v>0</v>
      </c>
      <c r="IK457">
        <f>IF(IJ457=1,LN(IH457),"")</f>
        <v/>
      </c>
      <c r="IL457">
        <f>IF(IJ457=1,AVERAGEIFS(II3:II688,IG3:IG688,IG457,IJ3:IJ688,1),"")</f>
        <v/>
      </c>
      <c r="IM457">
        <f>IF(IJ457=1,II457-IL457,"")</f>
        <v/>
      </c>
      <c r="IN457" t="inlineStr">
        <is>
          <t>good</t>
        </is>
      </c>
      <c r="IO457">
        <f>IF(IN457="good",II457,NA())</f>
        <v/>
      </c>
      <c r="IP457">
        <f>IF(IN457="moderate",II457,NA())</f>
        <v/>
      </c>
      <c r="IQ457">
        <f>IF(IN457="low",II457,NA())</f>
        <v/>
      </c>
      <c r="IR457">
        <f>IF(AND(IN457="good",IJ457=1),IM457,NA())</f>
        <v/>
      </c>
      <c r="IS457">
        <f>IF(AND(IN457="moderate",IJ457=1),IM457,NA())</f>
        <v/>
      </c>
      <c r="IT457">
        <f>IF(AND(IN457="low",IJ457=1),IM457,NA())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  <c r="IG458">
        <f>Base_mundial!A457</f>
        <v/>
      </c>
      <c r="IH458">
        <f>Base_mundial!C457</f>
        <v/>
      </c>
      <c r="II458">
        <f>Base_mundial!E457-MIN(tope,DEGREES(ATAN(TAN(RADIANS(pe0-omega*Base_mundial!B457))*(Base_mundial!C457/sref)^(m_-1))))</f>
        <v/>
      </c>
      <c r="IJ458" t="n">
        <v>0</v>
      </c>
      <c r="IK458">
        <f>IF(IJ458=1,LN(IH458),"")</f>
        <v/>
      </c>
      <c r="IL458">
        <f>IF(IJ458=1,AVERAGEIFS(II3:II688,IG3:IG688,IG458,IJ3:IJ688,1),"")</f>
        <v/>
      </c>
      <c r="IM458">
        <f>IF(IJ458=1,II458-IL458,"")</f>
        <v/>
      </c>
      <c r="IN458" t="inlineStr">
        <is>
          <t>low</t>
        </is>
      </c>
      <c r="IO458">
        <f>IF(IN458="good",II458,NA())</f>
        <v/>
      </c>
      <c r="IP458">
        <f>IF(IN458="moderate",II458,NA())</f>
        <v/>
      </c>
      <c r="IQ458">
        <f>IF(IN458="low",II458,NA())</f>
        <v/>
      </c>
      <c r="IR458">
        <f>IF(AND(IN458="good",IJ458=1),IM458,NA())</f>
        <v/>
      </c>
      <c r="IS458">
        <f>IF(AND(IN458="moderate",IJ458=1),IM458,NA())</f>
        <v/>
      </c>
      <c r="IT458">
        <f>IF(AND(IN458="low",IJ458=1),IM458,NA())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  <c r="IG459">
        <f>Base_mundial!A458</f>
        <v/>
      </c>
      <c r="IH459">
        <f>Base_mundial!C458</f>
        <v/>
      </c>
      <c r="II459">
        <f>Base_mundial!E458-MIN(tope,DEGREES(ATAN(TAN(RADIANS(pe0-omega*Base_mundial!B458))*(Base_mundial!C458/sref)^(m_-1))))</f>
        <v/>
      </c>
      <c r="IJ459" t="n">
        <v>0</v>
      </c>
      <c r="IK459">
        <f>IF(IJ459=1,LN(IH459),"")</f>
        <v/>
      </c>
      <c r="IL459">
        <f>IF(IJ459=1,AVERAGEIFS(II3:II688,IG3:IG688,IG459,IJ3:IJ688,1),"")</f>
        <v/>
      </c>
      <c r="IM459">
        <f>IF(IJ459=1,II459-IL459,"")</f>
        <v/>
      </c>
      <c r="IN459" t="inlineStr">
        <is>
          <t>low</t>
        </is>
      </c>
      <c r="IO459">
        <f>IF(IN459="good",II459,NA())</f>
        <v/>
      </c>
      <c r="IP459">
        <f>IF(IN459="moderate",II459,NA())</f>
        <v/>
      </c>
      <c r="IQ459">
        <f>IF(IN459="low",II459,NA())</f>
        <v/>
      </c>
      <c r="IR459">
        <f>IF(AND(IN459="good",IJ459=1),IM459,NA())</f>
        <v/>
      </c>
      <c r="IS459">
        <f>IF(AND(IN459="moderate",IJ459=1),IM459,NA())</f>
        <v/>
      </c>
      <c r="IT459">
        <f>IF(AND(IN459="low",IJ459=1),IM459,NA())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  <c r="IG460">
        <f>Base_mundial!A459</f>
        <v/>
      </c>
      <c r="IH460">
        <f>Base_mundial!C459</f>
        <v/>
      </c>
      <c r="II460">
        <f>Base_mundial!E459-MIN(tope,DEGREES(ATAN(TAN(RADIANS(pe0-omega*Base_mundial!B459))*(Base_mundial!C459/sref)^(m_-1))))</f>
        <v/>
      </c>
      <c r="IJ460" t="n">
        <v>0</v>
      </c>
      <c r="IK460">
        <f>IF(IJ460=1,LN(IH460),"")</f>
        <v/>
      </c>
      <c r="IL460">
        <f>IF(IJ460=1,AVERAGEIFS(II3:II688,IG3:IG688,IG460,IJ3:IJ688,1),"")</f>
        <v/>
      </c>
      <c r="IM460">
        <f>IF(IJ460=1,II460-IL460,"")</f>
        <v/>
      </c>
      <c r="IN460" t="inlineStr">
        <is>
          <t>low</t>
        </is>
      </c>
      <c r="IO460">
        <f>IF(IN460="good",II460,NA())</f>
        <v/>
      </c>
      <c r="IP460">
        <f>IF(IN460="moderate",II460,NA())</f>
        <v/>
      </c>
      <c r="IQ460">
        <f>IF(IN460="low",II460,NA())</f>
        <v/>
      </c>
      <c r="IR460">
        <f>IF(AND(IN460="good",IJ460=1),IM460,NA())</f>
        <v/>
      </c>
      <c r="IS460">
        <f>IF(AND(IN460="moderate",IJ460=1),IM460,NA())</f>
        <v/>
      </c>
      <c r="IT460">
        <f>IF(AND(IN460="low",IJ460=1),IM460,NA())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  <c r="IG461">
        <f>Base_mundial!A460</f>
        <v/>
      </c>
      <c r="IH461">
        <f>Base_mundial!C460</f>
        <v/>
      </c>
      <c r="II461">
        <f>Base_mundial!E460-MIN(tope,DEGREES(ATAN(TAN(RADIANS(pe0-omega*Base_mundial!B460))*(Base_mundial!C460/sref)^(m_-1))))</f>
        <v/>
      </c>
      <c r="IJ461" t="n">
        <v>0</v>
      </c>
      <c r="IK461">
        <f>IF(IJ461=1,LN(IH461),"")</f>
        <v/>
      </c>
      <c r="IL461">
        <f>IF(IJ461=1,AVERAGEIFS(II3:II688,IG3:IG688,IG461,IJ3:IJ688,1),"")</f>
        <v/>
      </c>
      <c r="IM461">
        <f>IF(IJ461=1,II461-IL461,"")</f>
        <v/>
      </c>
      <c r="IN461" t="inlineStr">
        <is>
          <t>low</t>
        </is>
      </c>
      <c r="IO461">
        <f>IF(IN461="good",II461,NA())</f>
        <v/>
      </c>
      <c r="IP461">
        <f>IF(IN461="moderate",II461,NA())</f>
        <v/>
      </c>
      <c r="IQ461">
        <f>IF(IN461="low",II461,NA())</f>
        <v/>
      </c>
      <c r="IR461">
        <f>IF(AND(IN461="good",IJ461=1),IM461,NA())</f>
        <v/>
      </c>
      <c r="IS461">
        <f>IF(AND(IN461="moderate",IJ461=1),IM461,NA())</f>
        <v/>
      </c>
      <c r="IT461">
        <f>IF(AND(IN461="low",IJ461=1),IM461,NA())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  <c r="IG462">
        <f>Base_mundial!A461</f>
        <v/>
      </c>
      <c r="IH462">
        <f>Base_mundial!C461</f>
        <v/>
      </c>
      <c r="II462">
        <f>Base_mundial!E461-MIN(tope,DEGREES(ATAN(TAN(RADIANS(pe0-omega*Base_mundial!B461))*(Base_mundial!C461/sref)^(m_-1))))</f>
        <v/>
      </c>
      <c r="IJ462" t="n">
        <v>0</v>
      </c>
      <c r="IK462">
        <f>IF(IJ462=1,LN(IH462),"")</f>
        <v/>
      </c>
      <c r="IL462">
        <f>IF(IJ462=1,AVERAGEIFS(II3:II688,IG3:IG688,IG462,IJ3:IJ688,1),"")</f>
        <v/>
      </c>
      <c r="IM462">
        <f>IF(IJ462=1,II462-IL462,"")</f>
        <v/>
      </c>
      <c r="IN462" t="inlineStr">
        <is>
          <t>low</t>
        </is>
      </c>
      <c r="IO462">
        <f>IF(IN462="good",II462,NA())</f>
        <v/>
      </c>
      <c r="IP462">
        <f>IF(IN462="moderate",II462,NA())</f>
        <v/>
      </c>
      <c r="IQ462">
        <f>IF(IN462="low",II462,NA())</f>
        <v/>
      </c>
      <c r="IR462">
        <f>IF(AND(IN462="good",IJ462=1),IM462,NA())</f>
        <v/>
      </c>
      <c r="IS462">
        <f>IF(AND(IN462="moderate",IJ462=1),IM462,NA())</f>
        <v/>
      </c>
      <c r="IT462">
        <f>IF(AND(IN462="low",IJ462=1),IM462,NA())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  <c r="IG463">
        <f>Base_mundial!A462</f>
        <v/>
      </c>
      <c r="IH463">
        <f>Base_mundial!C462</f>
        <v/>
      </c>
      <c r="II463">
        <f>Base_mundial!E462-MIN(tope,DEGREES(ATAN(TAN(RADIANS(pe0-omega*Base_mundial!B462))*(Base_mundial!C462/sref)^(m_-1))))</f>
        <v/>
      </c>
      <c r="IJ463" t="n">
        <v>0</v>
      </c>
      <c r="IK463">
        <f>IF(IJ463=1,LN(IH463),"")</f>
        <v/>
      </c>
      <c r="IL463">
        <f>IF(IJ463=1,AVERAGEIFS(II3:II688,IG3:IG688,IG463,IJ3:IJ688,1),"")</f>
        <v/>
      </c>
      <c r="IM463">
        <f>IF(IJ463=1,II463-IL463,"")</f>
        <v/>
      </c>
      <c r="IN463" t="inlineStr">
        <is>
          <t>low</t>
        </is>
      </c>
      <c r="IO463">
        <f>IF(IN463="good",II463,NA())</f>
        <v/>
      </c>
      <c r="IP463">
        <f>IF(IN463="moderate",II463,NA())</f>
        <v/>
      </c>
      <c r="IQ463">
        <f>IF(IN463="low",II463,NA())</f>
        <v/>
      </c>
      <c r="IR463">
        <f>IF(AND(IN463="good",IJ463=1),IM463,NA())</f>
        <v/>
      </c>
      <c r="IS463">
        <f>IF(AND(IN463="moderate",IJ463=1),IM463,NA())</f>
        <v/>
      </c>
      <c r="IT463">
        <f>IF(AND(IN463="low",IJ463=1),IM463,NA())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  <c r="IG464">
        <f>Base_mundial!A463</f>
        <v/>
      </c>
      <c r="IH464">
        <f>Base_mundial!C463</f>
        <v/>
      </c>
      <c r="II464">
        <f>Base_mundial!E463-MIN(tope,DEGREES(ATAN(TAN(RADIANS(pe0-omega*Base_mundial!B463))*(Base_mundial!C463/sref)^(m_-1))))</f>
        <v/>
      </c>
      <c r="IJ464" t="n">
        <v>1</v>
      </c>
      <c r="IK464">
        <f>IF(IJ464=1,LN(IH464),"")</f>
        <v/>
      </c>
      <c r="IL464">
        <f>IF(IJ464=1,AVERAGEIFS(II3:II688,IG3:IG688,IG464,IJ3:IJ688,1),"")</f>
        <v/>
      </c>
      <c r="IM464">
        <f>IF(IJ464=1,II464-IL464,"")</f>
        <v/>
      </c>
      <c r="IN464" t="inlineStr">
        <is>
          <t>low</t>
        </is>
      </c>
      <c r="IO464">
        <f>IF(IN464="good",II464,NA())</f>
        <v/>
      </c>
      <c r="IP464">
        <f>IF(IN464="moderate",II464,NA())</f>
        <v/>
      </c>
      <c r="IQ464">
        <f>IF(IN464="low",II464,NA())</f>
        <v/>
      </c>
      <c r="IR464">
        <f>IF(AND(IN464="good",IJ464=1),IM464,NA())</f>
        <v/>
      </c>
      <c r="IS464">
        <f>IF(AND(IN464="moderate",IJ464=1),IM464,NA())</f>
        <v/>
      </c>
      <c r="IT464">
        <f>IF(AND(IN464="low",IJ464=1),IM464,NA())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  <c r="IG465">
        <f>Base_mundial!A464</f>
        <v/>
      </c>
      <c r="IH465">
        <f>Base_mundial!C464</f>
        <v/>
      </c>
      <c r="II465">
        <f>Base_mundial!E464-MIN(tope,DEGREES(ATAN(TAN(RADIANS(pe0-omega*Base_mundial!B464))*(Base_mundial!C464/sref)^(m_-1))))</f>
        <v/>
      </c>
      <c r="IJ465" t="n">
        <v>1</v>
      </c>
      <c r="IK465">
        <f>IF(IJ465=1,LN(IH465),"")</f>
        <v/>
      </c>
      <c r="IL465">
        <f>IF(IJ465=1,AVERAGEIFS(II3:II688,IG3:IG688,IG465,IJ3:IJ688,1),"")</f>
        <v/>
      </c>
      <c r="IM465">
        <f>IF(IJ465=1,II465-IL465,"")</f>
        <v/>
      </c>
      <c r="IN465" t="inlineStr">
        <is>
          <t>low</t>
        </is>
      </c>
      <c r="IO465">
        <f>IF(IN465="good",II465,NA())</f>
        <v/>
      </c>
      <c r="IP465">
        <f>IF(IN465="moderate",II465,NA())</f>
        <v/>
      </c>
      <c r="IQ465">
        <f>IF(IN465="low",II465,NA())</f>
        <v/>
      </c>
      <c r="IR465">
        <f>IF(AND(IN465="good",IJ465=1),IM465,NA())</f>
        <v/>
      </c>
      <c r="IS465">
        <f>IF(AND(IN465="moderate",IJ465=1),IM465,NA())</f>
        <v/>
      </c>
      <c r="IT465">
        <f>IF(AND(IN465="low",IJ465=1),IM465,NA())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  <c r="IG466">
        <f>Base_mundial!A465</f>
        <v/>
      </c>
      <c r="IH466">
        <f>Base_mundial!C465</f>
        <v/>
      </c>
      <c r="II466">
        <f>Base_mundial!E465-MIN(tope,DEGREES(ATAN(TAN(RADIANS(pe0-omega*Base_mundial!B465))*(Base_mundial!C465/sref)^(m_-1))))</f>
        <v/>
      </c>
      <c r="IJ466" t="n">
        <v>0</v>
      </c>
      <c r="IK466">
        <f>IF(IJ466=1,LN(IH466),"")</f>
        <v/>
      </c>
      <c r="IL466">
        <f>IF(IJ466=1,AVERAGEIFS(II3:II688,IG3:IG688,IG466,IJ3:IJ688,1),"")</f>
        <v/>
      </c>
      <c r="IM466">
        <f>IF(IJ466=1,II466-IL466,"")</f>
        <v/>
      </c>
      <c r="IN466" t="inlineStr">
        <is>
          <t>low</t>
        </is>
      </c>
      <c r="IO466">
        <f>IF(IN466="good",II466,NA())</f>
        <v/>
      </c>
      <c r="IP466">
        <f>IF(IN466="moderate",II466,NA())</f>
        <v/>
      </c>
      <c r="IQ466">
        <f>IF(IN466="low",II466,NA())</f>
        <v/>
      </c>
      <c r="IR466">
        <f>IF(AND(IN466="good",IJ466=1),IM466,NA())</f>
        <v/>
      </c>
      <c r="IS466">
        <f>IF(AND(IN466="moderate",IJ466=1),IM466,NA())</f>
        <v/>
      </c>
      <c r="IT466">
        <f>IF(AND(IN466="low",IJ466=1),IM466,NA())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  <c r="IG467">
        <f>Base_mundial!A466</f>
        <v/>
      </c>
      <c r="IH467">
        <f>Base_mundial!C466</f>
        <v/>
      </c>
      <c r="II467">
        <f>Base_mundial!E466-MIN(tope,DEGREES(ATAN(TAN(RADIANS(pe0-omega*Base_mundial!B466))*(Base_mundial!C466/sref)^(m_-1))))</f>
        <v/>
      </c>
      <c r="IJ467" t="n">
        <v>1</v>
      </c>
      <c r="IK467">
        <f>IF(IJ467=1,LN(IH467),"")</f>
        <v/>
      </c>
      <c r="IL467">
        <f>IF(IJ467=1,AVERAGEIFS(II3:II688,IG3:IG688,IG467,IJ3:IJ688,1),"")</f>
        <v/>
      </c>
      <c r="IM467">
        <f>IF(IJ467=1,II467-IL467,"")</f>
        <v/>
      </c>
      <c r="IN467" t="inlineStr">
        <is>
          <t>low</t>
        </is>
      </c>
      <c r="IO467">
        <f>IF(IN467="good",II467,NA())</f>
        <v/>
      </c>
      <c r="IP467">
        <f>IF(IN467="moderate",II467,NA())</f>
        <v/>
      </c>
      <c r="IQ467">
        <f>IF(IN467="low",II467,NA())</f>
        <v/>
      </c>
      <c r="IR467">
        <f>IF(AND(IN467="good",IJ467=1),IM467,NA())</f>
        <v/>
      </c>
      <c r="IS467">
        <f>IF(AND(IN467="moderate",IJ467=1),IM467,NA())</f>
        <v/>
      </c>
      <c r="IT467">
        <f>IF(AND(IN467="low",IJ467=1),IM467,NA())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  <c r="IG468">
        <f>Base_mundial!A467</f>
        <v/>
      </c>
      <c r="IH468">
        <f>Base_mundial!C467</f>
        <v/>
      </c>
      <c r="II468">
        <f>Base_mundial!E467-MIN(tope,DEGREES(ATAN(TAN(RADIANS(pe0-omega*Base_mundial!B467))*(Base_mundial!C467/sref)^(m_-1))))</f>
        <v/>
      </c>
      <c r="IJ468" t="n">
        <v>1</v>
      </c>
      <c r="IK468">
        <f>IF(IJ468=1,LN(IH468),"")</f>
        <v/>
      </c>
      <c r="IL468">
        <f>IF(IJ468=1,AVERAGEIFS(II3:II688,IG3:IG688,IG468,IJ3:IJ688,1),"")</f>
        <v/>
      </c>
      <c r="IM468">
        <f>IF(IJ468=1,II468-IL468,"")</f>
        <v/>
      </c>
      <c r="IN468" t="inlineStr">
        <is>
          <t>low</t>
        </is>
      </c>
      <c r="IO468">
        <f>IF(IN468="good",II468,NA())</f>
        <v/>
      </c>
      <c r="IP468">
        <f>IF(IN468="moderate",II468,NA())</f>
        <v/>
      </c>
      <c r="IQ468">
        <f>IF(IN468="low",II468,NA())</f>
        <v/>
      </c>
      <c r="IR468">
        <f>IF(AND(IN468="good",IJ468=1),IM468,NA())</f>
        <v/>
      </c>
      <c r="IS468">
        <f>IF(AND(IN468="moderate",IJ468=1),IM468,NA())</f>
        <v/>
      </c>
      <c r="IT468">
        <f>IF(AND(IN468="low",IJ468=1),IM468,NA())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  <c r="IG469">
        <f>Base_mundial!A468</f>
        <v/>
      </c>
      <c r="IH469">
        <f>Base_mundial!C468</f>
        <v/>
      </c>
      <c r="II469">
        <f>Base_mundial!E468-MIN(tope,DEGREES(ATAN(TAN(RADIANS(pe0-omega*Base_mundial!B468))*(Base_mundial!C468/sref)^(m_-1))))</f>
        <v/>
      </c>
      <c r="IJ469" t="n">
        <v>0</v>
      </c>
      <c r="IK469">
        <f>IF(IJ469=1,LN(IH469),"")</f>
        <v/>
      </c>
      <c r="IL469">
        <f>IF(IJ469=1,AVERAGEIFS(II3:II688,IG3:IG688,IG469,IJ3:IJ688,1),"")</f>
        <v/>
      </c>
      <c r="IM469">
        <f>IF(IJ469=1,II469-IL469,"")</f>
        <v/>
      </c>
      <c r="IN469" t="inlineStr">
        <is>
          <t>low</t>
        </is>
      </c>
      <c r="IO469">
        <f>IF(IN469="good",II469,NA())</f>
        <v/>
      </c>
      <c r="IP469">
        <f>IF(IN469="moderate",II469,NA())</f>
        <v/>
      </c>
      <c r="IQ469">
        <f>IF(IN469="low",II469,NA())</f>
        <v/>
      </c>
      <c r="IR469">
        <f>IF(AND(IN469="good",IJ469=1),IM469,NA())</f>
        <v/>
      </c>
      <c r="IS469">
        <f>IF(AND(IN469="moderate",IJ469=1),IM469,NA())</f>
        <v/>
      </c>
      <c r="IT469">
        <f>IF(AND(IN469="low",IJ469=1),IM469,NA())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  <c r="IG470">
        <f>Base_mundial!A469</f>
        <v/>
      </c>
      <c r="IH470">
        <f>Base_mundial!C469</f>
        <v/>
      </c>
      <c r="II470">
        <f>Base_mundial!E469-MIN(tope,DEGREES(ATAN(TAN(RADIANS(pe0-omega*Base_mundial!B469))*(Base_mundial!C469/sref)^(m_-1))))</f>
        <v/>
      </c>
      <c r="IJ470" t="n">
        <v>0</v>
      </c>
      <c r="IK470">
        <f>IF(IJ470=1,LN(IH470),"")</f>
        <v/>
      </c>
      <c r="IL470">
        <f>IF(IJ470=1,AVERAGEIFS(II3:II688,IG3:IG688,IG470,IJ3:IJ688,1),"")</f>
        <v/>
      </c>
      <c r="IM470">
        <f>IF(IJ470=1,II470-IL470,"")</f>
        <v/>
      </c>
      <c r="IN470" t="inlineStr">
        <is>
          <t>low</t>
        </is>
      </c>
      <c r="IO470">
        <f>IF(IN470="good",II470,NA())</f>
        <v/>
      </c>
      <c r="IP470">
        <f>IF(IN470="moderate",II470,NA())</f>
        <v/>
      </c>
      <c r="IQ470">
        <f>IF(IN470="low",II470,NA())</f>
        <v/>
      </c>
      <c r="IR470">
        <f>IF(AND(IN470="good",IJ470=1),IM470,NA())</f>
        <v/>
      </c>
      <c r="IS470">
        <f>IF(AND(IN470="moderate",IJ470=1),IM470,NA())</f>
        <v/>
      </c>
      <c r="IT470">
        <f>IF(AND(IN470="low",IJ470=1),IM470,NA())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  <c r="IG471">
        <f>Base_mundial!A470</f>
        <v/>
      </c>
      <c r="IH471">
        <f>Base_mundial!C470</f>
        <v/>
      </c>
      <c r="II471">
        <f>Base_mundial!E470-MIN(tope,DEGREES(ATAN(TAN(RADIANS(pe0-omega*Base_mundial!B470))*(Base_mundial!C470/sref)^(m_-1))))</f>
        <v/>
      </c>
      <c r="IJ471" t="n">
        <v>0</v>
      </c>
      <c r="IK471">
        <f>IF(IJ471=1,LN(IH471),"")</f>
        <v/>
      </c>
      <c r="IL471">
        <f>IF(IJ471=1,AVERAGEIFS(II3:II688,IG3:IG688,IG471,IJ3:IJ688,1),"")</f>
        <v/>
      </c>
      <c r="IM471">
        <f>IF(IJ471=1,II471-IL471,"")</f>
        <v/>
      </c>
      <c r="IN471" t="inlineStr">
        <is>
          <t>low</t>
        </is>
      </c>
      <c r="IO471">
        <f>IF(IN471="good",II471,NA())</f>
        <v/>
      </c>
      <c r="IP471">
        <f>IF(IN471="moderate",II471,NA())</f>
        <v/>
      </c>
      <c r="IQ471">
        <f>IF(IN471="low",II471,NA())</f>
        <v/>
      </c>
      <c r="IR471">
        <f>IF(AND(IN471="good",IJ471=1),IM471,NA())</f>
        <v/>
      </c>
      <c r="IS471">
        <f>IF(AND(IN471="moderate",IJ471=1),IM471,NA())</f>
        <v/>
      </c>
      <c r="IT471">
        <f>IF(AND(IN471="low",IJ471=1),IM471,NA())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  <c r="IG472">
        <f>Base_mundial!A471</f>
        <v/>
      </c>
      <c r="IH472">
        <f>Base_mundial!C471</f>
        <v/>
      </c>
      <c r="II472">
        <f>Base_mundial!E471-MIN(tope,DEGREES(ATAN(TAN(RADIANS(pe0-omega*Base_mundial!B471))*(Base_mundial!C471/sref)^(m_-1))))</f>
        <v/>
      </c>
      <c r="IJ472" t="n">
        <v>0</v>
      </c>
      <c r="IK472">
        <f>IF(IJ472=1,LN(IH472),"")</f>
        <v/>
      </c>
      <c r="IL472">
        <f>IF(IJ472=1,AVERAGEIFS(II3:II688,IG3:IG688,IG472,IJ3:IJ688,1),"")</f>
        <v/>
      </c>
      <c r="IM472">
        <f>IF(IJ472=1,II472-IL472,"")</f>
        <v/>
      </c>
      <c r="IN472" t="inlineStr">
        <is>
          <t>low</t>
        </is>
      </c>
      <c r="IO472">
        <f>IF(IN472="good",II472,NA())</f>
        <v/>
      </c>
      <c r="IP472">
        <f>IF(IN472="moderate",II472,NA())</f>
        <v/>
      </c>
      <c r="IQ472">
        <f>IF(IN472="low",II472,NA())</f>
        <v/>
      </c>
      <c r="IR472">
        <f>IF(AND(IN472="good",IJ472=1),IM472,NA())</f>
        <v/>
      </c>
      <c r="IS472">
        <f>IF(AND(IN472="moderate",IJ472=1),IM472,NA())</f>
        <v/>
      </c>
      <c r="IT472">
        <f>IF(AND(IN472="low",IJ472=1),IM472,NA())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  <c r="IG473">
        <f>Base_mundial!A472</f>
        <v/>
      </c>
      <c r="IH473">
        <f>Base_mundial!C472</f>
        <v/>
      </c>
      <c r="II473">
        <f>Base_mundial!E472-MIN(tope,DEGREES(ATAN(TAN(RADIANS(pe0-omega*Base_mundial!B472))*(Base_mundial!C472/sref)^(m_-1))))</f>
        <v/>
      </c>
      <c r="IJ473" t="n">
        <v>0</v>
      </c>
      <c r="IK473">
        <f>IF(IJ473=1,LN(IH473),"")</f>
        <v/>
      </c>
      <c r="IL473">
        <f>IF(IJ473=1,AVERAGEIFS(II3:II688,IG3:IG688,IG473,IJ3:IJ688,1),"")</f>
        <v/>
      </c>
      <c r="IM473">
        <f>IF(IJ473=1,II473-IL473,"")</f>
        <v/>
      </c>
      <c r="IN473" t="inlineStr">
        <is>
          <t>low</t>
        </is>
      </c>
      <c r="IO473">
        <f>IF(IN473="good",II473,NA())</f>
        <v/>
      </c>
      <c r="IP473">
        <f>IF(IN473="moderate",II473,NA())</f>
        <v/>
      </c>
      <c r="IQ473">
        <f>IF(IN473="low",II473,NA())</f>
        <v/>
      </c>
      <c r="IR473">
        <f>IF(AND(IN473="good",IJ473=1),IM473,NA())</f>
        <v/>
      </c>
      <c r="IS473">
        <f>IF(AND(IN473="moderate",IJ473=1),IM473,NA())</f>
        <v/>
      </c>
      <c r="IT473">
        <f>IF(AND(IN473="low",IJ473=1),IM473,NA())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  <c r="IG474">
        <f>Base_mundial!A473</f>
        <v/>
      </c>
      <c r="IH474">
        <f>Base_mundial!C473</f>
        <v/>
      </c>
      <c r="II474">
        <f>Base_mundial!E473-MIN(tope,DEGREES(ATAN(TAN(RADIANS(pe0-omega*Base_mundial!B473))*(Base_mundial!C473/sref)^(m_-1))))</f>
        <v/>
      </c>
      <c r="IJ474" t="n">
        <v>0</v>
      </c>
      <c r="IK474">
        <f>IF(IJ474=1,LN(IH474),"")</f>
        <v/>
      </c>
      <c r="IL474">
        <f>IF(IJ474=1,AVERAGEIFS(II3:II688,IG3:IG688,IG474,IJ3:IJ688,1),"")</f>
        <v/>
      </c>
      <c r="IM474">
        <f>IF(IJ474=1,II474-IL474,"")</f>
        <v/>
      </c>
      <c r="IN474" t="inlineStr">
        <is>
          <t>low</t>
        </is>
      </c>
      <c r="IO474">
        <f>IF(IN474="good",II474,NA())</f>
        <v/>
      </c>
      <c r="IP474">
        <f>IF(IN474="moderate",II474,NA())</f>
        <v/>
      </c>
      <c r="IQ474">
        <f>IF(IN474="low",II474,NA())</f>
        <v/>
      </c>
      <c r="IR474">
        <f>IF(AND(IN474="good",IJ474=1),IM474,NA())</f>
        <v/>
      </c>
      <c r="IS474">
        <f>IF(AND(IN474="moderate",IJ474=1),IM474,NA())</f>
        <v/>
      </c>
      <c r="IT474">
        <f>IF(AND(IN474="low",IJ474=1),IM474,NA())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  <c r="IG475">
        <f>Base_mundial!A474</f>
        <v/>
      </c>
      <c r="IH475">
        <f>Base_mundial!C474</f>
        <v/>
      </c>
      <c r="II475">
        <f>Base_mundial!E474-MIN(tope,DEGREES(ATAN(TAN(RADIANS(pe0-omega*Base_mundial!B474))*(Base_mundial!C474/sref)^(m_-1))))</f>
        <v/>
      </c>
      <c r="IJ475" t="n">
        <v>0</v>
      </c>
      <c r="IK475">
        <f>IF(IJ475=1,LN(IH475),"")</f>
        <v/>
      </c>
      <c r="IL475">
        <f>IF(IJ475=1,AVERAGEIFS(II3:II688,IG3:IG688,IG475,IJ3:IJ688,1),"")</f>
        <v/>
      </c>
      <c r="IM475">
        <f>IF(IJ475=1,II475-IL475,"")</f>
        <v/>
      </c>
      <c r="IN475" t="inlineStr">
        <is>
          <t>low</t>
        </is>
      </c>
      <c r="IO475">
        <f>IF(IN475="good",II475,NA())</f>
        <v/>
      </c>
      <c r="IP475">
        <f>IF(IN475="moderate",II475,NA())</f>
        <v/>
      </c>
      <c r="IQ475">
        <f>IF(IN475="low",II475,NA())</f>
        <v/>
      </c>
      <c r="IR475">
        <f>IF(AND(IN475="good",IJ475=1),IM475,NA())</f>
        <v/>
      </c>
      <c r="IS475">
        <f>IF(AND(IN475="moderate",IJ475=1),IM475,NA())</f>
        <v/>
      </c>
      <c r="IT475">
        <f>IF(AND(IN475="low",IJ475=1),IM475,NA())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  <c r="IG476">
        <f>Base_mundial!A475</f>
        <v/>
      </c>
      <c r="IH476">
        <f>Base_mundial!C475</f>
        <v/>
      </c>
      <c r="II476">
        <f>Base_mundial!E475-MIN(tope,DEGREES(ATAN(TAN(RADIANS(pe0-omega*Base_mundial!B475))*(Base_mundial!C475/sref)^(m_-1))))</f>
        <v/>
      </c>
      <c r="IJ476" t="n">
        <v>0</v>
      </c>
      <c r="IK476">
        <f>IF(IJ476=1,LN(IH476),"")</f>
        <v/>
      </c>
      <c r="IL476">
        <f>IF(IJ476=1,AVERAGEIFS(II3:II688,IG3:IG688,IG476,IJ3:IJ688,1),"")</f>
        <v/>
      </c>
      <c r="IM476">
        <f>IF(IJ476=1,II476-IL476,"")</f>
        <v/>
      </c>
      <c r="IN476" t="inlineStr">
        <is>
          <t>low</t>
        </is>
      </c>
      <c r="IO476">
        <f>IF(IN476="good",II476,NA())</f>
        <v/>
      </c>
      <c r="IP476">
        <f>IF(IN476="moderate",II476,NA())</f>
        <v/>
      </c>
      <c r="IQ476">
        <f>IF(IN476="low",II476,NA())</f>
        <v/>
      </c>
      <c r="IR476">
        <f>IF(AND(IN476="good",IJ476=1),IM476,NA())</f>
        <v/>
      </c>
      <c r="IS476">
        <f>IF(AND(IN476="moderate",IJ476=1),IM476,NA())</f>
        <v/>
      </c>
      <c r="IT476">
        <f>IF(AND(IN476="low",IJ476=1),IM476,NA())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  <c r="IG477">
        <f>Base_mundial!A476</f>
        <v/>
      </c>
      <c r="IH477">
        <f>Base_mundial!C476</f>
        <v/>
      </c>
      <c r="II477">
        <f>Base_mundial!E476-MIN(tope,DEGREES(ATAN(TAN(RADIANS(pe0-omega*Base_mundial!B476))*(Base_mundial!C476/sref)^(m_-1))))</f>
        <v/>
      </c>
      <c r="IJ477" t="n">
        <v>0</v>
      </c>
      <c r="IK477">
        <f>IF(IJ477=1,LN(IH477),"")</f>
        <v/>
      </c>
      <c r="IL477">
        <f>IF(IJ477=1,AVERAGEIFS(II3:II688,IG3:IG688,IG477,IJ3:IJ688,1),"")</f>
        <v/>
      </c>
      <c r="IM477">
        <f>IF(IJ477=1,II477-IL477,"")</f>
        <v/>
      </c>
      <c r="IN477" t="inlineStr">
        <is>
          <t>low</t>
        </is>
      </c>
      <c r="IO477">
        <f>IF(IN477="good",II477,NA())</f>
        <v/>
      </c>
      <c r="IP477">
        <f>IF(IN477="moderate",II477,NA())</f>
        <v/>
      </c>
      <c r="IQ477">
        <f>IF(IN477="low",II477,NA())</f>
        <v/>
      </c>
      <c r="IR477">
        <f>IF(AND(IN477="good",IJ477=1),IM477,NA())</f>
        <v/>
      </c>
      <c r="IS477">
        <f>IF(AND(IN477="moderate",IJ477=1),IM477,NA())</f>
        <v/>
      </c>
      <c r="IT477">
        <f>IF(AND(IN477="low",IJ477=1),IM477,NA())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  <c r="IG478">
        <f>Base_mundial!A477</f>
        <v/>
      </c>
      <c r="IH478">
        <f>Base_mundial!C477</f>
        <v/>
      </c>
      <c r="II478">
        <f>Base_mundial!E477-MIN(tope,DEGREES(ATAN(TAN(RADIANS(pe0-omega*Base_mundial!B477))*(Base_mundial!C477/sref)^(m_-1))))</f>
        <v/>
      </c>
      <c r="IJ478" t="n">
        <v>1</v>
      </c>
      <c r="IK478">
        <f>IF(IJ478=1,LN(IH478),"")</f>
        <v/>
      </c>
      <c r="IL478">
        <f>IF(IJ478=1,AVERAGEIFS(II3:II688,IG3:IG688,IG478,IJ3:IJ688,1),"")</f>
        <v/>
      </c>
      <c r="IM478">
        <f>IF(IJ478=1,II478-IL478,"")</f>
        <v/>
      </c>
      <c r="IN478" t="inlineStr">
        <is>
          <t>low</t>
        </is>
      </c>
      <c r="IO478">
        <f>IF(IN478="good",II478,NA())</f>
        <v/>
      </c>
      <c r="IP478">
        <f>IF(IN478="moderate",II478,NA())</f>
        <v/>
      </c>
      <c r="IQ478">
        <f>IF(IN478="low",II478,NA())</f>
        <v/>
      </c>
      <c r="IR478">
        <f>IF(AND(IN478="good",IJ478=1),IM478,NA())</f>
        <v/>
      </c>
      <c r="IS478">
        <f>IF(AND(IN478="moderate",IJ478=1),IM478,NA())</f>
        <v/>
      </c>
      <c r="IT478">
        <f>IF(AND(IN478="low",IJ478=1),IM478,NA())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  <c r="IG479">
        <f>Base_mundial!A478</f>
        <v/>
      </c>
      <c r="IH479">
        <f>Base_mundial!C478</f>
        <v/>
      </c>
      <c r="II479">
        <f>Base_mundial!E478-MIN(tope,DEGREES(ATAN(TAN(RADIANS(pe0-omega*Base_mundial!B478))*(Base_mundial!C478/sref)^(m_-1))))</f>
        <v/>
      </c>
      <c r="IJ479" t="n">
        <v>1</v>
      </c>
      <c r="IK479">
        <f>IF(IJ479=1,LN(IH479),"")</f>
        <v/>
      </c>
      <c r="IL479">
        <f>IF(IJ479=1,AVERAGEIFS(II3:II688,IG3:IG688,IG479,IJ3:IJ688,1),"")</f>
        <v/>
      </c>
      <c r="IM479">
        <f>IF(IJ479=1,II479-IL479,"")</f>
        <v/>
      </c>
      <c r="IN479" t="inlineStr">
        <is>
          <t>low</t>
        </is>
      </c>
      <c r="IO479">
        <f>IF(IN479="good",II479,NA())</f>
        <v/>
      </c>
      <c r="IP479">
        <f>IF(IN479="moderate",II479,NA())</f>
        <v/>
      </c>
      <c r="IQ479">
        <f>IF(IN479="low",II479,NA())</f>
        <v/>
      </c>
      <c r="IR479">
        <f>IF(AND(IN479="good",IJ479=1),IM479,NA())</f>
        <v/>
      </c>
      <c r="IS479">
        <f>IF(AND(IN479="moderate",IJ479=1),IM479,NA())</f>
        <v/>
      </c>
      <c r="IT479">
        <f>IF(AND(IN479="low",IJ479=1),IM479,NA())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  <c r="IG480">
        <f>Base_mundial!A479</f>
        <v/>
      </c>
      <c r="IH480">
        <f>Base_mundial!C479</f>
        <v/>
      </c>
      <c r="II480">
        <f>Base_mundial!E479-MIN(tope,DEGREES(ATAN(TAN(RADIANS(pe0-omega*Base_mundial!B479))*(Base_mundial!C479/sref)^(m_-1))))</f>
        <v/>
      </c>
      <c r="IJ480" t="n">
        <v>0</v>
      </c>
      <c r="IK480">
        <f>IF(IJ480=1,LN(IH480),"")</f>
        <v/>
      </c>
      <c r="IL480">
        <f>IF(IJ480=1,AVERAGEIFS(II3:II688,IG3:IG688,IG480,IJ3:IJ688,1),"")</f>
        <v/>
      </c>
      <c r="IM480">
        <f>IF(IJ480=1,II480-IL480,"")</f>
        <v/>
      </c>
      <c r="IN480" t="inlineStr">
        <is>
          <t>low</t>
        </is>
      </c>
      <c r="IO480">
        <f>IF(IN480="good",II480,NA())</f>
        <v/>
      </c>
      <c r="IP480">
        <f>IF(IN480="moderate",II480,NA())</f>
        <v/>
      </c>
      <c r="IQ480">
        <f>IF(IN480="low",II480,NA())</f>
        <v/>
      </c>
      <c r="IR480">
        <f>IF(AND(IN480="good",IJ480=1),IM480,NA())</f>
        <v/>
      </c>
      <c r="IS480">
        <f>IF(AND(IN480="moderate",IJ480=1),IM480,NA())</f>
        <v/>
      </c>
      <c r="IT480">
        <f>IF(AND(IN480="low",IJ480=1),IM480,NA())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  <c r="IG481">
        <f>Base_mundial!A480</f>
        <v/>
      </c>
      <c r="IH481">
        <f>Base_mundial!C480</f>
        <v/>
      </c>
      <c r="II481">
        <f>Base_mundial!E480-MIN(tope,DEGREES(ATAN(TAN(RADIANS(pe0-omega*Base_mundial!B480))*(Base_mundial!C480/sref)^(m_-1))))</f>
        <v/>
      </c>
      <c r="IJ481" t="n">
        <v>1</v>
      </c>
      <c r="IK481">
        <f>IF(IJ481=1,LN(IH481),"")</f>
        <v/>
      </c>
      <c r="IL481">
        <f>IF(IJ481=1,AVERAGEIFS(II3:II688,IG3:IG688,IG481,IJ3:IJ688,1),"")</f>
        <v/>
      </c>
      <c r="IM481">
        <f>IF(IJ481=1,II481-IL481,"")</f>
        <v/>
      </c>
      <c r="IN481" t="inlineStr">
        <is>
          <t>low</t>
        </is>
      </c>
      <c r="IO481">
        <f>IF(IN481="good",II481,NA())</f>
        <v/>
      </c>
      <c r="IP481">
        <f>IF(IN481="moderate",II481,NA())</f>
        <v/>
      </c>
      <c r="IQ481">
        <f>IF(IN481="low",II481,NA())</f>
        <v/>
      </c>
      <c r="IR481">
        <f>IF(AND(IN481="good",IJ481=1),IM481,NA())</f>
        <v/>
      </c>
      <c r="IS481">
        <f>IF(AND(IN481="moderate",IJ481=1),IM481,NA())</f>
        <v/>
      </c>
      <c r="IT481">
        <f>IF(AND(IN481="low",IJ481=1),IM481,NA())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  <c r="IG482">
        <f>Base_mundial!A481</f>
        <v/>
      </c>
      <c r="IH482">
        <f>Base_mundial!C481</f>
        <v/>
      </c>
      <c r="II482">
        <f>Base_mundial!E481-MIN(tope,DEGREES(ATAN(TAN(RADIANS(pe0-omega*Base_mundial!B481))*(Base_mundial!C481/sref)^(m_-1))))</f>
        <v/>
      </c>
      <c r="IJ482" t="n">
        <v>1</v>
      </c>
      <c r="IK482">
        <f>IF(IJ482=1,LN(IH482),"")</f>
        <v/>
      </c>
      <c r="IL482">
        <f>IF(IJ482=1,AVERAGEIFS(II3:II688,IG3:IG688,IG482,IJ3:IJ688,1),"")</f>
        <v/>
      </c>
      <c r="IM482">
        <f>IF(IJ482=1,II482-IL482,"")</f>
        <v/>
      </c>
      <c r="IN482" t="inlineStr">
        <is>
          <t>low</t>
        </is>
      </c>
      <c r="IO482">
        <f>IF(IN482="good",II482,NA())</f>
        <v/>
      </c>
      <c r="IP482">
        <f>IF(IN482="moderate",II482,NA())</f>
        <v/>
      </c>
      <c r="IQ482">
        <f>IF(IN482="low",II482,NA())</f>
        <v/>
      </c>
      <c r="IR482">
        <f>IF(AND(IN482="good",IJ482=1),IM482,NA())</f>
        <v/>
      </c>
      <c r="IS482">
        <f>IF(AND(IN482="moderate",IJ482=1),IM482,NA())</f>
        <v/>
      </c>
      <c r="IT482">
        <f>IF(AND(IN482="low",IJ482=1),IM482,NA())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  <c r="IG483">
        <f>Base_mundial!A482</f>
        <v/>
      </c>
      <c r="IH483">
        <f>Base_mundial!C482</f>
        <v/>
      </c>
      <c r="II483">
        <f>Base_mundial!E482-MIN(tope,DEGREES(ATAN(TAN(RADIANS(pe0-omega*Base_mundial!B482))*(Base_mundial!C482/sref)^(m_-1))))</f>
        <v/>
      </c>
      <c r="IJ483" t="n">
        <v>0</v>
      </c>
      <c r="IK483">
        <f>IF(IJ483=1,LN(IH483),"")</f>
        <v/>
      </c>
      <c r="IL483">
        <f>IF(IJ483=1,AVERAGEIFS(II3:II688,IG3:IG688,IG483,IJ3:IJ688,1),"")</f>
        <v/>
      </c>
      <c r="IM483">
        <f>IF(IJ483=1,II483-IL483,"")</f>
        <v/>
      </c>
      <c r="IN483" t="inlineStr">
        <is>
          <t>low</t>
        </is>
      </c>
      <c r="IO483">
        <f>IF(IN483="good",II483,NA())</f>
        <v/>
      </c>
      <c r="IP483">
        <f>IF(IN483="moderate",II483,NA())</f>
        <v/>
      </c>
      <c r="IQ483">
        <f>IF(IN483="low",II483,NA())</f>
        <v/>
      </c>
      <c r="IR483">
        <f>IF(AND(IN483="good",IJ483=1),IM483,NA())</f>
        <v/>
      </c>
      <c r="IS483">
        <f>IF(AND(IN483="moderate",IJ483=1),IM483,NA())</f>
        <v/>
      </c>
      <c r="IT483">
        <f>IF(AND(IN483="low",IJ483=1),IM483,NA())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  <c r="IG484">
        <f>Base_mundial!A483</f>
        <v/>
      </c>
      <c r="IH484">
        <f>Base_mundial!C483</f>
        <v/>
      </c>
      <c r="II484">
        <f>Base_mundial!E483-MIN(tope,DEGREES(ATAN(TAN(RADIANS(pe0-omega*Base_mundial!B483))*(Base_mundial!C483/sref)^(m_-1))))</f>
        <v/>
      </c>
      <c r="IJ484" t="n">
        <v>1</v>
      </c>
      <c r="IK484">
        <f>IF(IJ484=1,LN(IH484),"")</f>
        <v/>
      </c>
      <c r="IL484">
        <f>IF(IJ484=1,AVERAGEIFS(II3:II688,IG3:IG688,IG484,IJ3:IJ688,1),"")</f>
        <v/>
      </c>
      <c r="IM484">
        <f>IF(IJ484=1,II484-IL484,"")</f>
        <v/>
      </c>
      <c r="IN484" t="inlineStr">
        <is>
          <t>low</t>
        </is>
      </c>
      <c r="IO484">
        <f>IF(IN484="good",II484,NA())</f>
        <v/>
      </c>
      <c r="IP484">
        <f>IF(IN484="moderate",II484,NA())</f>
        <v/>
      </c>
      <c r="IQ484">
        <f>IF(IN484="low",II484,NA())</f>
        <v/>
      </c>
      <c r="IR484">
        <f>IF(AND(IN484="good",IJ484=1),IM484,NA())</f>
        <v/>
      </c>
      <c r="IS484">
        <f>IF(AND(IN484="moderate",IJ484=1),IM484,NA())</f>
        <v/>
      </c>
      <c r="IT484">
        <f>IF(AND(IN484="low",IJ484=1),IM484,NA())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  <c r="IG485">
        <f>Base_mundial!A484</f>
        <v/>
      </c>
      <c r="IH485">
        <f>Base_mundial!C484</f>
        <v/>
      </c>
      <c r="II485">
        <f>Base_mundial!E484-MIN(tope,DEGREES(ATAN(TAN(RADIANS(pe0-omega*Base_mundial!B484))*(Base_mundial!C484/sref)^(m_-1))))</f>
        <v/>
      </c>
      <c r="IJ485" t="n">
        <v>1</v>
      </c>
      <c r="IK485">
        <f>IF(IJ485=1,LN(IH485),"")</f>
        <v/>
      </c>
      <c r="IL485">
        <f>IF(IJ485=1,AVERAGEIFS(II3:II688,IG3:IG688,IG485,IJ3:IJ688,1),"")</f>
        <v/>
      </c>
      <c r="IM485">
        <f>IF(IJ485=1,II485-IL485,"")</f>
        <v/>
      </c>
      <c r="IN485" t="inlineStr">
        <is>
          <t>low</t>
        </is>
      </c>
      <c r="IO485">
        <f>IF(IN485="good",II485,NA())</f>
        <v/>
      </c>
      <c r="IP485">
        <f>IF(IN485="moderate",II485,NA())</f>
        <v/>
      </c>
      <c r="IQ485">
        <f>IF(IN485="low",II485,NA())</f>
        <v/>
      </c>
      <c r="IR485">
        <f>IF(AND(IN485="good",IJ485=1),IM485,NA())</f>
        <v/>
      </c>
      <c r="IS485">
        <f>IF(AND(IN485="moderate",IJ485=1),IM485,NA())</f>
        <v/>
      </c>
      <c r="IT485">
        <f>IF(AND(IN485="low",IJ485=1),IM485,NA())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  <c r="IG486">
        <f>Base_mundial!A485</f>
        <v/>
      </c>
      <c r="IH486">
        <f>Base_mundial!C485</f>
        <v/>
      </c>
      <c r="II486">
        <f>Base_mundial!E485-MIN(tope,DEGREES(ATAN(TAN(RADIANS(pe0-omega*Base_mundial!B485))*(Base_mundial!C485/sref)^(m_-1))))</f>
        <v/>
      </c>
      <c r="IJ486" t="n">
        <v>0</v>
      </c>
      <c r="IK486">
        <f>IF(IJ486=1,LN(IH486),"")</f>
        <v/>
      </c>
      <c r="IL486">
        <f>IF(IJ486=1,AVERAGEIFS(II3:II688,IG3:IG688,IG486,IJ3:IJ688,1),"")</f>
        <v/>
      </c>
      <c r="IM486">
        <f>IF(IJ486=1,II486-IL486,"")</f>
        <v/>
      </c>
      <c r="IN486" t="inlineStr">
        <is>
          <t>low</t>
        </is>
      </c>
      <c r="IO486">
        <f>IF(IN486="good",II486,NA())</f>
        <v/>
      </c>
      <c r="IP486">
        <f>IF(IN486="moderate",II486,NA())</f>
        <v/>
      </c>
      <c r="IQ486">
        <f>IF(IN486="low",II486,NA())</f>
        <v/>
      </c>
      <c r="IR486">
        <f>IF(AND(IN486="good",IJ486=1),IM486,NA())</f>
        <v/>
      </c>
      <c r="IS486">
        <f>IF(AND(IN486="moderate",IJ486=1),IM486,NA())</f>
        <v/>
      </c>
      <c r="IT486">
        <f>IF(AND(IN486="low",IJ486=1),IM486,NA())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  <c r="IG487">
        <f>Base_mundial!A486</f>
        <v/>
      </c>
      <c r="IH487">
        <f>Base_mundial!C486</f>
        <v/>
      </c>
      <c r="II487">
        <f>Base_mundial!E486-MIN(tope,DEGREES(ATAN(TAN(RADIANS(pe0-omega*Base_mundial!B486))*(Base_mundial!C486/sref)^(m_-1))))</f>
        <v/>
      </c>
      <c r="IJ487" t="n">
        <v>1</v>
      </c>
      <c r="IK487">
        <f>IF(IJ487=1,LN(IH487),"")</f>
        <v/>
      </c>
      <c r="IL487">
        <f>IF(IJ487=1,AVERAGEIFS(II3:II688,IG3:IG688,IG487,IJ3:IJ688,1),"")</f>
        <v/>
      </c>
      <c r="IM487">
        <f>IF(IJ487=1,II487-IL487,"")</f>
        <v/>
      </c>
      <c r="IN487" t="inlineStr">
        <is>
          <t>low</t>
        </is>
      </c>
      <c r="IO487">
        <f>IF(IN487="good",II487,NA())</f>
        <v/>
      </c>
      <c r="IP487">
        <f>IF(IN487="moderate",II487,NA())</f>
        <v/>
      </c>
      <c r="IQ487">
        <f>IF(IN487="low",II487,NA())</f>
        <v/>
      </c>
      <c r="IR487">
        <f>IF(AND(IN487="good",IJ487=1),IM487,NA())</f>
        <v/>
      </c>
      <c r="IS487">
        <f>IF(AND(IN487="moderate",IJ487=1),IM487,NA())</f>
        <v/>
      </c>
      <c r="IT487">
        <f>IF(AND(IN487="low",IJ487=1),IM487,NA())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  <c r="IG488">
        <f>Base_mundial!A487</f>
        <v/>
      </c>
      <c r="IH488">
        <f>Base_mundial!C487</f>
        <v/>
      </c>
      <c r="II488">
        <f>Base_mundial!E487-MIN(tope,DEGREES(ATAN(TAN(RADIANS(pe0-omega*Base_mundial!B487))*(Base_mundial!C487/sref)^(m_-1))))</f>
        <v/>
      </c>
      <c r="IJ488" t="n">
        <v>1</v>
      </c>
      <c r="IK488">
        <f>IF(IJ488=1,LN(IH488),"")</f>
        <v/>
      </c>
      <c r="IL488">
        <f>IF(IJ488=1,AVERAGEIFS(II3:II688,IG3:IG688,IG488,IJ3:IJ688,1),"")</f>
        <v/>
      </c>
      <c r="IM488">
        <f>IF(IJ488=1,II488-IL488,"")</f>
        <v/>
      </c>
      <c r="IN488" t="inlineStr">
        <is>
          <t>low</t>
        </is>
      </c>
      <c r="IO488">
        <f>IF(IN488="good",II488,NA())</f>
        <v/>
      </c>
      <c r="IP488">
        <f>IF(IN488="moderate",II488,NA())</f>
        <v/>
      </c>
      <c r="IQ488">
        <f>IF(IN488="low",II488,NA())</f>
        <v/>
      </c>
      <c r="IR488">
        <f>IF(AND(IN488="good",IJ488=1),IM488,NA())</f>
        <v/>
      </c>
      <c r="IS488">
        <f>IF(AND(IN488="moderate",IJ488=1),IM488,NA())</f>
        <v/>
      </c>
      <c r="IT488">
        <f>IF(AND(IN488="low",IJ488=1),IM488,NA())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  <c r="IG489">
        <f>Base_mundial!A488</f>
        <v/>
      </c>
      <c r="IH489">
        <f>Base_mundial!C488</f>
        <v/>
      </c>
      <c r="II489">
        <f>Base_mundial!E488-MIN(tope,DEGREES(ATAN(TAN(RADIANS(pe0-omega*Base_mundial!B488))*(Base_mundial!C488/sref)^(m_-1))))</f>
        <v/>
      </c>
      <c r="IJ489" t="n">
        <v>0</v>
      </c>
      <c r="IK489">
        <f>IF(IJ489=1,LN(IH489),"")</f>
        <v/>
      </c>
      <c r="IL489">
        <f>IF(IJ489=1,AVERAGEIFS(II3:II688,IG3:IG688,IG489,IJ3:IJ688,1),"")</f>
        <v/>
      </c>
      <c r="IM489">
        <f>IF(IJ489=1,II489-IL489,"")</f>
        <v/>
      </c>
      <c r="IN489" t="inlineStr">
        <is>
          <t>low</t>
        </is>
      </c>
      <c r="IO489">
        <f>IF(IN489="good",II489,NA())</f>
        <v/>
      </c>
      <c r="IP489">
        <f>IF(IN489="moderate",II489,NA())</f>
        <v/>
      </c>
      <c r="IQ489">
        <f>IF(IN489="low",II489,NA())</f>
        <v/>
      </c>
      <c r="IR489">
        <f>IF(AND(IN489="good",IJ489=1),IM489,NA())</f>
        <v/>
      </c>
      <c r="IS489">
        <f>IF(AND(IN489="moderate",IJ489=1),IM489,NA())</f>
        <v/>
      </c>
      <c r="IT489">
        <f>IF(AND(IN489="low",IJ489=1),IM489,NA())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  <c r="IG490">
        <f>Base_mundial!A489</f>
        <v/>
      </c>
      <c r="IH490">
        <f>Base_mundial!C489</f>
        <v/>
      </c>
      <c r="II490">
        <f>Base_mundial!E489-MIN(tope,DEGREES(ATAN(TAN(RADIANS(pe0-omega*Base_mundial!B489))*(Base_mundial!C489/sref)^(m_-1))))</f>
        <v/>
      </c>
      <c r="IJ490" t="n">
        <v>1</v>
      </c>
      <c r="IK490">
        <f>IF(IJ490=1,LN(IH490),"")</f>
        <v/>
      </c>
      <c r="IL490">
        <f>IF(IJ490=1,AVERAGEIFS(II3:II688,IG3:IG688,IG490,IJ3:IJ688,1),"")</f>
        <v/>
      </c>
      <c r="IM490">
        <f>IF(IJ490=1,II490-IL490,"")</f>
        <v/>
      </c>
      <c r="IN490" t="inlineStr">
        <is>
          <t>low</t>
        </is>
      </c>
      <c r="IO490">
        <f>IF(IN490="good",II490,NA())</f>
        <v/>
      </c>
      <c r="IP490">
        <f>IF(IN490="moderate",II490,NA())</f>
        <v/>
      </c>
      <c r="IQ490">
        <f>IF(IN490="low",II490,NA())</f>
        <v/>
      </c>
      <c r="IR490">
        <f>IF(AND(IN490="good",IJ490=1),IM490,NA())</f>
        <v/>
      </c>
      <c r="IS490">
        <f>IF(AND(IN490="moderate",IJ490=1),IM490,NA())</f>
        <v/>
      </c>
      <c r="IT490">
        <f>IF(AND(IN490="low",IJ490=1),IM490,NA())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  <c r="IG491">
        <f>Base_mundial!A490</f>
        <v/>
      </c>
      <c r="IH491">
        <f>Base_mundial!C490</f>
        <v/>
      </c>
      <c r="II491">
        <f>Base_mundial!E490-MIN(tope,DEGREES(ATAN(TAN(RADIANS(pe0-omega*Base_mundial!B490))*(Base_mundial!C490/sref)^(m_-1))))</f>
        <v/>
      </c>
      <c r="IJ491" t="n">
        <v>1</v>
      </c>
      <c r="IK491">
        <f>IF(IJ491=1,LN(IH491),"")</f>
        <v/>
      </c>
      <c r="IL491">
        <f>IF(IJ491=1,AVERAGEIFS(II3:II688,IG3:IG688,IG491,IJ3:IJ688,1),"")</f>
        <v/>
      </c>
      <c r="IM491">
        <f>IF(IJ491=1,II491-IL491,"")</f>
        <v/>
      </c>
      <c r="IN491" t="inlineStr">
        <is>
          <t>low</t>
        </is>
      </c>
      <c r="IO491">
        <f>IF(IN491="good",II491,NA())</f>
        <v/>
      </c>
      <c r="IP491">
        <f>IF(IN491="moderate",II491,NA())</f>
        <v/>
      </c>
      <c r="IQ491">
        <f>IF(IN491="low",II491,NA())</f>
        <v/>
      </c>
      <c r="IR491">
        <f>IF(AND(IN491="good",IJ491=1),IM491,NA())</f>
        <v/>
      </c>
      <c r="IS491">
        <f>IF(AND(IN491="moderate",IJ491=1),IM491,NA())</f>
        <v/>
      </c>
      <c r="IT491">
        <f>IF(AND(IN491="low",IJ491=1),IM491,NA())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  <c r="IG492">
        <f>Base_mundial!A491</f>
        <v/>
      </c>
      <c r="IH492">
        <f>Base_mundial!C491</f>
        <v/>
      </c>
      <c r="II492">
        <f>Base_mundial!E491-MIN(tope,DEGREES(ATAN(TAN(RADIANS(pe0-omega*Base_mundial!B491))*(Base_mundial!C491/sref)^(m_-1))))</f>
        <v/>
      </c>
      <c r="IJ492" t="n">
        <v>0</v>
      </c>
      <c r="IK492">
        <f>IF(IJ492=1,LN(IH492),"")</f>
        <v/>
      </c>
      <c r="IL492">
        <f>IF(IJ492=1,AVERAGEIFS(II3:II688,IG3:IG688,IG492,IJ3:IJ688,1),"")</f>
        <v/>
      </c>
      <c r="IM492">
        <f>IF(IJ492=1,II492-IL492,"")</f>
        <v/>
      </c>
      <c r="IN492" t="inlineStr">
        <is>
          <t>low</t>
        </is>
      </c>
      <c r="IO492">
        <f>IF(IN492="good",II492,NA())</f>
        <v/>
      </c>
      <c r="IP492">
        <f>IF(IN492="moderate",II492,NA())</f>
        <v/>
      </c>
      <c r="IQ492">
        <f>IF(IN492="low",II492,NA())</f>
        <v/>
      </c>
      <c r="IR492">
        <f>IF(AND(IN492="good",IJ492=1),IM492,NA())</f>
        <v/>
      </c>
      <c r="IS492">
        <f>IF(AND(IN492="moderate",IJ492=1),IM492,NA())</f>
        <v/>
      </c>
      <c r="IT492">
        <f>IF(AND(IN492="low",IJ492=1),IM492,NA())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  <c r="IG493">
        <f>Base_mundial!A492</f>
        <v/>
      </c>
      <c r="IH493">
        <f>Base_mundial!C492</f>
        <v/>
      </c>
      <c r="II493">
        <f>Base_mundial!E492-MIN(tope,DEGREES(ATAN(TAN(RADIANS(pe0-omega*Base_mundial!B492))*(Base_mundial!C492/sref)^(m_-1))))</f>
        <v/>
      </c>
      <c r="IJ493" t="n">
        <v>1</v>
      </c>
      <c r="IK493">
        <f>IF(IJ493=1,LN(IH493),"")</f>
        <v/>
      </c>
      <c r="IL493">
        <f>IF(IJ493=1,AVERAGEIFS(II3:II688,IG3:IG688,IG493,IJ3:IJ688,1),"")</f>
        <v/>
      </c>
      <c r="IM493">
        <f>IF(IJ493=1,II493-IL493,"")</f>
        <v/>
      </c>
      <c r="IN493" t="inlineStr">
        <is>
          <t>low</t>
        </is>
      </c>
      <c r="IO493">
        <f>IF(IN493="good",II493,NA())</f>
        <v/>
      </c>
      <c r="IP493">
        <f>IF(IN493="moderate",II493,NA())</f>
        <v/>
      </c>
      <c r="IQ493">
        <f>IF(IN493="low",II493,NA())</f>
        <v/>
      </c>
      <c r="IR493">
        <f>IF(AND(IN493="good",IJ493=1),IM493,NA())</f>
        <v/>
      </c>
      <c r="IS493">
        <f>IF(AND(IN493="moderate",IJ493=1),IM493,NA())</f>
        <v/>
      </c>
      <c r="IT493">
        <f>IF(AND(IN493="low",IJ493=1),IM493,NA())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  <c r="IG494">
        <f>Base_mundial!A493</f>
        <v/>
      </c>
      <c r="IH494">
        <f>Base_mundial!C493</f>
        <v/>
      </c>
      <c r="II494">
        <f>Base_mundial!E493-MIN(tope,DEGREES(ATAN(TAN(RADIANS(pe0-omega*Base_mundial!B493))*(Base_mundial!C493/sref)^(m_-1))))</f>
        <v/>
      </c>
      <c r="IJ494" t="n">
        <v>1</v>
      </c>
      <c r="IK494">
        <f>IF(IJ494=1,LN(IH494),"")</f>
        <v/>
      </c>
      <c r="IL494">
        <f>IF(IJ494=1,AVERAGEIFS(II3:II688,IG3:IG688,IG494,IJ3:IJ688,1),"")</f>
        <v/>
      </c>
      <c r="IM494">
        <f>IF(IJ494=1,II494-IL494,"")</f>
        <v/>
      </c>
      <c r="IN494" t="inlineStr">
        <is>
          <t>low</t>
        </is>
      </c>
      <c r="IO494">
        <f>IF(IN494="good",II494,NA())</f>
        <v/>
      </c>
      <c r="IP494">
        <f>IF(IN494="moderate",II494,NA())</f>
        <v/>
      </c>
      <c r="IQ494">
        <f>IF(IN494="low",II494,NA())</f>
        <v/>
      </c>
      <c r="IR494">
        <f>IF(AND(IN494="good",IJ494=1),IM494,NA())</f>
        <v/>
      </c>
      <c r="IS494">
        <f>IF(AND(IN494="moderate",IJ494=1),IM494,NA())</f>
        <v/>
      </c>
      <c r="IT494">
        <f>IF(AND(IN494="low",IJ494=1),IM494,NA())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  <c r="IG495">
        <f>Base_mundial!A494</f>
        <v/>
      </c>
      <c r="IH495">
        <f>Base_mundial!C494</f>
        <v/>
      </c>
      <c r="II495">
        <f>Base_mundial!E494-MIN(tope,DEGREES(ATAN(TAN(RADIANS(pe0-omega*Base_mundial!B494))*(Base_mundial!C494/sref)^(m_-1))))</f>
        <v/>
      </c>
      <c r="IJ495" t="n">
        <v>1</v>
      </c>
      <c r="IK495">
        <f>IF(IJ495=1,LN(IH495),"")</f>
        <v/>
      </c>
      <c r="IL495">
        <f>IF(IJ495=1,AVERAGEIFS(II3:II688,IG3:IG688,IG495,IJ3:IJ688,1),"")</f>
        <v/>
      </c>
      <c r="IM495">
        <f>IF(IJ495=1,II495-IL495,"")</f>
        <v/>
      </c>
      <c r="IN495" t="inlineStr">
        <is>
          <t>low</t>
        </is>
      </c>
      <c r="IO495">
        <f>IF(IN495="good",II495,NA())</f>
        <v/>
      </c>
      <c r="IP495">
        <f>IF(IN495="moderate",II495,NA())</f>
        <v/>
      </c>
      <c r="IQ495">
        <f>IF(IN495="low",II495,NA())</f>
        <v/>
      </c>
      <c r="IR495">
        <f>IF(AND(IN495="good",IJ495=1),IM495,NA())</f>
        <v/>
      </c>
      <c r="IS495">
        <f>IF(AND(IN495="moderate",IJ495=1),IM495,NA())</f>
        <v/>
      </c>
      <c r="IT495">
        <f>IF(AND(IN495="low",IJ495=1),IM495,NA())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  <c r="IG496">
        <f>Base_mundial!A495</f>
        <v/>
      </c>
      <c r="IH496">
        <f>Base_mundial!C495</f>
        <v/>
      </c>
      <c r="II496">
        <f>Base_mundial!E495-MIN(tope,DEGREES(ATAN(TAN(RADIANS(pe0-omega*Base_mundial!B495))*(Base_mundial!C495/sref)^(m_-1))))</f>
        <v/>
      </c>
      <c r="IJ496" t="n">
        <v>0</v>
      </c>
      <c r="IK496">
        <f>IF(IJ496=1,LN(IH496),"")</f>
        <v/>
      </c>
      <c r="IL496">
        <f>IF(IJ496=1,AVERAGEIFS(II3:II688,IG3:IG688,IG496,IJ3:IJ688,1),"")</f>
        <v/>
      </c>
      <c r="IM496">
        <f>IF(IJ496=1,II496-IL496,"")</f>
        <v/>
      </c>
      <c r="IN496" t="inlineStr">
        <is>
          <t>low</t>
        </is>
      </c>
      <c r="IO496">
        <f>IF(IN496="good",II496,NA())</f>
        <v/>
      </c>
      <c r="IP496">
        <f>IF(IN496="moderate",II496,NA())</f>
        <v/>
      </c>
      <c r="IQ496">
        <f>IF(IN496="low",II496,NA())</f>
        <v/>
      </c>
      <c r="IR496">
        <f>IF(AND(IN496="good",IJ496=1),IM496,NA())</f>
        <v/>
      </c>
      <c r="IS496">
        <f>IF(AND(IN496="moderate",IJ496=1),IM496,NA())</f>
        <v/>
      </c>
      <c r="IT496">
        <f>IF(AND(IN496="low",IJ496=1),IM496,NA())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  <c r="IG497">
        <f>Base_mundial!A496</f>
        <v/>
      </c>
      <c r="IH497">
        <f>Base_mundial!C496</f>
        <v/>
      </c>
      <c r="II497">
        <f>Base_mundial!E496-MIN(tope,DEGREES(ATAN(TAN(RADIANS(pe0-omega*Base_mundial!B496))*(Base_mundial!C496/sref)^(m_-1))))</f>
        <v/>
      </c>
      <c r="IJ497" t="n">
        <v>1</v>
      </c>
      <c r="IK497">
        <f>IF(IJ497=1,LN(IH497),"")</f>
        <v/>
      </c>
      <c r="IL497">
        <f>IF(IJ497=1,AVERAGEIFS(II3:II688,IG3:IG688,IG497,IJ3:IJ688,1),"")</f>
        <v/>
      </c>
      <c r="IM497">
        <f>IF(IJ497=1,II497-IL497,"")</f>
        <v/>
      </c>
      <c r="IN497" t="inlineStr">
        <is>
          <t>low</t>
        </is>
      </c>
      <c r="IO497">
        <f>IF(IN497="good",II497,NA())</f>
        <v/>
      </c>
      <c r="IP497">
        <f>IF(IN497="moderate",II497,NA())</f>
        <v/>
      </c>
      <c r="IQ497">
        <f>IF(IN497="low",II497,NA())</f>
        <v/>
      </c>
      <c r="IR497">
        <f>IF(AND(IN497="good",IJ497=1),IM497,NA())</f>
        <v/>
      </c>
      <c r="IS497">
        <f>IF(AND(IN497="moderate",IJ497=1),IM497,NA())</f>
        <v/>
      </c>
      <c r="IT497">
        <f>IF(AND(IN497="low",IJ497=1),IM497,NA())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  <c r="IG498">
        <f>Base_mundial!A497</f>
        <v/>
      </c>
      <c r="IH498">
        <f>Base_mundial!C497</f>
        <v/>
      </c>
      <c r="II498">
        <f>Base_mundial!E497-MIN(tope,DEGREES(ATAN(TAN(RADIANS(pe0-omega*Base_mundial!B497))*(Base_mundial!C497/sref)^(m_-1))))</f>
        <v/>
      </c>
      <c r="IJ498" t="n">
        <v>1</v>
      </c>
      <c r="IK498">
        <f>IF(IJ498=1,LN(IH498),"")</f>
        <v/>
      </c>
      <c r="IL498">
        <f>IF(IJ498=1,AVERAGEIFS(II3:II688,IG3:IG688,IG498,IJ3:IJ688,1),"")</f>
        <v/>
      </c>
      <c r="IM498">
        <f>IF(IJ498=1,II498-IL498,"")</f>
        <v/>
      </c>
      <c r="IN498" t="inlineStr">
        <is>
          <t>low</t>
        </is>
      </c>
      <c r="IO498">
        <f>IF(IN498="good",II498,NA())</f>
        <v/>
      </c>
      <c r="IP498">
        <f>IF(IN498="moderate",II498,NA())</f>
        <v/>
      </c>
      <c r="IQ498">
        <f>IF(IN498="low",II498,NA())</f>
        <v/>
      </c>
      <c r="IR498">
        <f>IF(AND(IN498="good",IJ498=1),IM498,NA())</f>
        <v/>
      </c>
      <c r="IS498">
        <f>IF(AND(IN498="moderate",IJ498=1),IM498,NA())</f>
        <v/>
      </c>
      <c r="IT498">
        <f>IF(AND(IN498="low",IJ498=1),IM498,NA())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  <c r="IG499">
        <f>Base_mundial!A498</f>
        <v/>
      </c>
      <c r="IH499">
        <f>Base_mundial!C498</f>
        <v/>
      </c>
      <c r="II499">
        <f>Base_mundial!E498-MIN(tope,DEGREES(ATAN(TAN(RADIANS(pe0-omega*Base_mundial!B498))*(Base_mundial!C498/sref)^(m_-1))))</f>
        <v/>
      </c>
      <c r="IJ499" t="n">
        <v>0</v>
      </c>
      <c r="IK499">
        <f>IF(IJ499=1,LN(IH499),"")</f>
        <v/>
      </c>
      <c r="IL499">
        <f>IF(IJ499=1,AVERAGEIFS(II3:II688,IG3:IG688,IG499,IJ3:IJ688,1),"")</f>
        <v/>
      </c>
      <c r="IM499">
        <f>IF(IJ499=1,II499-IL499,"")</f>
        <v/>
      </c>
      <c r="IN499" t="inlineStr">
        <is>
          <t>low</t>
        </is>
      </c>
      <c r="IO499">
        <f>IF(IN499="good",II499,NA())</f>
        <v/>
      </c>
      <c r="IP499">
        <f>IF(IN499="moderate",II499,NA())</f>
        <v/>
      </c>
      <c r="IQ499">
        <f>IF(IN499="low",II499,NA())</f>
        <v/>
      </c>
      <c r="IR499">
        <f>IF(AND(IN499="good",IJ499=1),IM499,NA())</f>
        <v/>
      </c>
      <c r="IS499">
        <f>IF(AND(IN499="moderate",IJ499=1),IM499,NA())</f>
        <v/>
      </c>
      <c r="IT499">
        <f>IF(AND(IN499="low",IJ499=1),IM499,NA())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  <c r="IG500">
        <f>Base_mundial!A499</f>
        <v/>
      </c>
      <c r="IH500">
        <f>Base_mundial!C499</f>
        <v/>
      </c>
      <c r="II500">
        <f>Base_mundial!E499-MIN(tope,DEGREES(ATAN(TAN(RADIANS(pe0-omega*Base_mundial!B499))*(Base_mundial!C499/sref)^(m_-1))))</f>
        <v/>
      </c>
      <c r="IJ500" t="n">
        <v>1</v>
      </c>
      <c r="IK500">
        <f>IF(IJ500=1,LN(IH500),"")</f>
        <v/>
      </c>
      <c r="IL500">
        <f>IF(IJ500=1,AVERAGEIFS(II3:II688,IG3:IG688,IG500,IJ3:IJ688,1),"")</f>
        <v/>
      </c>
      <c r="IM500">
        <f>IF(IJ500=1,II500-IL500,"")</f>
        <v/>
      </c>
      <c r="IN500" t="inlineStr">
        <is>
          <t>low</t>
        </is>
      </c>
      <c r="IO500">
        <f>IF(IN500="good",II500,NA())</f>
        <v/>
      </c>
      <c r="IP500">
        <f>IF(IN500="moderate",II500,NA())</f>
        <v/>
      </c>
      <c r="IQ500">
        <f>IF(IN500="low",II500,NA())</f>
        <v/>
      </c>
      <c r="IR500">
        <f>IF(AND(IN500="good",IJ500=1),IM500,NA())</f>
        <v/>
      </c>
      <c r="IS500">
        <f>IF(AND(IN500="moderate",IJ500=1),IM500,NA())</f>
        <v/>
      </c>
      <c r="IT500">
        <f>IF(AND(IN500="low",IJ500=1),IM500,NA())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  <c r="IG501">
        <f>Base_mundial!A500</f>
        <v/>
      </c>
      <c r="IH501">
        <f>Base_mundial!C500</f>
        <v/>
      </c>
      <c r="II501">
        <f>Base_mundial!E500-MIN(tope,DEGREES(ATAN(TAN(RADIANS(pe0-omega*Base_mundial!B500))*(Base_mundial!C500/sref)^(m_-1))))</f>
        <v/>
      </c>
      <c r="IJ501" t="n">
        <v>1</v>
      </c>
      <c r="IK501">
        <f>IF(IJ501=1,LN(IH501),"")</f>
        <v/>
      </c>
      <c r="IL501">
        <f>IF(IJ501=1,AVERAGEIFS(II3:II688,IG3:IG688,IG501,IJ3:IJ688,1),"")</f>
        <v/>
      </c>
      <c r="IM501">
        <f>IF(IJ501=1,II501-IL501,"")</f>
        <v/>
      </c>
      <c r="IN501" t="inlineStr">
        <is>
          <t>low</t>
        </is>
      </c>
      <c r="IO501">
        <f>IF(IN501="good",II501,NA())</f>
        <v/>
      </c>
      <c r="IP501">
        <f>IF(IN501="moderate",II501,NA())</f>
        <v/>
      </c>
      <c r="IQ501">
        <f>IF(IN501="low",II501,NA())</f>
        <v/>
      </c>
      <c r="IR501">
        <f>IF(AND(IN501="good",IJ501=1),IM501,NA())</f>
        <v/>
      </c>
      <c r="IS501">
        <f>IF(AND(IN501="moderate",IJ501=1),IM501,NA())</f>
        <v/>
      </c>
      <c r="IT501">
        <f>IF(AND(IN501="low",IJ501=1),IM501,NA())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  <c r="IG502">
        <f>Base_mundial!A501</f>
        <v/>
      </c>
      <c r="IH502">
        <f>Base_mundial!C501</f>
        <v/>
      </c>
      <c r="II502">
        <f>Base_mundial!E501-MIN(tope,DEGREES(ATAN(TAN(RADIANS(pe0-omega*Base_mundial!B501))*(Base_mundial!C501/sref)^(m_-1))))</f>
        <v/>
      </c>
      <c r="IJ502" t="n">
        <v>0</v>
      </c>
      <c r="IK502">
        <f>IF(IJ502=1,LN(IH502),"")</f>
        <v/>
      </c>
      <c r="IL502">
        <f>IF(IJ502=1,AVERAGEIFS(II3:II688,IG3:IG688,IG502,IJ3:IJ688,1),"")</f>
        <v/>
      </c>
      <c r="IM502">
        <f>IF(IJ502=1,II502-IL502,"")</f>
        <v/>
      </c>
      <c r="IN502" t="inlineStr">
        <is>
          <t>good</t>
        </is>
      </c>
      <c r="IO502">
        <f>IF(IN502="good",II502,NA())</f>
        <v/>
      </c>
      <c r="IP502">
        <f>IF(IN502="moderate",II502,NA())</f>
        <v/>
      </c>
      <c r="IQ502">
        <f>IF(IN502="low",II502,NA())</f>
        <v/>
      </c>
      <c r="IR502">
        <f>IF(AND(IN502="good",IJ502=1),IM502,NA())</f>
        <v/>
      </c>
      <c r="IS502">
        <f>IF(AND(IN502="moderate",IJ502=1),IM502,NA())</f>
        <v/>
      </c>
      <c r="IT502">
        <f>IF(AND(IN502="low",IJ502=1),IM502,NA())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  <c r="IG503">
        <f>Base_mundial!A502</f>
        <v/>
      </c>
      <c r="IH503">
        <f>Base_mundial!C502</f>
        <v/>
      </c>
      <c r="II503">
        <f>Base_mundial!E502-MIN(tope,DEGREES(ATAN(TAN(RADIANS(pe0-omega*Base_mundial!B502))*(Base_mundial!C502/sref)^(m_-1))))</f>
        <v/>
      </c>
      <c r="IJ503" t="n">
        <v>1</v>
      </c>
      <c r="IK503">
        <f>IF(IJ503=1,LN(IH503),"")</f>
        <v/>
      </c>
      <c r="IL503">
        <f>IF(IJ503=1,AVERAGEIFS(II3:II688,IG3:IG688,IG503,IJ3:IJ688,1),"")</f>
        <v/>
      </c>
      <c r="IM503">
        <f>IF(IJ503=1,II503-IL503,"")</f>
        <v/>
      </c>
      <c r="IN503" t="inlineStr">
        <is>
          <t>good</t>
        </is>
      </c>
      <c r="IO503">
        <f>IF(IN503="good",II503,NA())</f>
        <v/>
      </c>
      <c r="IP503">
        <f>IF(IN503="moderate",II503,NA())</f>
        <v/>
      </c>
      <c r="IQ503">
        <f>IF(IN503="low",II503,NA())</f>
        <v/>
      </c>
      <c r="IR503">
        <f>IF(AND(IN503="good",IJ503=1),IM503,NA())</f>
        <v/>
      </c>
      <c r="IS503">
        <f>IF(AND(IN503="moderate",IJ503=1),IM503,NA())</f>
        <v/>
      </c>
      <c r="IT503">
        <f>IF(AND(IN503="low",IJ503=1),IM503,NA())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  <c r="IG504">
        <f>Base_mundial!A503</f>
        <v/>
      </c>
      <c r="IH504">
        <f>Base_mundial!C503</f>
        <v/>
      </c>
      <c r="II504">
        <f>Base_mundial!E503-MIN(tope,DEGREES(ATAN(TAN(RADIANS(pe0-omega*Base_mundial!B503))*(Base_mundial!C503/sref)^(m_-1))))</f>
        <v/>
      </c>
      <c r="IJ504" t="n">
        <v>1</v>
      </c>
      <c r="IK504">
        <f>IF(IJ504=1,LN(IH504),"")</f>
        <v/>
      </c>
      <c r="IL504">
        <f>IF(IJ504=1,AVERAGEIFS(II3:II688,IG3:IG688,IG504,IJ3:IJ688,1),"")</f>
        <v/>
      </c>
      <c r="IM504">
        <f>IF(IJ504=1,II504-IL504,"")</f>
        <v/>
      </c>
      <c r="IN504" t="inlineStr">
        <is>
          <t>good</t>
        </is>
      </c>
      <c r="IO504">
        <f>IF(IN504="good",II504,NA())</f>
        <v/>
      </c>
      <c r="IP504">
        <f>IF(IN504="moderate",II504,NA())</f>
        <v/>
      </c>
      <c r="IQ504">
        <f>IF(IN504="low",II504,NA())</f>
        <v/>
      </c>
      <c r="IR504">
        <f>IF(AND(IN504="good",IJ504=1),IM504,NA())</f>
        <v/>
      </c>
      <c r="IS504">
        <f>IF(AND(IN504="moderate",IJ504=1),IM504,NA())</f>
        <v/>
      </c>
      <c r="IT504">
        <f>IF(AND(IN504="low",IJ504=1),IM504,NA())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  <c r="IG505">
        <f>Base_mundial!A504</f>
        <v/>
      </c>
      <c r="IH505">
        <f>Base_mundial!C504</f>
        <v/>
      </c>
      <c r="II505">
        <f>Base_mundial!E504-MIN(tope,DEGREES(ATAN(TAN(RADIANS(pe0-omega*Base_mundial!B504))*(Base_mundial!C504/sref)^(m_-1))))</f>
        <v/>
      </c>
      <c r="IJ505" t="n">
        <v>0</v>
      </c>
      <c r="IK505">
        <f>IF(IJ505=1,LN(IH505),"")</f>
        <v/>
      </c>
      <c r="IL505">
        <f>IF(IJ505=1,AVERAGEIFS(II3:II688,IG3:IG688,IG505,IJ3:IJ688,1),"")</f>
        <v/>
      </c>
      <c r="IM505">
        <f>IF(IJ505=1,II505-IL505,"")</f>
        <v/>
      </c>
      <c r="IN505" t="inlineStr">
        <is>
          <t>good</t>
        </is>
      </c>
      <c r="IO505">
        <f>IF(IN505="good",II505,NA())</f>
        <v/>
      </c>
      <c r="IP505">
        <f>IF(IN505="moderate",II505,NA())</f>
        <v/>
      </c>
      <c r="IQ505">
        <f>IF(IN505="low",II505,NA())</f>
        <v/>
      </c>
      <c r="IR505">
        <f>IF(AND(IN505="good",IJ505=1),IM505,NA())</f>
        <v/>
      </c>
      <c r="IS505">
        <f>IF(AND(IN505="moderate",IJ505=1),IM505,NA())</f>
        <v/>
      </c>
      <c r="IT505">
        <f>IF(AND(IN505="low",IJ505=1),IM505,NA())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  <c r="IG506">
        <f>Base_mundial!A505</f>
        <v/>
      </c>
      <c r="IH506">
        <f>Base_mundial!C505</f>
        <v/>
      </c>
      <c r="II506">
        <f>Base_mundial!E505-MIN(tope,DEGREES(ATAN(TAN(RADIANS(pe0-omega*Base_mundial!B505))*(Base_mundial!C505/sref)^(m_-1))))</f>
        <v/>
      </c>
      <c r="IJ506" t="n">
        <v>1</v>
      </c>
      <c r="IK506">
        <f>IF(IJ506=1,LN(IH506),"")</f>
        <v/>
      </c>
      <c r="IL506">
        <f>IF(IJ506=1,AVERAGEIFS(II3:II688,IG3:IG688,IG506,IJ3:IJ688,1),"")</f>
        <v/>
      </c>
      <c r="IM506">
        <f>IF(IJ506=1,II506-IL506,"")</f>
        <v/>
      </c>
      <c r="IN506" t="inlineStr">
        <is>
          <t>good</t>
        </is>
      </c>
      <c r="IO506">
        <f>IF(IN506="good",II506,NA())</f>
        <v/>
      </c>
      <c r="IP506">
        <f>IF(IN506="moderate",II506,NA())</f>
        <v/>
      </c>
      <c r="IQ506">
        <f>IF(IN506="low",II506,NA())</f>
        <v/>
      </c>
      <c r="IR506">
        <f>IF(AND(IN506="good",IJ506=1),IM506,NA())</f>
        <v/>
      </c>
      <c r="IS506">
        <f>IF(AND(IN506="moderate",IJ506=1),IM506,NA())</f>
        <v/>
      </c>
      <c r="IT506">
        <f>IF(AND(IN506="low",IJ506=1),IM506,NA())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  <c r="IG507">
        <f>Base_mundial!A506</f>
        <v/>
      </c>
      <c r="IH507">
        <f>Base_mundial!C506</f>
        <v/>
      </c>
      <c r="II507">
        <f>Base_mundial!E506-MIN(tope,DEGREES(ATAN(TAN(RADIANS(pe0-omega*Base_mundial!B506))*(Base_mundial!C506/sref)^(m_-1))))</f>
        <v/>
      </c>
      <c r="IJ507" t="n">
        <v>1</v>
      </c>
      <c r="IK507">
        <f>IF(IJ507=1,LN(IH507),"")</f>
        <v/>
      </c>
      <c r="IL507">
        <f>IF(IJ507=1,AVERAGEIFS(II3:II688,IG3:IG688,IG507,IJ3:IJ688,1),"")</f>
        <v/>
      </c>
      <c r="IM507">
        <f>IF(IJ507=1,II507-IL507,"")</f>
        <v/>
      </c>
      <c r="IN507" t="inlineStr">
        <is>
          <t>good</t>
        </is>
      </c>
      <c r="IO507">
        <f>IF(IN507="good",II507,NA())</f>
        <v/>
      </c>
      <c r="IP507">
        <f>IF(IN507="moderate",II507,NA())</f>
        <v/>
      </c>
      <c r="IQ507">
        <f>IF(IN507="low",II507,NA())</f>
        <v/>
      </c>
      <c r="IR507">
        <f>IF(AND(IN507="good",IJ507=1),IM507,NA())</f>
        <v/>
      </c>
      <c r="IS507">
        <f>IF(AND(IN507="moderate",IJ507=1),IM507,NA())</f>
        <v/>
      </c>
      <c r="IT507">
        <f>IF(AND(IN507="low",IJ507=1),IM507,NA())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  <c r="IG508">
        <f>Base_mundial!A507</f>
        <v/>
      </c>
      <c r="IH508">
        <f>Base_mundial!C507</f>
        <v/>
      </c>
      <c r="II508">
        <f>Base_mundial!E507-MIN(tope,DEGREES(ATAN(TAN(RADIANS(pe0-omega*Base_mundial!B507))*(Base_mundial!C507/sref)^(m_-1))))</f>
        <v/>
      </c>
      <c r="IJ508" t="n">
        <v>1</v>
      </c>
      <c r="IK508">
        <f>IF(IJ508=1,LN(IH508),"")</f>
        <v/>
      </c>
      <c r="IL508">
        <f>IF(IJ508=1,AVERAGEIFS(II3:II688,IG3:IG688,IG508,IJ3:IJ688,1),"")</f>
        <v/>
      </c>
      <c r="IM508">
        <f>IF(IJ508=1,II508-IL508,"")</f>
        <v/>
      </c>
      <c r="IN508" t="inlineStr">
        <is>
          <t>good</t>
        </is>
      </c>
      <c r="IO508">
        <f>IF(IN508="good",II508,NA())</f>
        <v/>
      </c>
      <c r="IP508">
        <f>IF(IN508="moderate",II508,NA())</f>
        <v/>
      </c>
      <c r="IQ508">
        <f>IF(IN508="low",II508,NA())</f>
        <v/>
      </c>
      <c r="IR508">
        <f>IF(AND(IN508="good",IJ508=1),IM508,NA())</f>
        <v/>
      </c>
      <c r="IS508">
        <f>IF(AND(IN508="moderate",IJ508=1),IM508,NA())</f>
        <v/>
      </c>
      <c r="IT508">
        <f>IF(AND(IN508="low",IJ508=1),IM508,NA())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  <c r="IG509">
        <f>Base_mundial!A508</f>
        <v/>
      </c>
      <c r="IH509">
        <f>Base_mundial!C508</f>
        <v/>
      </c>
      <c r="II509">
        <f>Base_mundial!E508-MIN(tope,DEGREES(ATAN(TAN(RADIANS(pe0-omega*Base_mundial!B508))*(Base_mundial!C508/sref)^(m_-1))))</f>
        <v/>
      </c>
      <c r="IJ509" t="n">
        <v>0</v>
      </c>
      <c r="IK509">
        <f>IF(IJ509=1,LN(IH509),"")</f>
        <v/>
      </c>
      <c r="IL509">
        <f>IF(IJ509=1,AVERAGEIFS(II3:II688,IG3:IG688,IG509,IJ3:IJ688,1),"")</f>
        <v/>
      </c>
      <c r="IM509">
        <f>IF(IJ509=1,II509-IL509,"")</f>
        <v/>
      </c>
      <c r="IN509" t="inlineStr">
        <is>
          <t>good</t>
        </is>
      </c>
      <c r="IO509">
        <f>IF(IN509="good",II509,NA())</f>
        <v/>
      </c>
      <c r="IP509">
        <f>IF(IN509="moderate",II509,NA())</f>
        <v/>
      </c>
      <c r="IQ509">
        <f>IF(IN509="low",II509,NA())</f>
        <v/>
      </c>
      <c r="IR509">
        <f>IF(AND(IN509="good",IJ509=1),IM509,NA())</f>
        <v/>
      </c>
      <c r="IS509">
        <f>IF(AND(IN509="moderate",IJ509=1),IM509,NA())</f>
        <v/>
      </c>
      <c r="IT509">
        <f>IF(AND(IN509="low",IJ509=1),IM509,NA())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  <c r="IG510">
        <f>Base_mundial!A509</f>
        <v/>
      </c>
      <c r="IH510">
        <f>Base_mundial!C509</f>
        <v/>
      </c>
      <c r="II510">
        <f>Base_mundial!E509-MIN(tope,DEGREES(ATAN(TAN(RADIANS(pe0-omega*Base_mundial!B509))*(Base_mundial!C509/sref)^(m_-1))))</f>
        <v/>
      </c>
      <c r="IJ510" t="n">
        <v>1</v>
      </c>
      <c r="IK510">
        <f>IF(IJ510=1,LN(IH510),"")</f>
        <v/>
      </c>
      <c r="IL510">
        <f>IF(IJ510=1,AVERAGEIFS(II3:II688,IG3:IG688,IG510,IJ3:IJ688,1),"")</f>
        <v/>
      </c>
      <c r="IM510">
        <f>IF(IJ510=1,II510-IL510,"")</f>
        <v/>
      </c>
      <c r="IN510" t="inlineStr">
        <is>
          <t>good</t>
        </is>
      </c>
      <c r="IO510">
        <f>IF(IN510="good",II510,NA())</f>
        <v/>
      </c>
      <c r="IP510">
        <f>IF(IN510="moderate",II510,NA())</f>
        <v/>
      </c>
      <c r="IQ510">
        <f>IF(IN510="low",II510,NA())</f>
        <v/>
      </c>
      <c r="IR510">
        <f>IF(AND(IN510="good",IJ510=1),IM510,NA())</f>
        <v/>
      </c>
      <c r="IS510">
        <f>IF(AND(IN510="moderate",IJ510=1),IM510,NA())</f>
        <v/>
      </c>
      <c r="IT510">
        <f>IF(AND(IN510="low",IJ510=1),IM510,NA())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  <c r="IG511">
        <f>Base_mundial!A510</f>
        <v/>
      </c>
      <c r="IH511">
        <f>Base_mundial!C510</f>
        <v/>
      </c>
      <c r="II511">
        <f>Base_mundial!E510-MIN(tope,DEGREES(ATAN(TAN(RADIANS(pe0-omega*Base_mundial!B510))*(Base_mundial!C510/sref)^(m_-1))))</f>
        <v/>
      </c>
      <c r="IJ511" t="n">
        <v>1</v>
      </c>
      <c r="IK511">
        <f>IF(IJ511=1,LN(IH511),"")</f>
        <v/>
      </c>
      <c r="IL511">
        <f>IF(IJ511=1,AVERAGEIFS(II3:II688,IG3:IG688,IG511,IJ3:IJ688,1),"")</f>
        <v/>
      </c>
      <c r="IM511">
        <f>IF(IJ511=1,II511-IL511,"")</f>
        <v/>
      </c>
      <c r="IN511" t="inlineStr">
        <is>
          <t>good</t>
        </is>
      </c>
      <c r="IO511">
        <f>IF(IN511="good",II511,NA())</f>
        <v/>
      </c>
      <c r="IP511">
        <f>IF(IN511="moderate",II511,NA())</f>
        <v/>
      </c>
      <c r="IQ511">
        <f>IF(IN511="low",II511,NA())</f>
        <v/>
      </c>
      <c r="IR511">
        <f>IF(AND(IN511="good",IJ511=1),IM511,NA())</f>
        <v/>
      </c>
      <c r="IS511">
        <f>IF(AND(IN511="moderate",IJ511=1),IM511,NA())</f>
        <v/>
      </c>
      <c r="IT511">
        <f>IF(AND(IN511="low",IJ511=1),IM511,NA())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  <c r="IG512">
        <f>Base_mundial!A511</f>
        <v/>
      </c>
      <c r="IH512">
        <f>Base_mundial!C511</f>
        <v/>
      </c>
      <c r="II512">
        <f>Base_mundial!E511-MIN(tope,DEGREES(ATAN(TAN(RADIANS(pe0-omega*Base_mundial!B511))*(Base_mundial!C511/sref)^(m_-1))))</f>
        <v/>
      </c>
      <c r="IJ512" t="n">
        <v>1</v>
      </c>
      <c r="IK512">
        <f>IF(IJ512=1,LN(IH512),"")</f>
        <v/>
      </c>
      <c r="IL512">
        <f>IF(IJ512=1,AVERAGEIFS(II3:II688,IG3:IG688,IG512,IJ3:IJ688,1),"")</f>
        <v/>
      </c>
      <c r="IM512">
        <f>IF(IJ512=1,II512-IL512,"")</f>
        <v/>
      </c>
      <c r="IN512" t="inlineStr">
        <is>
          <t>good</t>
        </is>
      </c>
      <c r="IO512">
        <f>IF(IN512="good",II512,NA())</f>
        <v/>
      </c>
      <c r="IP512">
        <f>IF(IN512="moderate",II512,NA())</f>
        <v/>
      </c>
      <c r="IQ512">
        <f>IF(IN512="low",II512,NA())</f>
        <v/>
      </c>
      <c r="IR512">
        <f>IF(AND(IN512="good",IJ512=1),IM512,NA())</f>
        <v/>
      </c>
      <c r="IS512">
        <f>IF(AND(IN512="moderate",IJ512=1),IM512,NA())</f>
        <v/>
      </c>
      <c r="IT512">
        <f>IF(AND(IN512="low",IJ512=1),IM512,NA())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  <c r="IG513">
        <f>Base_mundial!A512</f>
        <v/>
      </c>
      <c r="IH513">
        <f>Base_mundial!C512</f>
        <v/>
      </c>
      <c r="II513">
        <f>Base_mundial!E512-MIN(tope,DEGREES(ATAN(TAN(RADIANS(pe0-omega*Base_mundial!B512))*(Base_mundial!C512/sref)^(m_-1))))</f>
        <v/>
      </c>
      <c r="IJ513" t="n">
        <v>0</v>
      </c>
      <c r="IK513">
        <f>IF(IJ513=1,LN(IH513),"")</f>
        <v/>
      </c>
      <c r="IL513">
        <f>IF(IJ513=1,AVERAGEIFS(II3:II688,IG3:IG688,IG513,IJ3:IJ688,1),"")</f>
        <v/>
      </c>
      <c r="IM513">
        <f>IF(IJ513=1,II513-IL513,"")</f>
        <v/>
      </c>
      <c r="IN513" t="inlineStr">
        <is>
          <t>good</t>
        </is>
      </c>
      <c r="IO513">
        <f>IF(IN513="good",II513,NA())</f>
        <v/>
      </c>
      <c r="IP513">
        <f>IF(IN513="moderate",II513,NA())</f>
        <v/>
      </c>
      <c r="IQ513">
        <f>IF(IN513="low",II513,NA())</f>
        <v/>
      </c>
      <c r="IR513">
        <f>IF(AND(IN513="good",IJ513=1),IM513,NA())</f>
        <v/>
      </c>
      <c r="IS513">
        <f>IF(AND(IN513="moderate",IJ513=1),IM513,NA())</f>
        <v/>
      </c>
      <c r="IT513">
        <f>IF(AND(IN513="low",IJ513=1),IM513,NA())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  <c r="IG514">
        <f>Base_mundial!A513</f>
        <v/>
      </c>
      <c r="IH514">
        <f>Base_mundial!C513</f>
        <v/>
      </c>
      <c r="II514">
        <f>Base_mundial!E513-MIN(tope,DEGREES(ATAN(TAN(RADIANS(pe0-omega*Base_mundial!B513))*(Base_mundial!C513/sref)^(m_-1))))</f>
        <v/>
      </c>
      <c r="IJ514" t="n">
        <v>1</v>
      </c>
      <c r="IK514">
        <f>IF(IJ514=1,LN(IH514),"")</f>
        <v/>
      </c>
      <c r="IL514">
        <f>IF(IJ514=1,AVERAGEIFS(II3:II688,IG3:IG688,IG514,IJ3:IJ688,1),"")</f>
        <v/>
      </c>
      <c r="IM514">
        <f>IF(IJ514=1,II514-IL514,"")</f>
        <v/>
      </c>
      <c r="IN514" t="inlineStr">
        <is>
          <t>good</t>
        </is>
      </c>
      <c r="IO514">
        <f>IF(IN514="good",II514,NA())</f>
        <v/>
      </c>
      <c r="IP514">
        <f>IF(IN514="moderate",II514,NA())</f>
        <v/>
      </c>
      <c r="IQ514">
        <f>IF(IN514="low",II514,NA())</f>
        <v/>
      </c>
      <c r="IR514">
        <f>IF(AND(IN514="good",IJ514=1),IM514,NA())</f>
        <v/>
      </c>
      <c r="IS514">
        <f>IF(AND(IN514="moderate",IJ514=1),IM514,NA())</f>
        <v/>
      </c>
      <c r="IT514">
        <f>IF(AND(IN514="low",IJ514=1),IM514,NA())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  <c r="IG515">
        <f>Base_mundial!A514</f>
        <v/>
      </c>
      <c r="IH515">
        <f>Base_mundial!C514</f>
        <v/>
      </c>
      <c r="II515">
        <f>Base_mundial!E514-MIN(tope,DEGREES(ATAN(TAN(RADIANS(pe0-omega*Base_mundial!B514))*(Base_mundial!C514/sref)^(m_-1))))</f>
        <v/>
      </c>
      <c r="IJ515" t="n">
        <v>1</v>
      </c>
      <c r="IK515">
        <f>IF(IJ515=1,LN(IH515),"")</f>
        <v/>
      </c>
      <c r="IL515">
        <f>IF(IJ515=1,AVERAGEIFS(II3:II688,IG3:IG688,IG515,IJ3:IJ688,1),"")</f>
        <v/>
      </c>
      <c r="IM515">
        <f>IF(IJ515=1,II515-IL515,"")</f>
        <v/>
      </c>
      <c r="IN515" t="inlineStr">
        <is>
          <t>good</t>
        </is>
      </c>
      <c r="IO515">
        <f>IF(IN515="good",II515,NA())</f>
        <v/>
      </c>
      <c r="IP515">
        <f>IF(IN515="moderate",II515,NA())</f>
        <v/>
      </c>
      <c r="IQ515">
        <f>IF(IN515="low",II515,NA())</f>
        <v/>
      </c>
      <c r="IR515">
        <f>IF(AND(IN515="good",IJ515=1),IM515,NA())</f>
        <v/>
      </c>
      <c r="IS515">
        <f>IF(AND(IN515="moderate",IJ515=1),IM515,NA())</f>
        <v/>
      </c>
      <c r="IT515">
        <f>IF(AND(IN515="low",IJ515=1),IM515,NA())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  <c r="IG516">
        <f>Base_mundial!A515</f>
        <v/>
      </c>
      <c r="IH516">
        <f>Base_mundial!C515</f>
        <v/>
      </c>
      <c r="II516">
        <f>Base_mundial!E515-MIN(tope,DEGREES(ATAN(TAN(RADIANS(pe0-omega*Base_mundial!B515))*(Base_mundial!C515/sref)^(m_-1))))</f>
        <v/>
      </c>
      <c r="IJ516" t="n">
        <v>1</v>
      </c>
      <c r="IK516">
        <f>IF(IJ516=1,LN(IH516),"")</f>
        <v/>
      </c>
      <c r="IL516">
        <f>IF(IJ516=1,AVERAGEIFS(II3:II688,IG3:IG688,IG516,IJ3:IJ688,1),"")</f>
        <v/>
      </c>
      <c r="IM516">
        <f>IF(IJ516=1,II516-IL516,"")</f>
        <v/>
      </c>
      <c r="IN516" t="inlineStr">
        <is>
          <t>good</t>
        </is>
      </c>
      <c r="IO516">
        <f>IF(IN516="good",II516,NA())</f>
        <v/>
      </c>
      <c r="IP516">
        <f>IF(IN516="moderate",II516,NA())</f>
        <v/>
      </c>
      <c r="IQ516">
        <f>IF(IN516="low",II516,NA())</f>
        <v/>
      </c>
      <c r="IR516">
        <f>IF(AND(IN516="good",IJ516=1),IM516,NA())</f>
        <v/>
      </c>
      <c r="IS516">
        <f>IF(AND(IN516="moderate",IJ516=1),IM516,NA())</f>
        <v/>
      </c>
      <c r="IT516">
        <f>IF(AND(IN516="low",IJ516=1),IM516,NA())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  <c r="IG517">
        <f>Base_mundial!A516</f>
        <v/>
      </c>
      <c r="IH517">
        <f>Base_mundial!C516</f>
        <v/>
      </c>
      <c r="II517">
        <f>Base_mundial!E516-MIN(tope,DEGREES(ATAN(TAN(RADIANS(pe0-omega*Base_mundial!B516))*(Base_mundial!C516/sref)^(m_-1))))</f>
        <v/>
      </c>
      <c r="IJ517" t="n">
        <v>0</v>
      </c>
      <c r="IK517">
        <f>IF(IJ517=1,LN(IH517),"")</f>
        <v/>
      </c>
      <c r="IL517">
        <f>IF(IJ517=1,AVERAGEIFS(II3:II688,IG3:IG688,IG517,IJ3:IJ688,1),"")</f>
        <v/>
      </c>
      <c r="IM517">
        <f>IF(IJ517=1,II517-IL517,"")</f>
        <v/>
      </c>
      <c r="IN517" t="inlineStr">
        <is>
          <t>good</t>
        </is>
      </c>
      <c r="IO517">
        <f>IF(IN517="good",II517,NA())</f>
        <v/>
      </c>
      <c r="IP517">
        <f>IF(IN517="moderate",II517,NA())</f>
        <v/>
      </c>
      <c r="IQ517">
        <f>IF(IN517="low",II517,NA())</f>
        <v/>
      </c>
      <c r="IR517">
        <f>IF(AND(IN517="good",IJ517=1),IM517,NA())</f>
        <v/>
      </c>
      <c r="IS517">
        <f>IF(AND(IN517="moderate",IJ517=1),IM517,NA())</f>
        <v/>
      </c>
      <c r="IT517">
        <f>IF(AND(IN517="low",IJ517=1),IM517,NA())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  <c r="IG518">
        <f>Base_mundial!A517</f>
        <v/>
      </c>
      <c r="IH518">
        <f>Base_mundial!C517</f>
        <v/>
      </c>
      <c r="II518">
        <f>Base_mundial!E517-MIN(tope,DEGREES(ATAN(TAN(RADIANS(pe0-omega*Base_mundial!B517))*(Base_mundial!C517/sref)^(m_-1))))</f>
        <v/>
      </c>
      <c r="IJ518" t="n">
        <v>0</v>
      </c>
      <c r="IK518">
        <f>IF(IJ518=1,LN(IH518),"")</f>
        <v/>
      </c>
      <c r="IL518">
        <f>IF(IJ518=1,AVERAGEIFS(II3:II688,IG3:IG688,IG518,IJ3:IJ688,1),"")</f>
        <v/>
      </c>
      <c r="IM518">
        <f>IF(IJ518=1,II518-IL518,"")</f>
        <v/>
      </c>
      <c r="IN518" t="inlineStr">
        <is>
          <t>good</t>
        </is>
      </c>
      <c r="IO518">
        <f>IF(IN518="good",II518,NA())</f>
        <v/>
      </c>
      <c r="IP518">
        <f>IF(IN518="moderate",II518,NA())</f>
        <v/>
      </c>
      <c r="IQ518">
        <f>IF(IN518="low",II518,NA())</f>
        <v/>
      </c>
      <c r="IR518">
        <f>IF(AND(IN518="good",IJ518=1),IM518,NA())</f>
        <v/>
      </c>
      <c r="IS518">
        <f>IF(AND(IN518="moderate",IJ518=1),IM518,NA())</f>
        <v/>
      </c>
      <c r="IT518">
        <f>IF(AND(IN518="low",IJ518=1),IM518,NA())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  <c r="IG519">
        <f>Base_mundial!A518</f>
        <v/>
      </c>
      <c r="IH519">
        <f>Base_mundial!C518</f>
        <v/>
      </c>
      <c r="II519">
        <f>Base_mundial!E518-MIN(tope,DEGREES(ATAN(TAN(RADIANS(pe0-omega*Base_mundial!B518))*(Base_mundial!C518/sref)^(m_-1))))</f>
        <v/>
      </c>
      <c r="IJ519" t="n">
        <v>0</v>
      </c>
      <c r="IK519">
        <f>IF(IJ519=1,LN(IH519),"")</f>
        <v/>
      </c>
      <c r="IL519">
        <f>IF(IJ519=1,AVERAGEIFS(II3:II688,IG3:IG688,IG519,IJ3:IJ688,1),"")</f>
        <v/>
      </c>
      <c r="IM519">
        <f>IF(IJ519=1,II519-IL519,"")</f>
        <v/>
      </c>
      <c r="IN519" t="inlineStr">
        <is>
          <t>good</t>
        </is>
      </c>
      <c r="IO519">
        <f>IF(IN519="good",II519,NA())</f>
        <v/>
      </c>
      <c r="IP519">
        <f>IF(IN519="moderate",II519,NA())</f>
        <v/>
      </c>
      <c r="IQ519">
        <f>IF(IN519="low",II519,NA())</f>
        <v/>
      </c>
      <c r="IR519">
        <f>IF(AND(IN519="good",IJ519=1),IM519,NA())</f>
        <v/>
      </c>
      <c r="IS519">
        <f>IF(AND(IN519="moderate",IJ519=1),IM519,NA())</f>
        <v/>
      </c>
      <c r="IT519">
        <f>IF(AND(IN519="low",IJ519=1),IM519,NA())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  <c r="IG520">
        <f>Base_mundial!A519</f>
        <v/>
      </c>
      <c r="IH520">
        <f>Base_mundial!C519</f>
        <v/>
      </c>
      <c r="II520">
        <f>Base_mundial!E519-MIN(tope,DEGREES(ATAN(TAN(RADIANS(pe0-omega*Base_mundial!B519))*(Base_mundial!C519/sref)^(m_-1))))</f>
        <v/>
      </c>
      <c r="IJ520" t="n">
        <v>0</v>
      </c>
      <c r="IK520">
        <f>IF(IJ520=1,LN(IH520),"")</f>
        <v/>
      </c>
      <c r="IL520">
        <f>IF(IJ520=1,AVERAGEIFS(II3:II688,IG3:IG688,IG520,IJ3:IJ688,1),"")</f>
        <v/>
      </c>
      <c r="IM520">
        <f>IF(IJ520=1,II520-IL520,"")</f>
        <v/>
      </c>
      <c r="IN520" t="inlineStr">
        <is>
          <t>good</t>
        </is>
      </c>
      <c r="IO520">
        <f>IF(IN520="good",II520,NA())</f>
        <v/>
      </c>
      <c r="IP520">
        <f>IF(IN520="moderate",II520,NA())</f>
        <v/>
      </c>
      <c r="IQ520">
        <f>IF(IN520="low",II520,NA())</f>
        <v/>
      </c>
      <c r="IR520">
        <f>IF(AND(IN520="good",IJ520=1),IM520,NA())</f>
        <v/>
      </c>
      <c r="IS520">
        <f>IF(AND(IN520="moderate",IJ520=1),IM520,NA())</f>
        <v/>
      </c>
      <c r="IT520">
        <f>IF(AND(IN520="low",IJ520=1),IM520,NA())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  <c r="IG521">
        <f>Base_mundial!A520</f>
        <v/>
      </c>
      <c r="IH521">
        <f>Base_mundial!C520</f>
        <v/>
      </c>
      <c r="II521">
        <f>Base_mundial!E520-MIN(tope,DEGREES(ATAN(TAN(RADIANS(pe0-omega*Base_mundial!B520))*(Base_mundial!C520/sref)^(m_-1))))</f>
        <v/>
      </c>
      <c r="IJ521" t="n">
        <v>0</v>
      </c>
      <c r="IK521">
        <f>IF(IJ521=1,LN(IH521),"")</f>
        <v/>
      </c>
      <c r="IL521">
        <f>IF(IJ521=1,AVERAGEIFS(II3:II688,IG3:IG688,IG521,IJ3:IJ688,1),"")</f>
        <v/>
      </c>
      <c r="IM521">
        <f>IF(IJ521=1,II521-IL521,"")</f>
        <v/>
      </c>
      <c r="IN521" t="inlineStr">
        <is>
          <t>good</t>
        </is>
      </c>
      <c r="IO521">
        <f>IF(IN521="good",II521,NA())</f>
        <v/>
      </c>
      <c r="IP521">
        <f>IF(IN521="moderate",II521,NA())</f>
        <v/>
      </c>
      <c r="IQ521">
        <f>IF(IN521="low",II521,NA())</f>
        <v/>
      </c>
      <c r="IR521">
        <f>IF(AND(IN521="good",IJ521=1),IM521,NA())</f>
        <v/>
      </c>
      <c r="IS521">
        <f>IF(AND(IN521="moderate",IJ521=1),IM521,NA())</f>
        <v/>
      </c>
      <c r="IT521">
        <f>IF(AND(IN521="low",IJ521=1),IM521,NA())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  <c r="IG522">
        <f>Base_mundial!A521</f>
        <v/>
      </c>
      <c r="IH522">
        <f>Base_mundial!C521</f>
        <v/>
      </c>
      <c r="II522">
        <f>Base_mundial!E521-MIN(tope,DEGREES(ATAN(TAN(RADIANS(pe0-omega*Base_mundial!B521))*(Base_mundial!C521/sref)^(m_-1))))</f>
        <v/>
      </c>
      <c r="IJ522" t="n">
        <v>1</v>
      </c>
      <c r="IK522">
        <f>IF(IJ522=1,LN(IH522),"")</f>
        <v/>
      </c>
      <c r="IL522">
        <f>IF(IJ522=1,AVERAGEIFS(II3:II688,IG3:IG688,IG522,IJ3:IJ688,1),"")</f>
        <v/>
      </c>
      <c r="IM522">
        <f>IF(IJ522=1,II522-IL522,"")</f>
        <v/>
      </c>
      <c r="IN522" t="inlineStr">
        <is>
          <t>good</t>
        </is>
      </c>
      <c r="IO522">
        <f>IF(IN522="good",II522,NA())</f>
        <v/>
      </c>
      <c r="IP522">
        <f>IF(IN522="moderate",II522,NA())</f>
        <v/>
      </c>
      <c r="IQ522">
        <f>IF(IN522="low",II522,NA())</f>
        <v/>
      </c>
      <c r="IR522">
        <f>IF(AND(IN522="good",IJ522=1),IM522,NA())</f>
        <v/>
      </c>
      <c r="IS522">
        <f>IF(AND(IN522="moderate",IJ522=1),IM522,NA())</f>
        <v/>
      </c>
      <c r="IT522">
        <f>IF(AND(IN522="low",IJ522=1),IM522,NA())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  <c r="IG523">
        <f>Base_mundial!A522</f>
        <v/>
      </c>
      <c r="IH523">
        <f>Base_mundial!C522</f>
        <v/>
      </c>
      <c r="II523">
        <f>Base_mundial!E522-MIN(tope,DEGREES(ATAN(TAN(RADIANS(pe0-omega*Base_mundial!B522))*(Base_mundial!C522/sref)^(m_-1))))</f>
        <v/>
      </c>
      <c r="IJ523" t="n">
        <v>1</v>
      </c>
      <c r="IK523">
        <f>IF(IJ523=1,LN(IH523),"")</f>
        <v/>
      </c>
      <c r="IL523">
        <f>IF(IJ523=1,AVERAGEIFS(II3:II688,IG3:IG688,IG523,IJ3:IJ688,1),"")</f>
        <v/>
      </c>
      <c r="IM523">
        <f>IF(IJ523=1,II523-IL523,"")</f>
        <v/>
      </c>
      <c r="IN523" t="inlineStr">
        <is>
          <t>good</t>
        </is>
      </c>
      <c r="IO523">
        <f>IF(IN523="good",II523,NA())</f>
        <v/>
      </c>
      <c r="IP523">
        <f>IF(IN523="moderate",II523,NA())</f>
        <v/>
      </c>
      <c r="IQ523">
        <f>IF(IN523="low",II523,NA())</f>
        <v/>
      </c>
      <c r="IR523">
        <f>IF(AND(IN523="good",IJ523=1),IM523,NA())</f>
        <v/>
      </c>
      <c r="IS523">
        <f>IF(AND(IN523="moderate",IJ523=1),IM523,NA())</f>
        <v/>
      </c>
      <c r="IT523">
        <f>IF(AND(IN523="low",IJ523=1),IM523,NA())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  <c r="IG524">
        <f>Base_mundial!A523</f>
        <v/>
      </c>
      <c r="IH524">
        <f>Base_mundial!C523</f>
        <v/>
      </c>
      <c r="II524">
        <f>Base_mundial!E523-MIN(tope,DEGREES(ATAN(TAN(RADIANS(pe0-omega*Base_mundial!B523))*(Base_mundial!C523/sref)^(m_-1))))</f>
        <v/>
      </c>
      <c r="IJ524" t="n">
        <v>1</v>
      </c>
      <c r="IK524">
        <f>IF(IJ524=1,LN(IH524),"")</f>
        <v/>
      </c>
      <c r="IL524">
        <f>IF(IJ524=1,AVERAGEIFS(II3:II688,IG3:IG688,IG524,IJ3:IJ688,1),"")</f>
        <v/>
      </c>
      <c r="IM524">
        <f>IF(IJ524=1,II524-IL524,"")</f>
        <v/>
      </c>
      <c r="IN524" t="inlineStr">
        <is>
          <t>good</t>
        </is>
      </c>
      <c r="IO524">
        <f>IF(IN524="good",II524,NA())</f>
        <v/>
      </c>
      <c r="IP524">
        <f>IF(IN524="moderate",II524,NA())</f>
        <v/>
      </c>
      <c r="IQ524">
        <f>IF(IN524="low",II524,NA())</f>
        <v/>
      </c>
      <c r="IR524">
        <f>IF(AND(IN524="good",IJ524=1),IM524,NA())</f>
        <v/>
      </c>
      <c r="IS524">
        <f>IF(AND(IN524="moderate",IJ524=1),IM524,NA())</f>
        <v/>
      </c>
      <c r="IT524">
        <f>IF(AND(IN524="low",IJ524=1),IM524,NA())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  <c r="IG525">
        <f>Base_mundial!A524</f>
        <v/>
      </c>
      <c r="IH525">
        <f>Base_mundial!C524</f>
        <v/>
      </c>
      <c r="II525">
        <f>Base_mundial!E524-MIN(tope,DEGREES(ATAN(TAN(RADIANS(pe0-omega*Base_mundial!B524))*(Base_mundial!C524/sref)^(m_-1))))</f>
        <v/>
      </c>
      <c r="IJ525" t="n">
        <v>0</v>
      </c>
      <c r="IK525">
        <f>IF(IJ525=1,LN(IH525),"")</f>
        <v/>
      </c>
      <c r="IL525">
        <f>IF(IJ525=1,AVERAGEIFS(II3:II688,IG3:IG688,IG525,IJ3:IJ688,1),"")</f>
        <v/>
      </c>
      <c r="IM525">
        <f>IF(IJ525=1,II525-IL525,"")</f>
        <v/>
      </c>
      <c r="IN525" t="inlineStr">
        <is>
          <t>good</t>
        </is>
      </c>
      <c r="IO525">
        <f>IF(IN525="good",II525,NA())</f>
        <v/>
      </c>
      <c r="IP525">
        <f>IF(IN525="moderate",II525,NA())</f>
        <v/>
      </c>
      <c r="IQ525">
        <f>IF(IN525="low",II525,NA())</f>
        <v/>
      </c>
      <c r="IR525">
        <f>IF(AND(IN525="good",IJ525=1),IM525,NA())</f>
        <v/>
      </c>
      <c r="IS525">
        <f>IF(AND(IN525="moderate",IJ525=1),IM525,NA())</f>
        <v/>
      </c>
      <c r="IT525">
        <f>IF(AND(IN525="low",IJ525=1),IM525,NA())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  <c r="IG526">
        <f>Base_mundial!A525</f>
        <v/>
      </c>
      <c r="IH526">
        <f>Base_mundial!C525</f>
        <v/>
      </c>
      <c r="II526">
        <f>Base_mundial!E525-MIN(tope,DEGREES(ATAN(TAN(RADIANS(pe0-omega*Base_mundial!B525))*(Base_mundial!C525/sref)^(m_-1))))</f>
        <v/>
      </c>
      <c r="IJ526" t="n">
        <v>1</v>
      </c>
      <c r="IK526">
        <f>IF(IJ526=1,LN(IH526),"")</f>
        <v/>
      </c>
      <c r="IL526">
        <f>IF(IJ526=1,AVERAGEIFS(II3:II688,IG3:IG688,IG526,IJ3:IJ688,1),"")</f>
        <v/>
      </c>
      <c r="IM526">
        <f>IF(IJ526=1,II526-IL526,"")</f>
        <v/>
      </c>
      <c r="IN526" t="inlineStr">
        <is>
          <t>good</t>
        </is>
      </c>
      <c r="IO526">
        <f>IF(IN526="good",II526,NA())</f>
        <v/>
      </c>
      <c r="IP526">
        <f>IF(IN526="moderate",II526,NA())</f>
        <v/>
      </c>
      <c r="IQ526">
        <f>IF(IN526="low",II526,NA())</f>
        <v/>
      </c>
      <c r="IR526">
        <f>IF(AND(IN526="good",IJ526=1),IM526,NA())</f>
        <v/>
      </c>
      <c r="IS526">
        <f>IF(AND(IN526="moderate",IJ526=1),IM526,NA())</f>
        <v/>
      </c>
      <c r="IT526">
        <f>IF(AND(IN526="low",IJ526=1),IM526,NA())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  <c r="IG527">
        <f>Base_mundial!A526</f>
        <v/>
      </c>
      <c r="IH527">
        <f>Base_mundial!C526</f>
        <v/>
      </c>
      <c r="II527">
        <f>Base_mundial!E526-MIN(tope,DEGREES(ATAN(TAN(RADIANS(pe0-omega*Base_mundial!B526))*(Base_mundial!C526/sref)^(m_-1))))</f>
        <v/>
      </c>
      <c r="IJ527" t="n">
        <v>1</v>
      </c>
      <c r="IK527">
        <f>IF(IJ527=1,LN(IH527),"")</f>
        <v/>
      </c>
      <c r="IL527">
        <f>IF(IJ527=1,AVERAGEIFS(II3:II688,IG3:IG688,IG527,IJ3:IJ688,1),"")</f>
        <v/>
      </c>
      <c r="IM527">
        <f>IF(IJ527=1,II527-IL527,"")</f>
        <v/>
      </c>
      <c r="IN527" t="inlineStr">
        <is>
          <t>good</t>
        </is>
      </c>
      <c r="IO527">
        <f>IF(IN527="good",II527,NA())</f>
        <v/>
      </c>
      <c r="IP527">
        <f>IF(IN527="moderate",II527,NA())</f>
        <v/>
      </c>
      <c r="IQ527">
        <f>IF(IN527="low",II527,NA())</f>
        <v/>
      </c>
      <c r="IR527">
        <f>IF(AND(IN527="good",IJ527=1),IM527,NA())</f>
        <v/>
      </c>
      <c r="IS527">
        <f>IF(AND(IN527="moderate",IJ527=1),IM527,NA())</f>
        <v/>
      </c>
      <c r="IT527">
        <f>IF(AND(IN527="low",IJ527=1),IM527,NA())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  <c r="IG528">
        <f>Base_mundial!A527</f>
        <v/>
      </c>
      <c r="IH528">
        <f>Base_mundial!C527</f>
        <v/>
      </c>
      <c r="II528">
        <f>Base_mundial!E527-MIN(tope,DEGREES(ATAN(TAN(RADIANS(pe0-omega*Base_mundial!B527))*(Base_mundial!C527/sref)^(m_-1))))</f>
        <v/>
      </c>
      <c r="IJ528" t="n">
        <v>1</v>
      </c>
      <c r="IK528">
        <f>IF(IJ528=1,LN(IH528),"")</f>
        <v/>
      </c>
      <c r="IL528">
        <f>IF(IJ528=1,AVERAGEIFS(II3:II688,IG3:IG688,IG528,IJ3:IJ688,1),"")</f>
        <v/>
      </c>
      <c r="IM528">
        <f>IF(IJ528=1,II528-IL528,"")</f>
        <v/>
      </c>
      <c r="IN528" t="inlineStr">
        <is>
          <t>good</t>
        </is>
      </c>
      <c r="IO528">
        <f>IF(IN528="good",II528,NA())</f>
        <v/>
      </c>
      <c r="IP528">
        <f>IF(IN528="moderate",II528,NA())</f>
        <v/>
      </c>
      <c r="IQ528">
        <f>IF(IN528="low",II528,NA())</f>
        <v/>
      </c>
      <c r="IR528">
        <f>IF(AND(IN528="good",IJ528=1),IM528,NA())</f>
        <v/>
      </c>
      <c r="IS528">
        <f>IF(AND(IN528="moderate",IJ528=1),IM528,NA())</f>
        <v/>
      </c>
      <c r="IT528">
        <f>IF(AND(IN528="low",IJ528=1),IM528,NA())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  <c r="IG529">
        <f>Base_mundial!A528</f>
        <v/>
      </c>
      <c r="IH529">
        <f>Base_mundial!C528</f>
        <v/>
      </c>
      <c r="II529">
        <f>Base_mundial!E528-MIN(tope,DEGREES(ATAN(TAN(RADIANS(pe0-omega*Base_mundial!B528))*(Base_mundial!C528/sref)^(m_-1))))</f>
        <v/>
      </c>
      <c r="IJ529" t="n">
        <v>0</v>
      </c>
      <c r="IK529">
        <f>IF(IJ529=1,LN(IH529),"")</f>
        <v/>
      </c>
      <c r="IL529">
        <f>IF(IJ529=1,AVERAGEIFS(II3:II688,IG3:IG688,IG529,IJ3:IJ688,1),"")</f>
        <v/>
      </c>
      <c r="IM529">
        <f>IF(IJ529=1,II529-IL529,"")</f>
        <v/>
      </c>
      <c r="IN529" t="inlineStr">
        <is>
          <t>good</t>
        </is>
      </c>
      <c r="IO529">
        <f>IF(IN529="good",II529,NA())</f>
        <v/>
      </c>
      <c r="IP529">
        <f>IF(IN529="moderate",II529,NA())</f>
        <v/>
      </c>
      <c r="IQ529">
        <f>IF(IN529="low",II529,NA())</f>
        <v/>
      </c>
      <c r="IR529">
        <f>IF(AND(IN529="good",IJ529=1),IM529,NA())</f>
        <v/>
      </c>
      <c r="IS529">
        <f>IF(AND(IN529="moderate",IJ529=1),IM529,NA())</f>
        <v/>
      </c>
      <c r="IT529">
        <f>IF(AND(IN529="low",IJ529=1),IM529,NA())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  <c r="IG530">
        <f>Base_mundial!A529</f>
        <v/>
      </c>
      <c r="IH530">
        <f>Base_mundial!C529</f>
        <v/>
      </c>
      <c r="II530">
        <f>Base_mundial!E529-MIN(tope,DEGREES(ATAN(TAN(RADIANS(pe0-omega*Base_mundial!B529))*(Base_mundial!C529/sref)^(m_-1))))</f>
        <v/>
      </c>
      <c r="IJ530" t="n">
        <v>1</v>
      </c>
      <c r="IK530">
        <f>IF(IJ530=1,LN(IH530),"")</f>
        <v/>
      </c>
      <c r="IL530">
        <f>IF(IJ530=1,AVERAGEIFS(II3:II688,IG3:IG688,IG530,IJ3:IJ688,1),"")</f>
        <v/>
      </c>
      <c r="IM530">
        <f>IF(IJ530=1,II530-IL530,"")</f>
        <v/>
      </c>
      <c r="IN530" t="inlineStr">
        <is>
          <t>good</t>
        </is>
      </c>
      <c r="IO530">
        <f>IF(IN530="good",II530,NA())</f>
        <v/>
      </c>
      <c r="IP530">
        <f>IF(IN530="moderate",II530,NA())</f>
        <v/>
      </c>
      <c r="IQ530">
        <f>IF(IN530="low",II530,NA())</f>
        <v/>
      </c>
      <c r="IR530">
        <f>IF(AND(IN530="good",IJ530=1),IM530,NA())</f>
        <v/>
      </c>
      <c r="IS530">
        <f>IF(AND(IN530="moderate",IJ530=1),IM530,NA())</f>
        <v/>
      </c>
      <c r="IT530">
        <f>IF(AND(IN530="low",IJ530=1),IM530,NA())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  <c r="IG531">
        <f>Base_mundial!A530</f>
        <v/>
      </c>
      <c r="IH531">
        <f>Base_mundial!C530</f>
        <v/>
      </c>
      <c r="II531">
        <f>Base_mundial!E530-MIN(tope,DEGREES(ATAN(TAN(RADIANS(pe0-omega*Base_mundial!B530))*(Base_mundial!C530/sref)^(m_-1))))</f>
        <v/>
      </c>
      <c r="IJ531" t="n">
        <v>1</v>
      </c>
      <c r="IK531">
        <f>IF(IJ531=1,LN(IH531),"")</f>
        <v/>
      </c>
      <c r="IL531">
        <f>IF(IJ531=1,AVERAGEIFS(II3:II688,IG3:IG688,IG531,IJ3:IJ688,1),"")</f>
        <v/>
      </c>
      <c r="IM531">
        <f>IF(IJ531=1,II531-IL531,"")</f>
        <v/>
      </c>
      <c r="IN531" t="inlineStr">
        <is>
          <t>good</t>
        </is>
      </c>
      <c r="IO531">
        <f>IF(IN531="good",II531,NA())</f>
        <v/>
      </c>
      <c r="IP531">
        <f>IF(IN531="moderate",II531,NA())</f>
        <v/>
      </c>
      <c r="IQ531">
        <f>IF(IN531="low",II531,NA())</f>
        <v/>
      </c>
      <c r="IR531">
        <f>IF(AND(IN531="good",IJ531=1),IM531,NA())</f>
        <v/>
      </c>
      <c r="IS531">
        <f>IF(AND(IN531="moderate",IJ531=1),IM531,NA())</f>
        <v/>
      </c>
      <c r="IT531">
        <f>IF(AND(IN531="low",IJ531=1),IM531,NA())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  <c r="IG532">
        <f>Base_mundial!A531</f>
        <v/>
      </c>
      <c r="IH532">
        <f>Base_mundial!C531</f>
        <v/>
      </c>
      <c r="II532">
        <f>Base_mundial!E531-MIN(tope,DEGREES(ATAN(TAN(RADIANS(pe0-omega*Base_mundial!B531))*(Base_mundial!C531/sref)^(m_-1))))</f>
        <v/>
      </c>
      <c r="IJ532" t="n">
        <v>1</v>
      </c>
      <c r="IK532">
        <f>IF(IJ532=1,LN(IH532),"")</f>
        <v/>
      </c>
      <c r="IL532">
        <f>IF(IJ532=1,AVERAGEIFS(II3:II688,IG3:IG688,IG532,IJ3:IJ688,1),"")</f>
        <v/>
      </c>
      <c r="IM532">
        <f>IF(IJ532=1,II532-IL532,"")</f>
        <v/>
      </c>
      <c r="IN532" t="inlineStr">
        <is>
          <t>good</t>
        </is>
      </c>
      <c r="IO532">
        <f>IF(IN532="good",II532,NA())</f>
        <v/>
      </c>
      <c r="IP532">
        <f>IF(IN532="moderate",II532,NA())</f>
        <v/>
      </c>
      <c r="IQ532">
        <f>IF(IN532="low",II532,NA())</f>
        <v/>
      </c>
      <c r="IR532">
        <f>IF(AND(IN532="good",IJ532=1),IM532,NA())</f>
        <v/>
      </c>
      <c r="IS532">
        <f>IF(AND(IN532="moderate",IJ532=1),IM532,NA())</f>
        <v/>
      </c>
      <c r="IT532">
        <f>IF(AND(IN532="low",IJ532=1),IM532,NA())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  <c r="IG533">
        <f>Base_mundial!A532</f>
        <v/>
      </c>
      <c r="IH533">
        <f>Base_mundial!C532</f>
        <v/>
      </c>
      <c r="II533">
        <f>Base_mundial!E532-MIN(tope,DEGREES(ATAN(TAN(RADIANS(pe0-omega*Base_mundial!B532))*(Base_mundial!C532/sref)^(m_-1))))</f>
        <v/>
      </c>
      <c r="IJ533" t="n">
        <v>0</v>
      </c>
      <c r="IK533">
        <f>IF(IJ533=1,LN(IH533),"")</f>
        <v/>
      </c>
      <c r="IL533">
        <f>IF(IJ533=1,AVERAGEIFS(II3:II688,IG3:IG688,IG533,IJ3:IJ688,1),"")</f>
        <v/>
      </c>
      <c r="IM533">
        <f>IF(IJ533=1,II533-IL533,"")</f>
        <v/>
      </c>
      <c r="IN533" t="inlineStr">
        <is>
          <t>good</t>
        </is>
      </c>
      <c r="IO533">
        <f>IF(IN533="good",II533,NA())</f>
        <v/>
      </c>
      <c r="IP533">
        <f>IF(IN533="moderate",II533,NA())</f>
        <v/>
      </c>
      <c r="IQ533">
        <f>IF(IN533="low",II533,NA())</f>
        <v/>
      </c>
      <c r="IR533">
        <f>IF(AND(IN533="good",IJ533=1),IM533,NA())</f>
        <v/>
      </c>
      <c r="IS533">
        <f>IF(AND(IN533="moderate",IJ533=1),IM533,NA())</f>
        <v/>
      </c>
      <c r="IT533">
        <f>IF(AND(IN533="low",IJ533=1),IM533,NA())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  <c r="IG534">
        <f>Base_mundial!A533</f>
        <v/>
      </c>
      <c r="IH534">
        <f>Base_mundial!C533</f>
        <v/>
      </c>
      <c r="II534">
        <f>Base_mundial!E533-MIN(tope,DEGREES(ATAN(TAN(RADIANS(pe0-omega*Base_mundial!B533))*(Base_mundial!C533/sref)^(m_-1))))</f>
        <v/>
      </c>
      <c r="IJ534" t="n">
        <v>1</v>
      </c>
      <c r="IK534">
        <f>IF(IJ534=1,LN(IH534),"")</f>
        <v/>
      </c>
      <c r="IL534">
        <f>IF(IJ534=1,AVERAGEIFS(II3:II688,IG3:IG688,IG534,IJ3:IJ688,1),"")</f>
        <v/>
      </c>
      <c r="IM534">
        <f>IF(IJ534=1,II534-IL534,"")</f>
        <v/>
      </c>
      <c r="IN534" t="inlineStr">
        <is>
          <t>good</t>
        </is>
      </c>
      <c r="IO534">
        <f>IF(IN534="good",II534,NA())</f>
        <v/>
      </c>
      <c r="IP534">
        <f>IF(IN534="moderate",II534,NA())</f>
        <v/>
      </c>
      <c r="IQ534">
        <f>IF(IN534="low",II534,NA())</f>
        <v/>
      </c>
      <c r="IR534">
        <f>IF(AND(IN534="good",IJ534=1),IM534,NA())</f>
        <v/>
      </c>
      <c r="IS534">
        <f>IF(AND(IN534="moderate",IJ534=1),IM534,NA())</f>
        <v/>
      </c>
      <c r="IT534">
        <f>IF(AND(IN534="low",IJ534=1),IM534,NA())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  <c r="IG535">
        <f>Base_mundial!A534</f>
        <v/>
      </c>
      <c r="IH535">
        <f>Base_mundial!C534</f>
        <v/>
      </c>
      <c r="II535">
        <f>Base_mundial!E534-MIN(tope,DEGREES(ATAN(TAN(RADIANS(pe0-omega*Base_mundial!B534))*(Base_mundial!C534/sref)^(m_-1))))</f>
        <v/>
      </c>
      <c r="IJ535" t="n">
        <v>1</v>
      </c>
      <c r="IK535">
        <f>IF(IJ535=1,LN(IH535),"")</f>
        <v/>
      </c>
      <c r="IL535">
        <f>IF(IJ535=1,AVERAGEIFS(II3:II688,IG3:IG688,IG535,IJ3:IJ688,1),"")</f>
        <v/>
      </c>
      <c r="IM535">
        <f>IF(IJ535=1,II535-IL535,"")</f>
        <v/>
      </c>
      <c r="IN535" t="inlineStr">
        <is>
          <t>good</t>
        </is>
      </c>
      <c r="IO535">
        <f>IF(IN535="good",II535,NA())</f>
        <v/>
      </c>
      <c r="IP535">
        <f>IF(IN535="moderate",II535,NA())</f>
        <v/>
      </c>
      <c r="IQ535">
        <f>IF(IN535="low",II535,NA())</f>
        <v/>
      </c>
      <c r="IR535">
        <f>IF(AND(IN535="good",IJ535=1),IM535,NA())</f>
        <v/>
      </c>
      <c r="IS535">
        <f>IF(AND(IN535="moderate",IJ535=1),IM535,NA())</f>
        <v/>
      </c>
      <c r="IT535">
        <f>IF(AND(IN535="low",IJ535=1),IM535,NA())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  <c r="IG536">
        <f>Base_mundial!A535</f>
        <v/>
      </c>
      <c r="IH536">
        <f>Base_mundial!C535</f>
        <v/>
      </c>
      <c r="II536">
        <f>Base_mundial!E535-MIN(tope,DEGREES(ATAN(TAN(RADIANS(pe0-omega*Base_mundial!B535))*(Base_mundial!C535/sref)^(m_-1))))</f>
        <v/>
      </c>
      <c r="IJ536" t="n">
        <v>1</v>
      </c>
      <c r="IK536">
        <f>IF(IJ536=1,LN(IH536),"")</f>
        <v/>
      </c>
      <c r="IL536">
        <f>IF(IJ536=1,AVERAGEIFS(II3:II688,IG3:IG688,IG536,IJ3:IJ688,1),"")</f>
        <v/>
      </c>
      <c r="IM536">
        <f>IF(IJ536=1,II536-IL536,"")</f>
        <v/>
      </c>
      <c r="IN536" t="inlineStr">
        <is>
          <t>good</t>
        </is>
      </c>
      <c r="IO536">
        <f>IF(IN536="good",II536,NA())</f>
        <v/>
      </c>
      <c r="IP536">
        <f>IF(IN536="moderate",II536,NA())</f>
        <v/>
      </c>
      <c r="IQ536">
        <f>IF(IN536="low",II536,NA())</f>
        <v/>
      </c>
      <c r="IR536">
        <f>IF(AND(IN536="good",IJ536=1),IM536,NA())</f>
        <v/>
      </c>
      <c r="IS536">
        <f>IF(AND(IN536="moderate",IJ536=1),IM536,NA())</f>
        <v/>
      </c>
      <c r="IT536">
        <f>IF(AND(IN536="low",IJ536=1),IM536,NA())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  <c r="IG537">
        <f>Base_mundial!A536</f>
        <v/>
      </c>
      <c r="IH537">
        <f>Base_mundial!C536</f>
        <v/>
      </c>
      <c r="II537">
        <f>Base_mundial!E536-MIN(tope,DEGREES(ATAN(TAN(RADIANS(pe0-omega*Base_mundial!B536))*(Base_mundial!C536/sref)^(m_-1))))</f>
        <v/>
      </c>
      <c r="IJ537" t="n">
        <v>0</v>
      </c>
      <c r="IK537">
        <f>IF(IJ537=1,LN(IH537),"")</f>
        <v/>
      </c>
      <c r="IL537">
        <f>IF(IJ537=1,AVERAGEIFS(II3:II688,IG3:IG688,IG537,IJ3:IJ688,1),"")</f>
        <v/>
      </c>
      <c r="IM537">
        <f>IF(IJ537=1,II537-IL537,"")</f>
        <v/>
      </c>
      <c r="IN537" t="inlineStr">
        <is>
          <t>low</t>
        </is>
      </c>
      <c r="IO537">
        <f>IF(IN537="good",II537,NA())</f>
        <v/>
      </c>
      <c r="IP537">
        <f>IF(IN537="moderate",II537,NA())</f>
        <v/>
      </c>
      <c r="IQ537">
        <f>IF(IN537="low",II537,NA())</f>
        <v/>
      </c>
      <c r="IR537">
        <f>IF(AND(IN537="good",IJ537=1),IM537,NA())</f>
        <v/>
      </c>
      <c r="IS537">
        <f>IF(AND(IN537="moderate",IJ537=1),IM537,NA())</f>
        <v/>
      </c>
      <c r="IT537">
        <f>IF(AND(IN537="low",IJ537=1),IM537,NA())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  <c r="IG538">
        <f>Base_mundial!A537</f>
        <v/>
      </c>
      <c r="IH538">
        <f>Base_mundial!C537</f>
        <v/>
      </c>
      <c r="II538">
        <f>Base_mundial!E537-MIN(tope,DEGREES(ATAN(TAN(RADIANS(pe0-omega*Base_mundial!B537))*(Base_mundial!C537/sref)^(m_-1))))</f>
        <v/>
      </c>
      <c r="IJ538" t="n">
        <v>0</v>
      </c>
      <c r="IK538">
        <f>IF(IJ538=1,LN(IH538),"")</f>
        <v/>
      </c>
      <c r="IL538">
        <f>IF(IJ538=1,AVERAGEIFS(II3:II688,IG3:IG688,IG538,IJ3:IJ688,1),"")</f>
        <v/>
      </c>
      <c r="IM538">
        <f>IF(IJ538=1,II538-IL538,"")</f>
        <v/>
      </c>
      <c r="IN538" t="inlineStr">
        <is>
          <t>low</t>
        </is>
      </c>
      <c r="IO538">
        <f>IF(IN538="good",II538,NA())</f>
        <v/>
      </c>
      <c r="IP538">
        <f>IF(IN538="moderate",II538,NA())</f>
        <v/>
      </c>
      <c r="IQ538">
        <f>IF(IN538="low",II538,NA())</f>
        <v/>
      </c>
      <c r="IR538">
        <f>IF(AND(IN538="good",IJ538=1),IM538,NA())</f>
        <v/>
      </c>
      <c r="IS538">
        <f>IF(AND(IN538="moderate",IJ538=1),IM538,NA())</f>
        <v/>
      </c>
      <c r="IT538">
        <f>IF(AND(IN538="low",IJ538=1),IM538,NA())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  <c r="IG539">
        <f>Base_mundial!A538</f>
        <v/>
      </c>
      <c r="IH539">
        <f>Base_mundial!C538</f>
        <v/>
      </c>
      <c r="II539">
        <f>Base_mundial!E538-MIN(tope,DEGREES(ATAN(TAN(RADIANS(pe0-omega*Base_mundial!B538))*(Base_mundial!C538/sref)^(m_-1))))</f>
        <v/>
      </c>
      <c r="IJ539" t="n">
        <v>0</v>
      </c>
      <c r="IK539">
        <f>IF(IJ539=1,LN(IH539),"")</f>
        <v/>
      </c>
      <c r="IL539">
        <f>IF(IJ539=1,AVERAGEIFS(II3:II688,IG3:IG688,IG539,IJ3:IJ688,1),"")</f>
        <v/>
      </c>
      <c r="IM539">
        <f>IF(IJ539=1,II539-IL539,"")</f>
        <v/>
      </c>
      <c r="IN539" t="inlineStr">
        <is>
          <t>low</t>
        </is>
      </c>
      <c r="IO539">
        <f>IF(IN539="good",II539,NA())</f>
        <v/>
      </c>
      <c r="IP539">
        <f>IF(IN539="moderate",II539,NA())</f>
        <v/>
      </c>
      <c r="IQ539">
        <f>IF(IN539="low",II539,NA())</f>
        <v/>
      </c>
      <c r="IR539">
        <f>IF(AND(IN539="good",IJ539=1),IM539,NA())</f>
        <v/>
      </c>
      <c r="IS539">
        <f>IF(AND(IN539="moderate",IJ539=1),IM539,NA())</f>
        <v/>
      </c>
      <c r="IT539">
        <f>IF(AND(IN539="low",IJ539=1),IM539,NA())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  <c r="IG540">
        <f>Base_mundial!A539</f>
        <v/>
      </c>
      <c r="IH540">
        <f>Base_mundial!C539</f>
        <v/>
      </c>
      <c r="II540">
        <f>Base_mundial!E539-MIN(tope,DEGREES(ATAN(TAN(RADIANS(pe0-omega*Base_mundial!B539))*(Base_mundial!C539/sref)^(m_-1))))</f>
        <v/>
      </c>
      <c r="IJ540" t="n">
        <v>0</v>
      </c>
      <c r="IK540">
        <f>IF(IJ540=1,LN(IH540),"")</f>
        <v/>
      </c>
      <c r="IL540">
        <f>IF(IJ540=1,AVERAGEIFS(II3:II688,IG3:IG688,IG540,IJ3:IJ688,1),"")</f>
        <v/>
      </c>
      <c r="IM540">
        <f>IF(IJ540=1,II540-IL540,"")</f>
        <v/>
      </c>
      <c r="IN540" t="inlineStr">
        <is>
          <t>low</t>
        </is>
      </c>
      <c r="IO540">
        <f>IF(IN540="good",II540,NA())</f>
        <v/>
      </c>
      <c r="IP540">
        <f>IF(IN540="moderate",II540,NA())</f>
        <v/>
      </c>
      <c r="IQ540">
        <f>IF(IN540="low",II540,NA())</f>
        <v/>
      </c>
      <c r="IR540">
        <f>IF(AND(IN540="good",IJ540=1),IM540,NA())</f>
        <v/>
      </c>
      <c r="IS540">
        <f>IF(AND(IN540="moderate",IJ540=1),IM540,NA())</f>
        <v/>
      </c>
      <c r="IT540">
        <f>IF(AND(IN540="low",IJ540=1),IM540,NA())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  <c r="IG541">
        <f>Base_mundial!A540</f>
        <v/>
      </c>
      <c r="IH541">
        <f>Base_mundial!C540</f>
        <v/>
      </c>
      <c r="II541">
        <f>Base_mundial!E540-MIN(tope,DEGREES(ATAN(TAN(RADIANS(pe0-omega*Base_mundial!B540))*(Base_mundial!C540/sref)^(m_-1))))</f>
        <v/>
      </c>
      <c r="IJ541" t="n">
        <v>0</v>
      </c>
      <c r="IK541">
        <f>IF(IJ541=1,LN(IH541),"")</f>
        <v/>
      </c>
      <c r="IL541">
        <f>IF(IJ541=1,AVERAGEIFS(II3:II688,IG3:IG688,IG541,IJ3:IJ688,1),"")</f>
        <v/>
      </c>
      <c r="IM541">
        <f>IF(IJ541=1,II541-IL541,"")</f>
        <v/>
      </c>
      <c r="IN541" t="inlineStr">
        <is>
          <t>low</t>
        </is>
      </c>
      <c r="IO541">
        <f>IF(IN541="good",II541,NA())</f>
        <v/>
      </c>
      <c r="IP541">
        <f>IF(IN541="moderate",II541,NA())</f>
        <v/>
      </c>
      <c r="IQ541">
        <f>IF(IN541="low",II541,NA())</f>
        <v/>
      </c>
      <c r="IR541">
        <f>IF(AND(IN541="good",IJ541=1),IM541,NA())</f>
        <v/>
      </c>
      <c r="IS541">
        <f>IF(AND(IN541="moderate",IJ541=1),IM541,NA())</f>
        <v/>
      </c>
      <c r="IT541">
        <f>IF(AND(IN541="low",IJ541=1),IM541,NA())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  <c r="IG542">
        <f>Base_mundial!A541</f>
        <v/>
      </c>
      <c r="IH542">
        <f>Base_mundial!C541</f>
        <v/>
      </c>
      <c r="II542">
        <f>Base_mundial!E541-MIN(tope,DEGREES(ATAN(TAN(RADIANS(pe0-omega*Base_mundial!B541))*(Base_mundial!C541/sref)^(m_-1))))</f>
        <v/>
      </c>
      <c r="IJ542" t="n">
        <v>0</v>
      </c>
      <c r="IK542">
        <f>IF(IJ542=1,LN(IH542),"")</f>
        <v/>
      </c>
      <c r="IL542">
        <f>IF(IJ542=1,AVERAGEIFS(II3:II688,IG3:IG688,IG542,IJ3:IJ688,1),"")</f>
        <v/>
      </c>
      <c r="IM542">
        <f>IF(IJ542=1,II542-IL542,"")</f>
        <v/>
      </c>
      <c r="IN542" t="inlineStr">
        <is>
          <t>low</t>
        </is>
      </c>
      <c r="IO542">
        <f>IF(IN542="good",II542,NA())</f>
        <v/>
      </c>
      <c r="IP542">
        <f>IF(IN542="moderate",II542,NA())</f>
        <v/>
      </c>
      <c r="IQ542">
        <f>IF(IN542="low",II542,NA())</f>
        <v/>
      </c>
      <c r="IR542">
        <f>IF(AND(IN542="good",IJ542=1),IM542,NA())</f>
        <v/>
      </c>
      <c r="IS542">
        <f>IF(AND(IN542="moderate",IJ542=1),IM542,NA())</f>
        <v/>
      </c>
      <c r="IT542">
        <f>IF(AND(IN542="low",IJ542=1),IM542,NA())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  <c r="IG543">
        <f>Base_mundial!A542</f>
        <v/>
      </c>
      <c r="IH543">
        <f>Base_mundial!C542</f>
        <v/>
      </c>
      <c r="II543">
        <f>Base_mundial!E542-MIN(tope,DEGREES(ATAN(TAN(RADIANS(pe0-omega*Base_mundial!B542))*(Base_mundial!C542/sref)^(m_-1))))</f>
        <v/>
      </c>
      <c r="IJ543" t="n">
        <v>0</v>
      </c>
      <c r="IK543">
        <f>IF(IJ543=1,LN(IH543),"")</f>
        <v/>
      </c>
      <c r="IL543">
        <f>IF(IJ543=1,AVERAGEIFS(II3:II688,IG3:IG688,IG543,IJ3:IJ688,1),"")</f>
        <v/>
      </c>
      <c r="IM543">
        <f>IF(IJ543=1,II543-IL543,"")</f>
        <v/>
      </c>
      <c r="IN543" t="inlineStr">
        <is>
          <t>low</t>
        </is>
      </c>
      <c r="IO543">
        <f>IF(IN543="good",II543,NA())</f>
        <v/>
      </c>
      <c r="IP543">
        <f>IF(IN543="moderate",II543,NA())</f>
        <v/>
      </c>
      <c r="IQ543">
        <f>IF(IN543="low",II543,NA())</f>
        <v/>
      </c>
      <c r="IR543">
        <f>IF(AND(IN543="good",IJ543=1),IM543,NA())</f>
        <v/>
      </c>
      <c r="IS543">
        <f>IF(AND(IN543="moderate",IJ543=1),IM543,NA())</f>
        <v/>
      </c>
      <c r="IT543">
        <f>IF(AND(IN543="low",IJ543=1),IM543,NA())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  <c r="IG544">
        <f>Base_mundial!A543</f>
        <v/>
      </c>
      <c r="IH544">
        <f>Base_mundial!C543</f>
        <v/>
      </c>
      <c r="II544">
        <f>Base_mundial!E543-MIN(tope,DEGREES(ATAN(TAN(RADIANS(pe0-omega*Base_mundial!B543))*(Base_mundial!C543/sref)^(m_-1))))</f>
        <v/>
      </c>
      <c r="IJ544" t="n">
        <v>0</v>
      </c>
      <c r="IK544">
        <f>IF(IJ544=1,LN(IH544),"")</f>
        <v/>
      </c>
      <c r="IL544">
        <f>IF(IJ544=1,AVERAGEIFS(II3:II688,IG3:IG688,IG544,IJ3:IJ688,1),"")</f>
        <v/>
      </c>
      <c r="IM544">
        <f>IF(IJ544=1,II544-IL544,"")</f>
        <v/>
      </c>
      <c r="IN544" t="inlineStr">
        <is>
          <t>low</t>
        </is>
      </c>
      <c r="IO544">
        <f>IF(IN544="good",II544,NA())</f>
        <v/>
      </c>
      <c r="IP544">
        <f>IF(IN544="moderate",II544,NA())</f>
        <v/>
      </c>
      <c r="IQ544">
        <f>IF(IN544="low",II544,NA())</f>
        <v/>
      </c>
      <c r="IR544">
        <f>IF(AND(IN544="good",IJ544=1),IM544,NA())</f>
        <v/>
      </c>
      <c r="IS544">
        <f>IF(AND(IN544="moderate",IJ544=1),IM544,NA())</f>
        <v/>
      </c>
      <c r="IT544">
        <f>IF(AND(IN544="low",IJ544=1),IM544,NA())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  <c r="IG545">
        <f>Base_mundial!A544</f>
        <v/>
      </c>
      <c r="IH545">
        <f>Base_mundial!C544</f>
        <v/>
      </c>
      <c r="II545">
        <f>Base_mundial!E544-MIN(tope,DEGREES(ATAN(TAN(RADIANS(pe0-omega*Base_mundial!B544))*(Base_mundial!C544/sref)^(m_-1))))</f>
        <v/>
      </c>
      <c r="IJ545" t="n">
        <v>0</v>
      </c>
      <c r="IK545">
        <f>IF(IJ545=1,LN(IH545),"")</f>
        <v/>
      </c>
      <c r="IL545">
        <f>IF(IJ545=1,AVERAGEIFS(II3:II688,IG3:IG688,IG545,IJ3:IJ688,1),"")</f>
        <v/>
      </c>
      <c r="IM545">
        <f>IF(IJ545=1,II545-IL545,"")</f>
        <v/>
      </c>
      <c r="IN545" t="inlineStr">
        <is>
          <t>low</t>
        </is>
      </c>
      <c r="IO545">
        <f>IF(IN545="good",II545,NA())</f>
        <v/>
      </c>
      <c r="IP545">
        <f>IF(IN545="moderate",II545,NA())</f>
        <v/>
      </c>
      <c r="IQ545">
        <f>IF(IN545="low",II545,NA())</f>
        <v/>
      </c>
      <c r="IR545">
        <f>IF(AND(IN545="good",IJ545=1),IM545,NA())</f>
        <v/>
      </c>
      <c r="IS545">
        <f>IF(AND(IN545="moderate",IJ545=1),IM545,NA())</f>
        <v/>
      </c>
      <c r="IT545">
        <f>IF(AND(IN545="low",IJ545=1),IM545,NA())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  <c r="IG546">
        <f>Base_mundial!A545</f>
        <v/>
      </c>
      <c r="IH546">
        <f>Base_mundial!C545</f>
        <v/>
      </c>
      <c r="II546">
        <f>Base_mundial!E545-MIN(tope,DEGREES(ATAN(TAN(RADIANS(pe0-omega*Base_mundial!B545))*(Base_mundial!C545/sref)^(m_-1))))</f>
        <v/>
      </c>
      <c r="IJ546" t="n">
        <v>0</v>
      </c>
      <c r="IK546">
        <f>IF(IJ546=1,LN(IH546),"")</f>
        <v/>
      </c>
      <c r="IL546">
        <f>IF(IJ546=1,AVERAGEIFS(II3:II688,IG3:IG688,IG546,IJ3:IJ688,1),"")</f>
        <v/>
      </c>
      <c r="IM546">
        <f>IF(IJ546=1,II546-IL546,"")</f>
        <v/>
      </c>
      <c r="IN546" t="inlineStr">
        <is>
          <t>low</t>
        </is>
      </c>
      <c r="IO546">
        <f>IF(IN546="good",II546,NA())</f>
        <v/>
      </c>
      <c r="IP546">
        <f>IF(IN546="moderate",II546,NA())</f>
        <v/>
      </c>
      <c r="IQ546">
        <f>IF(IN546="low",II546,NA())</f>
        <v/>
      </c>
      <c r="IR546">
        <f>IF(AND(IN546="good",IJ546=1),IM546,NA())</f>
        <v/>
      </c>
      <c r="IS546">
        <f>IF(AND(IN546="moderate",IJ546=1),IM546,NA())</f>
        <v/>
      </c>
      <c r="IT546">
        <f>IF(AND(IN546="low",IJ546=1),IM546,NA())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  <c r="IG547">
        <f>Base_mundial!A546</f>
        <v/>
      </c>
      <c r="IH547">
        <f>Base_mundial!C546</f>
        <v/>
      </c>
      <c r="II547">
        <f>Base_mundial!E546-MIN(tope,DEGREES(ATAN(TAN(RADIANS(pe0-omega*Base_mundial!B546))*(Base_mundial!C546/sref)^(m_-1))))</f>
        <v/>
      </c>
      <c r="IJ547" t="n">
        <v>0</v>
      </c>
      <c r="IK547">
        <f>IF(IJ547=1,LN(IH547),"")</f>
        <v/>
      </c>
      <c r="IL547">
        <f>IF(IJ547=1,AVERAGEIFS(II3:II688,IG3:IG688,IG547,IJ3:IJ688,1),"")</f>
        <v/>
      </c>
      <c r="IM547">
        <f>IF(IJ547=1,II547-IL547,"")</f>
        <v/>
      </c>
      <c r="IN547" t="inlineStr">
        <is>
          <t>low</t>
        </is>
      </c>
      <c r="IO547">
        <f>IF(IN547="good",II547,NA())</f>
        <v/>
      </c>
      <c r="IP547">
        <f>IF(IN547="moderate",II547,NA())</f>
        <v/>
      </c>
      <c r="IQ547">
        <f>IF(IN547="low",II547,NA())</f>
        <v/>
      </c>
      <c r="IR547">
        <f>IF(AND(IN547="good",IJ547=1),IM547,NA())</f>
        <v/>
      </c>
      <c r="IS547">
        <f>IF(AND(IN547="moderate",IJ547=1),IM547,NA())</f>
        <v/>
      </c>
      <c r="IT547">
        <f>IF(AND(IN547="low",IJ547=1),IM547,NA())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  <c r="IG548">
        <f>Base_mundial!A547</f>
        <v/>
      </c>
      <c r="IH548">
        <f>Base_mundial!C547</f>
        <v/>
      </c>
      <c r="II548">
        <f>Base_mundial!E547-MIN(tope,DEGREES(ATAN(TAN(RADIANS(pe0-omega*Base_mundial!B547))*(Base_mundial!C547/sref)^(m_-1))))</f>
        <v/>
      </c>
      <c r="IJ548" t="n">
        <v>0</v>
      </c>
      <c r="IK548">
        <f>IF(IJ548=1,LN(IH548),"")</f>
        <v/>
      </c>
      <c r="IL548">
        <f>IF(IJ548=1,AVERAGEIFS(II3:II688,IG3:IG688,IG548,IJ3:IJ688,1),"")</f>
        <v/>
      </c>
      <c r="IM548">
        <f>IF(IJ548=1,II548-IL548,"")</f>
        <v/>
      </c>
      <c r="IN548" t="inlineStr">
        <is>
          <t>low</t>
        </is>
      </c>
      <c r="IO548">
        <f>IF(IN548="good",II548,NA())</f>
        <v/>
      </c>
      <c r="IP548">
        <f>IF(IN548="moderate",II548,NA())</f>
        <v/>
      </c>
      <c r="IQ548">
        <f>IF(IN548="low",II548,NA())</f>
        <v/>
      </c>
      <c r="IR548">
        <f>IF(AND(IN548="good",IJ548=1),IM548,NA())</f>
        <v/>
      </c>
      <c r="IS548">
        <f>IF(AND(IN548="moderate",IJ548=1),IM548,NA())</f>
        <v/>
      </c>
      <c r="IT548">
        <f>IF(AND(IN548="low",IJ548=1),IM548,NA())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  <c r="IG549">
        <f>Base_mundial!A548</f>
        <v/>
      </c>
      <c r="IH549">
        <f>Base_mundial!C548</f>
        <v/>
      </c>
      <c r="II549">
        <f>Base_mundial!E548-MIN(tope,DEGREES(ATAN(TAN(RADIANS(pe0-omega*Base_mundial!B548))*(Base_mundial!C548/sref)^(m_-1))))</f>
        <v/>
      </c>
      <c r="IJ549" t="n">
        <v>0</v>
      </c>
      <c r="IK549">
        <f>IF(IJ549=1,LN(IH549),"")</f>
        <v/>
      </c>
      <c r="IL549">
        <f>IF(IJ549=1,AVERAGEIFS(II3:II688,IG3:IG688,IG549,IJ3:IJ688,1),"")</f>
        <v/>
      </c>
      <c r="IM549">
        <f>IF(IJ549=1,II549-IL549,"")</f>
        <v/>
      </c>
      <c r="IN549" t="inlineStr">
        <is>
          <t>good</t>
        </is>
      </c>
      <c r="IO549">
        <f>IF(IN549="good",II549,NA())</f>
        <v/>
      </c>
      <c r="IP549">
        <f>IF(IN549="moderate",II549,NA())</f>
        <v/>
      </c>
      <c r="IQ549">
        <f>IF(IN549="low",II549,NA())</f>
        <v/>
      </c>
      <c r="IR549">
        <f>IF(AND(IN549="good",IJ549=1),IM549,NA())</f>
        <v/>
      </c>
      <c r="IS549">
        <f>IF(AND(IN549="moderate",IJ549=1),IM549,NA())</f>
        <v/>
      </c>
      <c r="IT549">
        <f>IF(AND(IN549="low",IJ549=1),IM549,NA())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  <c r="IG550">
        <f>Base_mundial!A549</f>
        <v/>
      </c>
      <c r="IH550">
        <f>Base_mundial!C549</f>
        <v/>
      </c>
      <c r="II550">
        <f>Base_mundial!E549-MIN(tope,DEGREES(ATAN(TAN(RADIANS(pe0-omega*Base_mundial!B549))*(Base_mundial!C549/sref)^(m_-1))))</f>
        <v/>
      </c>
      <c r="IJ550" t="n">
        <v>0</v>
      </c>
      <c r="IK550">
        <f>IF(IJ550=1,LN(IH550),"")</f>
        <v/>
      </c>
      <c r="IL550">
        <f>IF(IJ550=1,AVERAGEIFS(II3:II688,IG3:IG688,IG550,IJ3:IJ688,1),"")</f>
        <v/>
      </c>
      <c r="IM550">
        <f>IF(IJ550=1,II550-IL550,"")</f>
        <v/>
      </c>
      <c r="IN550" t="inlineStr">
        <is>
          <t>good</t>
        </is>
      </c>
      <c r="IO550">
        <f>IF(IN550="good",II550,NA())</f>
        <v/>
      </c>
      <c r="IP550">
        <f>IF(IN550="moderate",II550,NA())</f>
        <v/>
      </c>
      <c r="IQ550">
        <f>IF(IN550="low",II550,NA())</f>
        <v/>
      </c>
      <c r="IR550">
        <f>IF(AND(IN550="good",IJ550=1),IM550,NA())</f>
        <v/>
      </c>
      <c r="IS550">
        <f>IF(AND(IN550="moderate",IJ550=1),IM550,NA())</f>
        <v/>
      </c>
      <c r="IT550">
        <f>IF(AND(IN550="low",IJ550=1),IM550,NA())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  <c r="IG551">
        <f>Base_mundial!A550</f>
        <v/>
      </c>
      <c r="IH551">
        <f>Base_mundial!C550</f>
        <v/>
      </c>
      <c r="II551">
        <f>Base_mundial!E550-MIN(tope,DEGREES(ATAN(TAN(RADIANS(pe0-omega*Base_mundial!B550))*(Base_mundial!C550/sref)^(m_-1))))</f>
        <v/>
      </c>
      <c r="IJ551" t="n">
        <v>0</v>
      </c>
      <c r="IK551">
        <f>IF(IJ551=1,LN(IH551),"")</f>
        <v/>
      </c>
      <c r="IL551">
        <f>IF(IJ551=1,AVERAGEIFS(II3:II688,IG3:IG688,IG551,IJ3:IJ688,1),"")</f>
        <v/>
      </c>
      <c r="IM551">
        <f>IF(IJ551=1,II551-IL551,"")</f>
        <v/>
      </c>
      <c r="IN551" t="inlineStr">
        <is>
          <t>good</t>
        </is>
      </c>
      <c r="IO551">
        <f>IF(IN551="good",II551,NA())</f>
        <v/>
      </c>
      <c r="IP551">
        <f>IF(IN551="moderate",II551,NA())</f>
        <v/>
      </c>
      <c r="IQ551">
        <f>IF(IN551="low",II551,NA())</f>
        <v/>
      </c>
      <c r="IR551">
        <f>IF(AND(IN551="good",IJ551=1),IM551,NA())</f>
        <v/>
      </c>
      <c r="IS551">
        <f>IF(AND(IN551="moderate",IJ551=1),IM551,NA())</f>
        <v/>
      </c>
      <c r="IT551">
        <f>IF(AND(IN551="low",IJ551=1),IM551,NA())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  <c r="IG552">
        <f>Base_mundial!A551</f>
        <v/>
      </c>
      <c r="IH552">
        <f>Base_mundial!C551</f>
        <v/>
      </c>
      <c r="II552">
        <f>Base_mundial!E551-MIN(tope,DEGREES(ATAN(TAN(RADIANS(pe0-omega*Base_mundial!B551))*(Base_mundial!C551/sref)^(m_-1))))</f>
        <v/>
      </c>
      <c r="IJ552" t="n">
        <v>0</v>
      </c>
      <c r="IK552">
        <f>IF(IJ552=1,LN(IH552),"")</f>
        <v/>
      </c>
      <c r="IL552">
        <f>IF(IJ552=1,AVERAGEIFS(II3:II688,IG3:IG688,IG552,IJ3:IJ688,1),"")</f>
        <v/>
      </c>
      <c r="IM552">
        <f>IF(IJ552=1,II552-IL552,"")</f>
        <v/>
      </c>
      <c r="IN552" t="inlineStr">
        <is>
          <t>good</t>
        </is>
      </c>
      <c r="IO552">
        <f>IF(IN552="good",II552,NA())</f>
        <v/>
      </c>
      <c r="IP552">
        <f>IF(IN552="moderate",II552,NA())</f>
        <v/>
      </c>
      <c r="IQ552">
        <f>IF(IN552="low",II552,NA())</f>
        <v/>
      </c>
      <c r="IR552">
        <f>IF(AND(IN552="good",IJ552=1),IM552,NA())</f>
        <v/>
      </c>
      <c r="IS552">
        <f>IF(AND(IN552="moderate",IJ552=1),IM552,NA())</f>
        <v/>
      </c>
      <c r="IT552">
        <f>IF(AND(IN552="low",IJ552=1),IM552,NA())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  <c r="IG553">
        <f>Base_mundial!A552</f>
        <v/>
      </c>
      <c r="IH553">
        <f>Base_mundial!C552</f>
        <v/>
      </c>
      <c r="II553">
        <f>Base_mundial!E552-MIN(tope,DEGREES(ATAN(TAN(RADIANS(pe0-omega*Base_mundial!B552))*(Base_mundial!C552/sref)^(m_-1))))</f>
        <v/>
      </c>
      <c r="IJ553" t="n">
        <v>0</v>
      </c>
      <c r="IK553">
        <f>IF(IJ553=1,LN(IH553),"")</f>
        <v/>
      </c>
      <c r="IL553">
        <f>IF(IJ553=1,AVERAGEIFS(II3:II688,IG3:IG688,IG553,IJ3:IJ688,1),"")</f>
        <v/>
      </c>
      <c r="IM553">
        <f>IF(IJ553=1,II553-IL553,"")</f>
        <v/>
      </c>
      <c r="IN553" t="inlineStr">
        <is>
          <t>good</t>
        </is>
      </c>
      <c r="IO553">
        <f>IF(IN553="good",II553,NA())</f>
        <v/>
      </c>
      <c r="IP553">
        <f>IF(IN553="moderate",II553,NA())</f>
        <v/>
      </c>
      <c r="IQ553">
        <f>IF(IN553="low",II553,NA())</f>
        <v/>
      </c>
      <c r="IR553">
        <f>IF(AND(IN553="good",IJ553=1),IM553,NA())</f>
        <v/>
      </c>
      <c r="IS553">
        <f>IF(AND(IN553="moderate",IJ553=1),IM553,NA())</f>
        <v/>
      </c>
      <c r="IT553">
        <f>IF(AND(IN553="low",IJ553=1),IM553,NA())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  <c r="IG554">
        <f>Base_mundial!A553</f>
        <v/>
      </c>
      <c r="IH554">
        <f>Base_mundial!C553</f>
        <v/>
      </c>
      <c r="II554">
        <f>Base_mundial!E553-MIN(tope,DEGREES(ATAN(TAN(RADIANS(pe0-omega*Base_mundial!B553))*(Base_mundial!C553/sref)^(m_-1))))</f>
        <v/>
      </c>
      <c r="IJ554" t="n">
        <v>0</v>
      </c>
      <c r="IK554">
        <f>IF(IJ554=1,LN(IH554),"")</f>
        <v/>
      </c>
      <c r="IL554">
        <f>IF(IJ554=1,AVERAGEIFS(II3:II688,IG3:IG688,IG554,IJ3:IJ688,1),"")</f>
        <v/>
      </c>
      <c r="IM554">
        <f>IF(IJ554=1,II554-IL554,"")</f>
        <v/>
      </c>
      <c r="IN554" t="inlineStr">
        <is>
          <t>good</t>
        </is>
      </c>
      <c r="IO554">
        <f>IF(IN554="good",II554,NA())</f>
        <v/>
      </c>
      <c r="IP554">
        <f>IF(IN554="moderate",II554,NA())</f>
        <v/>
      </c>
      <c r="IQ554">
        <f>IF(IN554="low",II554,NA())</f>
        <v/>
      </c>
      <c r="IR554">
        <f>IF(AND(IN554="good",IJ554=1),IM554,NA())</f>
        <v/>
      </c>
      <c r="IS554">
        <f>IF(AND(IN554="moderate",IJ554=1),IM554,NA())</f>
        <v/>
      </c>
      <c r="IT554">
        <f>IF(AND(IN554="low",IJ554=1),IM554,NA())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  <c r="IG555">
        <f>Base_mundial!A554</f>
        <v/>
      </c>
      <c r="IH555">
        <f>Base_mundial!C554</f>
        <v/>
      </c>
      <c r="II555">
        <f>Base_mundial!E554-MIN(tope,DEGREES(ATAN(TAN(RADIANS(pe0-omega*Base_mundial!B554))*(Base_mundial!C554/sref)^(m_-1))))</f>
        <v/>
      </c>
      <c r="IJ555" t="n">
        <v>0</v>
      </c>
      <c r="IK555">
        <f>IF(IJ555=1,LN(IH555),"")</f>
        <v/>
      </c>
      <c r="IL555">
        <f>IF(IJ555=1,AVERAGEIFS(II3:II688,IG3:IG688,IG555,IJ3:IJ688,1),"")</f>
        <v/>
      </c>
      <c r="IM555">
        <f>IF(IJ555=1,II555-IL555,"")</f>
        <v/>
      </c>
      <c r="IN555" t="inlineStr">
        <is>
          <t>good</t>
        </is>
      </c>
      <c r="IO555">
        <f>IF(IN555="good",II555,NA())</f>
        <v/>
      </c>
      <c r="IP555">
        <f>IF(IN555="moderate",II555,NA())</f>
        <v/>
      </c>
      <c r="IQ555">
        <f>IF(IN555="low",II555,NA())</f>
        <v/>
      </c>
      <c r="IR555">
        <f>IF(AND(IN555="good",IJ555=1),IM555,NA())</f>
        <v/>
      </c>
      <c r="IS555">
        <f>IF(AND(IN555="moderate",IJ555=1),IM555,NA())</f>
        <v/>
      </c>
      <c r="IT555">
        <f>IF(AND(IN555="low",IJ555=1),IM555,NA())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  <c r="IG556">
        <f>Base_mundial!A555</f>
        <v/>
      </c>
      <c r="IH556">
        <f>Base_mundial!C555</f>
        <v/>
      </c>
      <c r="II556">
        <f>Base_mundial!E555-MIN(tope,DEGREES(ATAN(TAN(RADIANS(pe0-omega*Base_mundial!B555))*(Base_mundial!C555/sref)^(m_-1))))</f>
        <v/>
      </c>
      <c r="IJ556" t="n">
        <v>0</v>
      </c>
      <c r="IK556">
        <f>IF(IJ556=1,LN(IH556),"")</f>
        <v/>
      </c>
      <c r="IL556">
        <f>IF(IJ556=1,AVERAGEIFS(II3:II688,IG3:IG688,IG556,IJ3:IJ688,1),"")</f>
        <v/>
      </c>
      <c r="IM556">
        <f>IF(IJ556=1,II556-IL556,"")</f>
        <v/>
      </c>
      <c r="IN556" t="inlineStr">
        <is>
          <t>good</t>
        </is>
      </c>
      <c r="IO556">
        <f>IF(IN556="good",II556,NA())</f>
        <v/>
      </c>
      <c r="IP556">
        <f>IF(IN556="moderate",II556,NA())</f>
        <v/>
      </c>
      <c r="IQ556">
        <f>IF(IN556="low",II556,NA())</f>
        <v/>
      </c>
      <c r="IR556">
        <f>IF(AND(IN556="good",IJ556=1),IM556,NA())</f>
        <v/>
      </c>
      <c r="IS556">
        <f>IF(AND(IN556="moderate",IJ556=1),IM556,NA())</f>
        <v/>
      </c>
      <c r="IT556">
        <f>IF(AND(IN556="low",IJ556=1),IM556,NA())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  <c r="IG557">
        <f>Base_mundial!A556</f>
        <v/>
      </c>
      <c r="IH557">
        <f>Base_mundial!C556</f>
        <v/>
      </c>
      <c r="II557">
        <f>Base_mundial!E556-MIN(tope,DEGREES(ATAN(TAN(RADIANS(pe0-omega*Base_mundial!B556))*(Base_mundial!C556/sref)^(m_-1))))</f>
        <v/>
      </c>
      <c r="IJ557" t="n">
        <v>0</v>
      </c>
      <c r="IK557">
        <f>IF(IJ557=1,LN(IH557),"")</f>
        <v/>
      </c>
      <c r="IL557">
        <f>IF(IJ557=1,AVERAGEIFS(II3:II688,IG3:IG688,IG557,IJ3:IJ688,1),"")</f>
        <v/>
      </c>
      <c r="IM557">
        <f>IF(IJ557=1,II557-IL557,"")</f>
        <v/>
      </c>
      <c r="IN557" t="inlineStr">
        <is>
          <t>good</t>
        </is>
      </c>
      <c r="IO557">
        <f>IF(IN557="good",II557,NA())</f>
        <v/>
      </c>
      <c r="IP557">
        <f>IF(IN557="moderate",II557,NA())</f>
        <v/>
      </c>
      <c r="IQ557">
        <f>IF(IN557="low",II557,NA())</f>
        <v/>
      </c>
      <c r="IR557">
        <f>IF(AND(IN557="good",IJ557=1),IM557,NA())</f>
        <v/>
      </c>
      <c r="IS557">
        <f>IF(AND(IN557="moderate",IJ557=1),IM557,NA())</f>
        <v/>
      </c>
      <c r="IT557">
        <f>IF(AND(IN557="low",IJ557=1),IM557,NA())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  <c r="IG558">
        <f>Base_mundial!A557</f>
        <v/>
      </c>
      <c r="IH558">
        <f>Base_mundial!C557</f>
        <v/>
      </c>
      <c r="II558">
        <f>Base_mundial!E557-MIN(tope,DEGREES(ATAN(TAN(RADIANS(pe0-omega*Base_mundial!B557))*(Base_mundial!C557/sref)^(m_-1))))</f>
        <v/>
      </c>
      <c r="IJ558" t="n">
        <v>0</v>
      </c>
      <c r="IK558">
        <f>IF(IJ558=1,LN(IH558),"")</f>
        <v/>
      </c>
      <c r="IL558">
        <f>IF(IJ558=1,AVERAGEIFS(II3:II688,IG3:IG688,IG558,IJ3:IJ688,1),"")</f>
        <v/>
      </c>
      <c r="IM558">
        <f>IF(IJ558=1,II558-IL558,"")</f>
        <v/>
      </c>
      <c r="IN558" t="inlineStr">
        <is>
          <t>good</t>
        </is>
      </c>
      <c r="IO558">
        <f>IF(IN558="good",II558,NA())</f>
        <v/>
      </c>
      <c r="IP558">
        <f>IF(IN558="moderate",II558,NA())</f>
        <v/>
      </c>
      <c r="IQ558">
        <f>IF(IN558="low",II558,NA())</f>
        <v/>
      </c>
      <c r="IR558">
        <f>IF(AND(IN558="good",IJ558=1),IM558,NA())</f>
        <v/>
      </c>
      <c r="IS558">
        <f>IF(AND(IN558="moderate",IJ558=1),IM558,NA())</f>
        <v/>
      </c>
      <c r="IT558">
        <f>IF(AND(IN558="low",IJ558=1),IM558,NA())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  <c r="IG559">
        <f>Base_mundial!A558</f>
        <v/>
      </c>
      <c r="IH559">
        <f>Base_mundial!C558</f>
        <v/>
      </c>
      <c r="II559">
        <f>Base_mundial!E558-MIN(tope,DEGREES(ATAN(TAN(RADIANS(pe0-omega*Base_mundial!B558))*(Base_mundial!C558/sref)^(m_-1))))</f>
        <v/>
      </c>
      <c r="IJ559" t="n">
        <v>0</v>
      </c>
      <c r="IK559">
        <f>IF(IJ559=1,LN(IH559),"")</f>
        <v/>
      </c>
      <c r="IL559">
        <f>IF(IJ559=1,AVERAGEIFS(II3:II688,IG3:IG688,IG559,IJ3:IJ688,1),"")</f>
        <v/>
      </c>
      <c r="IM559">
        <f>IF(IJ559=1,II559-IL559,"")</f>
        <v/>
      </c>
      <c r="IN559" t="inlineStr">
        <is>
          <t>good</t>
        </is>
      </c>
      <c r="IO559">
        <f>IF(IN559="good",II559,NA())</f>
        <v/>
      </c>
      <c r="IP559">
        <f>IF(IN559="moderate",II559,NA())</f>
        <v/>
      </c>
      <c r="IQ559">
        <f>IF(IN559="low",II559,NA())</f>
        <v/>
      </c>
      <c r="IR559">
        <f>IF(AND(IN559="good",IJ559=1),IM559,NA())</f>
        <v/>
      </c>
      <c r="IS559">
        <f>IF(AND(IN559="moderate",IJ559=1),IM559,NA())</f>
        <v/>
      </c>
      <c r="IT559">
        <f>IF(AND(IN559="low",IJ559=1),IM559,NA())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  <c r="IG560">
        <f>Base_mundial!A559</f>
        <v/>
      </c>
      <c r="IH560">
        <f>Base_mundial!C559</f>
        <v/>
      </c>
      <c r="II560">
        <f>Base_mundial!E559-MIN(tope,DEGREES(ATAN(TAN(RADIANS(pe0-omega*Base_mundial!B559))*(Base_mundial!C559/sref)^(m_-1))))</f>
        <v/>
      </c>
      <c r="IJ560" t="n">
        <v>0</v>
      </c>
      <c r="IK560">
        <f>IF(IJ560=1,LN(IH560),"")</f>
        <v/>
      </c>
      <c r="IL560">
        <f>IF(IJ560=1,AVERAGEIFS(II3:II688,IG3:IG688,IG560,IJ3:IJ688,1),"")</f>
        <v/>
      </c>
      <c r="IM560">
        <f>IF(IJ560=1,II560-IL560,"")</f>
        <v/>
      </c>
      <c r="IN560" t="inlineStr">
        <is>
          <t>good</t>
        </is>
      </c>
      <c r="IO560">
        <f>IF(IN560="good",II560,NA())</f>
        <v/>
      </c>
      <c r="IP560">
        <f>IF(IN560="moderate",II560,NA())</f>
        <v/>
      </c>
      <c r="IQ560">
        <f>IF(IN560="low",II560,NA())</f>
        <v/>
      </c>
      <c r="IR560">
        <f>IF(AND(IN560="good",IJ560=1),IM560,NA())</f>
        <v/>
      </c>
      <c r="IS560">
        <f>IF(AND(IN560="moderate",IJ560=1),IM560,NA())</f>
        <v/>
      </c>
      <c r="IT560">
        <f>IF(AND(IN560="low",IJ560=1),IM560,NA())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  <c r="IG561">
        <f>Base_mundial!A560</f>
        <v/>
      </c>
      <c r="IH561">
        <f>Base_mundial!C560</f>
        <v/>
      </c>
      <c r="II561">
        <f>Base_mundial!E560-MIN(tope,DEGREES(ATAN(TAN(RADIANS(pe0-omega*Base_mundial!B560))*(Base_mundial!C560/sref)^(m_-1))))</f>
        <v/>
      </c>
      <c r="IJ561" t="n">
        <v>0</v>
      </c>
      <c r="IK561">
        <f>IF(IJ561=1,LN(IH561),"")</f>
        <v/>
      </c>
      <c r="IL561">
        <f>IF(IJ561=1,AVERAGEIFS(II3:II688,IG3:IG688,IG561,IJ3:IJ688,1),"")</f>
        <v/>
      </c>
      <c r="IM561">
        <f>IF(IJ561=1,II561-IL561,"")</f>
        <v/>
      </c>
      <c r="IN561" t="inlineStr">
        <is>
          <t>good</t>
        </is>
      </c>
      <c r="IO561">
        <f>IF(IN561="good",II561,NA())</f>
        <v/>
      </c>
      <c r="IP561">
        <f>IF(IN561="moderate",II561,NA())</f>
        <v/>
      </c>
      <c r="IQ561">
        <f>IF(IN561="low",II561,NA())</f>
        <v/>
      </c>
      <c r="IR561">
        <f>IF(AND(IN561="good",IJ561=1),IM561,NA())</f>
        <v/>
      </c>
      <c r="IS561">
        <f>IF(AND(IN561="moderate",IJ561=1),IM561,NA())</f>
        <v/>
      </c>
      <c r="IT561">
        <f>IF(AND(IN561="low",IJ561=1),IM561,NA())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  <c r="IG562">
        <f>Base_mundial!A561</f>
        <v/>
      </c>
      <c r="IH562">
        <f>Base_mundial!C561</f>
        <v/>
      </c>
      <c r="II562">
        <f>Base_mundial!E561-MIN(tope,DEGREES(ATAN(TAN(RADIANS(pe0-omega*Base_mundial!B561))*(Base_mundial!C561/sref)^(m_-1))))</f>
        <v/>
      </c>
      <c r="IJ562" t="n">
        <v>0</v>
      </c>
      <c r="IK562">
        <f>IF(IJ562=1,LN(IH562),"")</f>
        <v/>
      </c>
      <c r="IL562">
        <f>IF(IJ562=1,AVERAGEIFS(II3:II688,IG3:IG688,IG562,IJ3:IJ688,1),"")</f>
        <v/>
      </c>
      <c r="IM562">
        <f>IF(IJ562=1,II562-IL562,"")</f>
        <v/>
      </c>
      <c r="IN562" t="inlineStr">
        <is>
          <t>good</t>
        </is>
      </c>
      <c r="IO562">
        <f>IF(IN562="good",II562,NA())</f>
        <v/>
      </c>
      <c r="IP562">
        <f>IF(IN562="moderate",II562,NA())</f>
        <v/>
      </c>
      <c r="IQ562">
        <f>IF(IN562="low",II562,NA())</f>
        <v/>
      </c>
      <c r="IR562">
        <f>IF(AND(IN562="good",IJ562=1),IM562,NA())</f>
        <v/>
      </c>
      <c r="IS562">
        <f>IF(AND(IN562="moderate",IJ562=1),IM562,NA())</f>
        <v/>
      </c>
      <c r="IT562">
        <f>IF(AND(IN562="low",IJ562=1),IM562,NA())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  <c r="IG563">
        <f>Base_mundial!A562</f>
        <v/>
      </c>
      <c r="IH563">
        <f>Base_mundial!C562</f>
        <v/>
      </c>
      <c r="II563">
        <f>Base_mundial!E562-MIN(tope,DEGREES(ATAN(TAN(RADIANS(pe0-omega*Base_mundial!B562))*(Base_mundial!C562/sref)^(m_-1))))</f>
        <v/>
      </c>
      <c r="IJ563" t="n">
        <v>0</v>
      </c>
      <c r="IK563">
        <f>IF(IJ563=1,LN(IH563),"")</f>
        <v/>
      </c>
      <c r="IL563">
        <f>IF(IJ563=1,AVERAGEIFS(II3:II688,IG3:IG688,IG563,IJ3:IJ688,1),"")</f>
        <v/>
      </c>
      <c r="IM563">
        <f>IF(IJ563=1,II563-IL563,"")</f>
        <v/>
      </c>
      <c r="IN563" t="inlineStr">
        <is>
          <t>good</t>
        </is>
      </c>
      <c r="IO563">
        <f>IF(IN563="good",II563,NA())</f>
        <v/>
      </c>
      <c r="IP563">
        <f>IF(IN563="moderate",II563,NA())</f>
        <v/>
      </c>
      <c r="IQ563">
        <f>IF(IN563="low",II563,NA())</f>
        <v/>
      </c>
      <c r="IR563">
        <f>IF(AND(IN563="good",IJ563=1),IM563,NA())</f>
        <v/>
      </c>
      <c r="IS563">
        <f>IF(AND(IN563="moderate",IJ563=1),IM563,NA())</f>
        <v/>
      </c>
      <c r="IT563">
        <f>IF(AND(IN563="low",IJ563=1),IM563,NA())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  <c r="IG564">
        <f>Base_mundial!A563</f>
        <v/>
      </c>
      <c r="IH564">
        <f>Base_mundial!C563</f>
        <v/>
      </c>
      <c r="II564">
        <f>Base_mundial!E563-MIN(tope,DEGREES(ATAN(TAN(RADIANS(pe0-omega*Base_mundial!B563))*(Base_mundial!C563/sref)^(m_-1))))</f>
        <v/>
      </c>
      <c r="IJ564" t="n">
        <v>0</v>
      </c>
      <c r="IK564">
        <f>IF(IJ564=1,LN(IH564),"")</f>
        <v/>
      </c>
      <c r="IL564">
        <f>IF(IJ564=1,AVERAGEIFS(II3:II688,IG3:IG688,IG564,IJ3:IJ688,1),"")</f>
        <v/>
      </c>
      <c r="IM564">
        <f>IF(IJ564=1,II564-IL564,"")</f>
        <v/>
      </c>
      <c r="IN564" t="inlineStr">
        <is>
          <t>good</t>
        </is>
      </c>
      <c r="IO564">
        <f>IF(IN564="good",II564,NA())</f>
        <v/>
      </c>
      <c r="IP564">
        <f>IF(IN564="moderate",II564,NA())</f>
        <v/>
      </c>
      <c r="IQ564">
        <f>IF(IN564="low",II564,NA())</f>
        <v/>
      </c>
      <c r="IR564">
        <f>IF(AND(IN564="good",IJ564=1),IM564,NA())</f>
        <v/>
      </c>
      <c r="IS564">
        <f>IF(AND(IN564="moderate",IJ564=1),IM564,NA())</f>
        <v/>
      </c>
      <c r="IT564">
        <f>IF(AND(IN564="low",IJ564=1),IM564,NA())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  <c r="IG565">
        <f>Base_mundial!A564</f>
        <v/>
      </c>
      <c r="IH565">
        <f>Base_mundial!C564</f>
        <v/>
      </c>
      <c r="II565">
        <f>Base_mundial!E564-MIN(tope,DEGREES(ATAN(TAN(RADIANS(pe0-omega*Base_mundial!B564))*(Base_mundial!C564/sref)^(m_-1))))</f>
        <v/>
      </c>
      <c r="IJ565" t="n">
        <v>0</v>
      </c>
      <c r="IK565">
        <f>IF(IJ565=1,LN(IH565),"")</f>
        <v/>
      </c>
      <c r="IL565">
        <f>IF(IJ565=1,AVERAGEIFS(II3:II688,IG3:IG688,IG565,IJ3:IJ688,1),"")</f>
        <v/>
      </c>
      <c r="IM565">
        <f>IF(IJ565=1,II565-IL565,"")</f>
        <v/>
      </c>
      <c r="IN565" t="inlineStr">
        <is>
          <t>good</t>
        </is>
      </c>
      <c r="IO565">
        <f>IF(IN565="good",II565,NA())</f>
        <v/>
      </c>
      <c r="IP565">
        <f>IF(IN565="moderate",II565,NA())</f>
        <v/>
      </c>
      <c r="IQ565">
        <f>IF(IN565="low",II565,NA())</f>
        <v/>
      </c>
      <c r="IR565">
        <f>IF(AND(IN565="good",IJ565=1),IM565,NA())</f>
        <v/>
      </c>
      <c r="IS565">
        <f>IF(AND(IN565="moderate",IJ565=1),IM565,NA())</f>
        <v/>
      </c>
      <c r="IT565">
        <f>IF(AND(IN565="low",IJ565=1),IM565,NA())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  <c r="IG566">
        <f>Base_mundial!A565</f>
        <v/>
      </c>
      <c r="IH566">
        <f>Base_mundial!C565</f>
        <v/>
      </c>
      <c r="II566">
        <f>Base_mundial!E565-MIN(tope,DEGREES(ATAN(TAN(RADIANS(pe0-omega*Base_mundial!B565))*(Base_mundial!C565/sref)^(m_-1))))</f>
        <v/>
      </c>
      <c r="IJ566" t="n">
        <v>0</v>
      </c>
      <c r="IK566">
        <f>IF(IJ566=1,LN(IH566),"")</f>
        <v/>
      </c>
      <c r="IL566">
        <f>IF(IJ566=1,AVERAGEIFS(II3:II688,IG3:IG688,IG566,IJ3:IJ688,1),"")</f>
        <v/>
      </c>
      <c r="IM566">
        <f>IF(IJ566=1,II566-IL566,"")</f>
        <v/>
      </c>
      <c r="IN566" t="inlineStr">
        <is>
          <t>good</t>
        </is>
      </c>
      <c r="IO566">
        <f>IF(IN566="good",II566,NA())</f>
        <v/>
      </c>
      <c r="IP566">
        <f>IF(IN566="moderate",II566,NA())</f>
        <v/>
      </c>
      <c r="IQ566">
        <f>IF(IN566="low",II566,NA())</f>
        <v/>
      </c>
      <c r="IR566">
        <f>IF(AND(IN566="good",IJ566=1),IM566,NA())</f>
        <v/>
      </c>
      <c r="IS566">
        <f>IF(AND(IN566="moderate",IJ566=1),IM566,NA())</f>
        <v/>
      </c>
      <c r="IT566">
        <f>IF(AND(IN566="low",IJ566=1),IM566,NA())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  <c r="IG567">
        <f>Base_mundial!A566</f>
        <v/>
      </c>
      <c r="IH567">
        <f>Base_mundial!C566</f>
        <v/>
      </c>
      <c r="II567">
        <f>Base_mundial!E566-MIN(tope,DEGREES(ATAN(TAN(RADIANS(pe0-omega*Base_mundial!B566))*(Base_mundial!C566/sref)^(m_-1))))</f>
        <v/>
      </c>
      <c r="IJ567" t="n">
        <v>0</v>
      </c>
      <c r="IK567">
        <f>IF(IJ567=1,LN(IH567),"")</f>
        <v/>
      </c>
      <c r="IL567">
        <f>IF(IJ567=1,AVERAGEIFS(II3:II688,IG3:IG688,IG567,IJ3:IJ688,1),"")</f>
        <v/>
      </c>
      <c r="IM567">
        <f>IF(IJ567=1,II567-IL567,"")</f>
        <v/>
      </c>
      <c r="IN567" t="inlineStr">
        <is>
          <t>good</t>
        </is>
      </c>
      <c r="IO567">
        <f>IF(IN567="good",II567,NA())</f>
        <v/>
      </c>
      <c r="IP567">
        <f>IF(IN567="moderate",II567,NA())</f>
        <v/>
      </c>
      <c r="IQ567">
        <f>IF(IN567="low",II567,NA())</f>
        <v/>
      </c>
      <c r="IR567">
        <f>IF(AND(IN567="good",IJ567=1),IM567,NA())</f>
        <v/>
      </c>
      <c r="IS567">
        <f>IF(AND(IN567="moderate",IJ567=1),IM567,NA())</f>
        <v/>
      </c>
      <c r="IT567">
        <f>IF(AND(IN567="low",IJ567=1),IM567,NA())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  <c r="IG568">
        <f>Base_mundial!A567</f>
        <v/>
      </c>
      <c r="IH568">
        <f>Base_mundial!C567</f>
        <v/>
      </c>
      <c r="II568">
        <f>Base_mundial!E567-MIN(tope,DEGREES(ATAN(TAN(RADIANS(pe0-omega*Base_mundial!B567))*(Base_mundial!C567/sref)^(m_-1))))</f>
        <v/>
      </c>
      <c r="IJ568" t="n">
        <v>0</v>
      </c>
      <c r="IK568">
        <f>IF(IJ568=1,LN(IH568),"")</f>
        <v/>
      </c>
      <c r="IL568">
        <f>IF(IJ568=1,AVERAGEIFS(II3:II688,IG3:IG688,IG568,IJ3:IJ688,1),"")</f>
        <v/>
      </c>
      <c r="IM568">
        <f>IF(IJ568=1,II568-IL568,"")</f>
        <v/>
      </c>
      <c r="IN568" t="inlineStr">
        <is>
          <t>good</t>
        </is>
      </c>
      <c r="IO568">
        <f>IF(IN568="good",II568,NA())</f>
        <v/>
      </c>
      <c r="IP568">
        <f>IF(IN568="moderate",II568,NA())</f>
        <v/>
      </c>
      <c r="IQ568">
        <f>IF(IN568="low",II568,NA())</f>
        <v/>
      </c>
      <c r="IR568">
        <f>IF(AND(IN568="good",IJ568=1),IM568,NA())</f>
        <v/>
      </c>
      <c r="IS568">
        <f>IF(AND(IN568="moderate",IJ568=1),IM568,NA())</f>
        <v/>
      </c>
      <c r="IT568">
        <f>IF(AND(IN568="low",IJ568=1),IM568,NA())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  <c r="IG569">
        <f>Base_mundial!A568</f>
        <v/>
      </c>
      <c r="IH569">
        <f>Base_mundial!C568</f>
        <v/>
      </c>
      <c r="II569">
        <f>Base_mundial!E568-MIN(tope,DEGREES(ATAN(TAN(RADIANS(pe0-omega*Base_mundial!B568))*(Base_mundial!C568/sref)^(m_-1))))</f>
        <v/>
      </c>
      <c r="IJ569" t="n">
        <v>0</v>
      </c>
      <c r="IK569">
        <f>IF(IJ569=1,LN(IH569),"")</f>
        <v/>
      </c>
      <c r="IL569">
        <f>IF(IJ569=1,AVERAGEIFS(II3:II688,IG3:IG688,IG569,IJ3:IJ688,1),"")</f>
        <v/>
      </c>
      <c r="IM569">
        <f>IF(IJ569=1,II569-IL569,"")</f>
        <v/>
      </c>
      <c r="IN569" t="inlineStr">
        <is>
          <t>good</t>
        </is>
      </c>
      <c r="IO569">
        <f>IF(IN569="good",II569,NA())</f>
        <v/>
      </c>
      <c r="IP569">
        <f>IF(IN569="moderate",II569,NA())</f>
        <v/>
      </c>
      <c r="IQ569">
        <f>IF(IN569="low",II569,NA())</f>
        <v/>
      </c>
      <c r="IR569">
        <f>IF(AND(IN569="good",IJ569=1),IM569,NA())</f>
        <v/>
      </c>
      <c r="IS569">
        <f>IF(AND(IN569="moderate",IJ569=1),IM569,NA())</f>
        <v/>
      </c>
      <c r="IT569">
        <f>IF(AND(IN569="low",IJ569=1),IM569,NA())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  <c r="IG570">
        <f>Base_mundial!A569</f>
        <v/>
      </c>
      <c r="IH570">
        <f>Base_mundial!C569</f>
        <v/>
      </c>
      <c r="II570">
        <f>Base_mundial!E569-MIN(tope,DEGREES(ATAN(TAN(RADIANS(pe0-omega*Base_mundial!B569))*(Base_mundial!C569/sref)^(m_-1))))</f>
        <v/>
      </c>
      <c r="IJ570" t="n">
        <v>0</v>
      </c>
      <c r="IK570">
        <f>IF(IJ570=1,LN(IH570),"")</f>
        <v/>
      </c>
      <c r="IL570">
        <f>IF(IJ570=1,AVERAGEIFS(II3:II688,IG3:IG688,IG570,IJ3:IJ688,1),"")</f>
        <v/>
      </c>
      <c r="IM570">
        <f>IF(IJ570=1,II570-IL570,"")</f>
        <v/>
      </c>
      <c r="IN570" t="inlineStr">
        <is>
          <t>good</t>
        </is>
      </c>
      <c r="IO570">
        <f>IF(IN570="good",II570,NA())</f>
        <v/>
      </c>
      <c r="IP570">
        <f>IF(IN570="moderate",II570,NA())</f>
        <v/>
      </c>
      <c r="IQ570">
        <f>IF(IN570="low",II570,NA())</f>
        <v/>
      </c>
      <c r="IR570">
        <f>IF(AND(IN570="good",IJ570=1),IM570,NA())</f>
        <v/>
      </c>
      <c r="IS570">
        <f>IF(AND(IN570="moderate",IJ570=1),IM570,NA())</f>
        <v/>
      </c>
      <c r="IT570">
        <f>IF(AND(IN570="low",IJ570=1),IM570,NA())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  <c r="IG571">
        <f>Base_mundial!A570</f>
        <v/>
      </c>
      <c r="IH571">
        <f>Base_mundial!C570</f>
        <v/>
      </c>
      <c r="II571">
        <f>Base_mundial!E570-MIN(tope,DEGREES(ATAN(TAN(RADIANS(pe0-omega*Base_mundial!B570))*(Base_mundial!C570/sref)^(m_-1))))</f>
        <v/>
      </c>
      <c r="IJ571" t="n">
        <v>0</v>
      </c>
      <c r="IK571">
        <f>IF(IJ571=1,LN(IH571),"")</f>
        <v/>
      </c>
      <c r="IL571">
        <f>IF(IJ571=1,AVERAGEIFS(II3:II688,IG3:IG688,IG571,IJ3:IJ688,1),"")</f>
        <v/>
      </c>
      <c r="IM571">
        <f>IF(IJ571=1,II571-IL571,"")</f>
        <v/>
      </c>
      <c r="IN571" t="inlineStr">
        <is>
          <t>good</t>
        </is>
      </c>
      <c r="IO571">
        <f>IF(IN571="good",II571,NA())</f>
        <v/>
      </c>
      <c r="IP571">
        <f>IF(IN571="moderate",II571,NA())</f>
        <v/>
      </c>
      <c r="IQ571">
        <f>IF(IN571="low",II571,NA())</f>
        <v/>
      </c>
      <c r="IR571">
        <f>IF(AND(IN571="good",IJ571=1),IM571,NA())</f>
        <v/>
      </c>
      <c r="IS571">
        <f>IF(AND(IN571="moderate",IJ571=1),IM571,NA())</f>
        <v/>
      </c>
      <c r="IT571">
        <f>IF(AND(IN571="low",IJ571=1),IM571,NA())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  <c r="IG572">
        <f>Base_mundial!A571</f>
        <v/>
      </c>
      <c r="IH572">
        <f>Base_mundial!C571</f>
        <v/>
      </c>
      <c r="II572">
        <f>Base_mundial!E571-MIN(tope,DEGREES(ATAN(TAN(RADIANS(pe0-omega*Base_mundial!B571))*(Base_mundial!C571/sref)^(m_-1))))</f>
        <v/>
      </c>
      <c r="IJ572" t="n">
        <v>0</v>
      </c>
      <c r="IK572">
        <f>IF(IJ572=1,LN(IH572),"")</f>
        <v/>
      </c>
      <c r="IL572">
        <f>IF(IJ572=1,AVERAGEIFS(II3:II688,IG3:IG688,IG572,IJ3:IJ688,1),"")</f>
        <v/>
      </c>
      <c r="IM572">
        <f>IF(IJ572=1,II572-IL572,"")</f>
        <v/>
      </c>
      <c r="IN572" t="inlineStr">
        <is>
          <t>good</t>
        </is>
      </c>
      <c r="IO572">
        <f>IF(IN572="good",II572,NA())</f>
        <v/>
      </c>
      <c r="IP572">
        <f>IF(IN572="moderate",II572,NA())</f>
        <v/>
      </c>
      <c r="IQ572">
        <f>IF(IN572="low",II572,NA())</f>
        <v/>
      </c>
      <c r="IR572">
        <f>IF(AND(IN572="good",IJ572=1),IM572,NA())</f>
        <v/>
      </c>
      <c r="IS572">
        <f>IF(AND(IN572="moderate",IJ572=1),IM572,NA())</f>
        <v/>
      </c>
      <c r="IT572">
        <f>IF(AND(IN572="low",IJ572=1),IM572,NA())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  <c r="IG573">
        <f>Base_mundial!A572</f>
        <v/>
      </c>
      <c r="IH573">
        <f>Base_mundial!C572</f>
        <v/>
      </c>
      <c r="II573">
        <f>Base_mundial!E572-MIN(tope,DEGREES(ATAN(TAN(RADIANS(pe0-omega*Base_mundial!B572))*(Base_mundial!C572/sref)^(m_-1))))</f>
        <v/>
      </c>
      <c r="IJ573" t="n">
        <v>0</v>
      </c>
      <c r="IK573">
        <f>IF(IJ573=1,LN(IH573),"")</f>
        <v/>
      </c>
      <c r="IL573">
        <f>IF(IJ573=1,AVERAGEIFS(II3:II688,IG3:IG688,IG573,IJ3:IJ688,1),"")</f>
        <v/>
      </c>
      <c r="IM573">
        <f>IF(IJ573=1,II573-IL573,"")</f>
        <v/>
      </c>
      <c r="IN573" t="inlineStr">
        <is>
          <t>low</t>
        </is>
      </c>
      <c r="IO573">
        <f>IF(IN573="good",II573,NA())</f>
        <v/>
      </c>
      <c r="IP573">
        <f>IF(IN573="moderate",II573,NA())</f>
        <v/>
      </c>
      <c r="IQ573">
        <f>IF(IN573="low",II573,NA())</f>
        <v/>
      </c>
      <c r="IR573">
        <f>IF(AND(IN573="good",IJ573=1),IM573,NA())</f>
        <v/>
      </c>
      <c r="IS573">
        <f>IF(AND(IN573="moderate",IJ573=1),IM573,NA())</f>
        <v/>
      </c>
      <c r="IT573">
        <f>IF(AND(IN573="low",IJ573=1),IM573,NA())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  <c r="IG574">
        <f>Base_mundial!A573</f>
        <v/>
      </c>
      <c r="IH574">
        <f>Base_mundial!C573</f>
        <v/>
      </c>
      <c r="II574">
        <f>Base_mundial!E573-MIN(tope,DEGREES(ATAN(TAN(RADIANS(pe0-omega*Base_mundial!B573))*(Base_mundial!C573/sref)^(m_-1))))</f>
        <v/>
      </c>
      <c r="IJ574" t="n">
        <v>0</v>
      </c>
      <c r="IK574">
        <f>IF(IJ574=1,LN(IH574),"")</f>
        <v/>
      </c>
      <c r="IL574">
        <f>IF(IJ574=1,AVERAGEIFS(II3:II688,IG3:IG688,IG574,IJ3:IJ688,1),"")</f>
        <v/>
      </c>
      <c r="IM574">
        <f>IF(IJ574=1,II574-IL574,"")</f>
        <v/>
      </c>
      <c r="IN574" t="inlineStr">
        <is>
          <t>low</t>
        </is>
      </c>
      <c r="IO574">
        <f>IF(IN574="good",II574,NA())</f>
        <v/>
      </c>
      <c r="IP574">
        <f>IF(IN574="moderate",II574,NA())</f>
        <v/>
      </c>
      <c r="IQ574">
        <f>IF(IN574="low",II574,NA())</f>
        <v/>
      </c>
      <c r="IR574">
        <f>IF(AND(IN574="good",IJ574=1),IM574,NA())</f>
        <v/>
      </c>
      <c r="IS574">
        <f>IF(AND(IN574="moderate",IJ574=1),IM574,NA())</f>
        <v/>
      </c>
      <c r="IT574">
        <f>IF(AND(IN574="low",IJ574=1),IM574,NA())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  <c r="IG575">
        <f>Base_mundial!A574</f>
        <v/>
      </c>
      <c r="IH575">
        <f>Base_mundial!C574</f>
        <v/>
      </c>
      <c r="II575">
        <f>Base_mundial!E574-MIN(tope,DEGREES(ATAN(TAN(RADIANS(pe0-omega*Base_mundial!B574))*(Base_mundial!C574/sref)^(m_-1))))</f>
        <v/>
      </c>
      <c r="IJ575" t="n">
        <v>0</v>
      </c>
      <c r="IK575">
        <f>IF(IJ575=1,LN(IH575),"")</f>
        <v/>
      </c>
      <c r="IL575">
        <f>IF(IJ575=1,AVERAGEIFS(II3:II688,IG3:IG688,IG575,IJ3:IJ688,1),"")</f>
        <v/>
      </c>
      <c r="IM575">
        <f>IF(IJ575=1,II575-IL575,"")</f>
        <v/>
      </c>
      <c r="IN575" t="inlineStr">
        <is>
          <t>low</t>
        </is>
      </c>
      <c r="IO575">
        <f>IF(IN575="good",II575,NA())</f>
        <v/>
      </c>
      <c r="IP575">
        <f>IF(IN575="moderate",II575,NA())</f>
        <v/>
      </c>
      <c r="IQ575">
        <f>IF(IN575="low",II575,NA())</f>
        <v/>
      </c>
      <c r="IR575">
        <f>IF(AND(IN575="good",IJ575=1),IM575,NA())</f>
        <v/>
      </c>
      <c r="IS575">
        <f>IF(AND(IN575="moderate",IJ575=1),IM575,NA())</f>
        <v/>
      </c>
      <c r="IT575">
        <f>IF(AND(IN575="low",IJ575=1),IM575,NA())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  <c r="IG576">
        <f>Base_mundial!A575</f>
        <v/>
      </c>
      <c r="IH576">
        <f>Base_mundial!C575</f>
        <v/>
      </c>
      <c r="II576">
        <f>Base_mundial!E575-MIN(tope,DEGREES(ATAN(TAN(RADIANS(pe0-omega*Base_mundial!B575))*(Base_mundial!C575/sref)^(m_-1))))</f>
        <v/>
      </c>
      <c r="IJ576" t="n">
        <v>0</v>
      </c>
      <c r="IK576">
        <f>IF(IJ576=1,LN(IH576),"")</f>
        <v/>
      </c>
      <c r="IL576">
        <f>IF(IJ576=1,AVERAGEIFS(II3:II688,IG3:IG688,IG576,IJ3:IJ688,1),"")</f>
        <v/>
      </c>
      <c r="IM576">
        <f>IF(IJ576=1,II576-IL576,"")</f>
        <v/>
      </c>
      <c r="IN576" t="inlineStr">
        <is>
          <t>low</t>
        </is>
      </c>
      <c r="IO576">
        <f>IF(IN576="good",II576,NA())</f>
        <v/>
      </c>
      <c r="IP576">
        <f>IF(IN576="moderate",II576,NA())</f>
        <v/>
      </c>
      <c r="IQ576">
        <f>IF(IN576="low",II576,NA())</f>
        <v/>
      </c>
      <c r="IR576">
        <f>IF(AND(IN576="good",IJ576=1),IM576,NA())</f>
        <v/>
      </c>
      <c r="IS576">
        <f>IF(AND(IN576="moderate",IJ576=1),IM576,NA())</f>
        <v/>
      </c>
      <c r="IT576">
        <f>IF(AND(IN576="low",IJ576=1),IM576,NA())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  <c r="IG577">
        <f>Base_mundial!A576</f>
        <v/>
      </c>
      <c r="IH577">
        <f>Base_mundial!C576</f>
        <v/>
      </c>
      <c r="II577">
        <f>Base_mundial!E576-MIN(tope,DEGREES(ATAN(TAN(RADIANS(pe0-omega*Base_mundial!B576))*(Base_mundial!C576/sref)^(m_-1))))</f>
        <v/>
      </c>
      <c r="IJ577" t="n">
        <v>0</v>
      </c>
      <c r="IK577">
        <f>IF(IJ577=1,LN(IH577),"")</f>
        <v/>
      </c>
      <c r="IL577">
        <f>IF(IJ577=1,AVERAGEIFS(II3:II688,IG3:IG688,IG577,IJ3:IJ688,1),"")</f>
        <v/>
      </c>
      <c r="IM577">
        <f>IF(IJ577=1,II577-IL577,"")</f>
        <v/>
      </c>
      <c r="IN577" t="inlineStr">
        <is>
          <t>low</t>
        </is>
      </c>
      <c r="IO577">
        <f>IF(IN577="good",II577,NA())</f>
        <v/>
      </c>
      <c r="IP577">
        <f>IF(IN577="moderate",II577,NA())</f>
        <v/>
      </c>
      <c r="IQ577">
        <f>IF(IN577="low",II577,NA())</f>
        <v/>
      </c>
      <c r="IR577">
        <f>IF(AND(IN577="good",IJ577=1),IM577,NA())</f>
        <v/>
      </c>
      <c r="IS577">
        <f>IF(AND(IN577="moderate",IJ577=1),IM577,NA())</f>
        <v/>
      </c>
      <c r="IT577">
        <f>IF(AND(IN577="low",IJ577=1),IM577,NA())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  <c r="IG578">
        <f>Base_mundial!A577</f>
        <v/>
      </c>
      <c r="IH578">
        <f>Base_mundial!C577</f>
        <v/>
      </c>
      <c r="II578">
        <f>Base_mundial!E577-MIN(tope,DEGREES(ATAN(TAN(RADIANS(pe0-omega*Base_mundial!B577))*(Base_mundial!C577/sref)^(m_-1))))</f>
        <v/>
      </c>
      <c r="IJ578" t="n">
        <v>0</v>
      </c>
      <c r="IK578">
        <f>IF(IJ578=1,LN(IH578),"")</f>
        <v/>
      </c>
      <c r="IL578">
        <f>IF(IJ578=1,AVERAGEIFS(II3:II688,IG3:IG688,IG578,IJ3:IJ688,1),"")</f>
        <v/>
      </c>
      <c r="IM578">
        <f>IF(IJ578=1,II578-IL578,"")</f>
        <v/>
      </c>
      <c r="IN578" t="inlineStr">
        <is>
          <t>low</t>
        </is>
      </c>
      <c r="IO578">
        <f>IF(IN578="good",II578,NA())</f>
        <v/>
      </c>
      <c r="IP578">
        <f>IF(IN578="moderate",II578,NA())</f>
        <v/>
      </c>
      <c r="IQ578">
        <f>IF(IN578="low",II578,NA())</f>
        <v/>
      </c>
      <c r="IR578">
        <f>IF(AND(IN578="good",IJ578=1),IM578,NA())</f>
        <v/>
      </c>
      <c r="IS578">
        <f>IF(AND(IN578="moderate",IJ578=1),IM578,NA())</f>
        <v/>
      </c>
      <c r="IT578">
        <f>IF(AND(IN578="low",IJ578=1),IM578,NA())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  <c r="IG579">
        <f>Base_mundial!A578</f>
        <v/>
      </c>
      <c r="IH579">
        <f>Base_mundial!C578</f>
        <v/>
      </c>
      <c r="II579">
        <f>Base_mundial!E578-MIN(tope,DEGREES(ATAN(TAN(RADIANS(pe0-omega*Base_mundial!B578))*(Base_mundial!C578/sref)^(m_-1))))</f>
        <v/>
      </c>
      <c r="IJ579" t="n">
        <v>0</v>
      </c>
      <c r="IK579">
        <f>IF(IJ579=1,LN(IH579),"")</f>
        <v/>
      </c>
      <c r="IL579">
        <f>IF(IJ579=1,AVERAGEIFS(II3:II688,IG3:IG688,IG579,IJ3:IJ688,1),"")</f>
        <v/>
      </c>
      <c r="IM579">
        <f>IF(IJ579=1,II579-IL579,"")</f>
        <v/>
      </c>
      <c r="IN579" t="inlineStr">
        <is>
          <t>low</t>
        </is>
      </c>
      <c r="IO579">
        <f>IF(IN579="good",II579,NA())</f>
        <v/>
      </c>
      <c r="IP579">
        <f>IF(IN579="moderate",II579,NA())</f>
        <v/>
      </c>
      <c r="IQ579">
        <f>IF(IN579="low",II579,NA())</f>
        <v/>
      </c>
      <c r="IR579">
        <f>IF(AND(IN579="good",IJ579=1),IM579,NA())</f>
        <v/>
      </c>
      <c r="IS579">
        <f>IF(AND(IN579="moderate",IJ579=1),IM579,NA())</f>
        <v/>
      </c>
      <c r="IT579">
        <f>IF(AND(IN579="low",IJ579=1),IM579,NA())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  <c r="IG580">
        <f>Base_mundial!A579</f>
        <v/>
      </c>
      <c r="IH580">
        <f>Base_mundial!C579</f>
        <v/>
      </c>
      <c r="II580">
        <f>Base_mundial!E579-MIN(tope,DEGREES(ATAN(TAN(RADIANS(pe0-omega*Base_mundial!B579))*(Base_mundial!C579/sref)^(m_-1))))</f>
        <v/>
      </c>
      <c r="IJ580" t="n">
        <v>0</v>
      </c>
      <c r="IK580">
        <f>IF(IJ580=1,LN(IH580),"")</f>
        <v/>
      </c>
      <c r="IL580">
        <f>IF(IJ580=1,AVERAGEIFS(II3:II688,IG3:IG688,IG580,IJ3:IJ688,1),"")</f>
        <v/>
      </c>
      <c r="IM580">
        <f>IF(IJ580=1,II580-IL580,"")</f>
        <v/>
      </c>
      <c r="IN580" t="inlineStr">
        <is>
          <t>low</t>
        </is>
      </c>
      <c r="IO580">
        <f>IF(IN580="good",II580,NA())</f>
        <v/>
      </c>
      <c r="IP580">
        <f>IF(IN580="moderate",II580,NA())</f>
        <v/>
      </c>
      <c r="IQ580">
        <f>IF(IN580="low",II580,NA())</f>
        <v/>
      </c>
      <c r="IR580">
        <f>IF(AND(IN580="good",IJ580=1),IM580,NA())</f>
        <v/>
      </c>
      <c r="IS580">
        <f>IF(AND(IN580="moderate",IJ580=1),IM580,NA())</f>
        <v/>
      </c>
      <c r="IT580">
        <f>IF(AND(IN580="low",IJ580=1),IM580,NA())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  <c r="IG581">
        <f>Base_mundial!A580</f>
        <v/>
      </c>
      <c r="IH581">
        <f>Base_mundial!C580</f>
        <v/>
      </c>
      <c r="II581">
        <f>Base_mundial!E580-MIN(tope,DEGREES(ATAN(TAN(RADIANS(pe0-omega*Base_mundial!B580))*(Base_mundial!C580/sref)^(m_-1))))</f>
        <v/>
      </c>
      <c r="IJ581" t="n">
        <v>0</v>
      </c>
      <c r="IK581">
        <f>IF(IJ581=1,LN(IH581),"")</f>
        <v/>
      </c>
      <c r="IL581">
        <f>IF(IJ581=1,AVERAGEIFS(II3:II688,IG3:IG688,IG581,IJ3:IJ688,1),"")</f>
        <v/>
      </c>
      <c r="IM581">
        <f>IF(IJ581=1,II581-IL581,"")</f>
        <v/>
      </c>
      <c r="IN581" t="inlineStr">
        <is>
          <t>low</t>
        </is>
      </c>
      <c r="IO581">
        <f>IF(IN581="good",II581,NA())</f>
        <v/>
      </c>
      <c r="IP581">
        <f>IF(IN581="moderate",II581,NA())</f>
        <v/>
      </c>
      <c r="IQ581">
        <f>IF(IN581="low",II581,NA())</f>
        <v/>
      </c>
      <c r="IR581">
        <f>IF(AND(IN581="good",IJ581=1),IM581,NA())</f>
        <v/>
      </c>
      <c r="IS581">
        <f>IF(AND(IN581="moderate",IJ581=1),IM581,NA())</f>
        <v/>
      </c>
      <c r="IT581">
        <f>IF(AND(IN581="low",IJ581=1),IM581,NA())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  <c r="IG582">
        <f>Base_mundial!A581</f>
        <v/>
      </c>
      <c r="IH582">
        <f>Base_mundial!C581</f>
        <v/>
      </c>
      <c r="II582">
        <f>Base_mundial!E581-MIN(tope,DEGREES(ATAN(TAN(RADIANS(pe0-omega*Base_mundial!B581))*(Base_mundial!C581/sref)^(m_-1))))</f>
        <v/>
      </c>
      <c r="IJ582" t="n">
        <v>0</v>
      </c>
      <c r="IK582">
        <f>IF(IJ582=1,LN(IH582),"")</f>
        <v/>
      </c>
      <c r="IL582">
        <f>IF(IJ582=1,AVERAGEIFS(II3:II688,IG3:IG688,IG582,IJ3:IJ688,1),"")</f>
        <v/>
      </c>
      <c r="IM582">
        <f>IF(IJ582=1,II582-IL582,"")</f>
        <v/>
      </c>
      <c r="IN582" t="inlineStr">
        <is>
          <t>low</t>
        </is>
      </c>
      <c r="IO582">
        <f>IF(IN582="good",II582,NA())</f>
        <v/>
      </c>
      <c r="IP582">
        <f>IF(IN582="moderate",II582,NA())</f>
        <v/>
      </c>
      <c r="IQ582">
        <f>IF(IN582="low",II582,NA())</f>
        <v/>
      </c>
      <c r="IR582">
        <f>IF(AND(IN582="good",IJ582=1),IM582,NA())</f>
        <v/>
      </c>
      <c r="IS582">
        <f>IF(AND(IN582="moderate",IJ582=1),IM582,NA())</f>
        <v/>
      </c>
      <c r="IT582">
        <f>IF(AND(IN582="low",IJ582=1),IM582,NA())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  <c r="IG583">
        <f>Base_mundial!A582</f>
        <v/>
      </c>
      <c r="IH583">
        <f>Base_mundial!C582</f>
        <v/>
      </c>
      <c r="II583">
        <f>Base_mundial!E582-MIN(tope,DEGREES(ATAN(TAN(RADIANS(pe0-omega*Base_mundial!B582))*(Base_mundial!C582/sref)^(m_-1))))</f>
        <v/>
      </c>
      <c r="IJ583" t="n">
        <v>0</v>
      </c>
      <c r="IK583">
        <f>IF(IJ583=1,LN(IH583),"")</f>
        <v/>
      </c>
      <c r="IL583">
        <f>IF(IJ583=1,AVERAGEIFS(II3:II688,IG3:IG688,IG583,IJ3:IJ688,1),"")</f>
        <v/>
      </c>
      <c r="IM583">
        <f>IF(IJ583=1,II583-IL583,"")</f>
        <v/>
      </c>
      <c r="IN583" t="inlineStr">
        <is>
          <t>low</t>
        </is>
      </c>
      <c r="IO583">
        <f>IF(IN583="good",II583,NA())</f>
        <v/>
      </c>
      <c r="IP583">
        <f>IF(IN583="moderate",II583,NA())</f>
        <v/>
      </c>
      <c r="IQ583">
        <f>IF(IN583="low",II583,NA())</f>
        <v/>
      </c>
      <c r="IR583">
        <f>IF(AND(IN583="good",IJ583=1),IM583,NA())</f>
        <v/>
      </c>
      <c r="IS583">
        <f>IF(AND(IN583="moderate",IJ583=1),IM583,NA())</f>
        <v/>
      </c>
      <c r="IT583">
        <f>IF(AND(IN583="low",IJ583=1),IM583,NA())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  <c r="IG584">
        <f>Base_mundial!A583</f>
        <v/>
      </c>
      <c r="IH584">
        <f>Base_mundial!C583</f>
        <v/>
      </c>
      <c r="II584">
        <f>Base_mundial!E583-MIN(tope,DEGREES(ATAN(TAN(RADIANS(pe0-omega*Base_mundial!B583))*(Base_mundial!C583/sref)^(m_-1))))</f>
        <v/>
      </c>
      <c r="IJ584" t="n">
        <v>0</v>
      </c>
      <c r="IK584">
        <f>IF(IJ584=1,LN(IH584),"")</f>
        <v/>
      </c>
      <c r="IL584">
        <f>IF(IJ584=1,AVERAGEIFS(II3:II688,IG3:IG688,IG584,IJ3:IJ688,1),"")</f>
        <v/>
      </c>
      <c r="IM584">
        <f>IF(IJ584=1,II584-IL584,"")</f>
        <v/>
      </c>
      <c r="IN584" t="inlineStr">
        <is>
          <t>low</t>
        </is>
      </c>
      <c r="IO584">
        <f>IF(IN584="good",II584,NA())</f>
        <v/>
      </c>
      <c r="IP584">
        <f>IF(IN584="moderate",II584,NA())</f>
        <v/>
      </c>
      <c r="IQ584">
        <f>IF(IN584="low",II584,NA())</f>
        <v/>
      </c>
      <c r="IR584">
        <f>IF(AND(IN584="good",IJ584=1),IM584,NA())</f>
        <v/>
      </c>
      <c r="IS584">
        <f>IF(AND(IN584="moderate",IJ584=1),IM584,NA())</f>
        <v/>
      </c>
      <c r="IT584">
        <f>IF(AND(IN584="low",IJ584=1),IM584,NA())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  <c r="IG585">
        <f>Base_mundial!A584</f>
        <v/>
      </c>
      <c r="IH585">
        <f>Base_mundial!C584</f>
        <v/>
      </c>
      <c r="II585">
        <f>Base_mundial!E584-MIN(tope,DEGREES(ATAN(TAN(RADIANS(pe0-omega*Base_mundial!B584))*(Base_mundial!C584/sref)^(m_-1))))</f>
        <v/>
      </c>
      <c r="IJ585" t="n">
        <v>0</v>
      </c>
      <c r="IK585">
        <f>IF(IJ585=1,LN(IH585),"")</f>
        <v/>
      </c>
      <c r="IL585">
        <f>IF(IJ585=1,AVERAGEIFS(II3:II688,IG3:IG688,IG585,IJ3:IJ688,1),"")</f>
        <v/>
      </c>
      <c r="IM585">
        <f>IF(IJ585=1,II585-IL585,"")</f>
        <v/>
      </c>
      <c r="IN585" t="inlineStr">
        <is>
          <t>low</t>
        </is>
      </c>
      <c r="IO585">
        <f>IF(IN585="good",II585,NA())</f>
        <v/>
      </c>
      <c r="IP585">
        <f>IF(IN585="moderate",II585,NA())</f>
        <v/>
      </c>
      <c r="IQ585">
        <f>IF(IN585="low",II585,NA())</f>
        <v/>
      </c>
      <c r="IR585">
        <f>IF(AND(IN585="good",IJ585=1),IM585,NA())</f>
        <v/>
      </c>
      <c r="IS585">
        <f>IF(AND(IN585="moderate",IJ585=1),IM585,NA())</f>
        <v/>
      </c>
      <c r="IT585">
        <f>IF(AND(IN585="low",IJ585=1),IM585,NA())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  <c r="IG586">
        <f>Base_mundial!A585</f>
        <v/>
      </c>
      <c r="IH586">
        <f>Base_mundial!C585</f>
        <v/>
      </c>
      <c r="II586">
        <f>Base_mundial!E585-MIN(tope,DEGREES(ATAN(TAN(RADIANS(pe0-omega*Base_mundial!B585))*(Base_mundial!C585/sref)^(m_-1))))</f>
        <v/>
      </c>
      <c r="IJ586" t="n">
        <v>0</v>
      </c>
      <c r="IK586">
        <f>IF(IJ586=1,LN(IH586),"")</f>
        <v/>
      </c>
      <c r="IL586">
        <f>IF(IJ586=1,AVERAGEIFS(II3:II688,IG3:IG688,IG586,IJ3:IJ688,1),"")</f>
        <v/>
      </c>
      <c r="IM586">
        <f>IF(IJ586=1,II586-IL586,"")</f>
        <v/>
      </c>
      <c r="IN586" t="inlineStr">
        <is>
          <t>low</t>
        </is>
      </c>
      <c r="IO586">
        <f>IF(IN586="good",II586,NA())</f>
        <v/>
      </c>
      <c r="IP586">
        <f>IF(IN586="moderate",II586,NA())</f>
        <v/>
      </c>
      <c r="IQ586">
        <f>IF(IN586="low",II586,NA())</f>
        <v/>
      </c>
      <c r="IR586">
        <f>IF(AND(IN586="good",IJ586=1),IM586,NA())</f>
        <v/>
      </c>
      <c r="IS586">
        <f>IF(AND(IN586="moderate",IJ586=1),IM586,NA())</f>
        <v/>
      </c>
      <c r="IT586">
        <f>IF(AND(IN586="low",IJ586=1),IM586,NA())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  <c r="IG587">
        <f>Base_mundial!A586</f>
        <v/>
      </c>
      <c r="IH587">
        <f>Base_mundial!C586</f>
        <v/>
      </c>
      <c r="II587">
        <f>Base_mundial!E586-MIN(tope,DEGREES(ATAN(TAN(RADIANS(pe0-omega*Base_mundial!B586))*(Base_mundial!C586/sref)^(m_-1))))</f>
        <v/>
      </c>
      <c r="IJ587" t="n">
        <v>0</v>
      </c>
      <c r="IK587">
        <f>IF(IJ587=1,LN(IH587),"")</f>
        <v/>
      </c>
      <c r="IL587">
        <f>IF(IJ587=1,AVERAGEIFS(II3:II688,IG3:IG688,IG587,IJ3:IJ688,1),"")</f>
        <v/>
      </c>
      <c r="IM587">
        <f>IF(IJ587=1,II587-IL587,"")</f>
        <v/>
      </c>
      <c r="IN587" t="inlineStr">
        <is>
          <t>low</t>
        </is>
      </c>
      <c r="IO587">
        <f>IF(IN587="good",II587,NA())</f>
        <v/>
      </c>
      <c r="IP587">
        <f>IF(IN587="moderate",II587,NA())</f>
        <v/>
      </c>
      <c r="IQ587">
        <f>IF(IN587="low",II587,NA())</f>
        <v/>
      </c>
      <c r="IR587">
        <f>IF(AND(IN587="good",IJ587=1),IM587,NA())</f>
        <v/>
      </c>
      <c r="IS587">
        <f>IF(AND(IN587="moderate",IJ587=1),IM587,NA())</f>
        <v/>
      </c>
      <c r="IT587">
        <f>IF(AND(IN587="low",IJ587=1),IM587,NA())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  <c r="IG588">
        <f>Base_mundial!A587</f>
        <v/>
      </c>
      <c r="IH588">
        <f>Base_mundial!C587</f>
        <v/>
      </c>
      <c r="II588">
        <f>Base_mundial!E587-MIN(tope,DEGREES(ATAN(TAN(RADIANS(pe0-omega*Base_mundial!B587))*(Base_mundial!C587/sref)^(m_-1))))</f>
        <v/>
      </c>
      <c r="IJ588" t="n">
        <v>0</v>
      </c>
      <c r="IK588">
        <f>IF(IJ588=1,LN(IH588),"")</f>
        <v/>
      </c>
      <c r="IL588">
        <f>IF(IJ588=1,AVERAGEIFS(II3:II688,IG3:IG688,IG588,IJ3:IJ688,1),"")</f>
        <v/>
      </c>
      <c r="IM588">
        <f>IF(IJ588=1,II588-IL588,"")</f>
        <v/>
      </c>
      <c r="IN588" t="inlineStr">
        <is>
          <t>low</t>
        </is>
      </c>
      <c r="IO588">
        <f>IF(IN588="good",II588,NA())</f>
        <v/>
      </c>
      <c r="IP588">
        <f>IF(IN588="moderate",II588,NA())</f>
        <v/>
      </c>
      <c r="IQ588">
        <f>IF(IN588="low",II588,NA())</f>
        <v/>
      </c>
      <c r="IR588">
        <f>IF(AND(IN588="good",IJ588=1),IM588,NA())</f>
        <v/>
      </c>
      <c r="IS588">
        <f>IF(AND(IN588="moderate",IJ588=1),IM588,NA())</f>
        <v/>
      </c>
      <c r="IT588">
        <f>IF(AND(IN588="low",IJ588=1),IM588,NA())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  <c r="IG589">
        <f>Base_mundial!A588</f>
        <v/>
      </c>
      <c r="IH589">
        <f>Base_mundial!C588</f>
        <v/>
      </c>
      <c r="II589">
        <f>Base_mundial!E588-MIN(tope,DEGREES(ATAN(TAN(RADIANS(pe0-omega*Base_mundial!B588))*(Base_mundial!C588/sref)^(m_-1))))</f>
        <v/>
      </c>
      <c r="IJ589" t="n">
        <v>0</v>
      </c>
      <c r="IK589">
        <f>IF(IJ589=1,LN(IH589),"")</f>
        <v/>
      </c>
      <c r="IL589">
        <f>IF(IJ589=1,AVERAGEIFS(II3:II688,IG3:IG688,IG589,IJ3:IJ688,1),"")</f>
        <v/>
      </c>
      <c r="IM589">
        <f>IF(IJ589=1,II589-IL589,"")</f>
        <v/>
      </c>
      <c r="IN589" t="inlineStr">
        <is>
          <t>low</t>
        </is>
      </c>
      <c r="IO589">
        <f>IF(IN589="good",II589,NA())</f>
        <v/>
      </c>
      <c r="IP589">
        <f>IF(IN589="moderate",II589,NA())</f>
        <v/>
      </c>
      <c r="IQ589">
        <f>IF(IN589="low",II589,NA())</f>
        <v/>
      </c>
      <c r="IR589">
        <f>IF(AND(IN589="good",IJ589=1),IM589,NA())</f>
        <v/>
      </c>
      <c r="IS589">
        <f>IF(AND(IN589="moderate",IJ589=1),IM589,NA())</f>
        <v/>
      </c>
      <c r="IT589">
        <f>IF(AND(IN589="low",IJ589=1),IM589,NA())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  <c r="IG590">
        <f>Base_mundial!A589</f>
        <v/>
      </c>
      <c r="IH590">
        <f>Base_mundial!C589</f>
        <v/>
      </c>
      <c r="II590">
        <f>Base_mundial!E589-MIN(tope,DEGREES(ATAN(TAN(RADIANS(pe0-omega*Base_mundial!B589))*(Base_mundial!C589/sref)^(m_-1))))</f>
        <v/>
      </c>
      <c r="IJ590" t="n">
        <v>0</v>
      </c>
      <c r="IK590">
        <f>IF(IJ590=1,LN(IH590),"")</f>
        <v/>
      </c>
      <c r="IL590">
        <f>IF(IJ590=1,AVERAGEIFS(II3:II688,IG3:IG688,IG590,IJ3:IJ688,1),"")</f>
        <v/>
      </c>
      <c r="IM590">
        <f>IF(IJ590=1,II590-IL590,"")</f>
        <v/>
      </c>
      <c r="IN590" t="inlineStr">
        <is>
          <t>low</t>
        </is>
      </c>
      <c r="IO590">
        <f>IF(IN590="good",II590,NA())</f>
        <v/>
      </c>
      <c r="IP590">
        <f>IF(IN590="moderate",II590,NA())</f>
        <v/>
      </c>
      <c r="IQ590">
        <f>IF(IN590="low",II590,NA())</f>
        <v/>
      </c>
      <c r="IR590">
        <f>IF(AND(IN590="good",IJ590=1),IM590,NA())</f>
        <v/>
      </c>
      <c r="IS590">
        <f>IF(AND(IN590="moderate",IJ590=1),IM590,NA())</f>
        <v/>
      </c>
      <c r="IT590">
        <f>IF(AND(IN590="low",IJ590=1),IM590,NA())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  <c r="IG591">
        <f>Base_mundial!A590</f>
        <v/>
      </c>
      <c r="IH591">
        <f>Base_mundial!C590</f>
        <v/>
      </c>
      <c r="II591">
        <f>Base_mundial!E590-MIN(tope,DEGREES(ATAN(TAN(RADIANS(pe0-omega*Base_mundial!B590))*(Base_mundial!C590/sref)^(m_-1))))</f>
        <v/>
      </c>
      <c r="IJ591" t="n">
        <v>0</v>
      </c>
      <c r="IK591">
        <f>IF(IJ591=1,LN(IH591),"")</f>
        <v/>
      </c>
      <c r="IL591">
        <f>IF(IJ591=1,AVERAGEIFS(II3:II688,IG3:IG688,IG591,IJ3:IJ688,1),"")</f>
        <v/>
      </c>
      <c r="IM591">
        <f>IF(IJ591=1,II591-IL591,"")</f>
        <v/>
      </c>
      <c r="IN591" t="inlineStr">
        <is>
          <t>low</t>
        </is>
      </c>
      <c r="IO591">
        <f>IF(IN591="good",II591,NA())</f>
        <v/>
      </c>
      <c r="IP591">
        <f>IF(IN591="moderate",II591,NA())</f>
        <v/>
      </c>
      <c r="IQ591">
        <f>IF(IN591="low",II591,NA())</f>
        <v/>
      </c>
      <c r="IR591">
        <f>IF(AND(IN591="good",IJ591=1),IM591,NA())</f>
        <v/>
      </c>
      <c r="IS591">
        <f>IF(AND(IN591="moderate",IJ591=1),IM591,NA())</f>
        <v/>
      </c>
      <c r="IT591">
        <f>IF(AND(IN591="low",IJ591=1),IM591,NA())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  <c r="IG592">
        <f>Base_mundial!A591</f>
        <v/>
      </c>
      <c r="IH592">
        <f>Base_mundial!C591</f>
        <v/>
      </c>
      <c r="II592">
        <f>Base_mundial!E591-MIN(tope,DEGREES(ATAN(TAN(RADIANS(pe0-omega*Base_mundial!B591))*(Base_mundial!C591/sref)^(m_-1))))</f>
        <v/>
      </c>
      <c r="IJ592" t="n">
        <v>0</v>
      </c>
      <c r="IK592">
        <f>IF(IJ592=1,LN(IH592),"")</f>
        <v/>
      </c>
      <c r="IL592">
        <f>IF(IJ592=1,AVERAGEIFS(II3:II688,IG3:IG688,IG592,IJ3:IJ688,1),"")</f>
        <v/>
      </c>
      <c r="IM592">
        <f>IF(IJ592=1,II592-IL592,"")</f>
        <v/>
      </c>
      <c r="IN592" t="inlineStr">
        <is>
          <t>low</t>
        </is>
      </c>
      <c r="IO592">
        <f>IF(IN592="good",II592,NA())</f>
        <v/>
      </c>
      <c r="IP592">
        <f>IF(IN592="moderate",II592,NA())</f>
        <v/>
      </c>
      <c r="IQ592">
        <f>IF(IN592="low",II592,NA())</f>
        <v/>
      </c>
      <c r="IR592">
        <f>IF(AND(IN592="good",IJ592=1),IM592,NA())</f>
        <v/>
      </c>
      <c r="IS592">
        <f>IF(AND(IN592="moderate",IJ592=1),IM592,NA())</f>
        <v/>
      </c>
      <c r="IT592">
        <f>IF(AND(IN592="low",IJ592=1),IM592,NA())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  <c r="IG593">
        <f>Base_mundial!A592</f>
        <v/>
      </c>
      <c r="IH593">
        <f>Base_mundial!C592</f>
        <v/>
      </c>
      <c r="II593">
        <f>Base_mundial!E592-MIN(tope,DEGREES(ATAN(TAN(RADIANS(pe0-omega*Base_mundial!B592))*(Base_mundial!C592/sref)^(m_-1))))</f>
        <v/>
      </c>
      <c r="IJ593" t="n">
        <v>0</v>
      </c>
      <c r="IK593">
        <f>IF(IJ593=1,LN(IH593),"")</f>
        <v/>
      </c>
      <c r="IL593">
        <f>IF(IJ593=1,AVERAGEIFS(II3:II688,IG3:IG688,IG593,IJ3:IJ688,1),"")</f>
        <v/>
      </c>
      <c r="IM593">
        <f>IF(IJ593=1,II593-IL593,"")</f>
        <v/>
      </c>
      <c r="IN593" t="inlineStr">
        <is>
          <t>low</t>
        </is>
      </c>
      <c r="IO593">
        <f>IF(IN593="good",II593,NA())</f>
        <v/>
      </c>
      <c r="IP593">
        <f>IF(IN593="moderate",II593,NA())</f>
        <v/>
      </c>
      <c r="IQ593">
        <f>IF(IN593="low",II593,NA())</f>
        <v/>
      </c>
      <c r="IR593">
        <f>IF(AND(IN593="good",IJ593=1),IM593,NA())</f>
        <v/>
      </c>
      <c r="IS593">
        <f>IF(AND(IN593="moderate",IJ593=1),IM593,NA())</f>
        <v/>
      </c>
      <c r="IT593">
        <f>IF(AND(IN593="low",IJ593=1),IM593,NA())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  <c r="IG594">
        <f>Base_mundial!A593</f>
        <v/>
      </c>
      <c r="IH594">
        <f>Base_mundial!C593</f>
        <v/>
      </c>
      <c r="II594">
        <f>Base_mundial!E593-MIN(tope,DEGREES(ATAN(TAN(RADIANS(pe0-omega*Base_mundial!B593))*(Base_mundial!C593/sref)^(m_-1))))</f>
        <v/>
      </c>
      <c r="IJ594" t="n">
        <v>0</v>
      </c>
      <c r="IK594">
        <f>IF(IJ594=1,LN(IH594),"")</f>
        <v/>
      </c>
      <c r="IL594">
        <f>IF(IJ594=1,AVERAGEIFS(II3:II688,IG3:IG688,IG594,IJ3:IJ688,1),"")</f>
        <v/>
      </c>
      <c r="IM594">
        <f>IF(IJ594=1,II594-IL594,"")</f>
        <v/>
      </c>
      <c r="IN594" t="inlineStr">
        <is>
          <t>low</t>
        </is>
      </c>
      <c r="IO594">
        <f>IF(IN594="good",II594,NA())</f>
        <v/>
      </c>
      <c r="IP594">
        <f>IF(IN594="moderate",II594,NA())</f>
        <v/>
      </c>
      <c r="IQ594">
        <f>IF(IN594="low",II594,NA())</f>
        <v/>
      </c>
      <c r="IR594">
        <f>IF(AND(IN594="good",IJ594=1),IM594,NA())</f>
        <v/>
      </c>
      <c r="IS594">
        <f>IF(AND(IN594="moderate",IJ594=1),IM594,NA())</f>
        <v/>
      </c>
      <c r="IT594">
        <f>IF(AND(IN594="low",IJ594=1),IM594,NA())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  <c r="IG595">
        <f>Base_mundial!A594</f>
        <v/>
      </c>
      <c r="IH595">
        <f>Base_mundial!C594</f>
        <v/>
      </c>
      <c r="II595">
        <f>Base_mundial!E594-MIN(tope,DEGREES(ATAN(TAN(RADIANS(pe0-omega*Base_mundial!B594))*(Base_mundial!C594/sref)^(m_-1))))</f>
        <v/>
      </c>
      <c r="IJ595" t="n">
        <v>0</v>
      </c>
      <c r="IK595">
        <f>IF(IJ595=1,LN(IH595),"")</f>
        <v/>
      </c>
      <c r="IL595">
        <f>IF(IJ595=1,AVERAGEIFS(II3:II688,IG3:IG688,IG595,IJ3:IJ688,1),"")</f>
        <v/>
      </c>
      <c r="IM595">
        <f>IF(IJ595=1,II595-IL595,"")</f>
        <v/>
      </c>
      <c r="IN595" t="inlineStr">
        <is>
          <t>low</t>
        </is>
      </c>
      <c r="IO595">
        <f>IF(IN595="good",II595,NA())</f>
        <v/>
      </c>
      <c r="IP595">
        <f>IF(IN595="moderate",II595,NA())</f>
        <v/>
      </c>
      <c r="IQ595">
        <f>IF(IN595="low",II595,NA())</f>
        <v/>
      </c>
      <c r="IR595">
        <f>IF(AND(IN595="good",IJ595=1),IM595,NA())</f>
        <v/>
      </c>
      <c r="IS595">
        <f>IF(AND(IN595="moderate",IJ595=1),IM595,NA())</f>
        <v/>
      </c>
      <c r="IT595">
        <f>IF(AND(IN595="low",IJ595=1),IM595,NA())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  <c r="IG596">
        <f>Base_mundial!A595</f>
        <v/>
      </c>
      <c r="IH596">
        <f>Base_mundial!C595</f>
        <v/>
      </c>
      <c r="II596">
        <f>Base_mundial!E595-MIN(tope,DEGREES(ATAN(TAN(RADIANS(pe0-omega*Base_mundial!B595))*(Base_mundial!C595/sref)^(m_-1))))</f>
        <v/>
      </c>
      <c r="IJ596" t="n">
        <v>0</v>
      </c>
      <c r="IK596">
        <f>IF(IJ596=1,LN(IH596),"")</f>
        <v/>
      </c>
      <c r="IL596">
        <f>IF(IJ596=1,AVERAGEIFS(II3:II688,IG3:IG688,IG596,IJ3:IJ688,1),"")</f>
        <v/>
      </c>
      <c r="IM596">
        <f>IF(IJ596=1,II596-IL596,"")</f>
        <v/>
      </c>
      <c r="IN596" t="inlineStr">
        <is>
          <t>low</t>
        </is>
      </c>
      <c r="IO596">
        <f>IF(IN596="good",II596,NA())</f>
        <v/>
      </c>
      <c r="IP596">
        <f>IF(IN596="moderate",II596,NA())</f>
        <v/>
      </c>
      <c r="IQ596">
        <f>IF(IN596="low",II596,NA())</f>
        <v/>
      </c>
      <c r="IR596">
        <f>IF(AND(IN596="good",IJ596=1),IM596,NA())</f>
        <v/>
      </c>
      <c r="IS596">
        <f>IF(AND(IN596="moderate",IJ596=1),IM596,NA())</f>
        <v/>
      </c>
      <c r="IT596">
        <f>IF(AND(IN596="low",IJ596=1),IM596,NA())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  <c r="IG597">
        <f>Base_mundial!A596</f>
        <v/>
      </c>
      <c r="IH597">
        <f>Base_mundial!C596</f>
        <v/>
      </c>
      <c r="II597">
        <f>Base_mundial!E596-MIN(tope,DEGREES(ATAN(TAN(RADIANS(pe0-omega*Base_mundial!B596))*(Base_mundial!C596/sref)^(m_-1))))</f>
        <v/>
      </c>
      <c r="IJ597" t="n">
        <v>0</v>
      </c>
      <c r="IK597">
        <f>IF(IJ597=1,LN(IH597),"")</f>
        <v/>
      </c>
      <c r="IL597">
        <f>IF(IJ597=1,AVERAGEIFS(II3:II688,IG3:IG688,IG597,IJ3:IJ688,1),"")</f>
        <v/>
      </c>
      <c r="IM597">
        <f>IF(IJ597=1,II597-IL597,"")</f>
        <v/>
      </c>
      <c r="IN597" t="inlineStr">
        <is>
          <t>low</t>
        </is>
      </c>
      <c r="IO597">
        <f>IF(IN597="good",II597,NA())</f>
        <v/>
      </c>
      <c r="IP597">
        <f>IF(IN597="moderate",II597,NA())</f>
        <v/>
      </c>
      <c r="IQ597">
        <f>IF(IN597="low",II597,NA())</f>
        <v/>
      </c>
      <c r="IR597">
        <f>IF(AND(IN597="good",IJ597=1),IM597,NA())</f>
        <v/>
      </c>
      <c r="IS597">
        <f>IF(AND(IN597="moderate",IJ597=1),IM597,NA())</f>
        <v/>
      </c>
      <c r="IT597">
        <f>IF(AND(IN597="low",IJ597=1),IM597,NA())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  <c r="IG598">
        <f>Base_mundial!A597</f>
        <v/>
      </c>
      <c r="IH598">
        <f>Base_mundial!C597</f>
        <v/>
      </c>
      <c r="II598">
        <f>Base_mundial!E597-MIN(tope,DEGREES(ATAN(TAN(RADIANS(pe0-omega*Base_mundial!B597))*(Base_mundial!C597/sref)^(m_-1))))</f>
        <v/>
      </c>
      <c r="IJ598" t="n">
        <v>0</v>
      </c>
      <c r="IK598">
        <f>IF(IJ598=1,LN(IH598),"")</f>
        <v/>
      </c>
      <c r="IL598">
        <f>IF(IJ598=1,AVERAGEIFS(II3:II688,IG3:IG688,IG598,IJ3:IJ688,1),"")</f>
        <v/>
      </c>
      <c r="IM598">
        <f>IF(IJ598=1,II598-IL598,"")</f>
        <v/>
      </c>
      <c r="IN598" t="inlineStr">
        <is>
          <t>low</t>
        </is>
      </c>
      <c r="IO598">
        <f>IF(IN598="good",II598,NA())</f>
        <v/>
      </c>
      <c r="IP598">
        <f>IF(IN598="moderate",II598,NA())</f>
        <v/>
      </c>
      <c r="IQ598">
        <f>IF(IN598="low",II598,NA())</f>
        <v/>
      </c>
      <c r="IR598">
        <f>IF(AND(IN598="good",IJ598=1),IM598,NA())</f>
        <v/>
      </c>
      <c r="IS598">
        <f>IF(AND(IN598="moderate",IJ598=1),IM598,NA())</f>
        <v/>
      </c>
      <c r="IT598">
        <f>IF(AND(IN598="low",IJ598=1),IM598,NA())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  <c r="IG599">
        <f>Base_mundial!A598</f>
        <v/>
      </c>
      <c r="IH599">
        <f>Base_mundial!C598</f>
        <v/>
      </c>
      <c r="II599">
        <f>Base_mundial!E598-MIN(tope,DEGREES(ATAN(TAN(RADIANS(pe0-omega*Base_mundial!B598))*(Base_mundial!C598/sref)^(m_-1))))</f>
        <v/>
      </c>
      <c r="IJ599" t="n">
        <v>0</v>
      </c>
      <c r="IK599">
        <f>IF(IJ599=1,LN(IH599),"")</f>
        <v/>
      </c>
      <c r="IL599">
        <f>IF(IJ599=1,AVERAGEIFS(II3:II688,IG3:IG688,IG599,IJ3:IJ688,1),"")</f>
        <v/>
      </c>
      <c r="IM599">
        <f>IF(IJ599=1,II599-IL599,"")</f>
        <v/>
      </c>
      <c r="IN599" t="inlineStr">
        <is>
          <t>low</t>
        </is>
      </c>
      <c r="IO599">
        <f>IF(IN599="good",II599,NA())</f>
        <v/>
      </c>
      <c r="IP599">
        <f>IF(IN599="moderate",II599,NA())</f>
        <v/>
      </c>
      <c r="IQ599">
        <f>IF(IN599="low",II599,NA())</f>
        <v/>
      </c>
      <c r="IR599">
        <f>IF(AND(IN599="good",IJ599=1),IM599,NA())</f>
        <v/>
      </c>
      <c r="IS599">
        <f>IF(AND(IN599="moderate",IJ599=1),IM599,NA())</f>
        <v/>
      </c>
      <c r="IT599">
        <f>IF(AND(IN599="low",IJ599=1),IM599,NA())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  <c r="IG600">
        <f>Base_mundial!A599</f>
        <v/>
      </c>
      <c r="IH600">
        <f>Base_mundial!C599</f>
        <v/>
      </c>
      <c r="II600">
        <f>Base_mundial!E599-MIN(tope,DEGREES(ATAN(TAN(RADIANS(pe0-omega*Base_mundial!B599))*(Base_mundial!C599/sref)^(m_-1))))</f>
        <v/>
      </c>
      <c r="IJ600" t="n">
        <v>0</v>
      </c>
      <c r="IK600">
        <f>IF(IJ600=1,LN(IH600),"")</f>
        <v/>
      </c>
      <c r="IL600">
        <f>IF(IJ600=1,AVERAGEIFS(II3:II688,IG3:IG688,IG600,IJ3:IJ688,1),"")</f>
        <v/>
      </c>
      <c r="IM600">
        <f>IF(IJ600=1,II600-IL600,"")</f>
        <v/>
      </c>
      <c r="IN600" t="inlineStr">
        <is>
          <t>low</t>
        </is>
      </c>
      <c r="IO600">
        <f>IF(IN600="good",II600,NA())</f>
        <v/>
      </c>
      <c r="IP600">
        <f>IF(IN600="moderate",II600,NA())</f>
        <v/>
      </c>
      <c r="IQ600">
        <f>IF(IN600="low",II600,NA())</f>
        <v/>
      </c>
      <c r="IR600">
        <f>IF(AND(IN600="good",IJ600=1),IM600,NA())</f>
        <v/>
      </c>
      <c r="IS600">
        <f>IF(AND(IN600="moderate",IJ600=1),IM600,NA())</f>
        <v/>
      </c>
      <c r="IT600">
        <f>IF(AND(IN600="low",IJ600=1),IM600,NA())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  <c r="IG601">
        <f>Base_mundial!A600</f>
        <v/>
      </c>
      <c r="IH601">
        <f>Base_mundial!C600</f>
        <v/>
      </c>
      <c r="II601">
        <f>Base_mundial!E600-MIN(tope,DEGREES(ATAN(TAN(RADIANS(pe0-omega*Base_mundial!B600))*(Base_mundial!C600/sref)^(m_-1))))</f>
        <v/>
      </c>
      <c r="IJ601" t="n">
        <v>0</v>
      </c>
      <c r="IK601">
        <f>IF(IJ601=1,LN(IH601),"")</f>
        <v/>
      </c>
      <c r="IL601">
        <f>IF(IJ601=1,AVERAGEIFS(II3:II688,IG3:IG688,IG601,IJ3:IJ688,1),"")</f>
        <v/>
      </c>
      <c r="IM601">
        <f>IF(IJ601=1,II601-IL601,"")</f>
        <v/>
      </c>
      <c r="IN601" t="inlineStr">
        <is>
          <t>low</t>
        </is>
      </c>
      <c r="IO601">
        <f>IF(IN601="good",II601,NA())</f>
        <v/>
      </c>
      <c r="IP601">
        <f>IF(IN601="moderate",II601,NA())</f>
        <v/>
      </c>
      <c r="IQ601">
        <f>IF(IN601="low",II601,NA())</f>
        <v/>
      </c>
      <c r="IR601">
        <f>IF(AND(IN601="good",IJ601=1),IM601,NA())</f>
        <v/>
      </c>
      <c r="IS601">
        <f>IF(AND(IN601="moderate",IJ601=1),IM601,NA())</f>
        <v/>
      </c>
      <c r="IT601">
        <f>IF(AND(IN601="low",IJ601=1),IM601,NA())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  <c r="IG602">
        <f>Base_mundial!A601</f>
        <v/>
      </c>
      <c r="IH602">
        <f>Base_mundial!C601</f>
        <v/>
      </c>
      <c r="II602">
        <f>Base_mundial!E601-MIN(tope,DEGREES(ATAN(TAN(RADIANS(pe0-omega*Base_mundial!B601))*(Base_mundial!C601/sref)^(m_-1))))</f>
        <v/>
      </c>
      <c r="IJ602" t="n">
        <v>0</v>
      </c>
      <c r="IK602">
        <f>IF(IJ602=1,LN(IH602),"")</f>
        <v/>
      </c>
      <c r="IL602">
        <f>IF(IJ602=1,AVERAGEIFS(II3:II688,IG3:IG688,IG602,IJ3:IJ688,1),"")</f>
        <v/>
      </c>
      <c r="IM602">
        <f>IF(IJ602=1,II602-IL602,"")</f>
        <v/>
      </c>
      <c r="IN602" t="inlineStr">
        <is>
          <t>low</t>
        </is>
      </c>
      <c r="IO602">
        <f>IF(IN602="good",II602,NA())</f>
        <v/>
      </c>
      <c r="IP602">
        <f>IF(IN602="moderate",II602,NA())</f>
        <v/>
      </c>
      <c r="IQ602">
        <f>IF(IN602="low",II602,NA())</f>
        <v/>
      </c>
      <c r="IR602">
        <f>IF(AND(IN602="good",IJ602=1),IM602,NA())</f>
        <v/>
      </c>
      <c r="IS602">
        <f>IF(AND(IN602="moderate",IJ602=1),IM602,NA())</f>
        <v/>
      </c>
      <c r="IT602">
        <f>IF(AND(IN602="low",IJ602=1),IM602,NA())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  <c r="IG603">
        <f>Base_mundial!A602</f>
        <v/>
      </c>
      <c r="IH603">
        <f>Base_mundial!C602</f>
        <v/>
      </c>
      <c r="II603">
        <f>Base_mundial!E602-MIN(tope,DEGREES(ATAN(TAN(RADIANS(pe0-omega*Base_mundial!B602))*(Base_mundial!C602/sref)^(m_-1))))</f>
        <v/>
      </c>
      <c r="IJ603" t="n">
        <v>0</v>
      </c>
      <c r="IK603">
        <f>IF(IJ603=1,LN(IH603),"")</f>
        <v/>
      </c>
      <c r="IL603">
        <f>IF(IJ603=1,AVERAGEIFS(II3:II688,IG3:IG688,IG603,IJ3:IJ688,1),"")</f>
        <v/>
      </c>
      <c r="IM603">
        <f>IF(IJ603=1,II603-IL603,"")</f>
        <v/>
      </c>
      <c r="IN603" t="inlineStr">
        <is>
          <t>low</t>
        </is>
      </c>
      <c r="IO603">
        <f>IF(IN603="good",II603,NA())</f>
        <v/>
      </c>
      <c r="IP603">
        <f>IF(IN603="moderate",II603,NA())</f>
        <v/>
      </c>
      <c r="IQ603">
        <f>IF(IN603="low",II603,NA())</f>
        <v/>
      </c>
      <c r="IR603">
        <f>IF(AND(IN603="good",IJ603=1),IM603,NA())</f>
        <v/>
      </c>
      <c r="IS603">
        <f>IF(AND(IN603="moderate",IJ603=1),IM603,NA())</f>
        <v/>
      </c>
      <c r="IT603">
        <f>IF(AND(IN603="low",IJ603=1),IM603,NA())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  <c r="IG604">
        <f>Base_mundial!A603</f>
        <v/>
      </c>
      <c r="IH604">
        <f>Base_mundial!C603</f>
        <v/>
      </c>
      <c r="II604">
        <f>Base_mundial!E603-MIN(tope,DEGREES(ATAN(TAN(RADIANS(pe0-omega*Base_mundial!B603))*(Base_mundial!C603/sref)^(m_-1))))</f>
        <v/>
      </c>
      <c r="IJ604" t="n">
        <v>0</v>
      </c>
      <c r="IK604">
        <f>IF(IJ604=1,LN(IH604),"")</f>
        <v/>
      </c>
      <c r="IL604">
        <f>IF(IJ604=1,AVERAGEIFS(II3:II688,IG3:IG688,IG604,IJ3:IJ688,1),"")</f>
        <v/>
      </c>
      <c r="IM604">
        <f>IF(IJ604=1,II604-IL604,"")</f>
        <v/>
      </c>
      <c r="IN604" t="inlineStr">
        <is>
          <t>low</t>
        </is>
      </c>
      <c r="IO604">
        <f>IF(IN604="good",II604,NA())</f>
        <v/>
      </c>
      <c r="IP604">
        <f>IF(IN604="moderate",II604,NA())</f>
        <v/>
      </c>
      <c r="IQ604">
        <f>IF(IN604="low",II604,NA())</f>
        <v/>
      </c>
      <c r="IR604">
        <f>IF(AND(IN604="good",IJ604=1),IM604,NA())</f>
        <v/>
      </c>
      <c r="IS604">
        <f>IF(AND(IN604="moderate",IJ604=1),IM604,NA())</f>
        <v/>
      </c>
      <c r="IT604">
        <f>IF(AND(IN604="low",IJ604=1),IM604,NA())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  <c r="IG605">
        <f>Base_mundial!A604</f>
        <v/>
      </c>
      <c r="IH605">
        <f>Base_mundial!C604</f>
        <v/>
      </c>
      <c r="II605">
        <f>Base_mundial!E604-MIN(tope,DEGREES(ATAN(TAN(RADIANS(pe0-omega*Base_mundial!B604))*(Base_mundial!C604/sref)^(m_-1))))</f>
        <v/>
      </c>
      <c r="IJ605" t="n">
        <v>0</v>
      </c>
      <c r="IK605">
        <f>IF(IJ605=1,LN(IH605),"")</f>
        <v/>
      </c>
      <c r="IL605">
        <f>IF(IJ605=1,AVERAGEIFS(II3:II688,IG3:IG688,IG605,IJ3:IJ688,1),"")</f>
        <v/>
      </c>
      <c r="IM605">
        <f>IF(IJ605=1,II605-IL605,"")</f>
        <v/>
      </c>
      <c r="IN605" t="inlineStr">
        <is>
          <t>low</t>
        </is>
      </c>
      <c r="IO605">
        <f>IF(IN605="good",II605,NA())</f>
        <v/>
      </c>
      <c r="IP605">
        <f>IF(IN605="moderate",II605,NA())</f>
        <v/>
      </c>
      <c r="IQ605">
        <f>IF(IN605="low",II605,NA())</f>
        <v/>
      </c>
      <c r="IR605">
        <f>IF(AND(IN605="good",IJ605=1),IM605,NA())</f>
        <v/>
      </c>
      <c r="IS605">
        <f>IF(AND(IN605="moderate",IJ605=1),IM605,NA())</f>
        <v/>
      </c>
      <c r="IT605">
        <f>IF(AND(IN605="low",IJ605=1),IM605,NA())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  <c r="IG606">
        <f>Base_mundial!A605</f>
        <v/>
      </c>
      <c r="IH606">
        <f>Base_mundial!C605</f>
        <v/>
      </c>
      <c r="II606">
        <f>Base_mundial!E605-MIN(tope,DEGREES(ATAN(TAN(RADIANS(pe0-omega*Base_mundial!B605))*(Base_mundial!C605/sref)^(m_-1))))</f>
        <v/>
      </c>
      <c r="IJ606" t="n">
        <v>0</v>
      </c>
      <c r="IK606">
        <f>IF(IJ606=1,LN(IH606),"")</f>
        <v/>
      </c>
      <c r="IL606">
        <f>IF(IJ606=1,AVERAGEIFS(II3:II688,IG3:IG688,IG606,IJ3:IJ688,1),"")</f>
        <v/>
      </c>
      <c r="IM606">
        <f>IF(IJ606=1,II606-IL606,"")</f>
        <v/>
      </c>
      <c r="IN606" t="inlineStr">
        <is>
          <t>low</t>
        </is>
      </c>
      <c r="IO606">
        <f>IF(IN606="good",II606,NA())</f>
        <v/>
      </c>
      <c r="IP606">
        <f>IF(IN606="moderate",II606,NA())</f>
        <v/>
      </c>
      <c r="IQ606">
        <f>IF(IN606="low",II606,NA())</f>
        <v/>
      </c>
      <c r="IR606">
        <f>IF(AND(IN606="good",IJ606=1),IM606,NA())</f>
        <v/>
      </c>
      <c r="IS606">
        <f>IF(AND(IN606="moderate",IJ606=1),IM606,NA())</f>
        <v/>
      </c>
      <c r="IT606">
        <f>IF(AND(IN606="low",IJ606=1),IM606,NA())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  <c r="IG607">
        <f>Base_mundial!A606</f>
        <v/>
      </c>
      <c r="IH607">
        <f>Base_mundial!C606</f>
        <v/>
      </c>
      <c r="II607">
        <f>Base_mundial!E606-MIN(tope,DEGREES(ATAN(TAN(RADIANS(pe0-omega*Base_mundial!B606))*(Base_mundial!C606/sref)^(m_-1))))</f>
        <v/>
      </c>
      <c r="IJ607" t="n">
        <v>0</v>
      </c>
      <c r="IK607">
        <f>IF(IJ607=1,LN(IH607),"")</f>
        <v/>
      </c>
      <c r="IL607">
        <f>IF(IJ607=1,AVERAGEIFS(II3:II688,IG3:IG688,IG607,IJ3:IJ688,1),"")</f>
        <v/>
      </c>
      <c r="IM607">
        <f>IF(IJ607=1,II607-IL607,"")</f>
        <v/>
      </c>
      <c r="IN607" t="inlineStr">
        <is>
          <t>low</t>
        </is>
      </c>
      <c r="IO607">
        <f>IF(IN607="good",II607,NA())</f>
        <v/>
      </c>
      <c r="IP607">
        <f>IF(IN607="moderate",II607,NA())</f>
        <v/>
      </c>
      <c r="IQ607">
        <f>IF(IN607="low",II607,NA())</f>
        <v/>
      </c>
      <c r="IR607">
        <f>IF(AND(IN607="good",IJ607=1),IM607,NA())</f>
        <v/>
      </c>
      <c r="IS607">
        <f>IF(AND(IN607="moderate",IJ607=1),IM607,NA())</f>
        <v/>
      </c>
      <c r="IT607">
        <f>IF(AND(IN607="low",IJ607=1),IM607,NA())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  <c r="IG608">
        <f>Base_mundial!A607</f>
        <v/>
      </c>
      <c r="IH608">
        <f>Base_mundial!C607</f>
        <v/>
      </c>
      <c r="II608">
        <f>Base_mundial!E607-MIN(tope,DEGREES(ATAN(TAN(RADIANS(pe0-omega*Base_mundial!B607))*(Base_mundial!C607/sref)^(m_-1))))</f>
        <v/>
      </c>
      <c r="IJ608" t="n">
        <v>0</v>
      </c>
      <c r="IK608">
        <f>IF(IJ608=1,LN(IH608),"")</f>
        <v/>
      </c>
      <c r="IL608">
        <f>IF(IJ608=1,AVERAGEIFS(II3:II688,IG3:IG688,IG608,IJ3:IJ688,1),"")</f>
        <v/>
      </c>
      <c r="IM608">
        <f>IF(IJ608=1,II608-IL608,"")</f>
        <v/>
      </c>
      <c r="IN608" t="inlineStr">
        <is>
          <t>low</t>
        </is>
      </c>
      <c r="IO608">
        <f>IF(IN608="good",II608,NA())</f>
        <v/>
      </c>
      <c r="IP608">
        <f>IF(IN608="moderate",II608,NA())</f>
        <v/>
      </c>
      <c r="IQ608">
        <f>IF(IN608="low",II608,NA())</f>
        <v/>
      </c>
      <c r="IR608">
        <f>IF(AND(IN608="good",IJ608=1),IM608,NA())</f>
        <v/>
      </c>
      <c r="IS608">
        <f>IF(AND(IN608="moderate",IJ608=1),IM608,NA())</f>
        <v/>
      </c>
      <c r="IT608">
        <f>IF(AND(IN608="low",IJ608=1),IM608,NA())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  <c r="IG609">
        <f>Base_mundial!A608</f>
        <v/>
      </c>
      <c r="IH609">
        <f>Base_mundial!C608</f>
        <v/>
      </c>
      <c r="II609">
        <f>Base_mundial!E608-MIN(tope,DEGREES(ATAN(TAN(RADIANS(pe0-omega*Base_mundial!B608))*(Base_mundial!C608/sref)^(m_-1))))</f>
        <v/>
      </c>
      <c r="IJ609" t="n">
        <v>0</v>
      </c>
      <c r="IK609">
        <f>IF(IJ609=1,LN(IH609),"")</f>
        <v/>
      </c>
      <c r="IL609">
        <f>IF(IJ609=1,AVERAGEIFS(II3:II688,IG3:IG688,IG609,IJ3:IJ688,1),"")</f>
        <v/>
      </c>
      <c r="IM609">
        <f>IF(IJ609=1,II609-IL609,"")</f>
        <v/>
      </c>
      <c r="IN609" t="inlineStr">
        <is>
          <t>low</t>
        </is>
      </c>
      <c r="IO609">
        <f>IF(IN609="good",II609,NA())</f>
        <v/>
      </c>
      <c r="IP609">
        <f>IF(IN609="moderate",II609,NA())</f>
        <v/>
      </c>
      <c r="IQ609">
        <f>IF(IN609="low",II609,NA())</f>
        <v/>
      </c>
      <c r="IR609">
        <f>IF(AND(IN609="good",IJ609=1),IM609,NA())</f>
        <v/>
      </c>
      <c r="IS609">
        <f>IF(AND(IN609="moderate",IJ609=1),IM609,NA())</f>
        <v/>
      </c>
      <c r="IT609">
        <f>IF(AND(IN609="low",IJ609=1),IM609,NA())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  <c r="IG610">
        <f>Base_mundial!A609</f>
        <v/>
      </c>
      <c r="IH610">
        <f>Base_mundial!C609</f>
        <v/>
      </c>
      <c r="II610">
        <f>Base_mundial!E609-MIN(tope,DEGREES(ATAN(TAN(RADIANS(pe0-omega*Base_mundial!B609))*(Base_mundial!C609/sref)^(m_-1))))</f>
        <v/>
      </c>
      <c r="IJ610" t="n">
        <v>0</v>
      </c>
      <c r="IK610">
        <f>IF(IJ610=1,LN(IH610),"")</f>
        <v/>
      </c>
      <c r="IL610">
        <f>IF(IJ610=1,AVERAGEIFS(II3:II688,IG3:IG688,IG610,IJ3:IJ688,1),"")</f>
        <v/>
      </c>
      <c r="IM610">
        <f>IF(IJ610=1,II610-IL610,"")</f>
        <v/>
      </c>
      <c r="IN610" t="inlineStr">
        <is>
          <t>low</t>
        </is>
      </c>
      <c r="IO610">
        <f>IF(IN610="good",II610,NA())</f>
        <v/>
      </c>
      <c r="IP610">
        <f>IF(IN610="moderate",II610,NA())</f>
        <v/>
      </c>
      <c r="IQ610">
        <f>IF(IN610="low",II610,NA())</f>
        <v/>
      </c>
      <c r="IR610">
        <f>IF(AND(IN610="good",IJ610=1),IM610,NA())</f>
        <v/>
      </c>
      <c r="IS610">
        <f>IF(AND(IN610="moderate",IJ610=1),IM610,NA())</f>
        <v/>
      </c>
      <c r="IT610">
        <f>IF(AND(IN610="low",IJ610=1),IM610,NA())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  <c r="IG611">
        <f>Base_mundial!A610</f>
        <v/>
      </c>
      <c r="IH611">
        <f>Base_mundial!C610</f>
        <v/>
      </c>
      <c r="II611">
        <f>Base_mundial!E610-MIN(tope,DEGREES(ATAN(TAN(RADIANS(pe0-omega*Base_mundial!B610))*(Base_mundial!C610/sref)^(m_-1))))</f>
        <v/>
      </c>
      <c r="IJ611" t="n">
        <v>0</v>
      </c>
      <c r="IK611">
        <f>IF(IJ611=1,LN(IH611),"")</f>
        <v/>
      </c>
      <c r="IL611">
        <f>IF(IJ611=1,AVERAGEIFS(II3:II688,IG3:IG688,IG611,IJ3:IJ688,1),"")</f>
        <v/>
      </c>
      <c r="IM611">
        <f>IF(IJ611=1,II611-IL611,"")</f>
        <v/>
      </c>
      <c r="IN611" t="inlineStr">
        <is>
          <t>good</t>
        </is>
      </c>
      <c r="IO611">
        <f>IF(IN611="good",II611,NA())</f>
        <v/>
      </c>
      <c r="IP611">
        <f>IF(IN611="moderate",II611,NA())</f>
        <v/>
      </c>
      <c r="IQ611">
        <f>IF(IN611="low",II611,NA())</f>
        <v/>
      </c>
      <c r="IR611">
        <f>IF(AND(IN611="good",IJ611=1),IM611,NA())</f>
        <v/>
      </c>
      <c r="IS611">
        <f>IF(AND(IN611="moderate",IJ611=1),IM611,NA())</f>
        <v/>
      </c>
      <c r="IT611">
        <f>IF(AND(IN611="low",IJ611=1),IM611,NA())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  <c r="IG612">
        <f>Base_mundial!A611</f>
        <v/>
      </c>
      <c r="IH612">
        <f>Base_mundial!C611</f>
        <v/>
      </c>
      <c r="II612">
        <f>Base_mundial!E611-MIN(tope,DEGREES(ATAN(TAN(RADIANS(pe0-omega*Base_mundial!B611))*(Base_mundial!C611/sref)^(m_-1))))</f>
        <v/>
      </c>
      <c r="IJ612" t="n">
        <v>0</v>
      </c>
      <c r="IK612">
        <f>IF(IJ612=1,LN(IH612),"")</f>
        <v/>
      </c>
      <c r="IL612">
        <f>IF(IJ612=1,AVERAGEIFS(II3:II688,IG3:IG688,IG612,IJ3:IJ688,1),"")</f>
        <v/>
      </c>
      <c r="IM612">
        <f>IF(IJ612=1,II612-IL612,"")</f>
        <v/>
      </c>
      <c r="IN612" t="inlineStr">
        <is>
          <t>good</t>
        </is>
      </c>
      <c r="IO612">
        <f>IF(IN612="good",II612,NA())</f>
        <v/>
      </c>
      <c r="IP612">
        <f>IF(IN612="moderate",II612,NA())</f>
        <v/>
      </c>
      <c r="IQ612">
        <f>IF(IN612="low",II612,NA())</f>
        <v/>
      </c>
      <c r="IR612">
        <f>IF(AND(IN612="good",IJ612=1),IM612,NA())</f>
        <v/>
      </c>
      <c r="IS612">
        <f>IF(AND(IN612="moderate",IJ612=1),IM612,NA())</f>
        <v/>
      </c>
      <c r="IT612">
        <f>IF(AND(IN612="low",IJ612=1),IM612,NA())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  <c r="IG613">
        <f>Base_mundial!A612</f>
        <v/>
      </c>
      <c r="IH613">
        <f>Base_mundial!C612</f>
        <v/>
      </c>
      <c r="II613">
        <f>Base_mundial!E612-MIN(tope,DEGREES(ATAN(TAN(RADIANS(pe0-omega*Base_mundial!B612))*(Base_mundial!C612/sref)^(m_-1))))</f>
        <v/>
      </c>
      <c r="IJ613" t="n">
        <v>0</v>
      </c>
      <c r="IK613">
        <f>IF(IJ613=1,LN(IH613),"")</f>
        <v/>
      </c>
      <c r="IL613">
        <f>IF(IJ613=1,AVERAGEIFS(II3:II688,IG3:IG688,IG613,IJ3:IJ688,1),"")</f>
        <v/>
      </c>
      <c r="IM613">
        <f>IF(IJ613=1,II613-IL613,"")</f>
        <v/>
      </c>
      <c r="IN613" t="inlineStr">
        <is>
          <t>good</t>
        </is>
      </c>
      <c r="IO613">
        <f>IF(IN613="good",II613,NA())</f>
        <v/>
      </c>
      <c r="IP613">
        <f>IF(IN613="moderate",II613,NA())</f>
        <v/>
      </c>
      <c r="IQ613">
        <f>IF(IN613="low",II613,NA())</f>
        <v/>
      </c>
      <c r="IR613">
        <f>IF(AND(IN613="good",IJ613=1),IM613,NA())</f>
        <v/>
      </c>
      <c r="IS613">
        <f>IF(AND(IN613="moderate",IJ613=1),IM613,NA())</f>
        <v/>
      </c>
      <c r="IT613">
        <f>IF(AND(IN613="low",IJ613=1),IM613,NA())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  <c r="IG614">
        <f>Base_mundial!A613</f>
        <v/>
      </c>
      <c r="IH614">
        <f>Base_mundial!C613</f>
        <v/>
      </c>
      <c r="II614">
        <f>Base_mundial!E613-MIN(tope,DEGREES(ATAN(TAN(RADIANS(pe0-omega*Base_mundial!B613))*(Base_mundial!C613/sref)^(m_-1))))</f>
        <v/>
      </c>
      <c r="IJ614" t="n">
        <v>0</v>
      </c>
      <c r="IK614">
        <f>IF(IJ614=1,LN(IH614),"")</f>
        <v/>
      </c>
      <c r="IL614">
        <f>IF(IJ614=1,AVERAGEIFS(II3:II688,IG3:IG688,IG614,IJ3:IJ688,1),"")</f>
        <v/>
      </c>
      <c r="IM614">
        <f>IF(IJ614=1,II614-IL614,"")</f>
        <v/>
      </c>
      <c r="IN614" t="inlineStr">
        <is>
          <t>good</t>
        </is>
      </c>
      <c r="IO614">
        <f>IF(IN614="good",II614,NA())</f>
        <v/>
      </c>
      <c r="IP614">
        <f>IF(IN614="moderate",II614,NA())</f>
        <v/>
      </c>
      <c r="IQ614">
        <f>IF(IN614="low",II614,NA())</f>
        <v/>
      </c>
      <c r="IR614">
        <f>IF(AND(IN614="good",IJ614=1),IM614,NA())</f>
        <v/>
      </c>
      <c r="IS614">
        <f>IF(AND(IN614="moderate",IJ614=1),IM614,NA())</f>
        <v/>
      </c>
      <c r="IT614">
        <f>IF(AND(IN614="low",IJ614=1),IM614,NA())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  <c r="IG615">
        <f>Base_mundial!A614</f>
        <v/>
      </c>
      <c r="IH615">
        <f>Base_mundial!C614</f>
        <v/>
      </c>
      <c r="II615">
        <f>Base_mundial!E614-MIN(tope,DEGREES(ATAN(TAN(RADIANS(pe0-omega*Base_mundial!B614))*(Base_mundial!C614/sref)^(m_-1))))</f>
        <v/>
      </c>
      <c r="IJ615" t="n">
        <v>0</v>
      </c>
      <c r="IK615">
        <f>IF(IJ615=1,LN(IH615),"")</f>
        <v/>
      </c>
      <c r="IL615">
        <f>IF(IJ615=1,AVERAGEIFS(II3:II688,IG3:IG688,IG615,IJ3:IJ688,1),"")</f>
        <v/>
      </c>
      <c r="IM615">
        <f>IF(IJ615=1,II615-IL615,"")</f>
        <v/>
      </c>
      <c r="IN615" t="inlineStr">
        <is>
          <t>good</t>
        </is>
      </c>
      <c r="IO615">
        <f>IF(IN615="good",II615,NA())</f>
        <v/>
      </c>
      <c r="IP615">
        <f>IF(IN615="moderate",II615,NA())</f>
        <v/>
      </c>
      <c r="IQ615">
        <f>IF(IN615="low",II615,NA())</f>
        <v/>
      </c>
      <c r="IR615">
        <f>IF(AND(IN615="good",IJ615=1),IM615,NA())</f>
        <v/>
      </c>
      <c r="IS615">
        <f>IF(AND(IN615="moderate",IJ615=1),IM615,NA())</f>
        <v/>
      </c>
      <c r="IT615">
        <f>IF(AND(IN615="low",IJ615=1),IM615,NA())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  <c r="IG616">
        <f>Base_mundial!A615</f>
        <v/>
      </c>
      <c r="IH616">
        <f>Base_mundial!C615</f>
        <v/>
      </c>
      <c r="II616">
        <f>Base_mundial!E615-MIN(tope,DEGREES(ATAN(TAN(RADIANS(pe0-omega*Base_mundial!B615))*(Base_mundial!C615/sref)^(m_-1))))</f>
        <v/>
      </c>
      <c r="IJ616" t="n">
        <v>0</v>
      </c>
      <c r="IK616">
        <f>IF(IJ616=1,LN(IH616),"")</f>
        <v/>
      </c>
      <c r="IL616">
        <f>IF(IJ616=1,AVERAGEIFS(II3:II688,IG3:IG688,IG616,IJ3:IJ688,1),"")</f>
        <v/>
      </c>
      <c r="IM616">
        <f>IF(IJ616=1,II616-IL616,"")</f>
        <v/>
      </c>
      <c r="IN616" t="inlineStr">
        <is>
          <t>good</t>
        </is>
      </c>
      <c r="IO616">
        <f>IF(IN616="good",II616,NA())</f>
        <v/>
      </c>
      <c r="IP616">
        <f>IF(IN616="moderate",II616,NA())</f>
        <v/>
      </c>
      <c r="IQ616">
        <f>IF(IN616="low",II616,NA())</f>
        <v/>
      </c>
      <c r="IR616">
        <f>IF(AND(IN616="good",IJ616=1),IM616,NA())</f>
        <v/>
      </c>
      <c r="IS616">
        <f>IF(AND(IN616="moderate",IJ616=1),IM616,NA())</f>
        <v/>
      </c>
      <c r="IT616">
        <f>IF(AND(IN616="low",IJ616=1),IM616,NA())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  <c r="IG617">
        <f>Base_mundial!A616</f>
        <v/>
      </c>
      <c r="IH617">
        <f>Base_mundial!C616</f>
        <v/>
      </c>
      <c r="II617">
        <f>Base_mundial!E616-MIN(tope,DEGREES(ATAN(TAN(RADIANS(pe0-omega*Base_mundial!B616))*(Base_mundial!C616/sref)^(m_-1))))</f>
        <v/>
      </c>
      <c r="IJ617" t="n">
        <v>0</v>
      </c>
      <c r="IK617">
        <f>IF(IJ617=1,LN(IH617),"")</f>
        <v/>
      </c>
      <c r="IL617">
        <f>IF(IJ617=1,AVERAGEIFS(II3:II688,IG3:IG688,IG617,IJ3:IJ688,1),"")</f>
        <v/>
      </c>
      <c r="IM617">
        <f>IF(IJ617=1,II617-IL617,"")</f>
        <v/>
      </c>
      <c r="IN617" t="inlineStr">
        <is>
          <t>good</t>
        </is>
      </c>
      <c r="IO617">
        <f>IF(IN617="good",II617,NA())</f>
        <v/>
      </c>
      <c r="IP617">
        <f>IF(IN617="moderate",II617,NA())</f>
        <v/>
      </c>
      <c r="IQ617">
        <f>IF(IN617="low",II617,NA())</f>
        <v/>
      </c>
      <c r="IR617">
        <f>IF(AND(IN617="good",IJ617=1),IM617,NA())</f>
        <v/>
      </c>
      <c r="IS617">
        <f>IF(AND(IN617="moderate",IJ617=1),IM617,NA())</f>
        <v/>
      </c>
      <c r="IT617">
        <f>IF(AND(IN617="low",IJ617=1),IM617,NA())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  <c r="IG618">
        <f>Base_mundial!A617</f>
        <v/>
      </c>
      <c r="IH618">
        <f>Base_mundial!C617</f>
        <v/>
      </c>
      <c r="II618">
        <f>Base_mundial!E617-MIN(tope,DEGREES(ATAN(TAN(RADIANS(pe0-omega*Base_mundial!B617))*(Base_mundial!C617/sref)^(m_-1))))</f>
        <v/>
      </c>
      <c r="IJ618" t="n">
        <v>0</v>
      </c>
      <c r="IK618">
        <f>IF(IJ618=1,LN(IH618),"")</f>
        <v/>
      </c>
      <c r="IL618">
        <f>IF(IJ618=1,AVERAGEIFS(II3:II688,IG3:IG688,IG618,IJ3:IJ688,1),"")</f>
        <v/>
      </c>
      <c r="IM618">
        <f>IF(IJ618=1,II618-IL618,"")</f>
        <v/>
      </c>
      <c r="IN618" t="inlineStr">
        <is>
          <t>good</t>
        </is>
      </c>
      <c r="IO618">
        <f>IF(IN618="good",II618,NA())</f>
        <v/>
      </c>
      <c r="IP618">
        <f>IF(IN618="moderate",II618,NA())</f>
        <v/>
      </c>
      <c r="IQ618">
        <f>IF(IN618="low",II618,NA())</f>
        <v/>
      </c>
      <c r="IR618">
        <f>IF(AND(IN618="good",IJ618=1),IM618,NA())</f>
        <v/>
      </c>
      <c r="IS618">
        <f>IF(AND(IN618="moderate",IJ618=1),IM618,NA())</f>
        <v/>
      </c>
      <c r="IT618">
        <f>IF(AND(IN618="low",IJ618=1),IM618,NA())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  <c r="IG619">
        <f>Base_mundial!A618</f>
        <v/>
      </c>
      <c r="IH619">
        <f>Base_mundial!C618</f>
        <v/>
      </c>
      <c r="II619">
        <f>Base_mundial!E618-MIN(tope,DEGREES(ATAN(TAN(RADIANS(pe0-omega*Base_mundial!B618))*(Base_mundial!C618/sref)^(m_-1))))</f>
        <v/>
      </c>
      <c r="IJ619" t="n">
        <v>0</v>
      </c>
      <c r="IK619">
        <f>IF(IJ619=1,LN(IH619),"")</f>
        <v/>
      </c>
      <c r="IL619">
        <f>IF(IJ619=1,AVERAGEIFS(II3:II688,IG3:IG688,IG619,IJ3:IJ688,1),"")</f>
        <v/>
      </c>
      <c r="IM619">
        <f>IF(IJ619=1,II619-IL619,"")</f>
        <v/>
      </c>
      <c r="IN619" t="inlineStr">
        <is>
          <t>good</t>
        </is>
      </c>
      <c r="IO619">
        <f>IF(IN619="good",II619,NA())</f>
        <v/>
      </c>
      <c r="IP619">
        <f>IF(IN619="moderate",II619,NA())</f>
        <v/>
      </c>
      <c r="IQ619">
        <f>IF(IN619="low",II619,NA())</f>
        <v/>
      </c>
      <c r="IR619">
        <f>IF(AND(IN619="good",IJ619=1),IM619,NA())</f>
        <v/>
      </c>
      <c r="IS619">
        <f>IF(AND(IN619="moderate",IJ619=1),IM619,NA())</f>
        <v/>
      </c>
      <c r="IT619">
        <f>IF(AND(IN619="low",IJ619=1),IM619,NA())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  <c r="IG620">
        <f>Base_mundial!A619</f>
        <v/>
      </c>
      <c r="IH620">
        <f>Base_mundial!C619</f>
        <v/>
      </c>
      <c r="II620">
        <f>Base_mundial!E619-MIN(tope,DEGREES(ATAN(TAN(RADIANS(pe0-omega*Base_mundial!B619))*(Base_mundial!C619/sref)^(m_-1))))</f>
        <v/>
      </c>
      <c r="IJ620" t="n">
        <v>0</v>
      </c>
      <c r="IK620">
        <f>IF(IJ620=1,LN(IH620),"")</f>
        <v/>
      </c>
      <c r="IL620">
        <f>IF(IJ620=1,AVERAGEIFS(II3:II688,IG3:IG688,IG620,IJ3:IJ688,1),"")</f>
        <v/>
      </c>
      <c r="IM620">
        <f>IF(IJ620=1,II620-IL620,"")</f>
        <v/>
      </c>
      <c r="IN620" t="inlineStr">
        <is>
          <t>good</t>
        </is>
      </c>
      <c r="IO620">
        <f>IF(IN620="good",II620,NA())</f>
        <v/>
      </c>
      <c r="IP620">
        <f>IF(IN620="moderate",II620,NA())</f>
        <v/>
      </c>
      <c r="IQ620">
        <f>IF(IN620="low",II620,NA())</f>
        <v/>
      </c>
      <c r="IR620">
        <f>IF(AND(IN620="good",IJ620=1),IM620,NA())</f>
        <v/>
      </c>
      <c r="IS620">
        <f>IF(AND(IN620="moderate",IJ620=1),IM620,NA())</f>
        <v/>
      </c>
      <c r="IT620">
        <f>IF(AND(IN620="low",IJ620=1),IM620,NA())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  <c r="IG621">
        <f>Base_mundial!A620</f>
        <v/>
      </c>
      <c r="IH621">
        <f>Base_mundial!C620</f>
        <v/>
      </c>
      <c r="II621">
        <f>Base_mundial!E620-MIN(tope,DEGREES(ATAN(TAN(RADIANS(pe0-omega*Base_mundial!B620))*(Base_mundial!C620/sref)^(m_-1))))</f>
        <v/>
      </c>
      <c r="IJ621" t="n">
        <v>0</v>
      </c>
      <c r="IK621">
        <f>IF(IJ621=1,LN(IH621),"")</f>
        <v/>
      </c>
      <c r="IL621">
        <f>IF(IJ621=1,AVERAGEIFS(II3:II688,IG3:IG688,IG621,IJ3:IJ688,1),"")</f>
        <v/>
      </c>
      <c r="IM621">
        <f>IF(IJ621=1,II621-IL621,"")</f>
        <v/>
      </c>
      <c r="IN621" t="inlineStr">
        <is>
          <t>good</t>
        </is>
      </c>
      <c r="IO621">
        <f>IF(IN621="good",II621,NA())</f>
        <v/>
      </c>
      <c r="IP621">
        <f>IF(IN621="moderate",II621,NA())</f>
        <v/>
      </c>
      <c r="IQ621">
        <f>IF(IN621="low",II621,NA())</f>
        <v/>
      </c>
      <c r="IR621">
        <f>IF(AND(IN621="good",IJ621=1),IM621,NA())</f>
        <v/>
      </c>
      <c r="IS621">
        <f>IF(AND(IN621="moderate",IJ621=1),IM621,NA())</f>
        <v/>
      </c>
      <c r="IT621">
        <f>IF(AND(IN621="low",IJ621=1),IM621,NA())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  <c r="IG622">
        <f>Base_mundial!A621</f>
        <v/>
      </c>
      <c r="IH622">
        <f>Base_mundial!C621</f>
        <v/>
      </c>
      <c r="II622">
        <f>Base_mundial!E621-MIN(tope,DEGREES(ATAN(TAN(RADIANS(pe0-omega*Base_mundial!B621))*(Base_mundial!C621/sref)^(m_-1))))</f>
        <v/>
      </c>
      <c r="IJ622" t="n">
        <v>0</v>
      </c>
      <c r="IK622">
        <f>IF(IJ622=1,LN(IH622),"")</f>
        <v/>
      </c>
      <c r="IL622">
        <f>IF(IJ622=1,AVERAGEIFS(II3:II688,IG3:IG688,IG622,IJ3:IJ688,1),"")</f>
        <v/>
      </c>
      <c r="IM622">
        <f>IF(IJ622=1,II622-IL622,"")</f>
        <v/>
      </c>
      <c r="IN622" t="inlineStr">
        <is>
          <t>good</t>
        </is>
      </c>
      <c r="IO622">
        <f>IF(IN622="good",II622,NA())</f>
        <v/>
      </c>
      <c r="IP622">
        <f>IF(IN622="moderate",II622,NA())</f>
        <v/>
      </c>
      <c r="IQ622">
        <f>IF(IN622="low",II622,NA())</f>
        <v/>
      </c>
      <c r="IR622">
        <f>IF(AND(IN622="good",IJ622=1),IM622,NA())</f>
        <v/>
      </c>
      <c r="IS622">
        <f>IF(AND(IN622="moderate",IJ622=1),IM622,NA())</f>
        <v/>
      </c>
      <c r="IT622">
        <f>IF(AND(IN622="low",IJ622=1),IM622,NA())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  <c r="IG623">
        <f>Base_mundial!A622</f>
        <v/>
      </c>
      <c r="IH623">
        <f>Base_mundial!C622</f>
        <v/>
      </c>
      <c r="II623">
        <f>Base_mundial!E622-MIN(tope,DEGREES(ATAN(TAN(RADIANS(pe0-omega*Base_mundial!B622))*(Base_mundial!C622/sref)^(m_-1))))</f>
        <v/>
      </c>
      <c r="IJ623" t="n">
        <v>0</v>
      </c>
      <c r="IK623">
        <f>IF(IJ623=1,LN(IH623),"")</f>
        <v/>
      </c>
      <c r="IL623">
        <f>IF(IJ623=1,AVERAGEIFS(II3:II688,IG3:IG688,IG623,IJ3:IJ688,1),"")</f>
        <v/>
      </c>
      <c r="IM623">
        <f>IF(IJ623=1,II623-IL623,"")</f>
        <v/>
      </c>
      <c r="IN623" t="inlineStr">
        <is>
          <t>good</t>
        </is>
      </c>
      <c r="IO623">
        <f>IF(IN623="good",II623,NA())</f>
        <v/>
      </c>
      <c r="IP623">
        <f>IF(IN623="moderate",II623,NA())</f>
        <v/>
      </c>
      <c r="IQ623">
        <f>IF(IN623="low",II623,NA())</f>
        <v/>
      </c>
      <c r="IR623">
        <f>IF(AND(IN623="good",IJ623=1),IM623,NA())</f>
        <v/>
      </c>
      <c r="IS623">
        <f>IF(AND(IN623="moderate",IJ623=1),IM623,NA())</f>
        <v/>
      </c>
      <c r="IT623">
        <f>IF(AND(IN623="low",IJ623=1),IM623,NA())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  <c r="IG624">
        <f>Base_mundial!A623</f>
        <v/>
      </c>
      <c r="IH624">
        <f>Base_mundial!C623</f>
        <v/>
      </c>
      <c r="II624">
        <f>Base_mundial!E623-MIN(tope,DEGREES(ATAN(TAN(RADIANS(pe0-omega*Base_mundial!B623))*(Base_mundial!C623/sref)^(m_-1))))</f>
        <v/>
      </c>
      <c r="IJ624" t="n">
        <v>0</v>
      </c>
      <c r="IK624">
        <f>IF(IJ624=1,LN(IH624),"")</f>
        <v/>
      </c>
      <c r="IL624">
        <f>IF(IJ624=1,AVERAGEIFS(II3:II688,IG3:IG688,IG624,IJ3:IJ688,1),"")</f>
        <v/>
      </c>
      <c r="IM624">
        <f>IF(IJ624=1,II624-IL624,"")</f>
        <v/>
      </c>
      <c r="IN624" t="inlineStr">
        <is>
          <t>good</t>
        </is>
      </c>
      <c r="IO624">
        <f>IF(IN624="good",II624,NA())</f>
        <v/>
      </c>
      <c r="IP624">
        <f>IF(IN624="moderate",II624,NA())</f>
        <v/>
      </c>
      <c r="IQ624">
        <f>IF(IN624="low",II624,NA())</f>
        <v/>
      </c>
      <c r="IR624">
        <f>IF(AND(IN624="good",IJ624=1),IM624,NA())</f>
        <v/>
      </c>
      <c r="IS624">
        <f>IF(AND(IN624="moderate",IJ624=1),IM624,NA())</f>
        <v/>
      </c>
      <c r="IT624">
        <f>IF(AND(IN624="low",IJ624=1),IM624,NA())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  <c r="IG625">
        <f>Base_mundial!A624</f>
        <v/>
      </c>
      <c r="IH625">
        <f>Base_mundial!C624</f>
        <v/>
      </c>
      <c r="II625">
        <f>Base_mundial!E624-MIN(tope,DEGREES(ATAN(TAN(RADIANS(pe0-omega*Base_mundial!B624))*(Base_mundial!C624/sref)^(m_-1))))</f>
        <v/>
      </c>
      <c r="IJ625" t="n">
        <v>0</v>
      </c>
      <c r="IK625">
        <f>IF(IJ625=1,LN(IH625),"")</f>
        <v/>
      </c>
      <c r="IL625">
        <f>IF(IJ625=1,AVERAGEIFS(II3:II688,IG3:IG688,IG625,IJ3:IJ688,1),"")</f>
        <v/>
      </c>
      <c r="IM625">
        <f>IF(IJ625=1,II625-IL625,"")</f>
        <v/>
      </c>
      <c r="IN625" t="inlineStr">
        <is>
          <t>good</t>
        </is>
      </c>
      <c r="IO625">
        <f>IF(IN625="good",II625,NA())</f>
        <v/>
      </c>
      <c r="IP625">
        <f>IF(IN625="moderate",II625,NA())</f>
        <v/>
      </c>
      <c r="IQ625">
        <f>IF(IN625="low",II625,NA())</f>
        <v/>
      </c>
      <c r="IR625">
        <f>IF(AND(IN625="good",IJ625=1),IM625,NA())</f>
        <v/>
      </c>
      <c r="IS625">
        <f>IF(AND(IN625="moderate",IJ625=1),IM625,NA())</f>
        <v/>
      </c>
      <c r="IT625">
        <f>IF(AND(IN625="low",IJ625=1),IM625,NA())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  <c r="IG626">
        <f>Base_mundial!A625</f>
        <v/>
      </c>
      <c r="IH626">
        <f>Base_mundial!C625</f>
        <v/>
      </c>
      <c r="II626">
        <f>Base_mundial!E625-MIN(tope,DEGREES(ATAN(TAN(RADIANS(pe0-omega*Base_mundial!B625))*(Base_mundial!C625/sref)^(m_-1))))</f>
        <v/>
      </c>
      <c r="IJ626" t="n">
        <v>0</v>
      </c>
      <c r="IK626">
        <f>IF(IJ626=1,LN(IH626),"")</f>
        <v/>
      </c>
      <c r="IL626">
        <f>IF(IJ626=1,AVERAGEIFS(II3:II688,IG3:IG688,IG626,IJ3:IJ688,1),"")</f>
        <v/>
      </c>
      <c r="IM626">
        <f>IF(IJ626=1,II626-IL626,"")</f>
        <v/>
      </c>
      <c r="IN626" t="inlineStr">
        <is>
          <t>good</t>
        </is>
      </c>
      <c r="IO626">
        <f>IF(IN626="good",II626,NA())</f>
        <v/>
      </c>
      <c r="IP626">
        <f>IF(IN626="moderate",II626,NA())</f>
        <v/>
      </c>
      <c r="IQ626">
        <f>IF(IN626="low",II626,NA())</f>
        <v/>
      </c>
      <c r="IR626">
        <f>IF(AND(IN626="good",IJ626=1),IM626,NA())</f>
        <v/>
      </c>
      <c r="IS626">
        <f>IF(AND(IN626="moderate",IJ626=1),IM626,NA())</f>
        <v/>
      </c>
      <c r="IT626">
        <f>IF(AND(IN626="low",IJ626=1),IM626,NA())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  <c r="IG627">
        <f>Base_mundial!A626</f>
        <v/>
      </c>
      <c r="IH627">
        <f>Base_mundial!C626</f>
        <v/>
      </c>
      <c r="II627">
        <f>Base_mundial!E626-MIN(tope,DEGREES(ATAN(TAN(RADIANS(pe0-omega*Base_mundial!B626))*(Base_mundial!C626/sref)^(m_-1))))</f>
        <v/>
      </c>
      <c r="IJ627" t="n">
        <v>0</v>
      </c>
      <c r="IK627">
        <f>IF(IJ627=1,LN(IH627),"")</f>
        <v/>
      </c>
      <c r="IL627">
        <f>IF(IJ627=1,AVERAGEIFS(II3:II688,IG3:IG688,IG627,IJ3:IJ688,1),"")</f>
        <v/>
      </c>
      <c r="IM627">
        <f>IF(IJ627=1,II627-IL627,"")</f>
        <v/>
      </c>
      <c r="IN627" t="inlineStr">
        <is>
          <t>good</t>
        </is>
      </c>
      <c r="IO627">
        <f>IF(IN627="good",II627,NA())</f>
        <v/>
      </c>
      <c r="IP627">
        <f>IF(IN627="moderate",II627,NA())</f>
        <v/>
      </c>
      <c r="IQ627">
        <f>IF(IN627="low",II627,NA())</f>
        <v/>
      </c>
      <c r="IR627">
        <f>IF(AND(IN627="good",IJ627=1),IM627,NA())</f>
        <v/>
      </c>
      <c r="IS627">
        <f>IF(AND(IN627="moderate",IJ627=1),IM627,NA())</f>
        <v/>
      </c>
      <c r="IT627">
        <f>IF(AND(IN627="low",IJ627=1),IM627,NA())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  <c r="IG628">
        <f>Base_mundial!A627</f>
        <v/>
      </c>
      <c r="IH628">
        <f>Base_mundial!C627</f>
        <v/>
      </c>
      <c r="II628">
        <f>Base_mundial!E627-MIN(tope,DEGREES(ATAN(TAN(RADIANS(pe0-omega*Base_mundial!B627))*(Base_mundial!C627/sref)^(m_-1))))</f>
        <v/>
      </c>
      <c r="IJ628" t="n">
        <v>0</v>
      </c>
      <c r="IK628">
        <f>IF(IJ628=1,LN(IH628),"")</f>
        <v/>
      </c>
      <c r="IL628">
        <f>IF(IJ628=1,AVERAGEIFS(II3:II688,IG3:IG688,IG628,IJ3:IJ688,1),"")</f>
        <v/>
      </c>
      <c r="IM628">
        <f>IF(IJ628=1,II628-IL628,"")</f>
        <v/>
      </c>
      <c r="IN628" t="inlineStr">
        <is>
          <t>good</t>
        </is>
      </c>
      <c r="IO628">
        <f>IF(IN628="good",II628,NA())</f>
        <v/>
      </c>
      <c r="IP628">
        <f>IF(IN628="moderate",II628,NA())</f>
        <v/>
      </c>
      <c r="IQ628">
        <f>IF(IN628="low",II628,NA())</f>
        <v/>
      </c>
      <c r="IR628">
        <f>IF(AND(IN628="good",IJ628=1),IM628,NA())</f>
        <v/>
      </c>
      <c r="IS628">
        <f>IF(AND(IN628="moderate",IJ628=1),IM628,NA())</f>
        <v/>
      </c>
      <c r="IT628">
        <f>IF(AND(IN628="low",IJ628=1),IM628,NA())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  <c r="IG629">
        <f>Base_mundial!A628</f>
        <v/>
      </c>
      <c r="IH629">
        <f>Base_mundial!C628</f>
        <v/>
      </c>
      <c r="II629">
        <f>Base_mundial!E628-MIN(tope,DEGREES(ATAN(TAN(RADIANS(pe0-omega*Base_mundial!B628))*(Base_mundial!C628/sref)^(m_-1))))</f>
        <v/>
      </c>
      <c r="IJ629" t="n">
        <v>0</v>
      </c>
      <c r="IK629">
        <f>IF(IJ629=1,LN(IH629),"")</f>
        <v/>
      </c>
      <c r="IL629">
        <f>IF(IJ629=1,AVERAGEIFS(II3:II688,IG3:IG688,IG629,IJ3:IJ688,1),"")</f>
        <v/>
      </c>
      <c r="IM629">
        <f>IF(IJ629=1,II629-IL629,"")</f>
        <v/>
      </c>
      <c r="IN629" t="inlineStr">
        <is>
          <t>good</t>
        </is>
      </c>
      <c r="IO629">
        <f>IF(IN629="good",II629,NA())</f>
        <v/>
      </c>
      <c r="IP629">
        <f>IF(IN629="moderate",II629,NA())</f>
        <v/>
      </c>
      <c r="IQ629">
        <f>IF(IN629="low",II629,NA())</f>
        <v/>
      </c>
      <c r="IR629">
        <f>IF(AND(IN629="good",IJ629=1),IM629,NA())</f>
        <v/>
      </c>
      <c r="IS629">
        <f>IF(AND(IN629="moderate",IJ629=1),IM629,NA())</f>
        <v/>
      </c>
      <c r="IT629">
        <f>IF(AND(IN629="low",IJ629=1),IM629,NA())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  <c r="IG630">
        <f>Base_mundial!A629</f>
        <v/>
      </c>
      <c r="IH630">
        <f>Base_mundial!C629</f>
        <v/>
      </c>
      <c r="II630">
        <f>Base_mundial!E629-MIN(tope,DEGREES(ATAN(TAN(RADIANS(pe0-omega*Base_mundial!B629))*(Base_mundial!C629/sref)^(m_-1))))</f>
        <v/>
      </c>
      <c r="IJ630" t="n">
        <v>0</v>
      </c>
      <c r="IK630">
        <f>IF(IJ630=1,LN(IH630),"")</f>
        <v/>
      </c>
      <c r="IL630">
        <f>IF(IJ630=1,AVERAGEIFS(II3:II688,IG3:IG688,IG630,IJ3:IJ688,1),"")</f>
        <v/>
      </c>
      <c r="IM630">
        <f>IF(IJ630=1,II630-IL630,"")</f>
        <v/>
      </c>
      <c r="IN630" t="inlineStr">
        <is>
          <t>good</t>
        </is>
      </c>
      <c r="IO630">
        <f>IF(IN630="good",II630,NA())</f>
        <v/>
      </c>
      <c r="IP630">
        <f>IF(IN630="moderate",II630,NA())</f>
        <v/>
      </c>
      <c r="IQ630">
        <f>IF(IN630="low",II630,NA())</f>
        <v/>
      </c>
      <c r="IR630">
        <f>IF(AND(IN630="good",IJ630=1),IM630,NA())</f>
        <v/>
      </c>
      <c r="IS630">
        <f>IF(AND(IN630="moderate",IJ630=1),IM630,NA())</f>
        <v/>
      </c>
      <c r="IT630">
        <f>IF(AND(IN630="low",IJ630=1),IM630,NA())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  <c r="IG631">
        <f>Base_mundial!A630</f>
        <v/>
      </c>
      <c r="IH631">
        <f>Base_mundial!C630</f>
        <v/>
      </c>
      <c r="II631">
        <f>Base_mundial!E630-MIN(tope,DEGREES(ATAN(TAN(RADIANS(pe0-omega*Base_mundial!B630))*(Base_mundial!C630/sref)^(m_-1))))</f>
        <v/>
      </c>
      <c r="IJ631" t="n">
        <v>0</v>
      </c>
      <c r="IK631">
        <f>IF(IJ631=1,LN(IH631),"")</f>
        <v/>
      </c>
      <c r="IL631">
        <f>IF(IJ631=1,AVERAGEIFS(II3:II688,IG3:IG688,IG631,IJ3:IJ688,1),"")</f>
        <v/>
      </c>
      <c r="IM631">
        <f>IF(IJ631=1,II631-IL631,"")</f>
        <v/>
      </c>
      <c r="IN631" t="inlineStr">
        <is>
          <t>good</t>
        </is>
      </c>
      <c r="IO631">
        <f>IF(IN631="good",II631,NA())</f>
        <v/>
      </c>
      <c r="IP631">
        <f>IF(IN631="moderate",II631,NA())</f>
        <v/>
      </c>
      <c r="IQ631">
        <f>IF(IN631="low",II631,NA())</f>
        <v/>
      </c>
      <c r="IR631">
        <f>IF(AND(IN631="good",IJ631=1),IM631,NA())</f>
        <v/>
      </c>
      <c r="IS631">
        <f>IF(AND(IN631="moderate",IJ631=1),IM631,NA())</f>
        <v/>
      </c>
      <c r="IT631">
        <f>IF(AND(IN631="low",IJ631=1),IM631,NA())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  <c r="IG632">
        <f>Base_mundial!A631</f>
        <v/>
      </c>
      <c r="IH632">
        <f>Base_mundial!C631</f>
        <v/>
      </c>
      <c r="II632">
        <f>Base_mundial!E631-MIN(tope,DEGREES(ATAN(TAN(RADIANS(pe0-omega*Base_mundial!B631))*(Base_mundial!C631/sref)^(m_-1))))</f>
        <v/>
      </c>
      <c r="IJ632" t="n">
        <v>0</v>
      </c>
      <c r="IK632">
        <f>IF(IJ632=1,LN(IH632),"")</f>
        <v/>
      </c>
      <c r="IL632">
        <f>IF(IJ632=1,AVERAGEIFS(II3:II688,IG3:IG688,IG632,IJ3:IJ688,1),"")</f>
        <v/>
      </c>
      <c r="IM632">
        <f>IF(IJ632=1,II632-IL632,"")</f>
        <v/>
      </c>
      <c r="IN632" t="inlineStr">
        <is>
          <t>good</t>
        </is>
      </c>
      <c r="IO632">
        <f>IF(IN632="good",II632,NA())</f>
        <v/>
      </c>
      <c r="IP632">
        <f>IF(IN632="moderate",II632,NA())</f>
        <v/>
      </c>
      <c r="IQ632">
        <f>IF(IN632="low",II632,NA())</f>
        <v/>
      </c>
      <c r="IR632">
        <f>IF(AND(IN632="good",IJ632=1),IM632,NA())</f>
        <v/>
      </c>
      <c r="IS632">
        <f>IF(AND(IN632="moderate",IJ632=1),IM632,NA())</f>
        <v/>
      </c>
      <c r="IT632">
        <f>IF(AND(IN632="low",IJ632=1),IM632,NA())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  <c r="IG633">
        <f>Base_mundial!A632</f>
        <v/>
      </c>
      <c r="IH633">
        <f>Base_mundial!C632</f>
        <v/>
      </c>
      <c r="II633">
        <f>Base_mundial!E632-MIN(tope,DEGREES(ATAN(TAN(RADIANS(pe0-omega*Base_mundial!B632))*(Base_mundial!C632/sref)^(m_-1))))</f>
        <v/>
      </c>
      <c r="IJ633" t="n">
        <v>0</v>
      </c>
      <c r="IK633">
        <f>IF(IJ633=1,LN(IH633),"")</f>
        <v/>
      </c>
      <c r="IL633">
        <f>IF(IJ633=1,AVERAGEIFS(II3:II688,IG3:IG688,IG633,IJ3:IJ688,1),"")</f>
        <v/>
      </c>
      <c r="IM633">
        <f>IF(IJ633=1,II633-IL633,"")</f>
        <v/>
      </c>
      <c r="IN633" t="inlineStr">
        <is>
          <t>low</t>
        </is>
      </c>
      <c r="IO633">
        <f>IF(IN633="good",II633,NA())</f>
        <v/>
      </c>
      <c r="IP633">
        <f>IF(IN633="moderate",II633,NA())</f>
        <v/>
      </c>
      <c r="IQ633">
        <f>IF(IN633="low",II633,NA())</f>
        <v/>
      </c>
      <c r="IR633">
        <f>IF(AND(IN633="good",IJ633=1),IM633,NA())</f>
        <v/>
      </c>
      <c r="IS633">
        <f>IF(AND(IN633="moderate",IJ633=1),IM633,NA())</f>
        <v/>
      </c>
      <c r="IT633">
        <f>IF(AND(IN633="low",IJ633=1),IM633,NA())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  <c r="IG634">
        <f>Base_mundial!A633</f>
        <v/>
      </c>
      <c r="IH634">
        <f>Base_mundial!C633</f>
        <v/>
      </c>
      <c r="II634">
        <f>Base_mundial!E633-MIN(tope,DEGREES(ATAN(TAN(RADIANS(pe0-omega*Base_mundial!B633))*(Base_mundial!C633/sref)^(m_-1))))</f>
        <v/>
      </c>
      <c r="IJ634" t="n">
        <v>0</v>
      </c>
      <c r="IK634">
        <f>IF(IJ634=1,LN(IH634),"")</f>
        <v/>
      </c>
      <c r="IL634">
        <f>IF(IJ634=1,AVERAGEIFS(II3:II688,IG3:IG688,IG634,IJ3:IJ688,1),"")</f>
        <v/>
      </c>
      <c r="IM634">
        <f>IF(IJ634=1,II634-IL634,"")</f>
        <v/>
      </c>
      <c r="IN634" t="inlineStr">
        <is>
          <t>low</t>
        </is>
      </c>
      <c r="IO634">
        <f>IF(IN634="good",II634,NA())</f>
        <v/>
      </c>
      <c r="IP634">
        <f>IF(IN634="moderate",II634,NA())</f>
        <v/>
      </c>
      <c r="IQ634">
        <f>IF(IN634="low",II634,NA())</f>
        <v/>
      </c>
      <c r="IR634">
        <f>IF(AND(IN634="good",IJ634=1),IM634,NA())</f>
        <v/>
      </c>
      <c r="IS634">
        <f>IF(AND(IN634="moderate",IJ634=1),IM634,NA())</f>
        <v/>
      </c>
      <c r="IT634">
        <f>IF(AND(IN634="low",IJ634=1),IM634,NA())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  <c r="IG635">
        <f>Base_mundial!A634</f>
        <v/>
      </c>
      <c r="IH635">
        <f>Base_mundial!C634</f>
        <v/>
      </c>
      <c r="II635">
        <f>Base_mundial!E634-MIN(tope,DEGREES(ATAN(TAN(RADIANS(pe0-omega*Base_mundial!B634))*(Base_mundial!C634/sref)^(m_-1))))</f>
        <v/>
      </c>
      <c r="IJ635" t="n">
        <v>0</v>
      </c>
      <c r="IK635">
        <f>IF(IJ635=1,LN(IH635),"")</f>
        <v/>
      </c>
      <c r="IL635">
        <f>IF(IJ635=1,AVERAGEIFS(II3:II688,IG3:IG688,IG635,IJ3:IJ688,1),"")</f>
        <v/>
      </c>
      <c r="IM635">
        <f>IF(IJ635=1,II635-IL635,"")</f>
        <v/>
      </c>
      <c r="IN635" t="inlineStr">
        <is>
          <t>good</t>
        </is>
      </c>
      <c r="IO635">
        <f>IF(IN635="good",II635,NA())</f>
        <v/>
      </c>
      <c r="IP635">
        <f>IF(IN635="moderate",II635,NA())</f>
        <v/>
      </c>
      <c r="IQ635">
        <f>IF(IN635="low",II635,NA())</f>
        <v/>
      </c>
      <c r="IR635">
        <f>IF(AND(IN635="good",IJ635=1),IM635,NA())</f>
        <v/>
      </c>
      <c r="IS635">
        <f>IF(AND(IN635="moderate",IJ635=1),IM635,NA())</f>
        <v/>
      </c>
      <c r="IT635">
        <f>IF(AND(IN635="low",IJ635=1),IM635,NA())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  <c r="IG636">
        <f>Base_mundial!A635</f>
        <v/>
      </c>
      <c r="IH636">
        <f>Base_mundial!C635</f>
        <v/>
      </c>
      <c r="II636">
        <f>Base_mundial!E635-MIN(tope,DEGREES(ATAN(TAN(RADIANS(pe0-omega*Base_mundial!B635))*(Base_mundial!C635/sref)^(m_-1))))</f>
        <v/>
      </c>
      <c r="IJ636" t="n">
        <v>0</v>
      </c>
      <c r="IK636">
        <f>IF(IJ636=1,LN(IH636),"")</f>
        <v/>
      </c>
      <c r="IL636">
        <f>IF(IJ636=1,AVERAGEIFS(II3:II688,IG3:IG688,IG636,IJ3:IJ688,1),"")</f>
        <v/>
      </c>
      <c r="IM636">
        <f>IF(IJ636=1,II636-IL636,"")</f>
        <v/>
      </c>
      <c r="IN636" t="inlineStr">
        <is>
          <t>good</t>
        </is>
      </c>
      <c r="IO636">
        <f>IF(IN636="good",II636,NA())</f>
        <v/>
      </c>
      <c r="IP636">
        <f>IF(IN636="moderate",II636,NA())</f>
        <v/>
      </c>
      <c r="IQ636">
        <f>IF(IN636="low",II636,NA())</f>
        <v/>
      </c>
      <c r="IR636">
        <f>IF(AND(IN636="good",IJ636=1),IM636,NA())</f>
        <v/>
      </c>
      <c r="IS636">
        <f>IF(AND(IN636="moderate",IJ636=1),IM636,NA())</f>
        <v/>
      </c>
      <c r="IT636">
        <f>IF(AND(IN636="low",IJ636=1),IM636,NA())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  <c r="IG637">
        <f>Base_mundial!A636</f>
        <v/>
      </c>
      <c r="IH637">
        <f>Base_mundial!C636</f>
        <v/>
      </c>
      <c r="II637">
        <f>Base_mundial!E636-MIN(tope,DEGREES(ATAN(TAN(RADIANS(pe0-omega*Base_mundial!B636))*(Base_mundial!C636/sref)^(m_-1))))</f>
        <v/>
      </c>
      <c r="IJ637" t="n">
        <v>0</v>
      </c>
      <c r="IK637">
        <f>IF(IJ637=1,LN(IH637),"")</f>
        <v/>
      </c>
      <c r="IL637">
        <f>IF(IJ637=1,AVERAGEIFS(II3:II688,IG3:IG688,IG637,IJ3:IJ688,1),"")</f>
        <v/>
      </c>
      <c r="IM637">
        <f>IF(IJ637=1,II637-IL637,"")</f>
        <v/>
      </c>
      <c r="IN637" t="inlineStr">
        <is>
          <t>low</t>
        </is>
      </c>
      <c r="IO637">
        <f>IF(IN637="good",II637,NA())</f>
        <v/>
      </c>
      <c r="IP637">
        <f>IF(IN637="moderate",II637,NA())</f>
        <v/>
      </c>
      <c r="IQ637">
        <f>IF(IN637="low",II637,NA())</f>
        <v/>
      </c>
      <c r="IR637">
        <f>IF(AND(IN637="good",IJ637=1),IM637,NA())</f>
        <v/>
      </c>
      <c r="IS637">
        <f>IF(AND(IN637="moderate",IJ637=1),IM637,NA())</f>
        <v/>
      </c>
      <c r="IT637">
        <f>IF(AND(IN637="low",IJ637=1),IM637,NA())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  <c r="IG638">
        <f>Base_mundial!A637</f>
        <v/>
      </c>
      <c r="IH638">
        <f>Base_mundial!C637</f>
        <v/>
      </c>
      <c r="II638">
        <f>Base_mundial!E637-MIN(tope,DEGREES(ATAN(TAN(RADIANS(pe0-omega*Base_mundial!B637))*(Base_mundial!C637/sref)^(m_-1))))</f>
        <v/>
      </c>
      <c r="IJ638" t="n">
        <v>0</v>
      </c>
      <c r="IK638">
        <f>IF(IJ638=1,LN(IH638),"")</f>
        <v/>
      </c>
      <c r="IL638">
        <f>IF(IJ638=1,AVERAGEIFS(II3:II688,IG3:IG688,IG638,IJ3:IJ688,1),"")</f>
        <v/>
      </c>
      <c r="IM638">
        <f>IF(IJ638=1,II638-IL638,"")</f>
        <v/>
      </c>
      <c r="IN638" t="inlineStr">
        <is>
          <t>low</t>
        </is>
      </c>
      <c r="IO638">
        <f>IF(IN638="good",II638,NA())</f>
        <v/>
      </c>
      <c r="IP638">
        <f>IF(IN638="moderate",II638,NA())</f>
        <v/>
      </c>
      <c r="IQ638">
        <f>IF(IN638="low",II638,NA())</f>
        <v/>
      </c>
      <c r="IR638">
        <f>IF(AND(IN638="good",IJ638=1),IM638,NA())</f>
        <v/>
      </c>
      <c r="IS638">
        <f>IF(AND(IN638="moderate",IJ638=1),IM638,NA())</f>
        <v/>
      </c>
      <c r="IT638">
        <f>IF(AND(IN638="low",IJ638=1),IM638,NA())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  <c r="IG639">
        <f>Base_mundial!A638</f>
        <v/>
      </c>
      <c r="IH639">
        <f>Base_mundial!C638</f>
        <v/>
      </c>
      <c r="II639">
        <f>Base_mundial!E638-MIN(tope,DEGREES(ATAN(TAN(RADIANS(pe0-omega*Base_mundial!B638))*(Base_mundial!C638/sref)^(m_-1))))</f>
        <v/>
      </c>
      <c r="IJ639" t="n">
        <v>0</v>
      </c>
      <c r="IK639">
        <f>IF(IJ639=1,LN(IH639),"")</f>
        <v/>
      </c>
      <c r="IL639">
        <f>IF(IJ639=1,AVERAGEIFS(II3:II688,IG3:IG688,IG639,IJ3:IJ688,1),"")</f>
        <v/>
      </c>
      <c r="IM639">
        <f>IF(IJ639=1,II639-IL639,"")</f>
        <v/>
      </c>
      <c r="IN639" t="inlineStr">
        <is>
          <t>moderate</t>
        </is>
      </c>
      <c r="IO639">
        <f>IF(IN639="good",II639,NA())</f>
        <v/>
      </c>
      <c r="IP639">
        <f>IF(IN639="moderate",II639,NA())</f>
        <v/>
      </c>
      <c r="IQ639">
        <f>IF(IN639="low",II639,NA())</f>
        <v/>
      </c>
      <c r="IR639">
        <f>IF(AND(IN639="good",IJ639=1),IM639,NA())</f>
        <v/>
      </c>
      <c r="IS639">
        <f>IF(AND(IN639="moderate",IJ639=1),IM639,NA())</f>
        <v/>
      </c>
      <c r="IT639">
        <f>IF(AND(IN639="low",IJ639=1),IM639,NA())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  <c r="IG640">
        <f>Base_mundial!A639</f>
        <v/>
      </c>
      <c r="IH640">
        <f>Base_mundial!C639</f>
        <v/>
      </c>
      <c r="II640">
        <f>Base_mundial!E639-MIN(tope,DEGREES(ATAN(TAN(RADIANS(pe0-omega*Base_mundial!B639))*(Base_mundial!C639/sref)^(m_-1))))</f>
        <v/>
      </c>
      <c r="IJ640" t="n">
        <v>0</v>
      </c>
      <c r="IK640">
        <f>IF(IJ640=1,LN(IH640),"")</f>
        <v/>
      </c>
      <c r="IL640">
        <f>IF(IJ640=1,AVERAGEIFS(II3:II688,IG3:IG688,IG640,IJ3:IJ688,1),"")</f>
        <v/>
      </c>
      <c r="IM640">
        <f>IF(IJ640=1,II640-IL640,"")</f>
        <v/>
      </c>
      <c r="IN640" t="inlineStr">
        <is>
          <t>moderate</t>
        </is>
      </c>
      <c r="IO640">
        <f>IF(IN640="good",II640,NA())</f>
        <v/>
      </c>
      <c r="IP640">
        <f>IF(IN640="moderate",II640,NA())</f>
        <v/>
      </c>
      <c r="IQ640">
        <f>IF(IN640="low",II640,NA())</f>
        <v/>
      </c>
      <c r="IR640">
        <f>IF(AND(IN640="good",IJ640=1),IM640,NA())</f>
        <v/>
      </c>
      <c r="IS640">
        <f>IF(AND(IN640="moderate",IJ640=1),IM640,NA())</f>
        <v/>
      </c>
      <c r="IT640">
        <f>IF(AND(IN640="low",IJ640=1),IM640,NA())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  <c r="IG641">
        <f>Base_mundial!A640</f>
        <v/>
      </c>
      <c r="IH641">
        <f>Base_mundial!C640</f>
        <v/>
      </c>
      <c r="II641">
        <f>Base_mundial!E640-MIN(tope,DEGREES(ATAN(TAN(RADIANS(pe0-omega*Base_mundial!B640))*(Base_mundial!C640/sref)^(m_-1))))</f>
        <v/>
      </c>
      <c r="IJ641" t="n">
        <v>0</v>
      </c>
      <c r="IK641">
        <f>IF(IJ641=1,LN(IH641),"")</f>
        <v/>
      </c>
      <c r="IL641">
        <f>IF(IJ641=1,AVERAGEIFS(II3:II688,IG3:IG688,IG641,IJ3:IJ688,1),"")</f>
        <v/>
      </c>
      <c r="IM641">
        <f>IF(IJ641=1,II641-IL641,"")</f>
        <v/>
      </c>
      <c r="IN641" t="inlineStr">
        <is>
          <t>moderate</t>
        </is>
      </c>
      <c r="IO641">
        <f>IF(IN641="good",II641,NA())</f>
        <v/>
      </c>
      <c r="IP641">
        <f>IF(IN641="moderate",II641,NA())</f>
        <v/>
      </c>
      <c r="IQ641">
        <f>IF(IN641="low",II641,NA())</f>
        <v/>
      </c>
      <c r="IR641">
        <f>IF(AND(IN641="good",IJ641=1),IM641,NA())</f>
        <v/>
      </c>
      <c r="IS641">
        <f>IF(AND(IN641="moderate",IJ641=1),IM641,NA())</f>
        <v/>
      </c>
      <c r="IT641">
        <f>IF(AND(IN641="low",IJ641=1),IM641,NA())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  <c r="IG642">
        <f>Base_mundial!A641</f>
        <v/>
      </c>
      <c r="IH642">
        <f>Base_mundial!C641</f>
        <v/>
      </c>
      <c r="II642">
        <f>Base_mundial!E641-MIN(tope,DEGREES(ATAN(TAN(RADIANS(pe0-omega*Base_mundial!B641))*(Base_mundial!C641/sref)^(m_-1))))</f>
        <v/>
      </c>
      <c r="IJ642" t="n">
        <v>0</v>
      </c>
      <c r="IK642">
        <f>IF(IJ642=1,LN(IH642),"")</f>
        <v/>
      </c>
      <c r="IL642">
        <f>IF(IJ642=1,AVERAGEIFS(II3:II688,IG3:IG688,IG642,IJ3:IJ688,1),"")</f>
        <v/>
      </c>
      <c r="IM642">
        <f>IF(IJ642=1,II642-IL642,"")</f>
        <v/>
      </c>
      <c r="IN642" t="inlineStr">
        <is>
          <t>moderate</t>
        </is>
      </c>
      <c r="IO642">
        <f>IF(IN642="good",II642,NA())</f>
        <v/>
      </c>
      <c r="IP642">
        <f>IF(IN642="moderate",II642,NA())</f>
        <v/>
      </c>
      <c r="IQ642">
        <f>IF(IN642="low",II642,NA())</f>
        <v/>
      </c>
      <c r="IR642">
        <f>IF(AND(IN642="good",IJ642=1),IM642,NA())</f>
        <v/>
      </c>
      <c r="IS642">
        <f>IF(AND(IN642="moderate",IJ642=1),IM642,NA())</f>
        <v/>
      </c>
      <c r="IT642">
        <f>IF(AND(IN642="low",IJ642=1),IM642,NA())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  <c r="IG643">
        <f>Base_mundial!A642</f>
        <v/>
      </c>
      <c r="IH643">
        <f>Base_mundial!C642</f>
        <v/>
      </c>
      <c r="II643">
        <f>Base_mundial!E642-MIN(tope,DEGREES(ATAN(TAN(RADIANS(pe0-omega*Base_mundial!B642))*(Base_mundial!C642/sref)^(m_-1))))</f>
        <v/>
      </c>
      <c r="IJ643" t="n">
        <v>0</v>
      </c>
      <c r="IK643">
        <f>IF(IJ643=1,LN(IH643),"")</f>
        <v/>
      </c>
      <c r="IL643">
        <f>IF(IJ643=1,AVERAGEIFS(II3:II688,IG3:IG688,IG643,IJ3:IJ688,1),"")</f>
        <v/>
      </c>
      <c r="IM643">
        <f>IF(IJ643=1,II643-IL643,"")</f>
        <v/>
      </c>
      <c r="IN643" t="inlineStr">
        <is>
          <t>moderate</t>
        </is>
      </c>
      <c r="IO643">
        <f>IF(IN643="good",II643,NA())</f>
        <v/>
      </c>
      <c r="IP643">
        <f>IF(IN643="moderate",II643,NA())</f>
        <v/>
      </c>
      <c r="IQ643">
        <f>IF(IN643="low",II643,NA())</f>
        <v/>
      </c>
      <c r="IR643">
        <f>IF(AND(IN643="good",IJ643=1),IM643,NA())</f>
        <v/>
      </c>
      <c r="IS643">
        <f>IF(AND(IN643="moderate",IJ643=1),IM643,NA())</f>
        <v/>
      </c>
      <c r="IT643">
        <f>IF(AND(IN643="low",IJ643=1),IM643,NA())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  <c r="IG644">
        <f>Base_mundial!A643</f>
        <v/>
      </c>
      <c r="IH644">
        <f>Base_mundial!C643</f>
        <v/>
      </c>
      <c r="II644">
        <f>Base_mundial!E643-MIN(tope,DEGREES(ATAN(TAN(RADIANS(pe0-omega*Base_mundial!B643))*(Base_mundial!C643/sref)^(m_-1))))</f>
        <v/>
      </c>
      <c r="IJ644" t="n">
        <v>0</v>
      </c>
      <c r="IK644">
        <f>IF(IJ644=1,LN(IH644),"")</f>
        <v/>
      </c>
      <c r="IL644">
        <f>IF(IJ644=1,AVERAGEIFS(II3:II688,IG3:IG688,IG644,IJ3:IJ688,1),"")</f>
        <v/>
      </c>
      <c r="IM644">
        <f>IF(IJ644=1,II644-IL644,"")</f>
        <v/>
      </c>
      <c r="IN644" t="inlineStr">
        <is>
          <t>moderate</t>
        </is>
      </c>
      <c r="IO644">
        <f>IF(IN644="good",II644,NA())</f>
        <v/>
      </c>
      <c r="IP644">
        <f>IF(IN644="moderate",II644,NA())</f>
        <v/>
      </c>
      <c r="IQ644">
        <f>IF(IN644="low",II644,NA())</f>
        <v/>
      </c>
      <c r="IR644">
        <f>IF(AND(IN644="good",IJ644=1),IM644,NA())</f>
        <v/>
      </c>
      <c r="IS644">
        <f>IF(AND(IN644="moderate",IJ644=1),IM644,NA())</f>
        <v/>
      </c>
      <c r="IT644">
        <f>IF(AND(IN644="low",IJ644=1),IM644,NA())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  <c r="IG645">
        <f>Base_mundial!A644</f>
        <v/>
      </c>
      <c r="IH645">
        <f>Base_mundial!C644</f>
        <v/>
      </c>
      <c r="II645">
        <f>Base_mundial!E644-MIN(tope,DEGREES(ATAN(TAN(RADIANS(pe0-omega*Base_mundial!B644))*(Base_mundial!C644/sref)^(m_-1))))</f>
        <v/>
      </c>
      <c r="IJ645" t="n">
        <v>0</v>
      </c>
      <c r="IK645">
        <f>IF(IJ645=1,LN(IH645),"")</f>
        <v/>
      </c>
      <c r="IL645">
        <f>IF(IJ645=1,AVERAGEIFS(II3:II688,IG3:IG688,IG645,IJ3:IJ688,1),"")</f>
        <v/>
      </c>
      <c r="IM645">
        <f>IF(IJ645=1,II645-IL645,"")</f>
        <v/>
      </c>
      <c r="IN645" t="inlineStr">
        <is>
          <t>low</t>
        </is>
      </c>
      <c r="IO645">
        <f>IF(IN645="good",II645,NA())</f>
        <v/>
      </c>
      <c r="IP645">
        <f>IF(IN645="moderate",II645,NA())</f>
        <v/>
      </c>
      <c r="IQ645">
        <f>IF(IN645="low",II645,NA())</f>
        <v/>
      </c>
      <c r="IR645">
        <f>IF(AND(IN645="good",IJ645=1),IM645,NA())</f>
        <v/>
      </c>
      <c r="IS645">
        <f>IF(AND(IN645="moderate",IJ645=1),IM645,NA())</f>
        <v/>
      </c>
      <c r="IT645">
        <f>IF(AND(IN645="low",IJ645=1),IM645,NA())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  <c r="IG646">
        <f>Base_mundial!A645</f>
        <v/>
      </c>
      <c r="IH646">
        <f>Base_mundial!C645</f>
        <v/>
      </c>
      <c r="II646">
        <f>Base_mundial!E645-MIN(tope,DEGREES(ATAN(TAN(RADIANS(pe0-omega*Base_mundial!B645))*(Base_mundial!C645/sref)^(m_-1))))</f>
        <v/>
      </c>
      <c r="IJ646" t="n">
        <v>0</v>
      </c>
      <c r="IK646">
        <f>IF(IJ646=1,LN(IH646),"")</f>
        <v/>
      </c>
      <c r="IL646">
        <f>IF(IJ646=1,AVERAGEIFS(II3:II688,IG3:IG688,IG646,IJ3:IJ688,1),"")</f>
        <v/>
      </c>
      <c r="IM646">
        <f>IF(IJ646=1,II646-IL646,"")</f>
        <v/>
      </c>
      <c r="IN646" t="inlineStr">
        <is>
          <t>low</t>
        </is>
      </c>
      <c r="IO646">
        <f>IF(IN646="good",II646,NA())</f>
        <v/>
      </c>
      <c r="IP646">
        <f>IF(IN646="moderate",II646,NA())</f>
        <v/>
      </c>
      <c r="IQ646">
        <f>IF(IN646="low",II646,NA())</f>
        <v/>
      </c>
      <c r="IR646">
        <f>IF(AND(IN646="good",IJ646=1),IM646,NA())</f>
        <v/>
      </c>
      <c r="IS646">
        <f>IF(AND(IN646="moderate",IJ646=1),IM646,NA())</f>
        <v/>
      </c>
      <c r="IT646">
        <f>IF(AND(IN646="low",IJ646=1),IM646,NA())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  <c r="IG647">
        <f>Base_mundial!A646</f>
        <v/>
      </c>
      <c r="IH647">
        <f>Base_mundial!C646</f>
        <v/>
      </c>
      <c r="II647">
        <f>Base_mundial!E646-MIN(tope,DEGREES(ATAN(TAN(RADIANS(pe0-omega*Base_mundial!B646))*(Base_mundial!C646/sref)^(m_-1))))</f>
        <v/>
      </c>
      <c r="IJ647" t="n">
        <v>0</v>
      </c>
      <c r="IK647">
        <f>IF(IJ647=1,LN(IH647),"")</f>
        <v/>
      </c>
      <c r="IL647">
        <f>IF(IJ647=1,AVERAGEIFS(II3:II688,IG3:IG688,IG647,IJ3:IJ688,1),"")</f>
        <v/>
      </c>
      <c r="IM647">
        <f>IF(IJ647=1,II647-IL647,"")</f>
        <v/>
      </c>
      <c r="IN647" t="inlineStr">
        <is>
          <t>low</t>
        </is>
      </c>
      <c r="IO647">
        <f>IF(IN647="good",II647,NA())</f>
        <v/>
      </c>
      <c r="IP647">
        <f>IF(IN647="moderate",II647,NA())</f>
        <v/>
      </c>
      <c r="IQ647">
        <f>IF(IN647="low",II647,NA())</f>
        <v/>
      </c>
      <c r="IR647">
        <f>IF(AND(IN647="good",IJ647=1),IM647,NA())</f>
        <v/>
      </c>
      <c r="IS647">
        <f>IF(AND(IN647="moderate",IJ647=1),IM647,NA())</f>
        <v/>
      </c>
      <c r="IT647">
        <f>IF(AND(IN647="low",IJ647=1),IM647,NA())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  <c r="IG648">
        <f>Base_mundial!A647</f>
        <v/>
      </c>
      <c r="IH648">
        <f>Base_mundial!C647</f>
        <v/>
      </c>
      <c r="II648">
        <f>Base_mundial!E647-MIN(tope,DEGREES(ATAN(TAN(RADIANS(pe0-omega*Base_mundial!B647))*(Base_mundial!C647/sref)^(m_-1))))</f>
        <v/>
      </c>
      <c r="IJ648" t="n">
        <v>0</v>
      </c>
      <c r="IK648">
        <f>IF(IJ648=1,LN(IH648),"")</f>
        <v/>
      </c>
      <c r="IL648">
        <f>IF(IJ648=1,AVERAGEIFS(II3:II688,IG3:IG688,IG648,IJ3:IJ688,1),"")</f>
        <v/>
      </c>
      <c r="IM648">
        <f>IF(IJ648=1,II648-IL648,"")</f>
        <v/>
      </c>
      <c r="IN648" t="inlineStr">
        <is>
          <t>low</t>
        </is>
      </c>
      <c r="IO648">
        <f>IF(IN648="good",II648,NA())</f>
        <v/>
      </c>
      <c r="IP648">
        <f>IF(IN648="moderate",II648,NA())</f>
        <v/>
      </c>
      <c r="IQ648">
        <f>IF(IN648="low",II648,NA())</f>
        <v/>
      </c>
      <c r="IR648">
        <f>IF(AND(IN648="good",IJ648=1),IM648,NA())</f>
        <v/>
      </c>
      <c r="IS648">
        <f>IF(AND(IN648="moderate",IJ648=1),IM648,NA())</f>
        <v/>
      </c>
      <c r="IT648">
        <f>IF(AND(IN648="low",IJ648=1),IM648,NA())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  <c r="IG649">
        <f>Base_mundial!A648</f>
        <v/>
      </c>
      <c r="IH649">
        <f>Base_mundial!C648</f>
        <v/>
      </c>
      <c r="II649">
        <f>Base_mundial!E648-MIN(tope,DEGREES(ATAN(TAN(RADIANS(pe0-omega*Base_mundial!B648))*(Base_mundial!C648/sref)^(m_-1))))</f>
        <v/>
      </c>
      <c r="IJ649" t="n">
        <v>0</v>
      </c>
      <c r="IK649">
        <f>IF(IJ649=1,LN(IH649),"")</f>
        <v/>
      </c>
      <c r="IL649">
        <f>IF(IJ649=1,AVERAGEIFS(II3:II688,IG3:IG688,IG649,IJ3:IJ688,1),"")</f>
        <v/>
      </c>
      <c r="IM649">
        <f>IF(IJ649=1,II649-IL649,"")</f>
        <v/>
      </c>
      <c r="IN649" t="inlineStr">
        <is>
          <t>low</t>
        </is>
      </c>
      <c r="IO649">
        <f>IF(IN649="good",II649,NA())</f>
        <v/>
      </c>
      <c r="IP649">
        <f>IF(IN649="moderate",II649,NA())</f>
        <v/>
      </c>
      <c r="IQ649">
        <f>IF(IN649="low",II649,NA())</f>
        <v/>
      </c>
      <c r="IR649">
        <f>IF(AND(IN649="good",IJ649=1),IM649,NA())</f>
        <v/>
      </c>
      <c r="IS649">
        <f>IF(AND(IN649="moderate",IJ649=1),IM649,NA())</f>
        <v/>
      </c>
      <c r="IT649">
        <f>IF(AND(IN649="low",IJ649=1),IM649,NA())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  <c r="IG650">
        <f>Base_mundial!A649</f>
        <v/>
      </c>
      <c r="IH650">
        <f>Base_mundial!C649</f>
        <v/>
      </c>
      <c r="II650">
        <f>Base_mundial!E649-MIN(tope,DEGREES(ATAN(TAN(RADIANS(pe0-omega*Base_mundial!B649))*(Base_mundial!C649/sref)^(m_-1))))</f>
        <v/>
      </c>
      <c r="IJ650" t="n">
        <v>0</v>
      </c>
      <c r="IK650">
        <f>IF(IJ650=1,LN(IH650),"")</f>
        <v/>
      </c>
      <c r="IL650">
        <f>IF(IJ650=1,AVERAGEIFS(II3:II688,IG3:IG688,IG650,IJ3:IJ688,1),"")</f>
        <v/>
      </c>
      <c r="IM650">
        <f>IF(IJ650=1,II650-IL650,"")</f>
        <v/>
      </c>
      <c r="IN650" t="inlineStr">
        <is>
          <t>low</t>
        </is>
      </c>
      <c r="IO650">
        <f>IF(IN650="good",II650,NA())</f>
        <v/>
      </c>
      <c r="IP650">
        <f>IF(IN650="moderate",II650,NA())</f>
        <v/>
      </c>
      <c r="IQ650">
        <f>IF(IN650="low",II650,NA())</f>
        <v/>
      </c>
      <c r="IR650">
        <f>IF(AND(IN650="good",IJ650=1),IM650,NA())</f>
        <v/>
      </c>
      <c r="IS650">
        <f>IF(AND(IN650="moderate",IJ650=1),IM650,NA())</f>
        <v/>
      </c>
      <c r="IT650">
        <f>IF(AND(IN650="low",IJ650=1),IM650,NA())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  <c r="IG651">
        <f>Base_mundial!A650</f>
        <v/>
      </c>
      <c r="IH651">
        <f>Base_mundial!C650</f>
        <v/>
      </c>
      <c r="II651">
        <f>Base_mundial!E650-MIN(tope,DEGREES(ATAN(TAN(RADIANS(pe0-omega*Base_mundial!B650))*(Base_mundial!C650/sref)^(m_-1))))</f>
        <v/>
      </c>
      <c r="IJ651" t="n">
        <v>0</v>
      </c>
      <c r="IK651">
        <f>IF(IJ651=1,LN(IH651),"")</f>
        <v/>
      </c>
      <c r="IL651">
        <f>IF(IJ651=1,AVERAGEIFS(II3:II688,IG3:IG688,IG651,IJ3:IJ688,1),"")</f>
        <v/>
      </c>
      <c r="IM651">
        <f>IF(IJ651=1,II651-IL651,"")</f>
        <v/>
      </c>
      <c r="IN651" t="inlineStr">
        <is>
          <t>low</t>
        </is>
      </c>
      <c r="IO651">
        <f>IF(IN651="good",II651,NA())</f>
        <v/>
      </c>
      <c r="IP651">
        <f>IF(IN651="moderate",II651,NA())</f>
        <v/>
      </c>
      <c r="IQ651">
        <f>IF(IN651="low",II651,NA())</f>
        <v/>
      </c>
      <c r="IR651">
        <f>IF(AND(IN651="good",IJ651=1),IM651,NA())</f>
        <v/>
      </c>
      <c r="IS651">
        <f>IF(AND(IN651="moderate",IJ651=1),IM651,NA())</f>
        <v/>
      </c>
      <c r="IT651">
        <f>IF(AND(IN651="low",IJ651=1),IM651,NA())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  <c r="IG652">
        <f>Base_mundial!A651</f>
        <v/>
      </c>
      <c r="IH652">
        <f>Base_mundial!C651</f>
        <v/>
      </c>
      <c r="II652">
        <f>Base_mundial!E651-MIN(tope,DEGREES(ATAN(TAN(RADIANS(pe0-omega*Base_mundial!B651))*(Base_mundial!C651/sref)^(m_-1))))</f>
        <v/>
      </c>
      <c r="IJ652" t="n">
        <v>0</v>
      </c>
      <c r="IK652">
        <f>IF(IJ652=1,LN(IH652),"")</f>
        <v/>
      </c>
      <c r="IL652">
        <f>IF(IJ652=1,AVERAGEIFS(II3:II688,IG3:IG688,IG652,IJ3:IJ688,1),"")</f>
        <v/>
      </c>
      <c r="IM652">
        <f>IF(IJ652=1,II652-IL652,"")</f>
        <v/>
      </c>
      <c r="IN652" t="inlineStr">
        <is>
          <t>good</t>
        </is>
      </c>
      <c r="IO652">
        <f>IF(IN652="good",II652,NA())</f>
        <v/>
      </c>
      <c r="IP652">
        <f>IF(IN652="moderate",II652,NA())</f>
        <v/>
      </c>
      <c r="IQ652">
        <f>IF(IN652="low",II652,NA())</f>
        <v/>
      </c>
      <c r="IR652">
        <f>IF(AND(IN652="good",IJ652=1),IM652,NA())</f>
        <v/>
      </c>
      <c r="IS652">
        <f>IF(AND(IN652="moderate",IJ652=1),IM652,NA())</f>
        <v/>
      </c>
      <c r="IT652">
        <f>IF(AND(IN652="low",IJ652=1),IM652,NA())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  <c r="IG653">
        <f>Base_mundial!A652</f>
        <v/>
      </c>
      <c r="IH653">
        <f>Base_mundial!C652</f>
        <v/>
      </c>
      <c r="II653">
        <f>Base_mundial!E652-MIN(tope,DEGREES(ATAN(TAN(RADIANS(pe0-omega*Base_mundial!B652))*(Base_mundial!C652/sref)^(m_-1))))</f>
        <v/>
      </c>
      <c r="IJ653" t="n">
        <v>0</v>
      </c>
      <c r="IK653">
        <f>IF(IJ653=1,LN(IH653),"")</f>
        <v/>
      </c>
      <c r="IL653">
        <f>IF(IJ653=1,AVERAGEIFS(II3:II688,IG3:IG688,IG653,IJ3:IJ688,1),"")</f>
        <v/>
      </c>
      <c r="IM653">
        <f>IF(IJ653=1,II653-IL653,"")</f>
        <v/>
      </c>
      <c r="IN653" t="inlineStr">
        <is>
          <t>good</t>
        </is>
      </c>
      <c r="IO653">
        <f>IF(IN653="good",II653,NA())</f>
        <v/>
      </c>
      <c r="IP653">
        <f>IF(IN653="moderate",II653,NA())</f>
        <v/>
      </c>
      <c r="IQ653">
        <f>IF(IN653="low",II653,NA())</f>
        <v/>
      </c>
      <c r="IR653">
        <f>IF(AND(IN653="good",IJ653=1),IM653,NA())</f>
        <v/>
      </c>
      <c r="IS653">
        <f>IF(AND(IN653="moderate",IJ653=1),IM653,NA())</f>
        <v/>
      </c>
      <c r="IT653">
        <f>IF(AND(IN653="low",IJ653=1),IM653,NA())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  <c r="IG654">
        <f>Base_mundial!A653</f>
        <v/>
      </c>
      <c r="IH654">
        <f>Base_mundial!C653</f>
        <v/>
      </c>
      <c r="II654">
        <f>Base_mundial!E653-MIN(tope,DEGREES(ATAN(TAN(RADIANS(pe0-omega*Base_mundial!B653))*(Base_mundial!C653/sref)^(m_-1))))</f>
        <v/>
      </c>
      <c r="IJ654" t="n">
        <v>0</v>
      </c>
      <c r="IK654">
        <f>IF(IJ654=1,LN(IH654),"")</f>
        <v/>
      </c>
      <c r="IL654">
        <f>IF(IJ654=1,AVERAGEIFS(II3:II688,IG3:IG688,IG654,IJ3:IJ688,1),"")</f>
        <v/>
      </c>
      <c r="IM654">
        <f>IF(IJ654=1,II654-IL654,"")</f>
        <v/>
      </c>
      <c r="IN654" t="inlineStr">
        <is>
          <t>good</t>
        </is>
      </c>
      <c r="IO654">
        <f>IF(IN654="good",II654,NA())</f>
        <v/>
      </c>
      <c r="IP654">
        <f>IF(IN654="moderate",II654,NA())</f>
        <v/>
      </c>
      <c r="IQ654">
        <f>IF(IN654="low",II654,NA())</f>
        <v/>
      </c>
      <c r="IR654">
        <f>IF(AND(IN654="good",IJ654=1),IM654,NA())</f>
        <v/>
      </c>
      <c r="IS654">
        <f>IF(AND(IN654="moderate",IJ654=1),IM654,NA())</f>
        <v/>
      </c>
      <c r="IT654">
        <f>IF(AND(IN654="low",IJ654=1),IM654,NA())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  <c r="IG655">
        <f>Base_mundial!A654</f>
        <v/>
      </c>
      <c r="IH655">
        <f>Base_mundial!C654</f>
        <v/>
      </c>
      <c r="II655">
        <f>Base_mundial!E654-MIN(tope,DEGREES(ATAN(TAN(RADIANS(pe0-omega*Base_mundial!B654))*(Base_mundial!C654/sref)^(m_-1))))</f>
        <v/>
      </c>
      <c r="IJ655" t="n">
        <v>0</v>
      </c>
      <c r="IK655">
        <f>IF(IJ655=1,LN(IH655),"")</f>
        <v/>
      </c>
      <c r="IL655">
        <f>IF(IJ655=1,AVERAGEIFS(II3:II688,IG3:IG688,IG655,IJ3:IJ688,1),"")</f>
        <v/>
      </c>
      <c r="IM655">
        <f>IF(IJ655=1,II655-IL655,"")</f>
        <v/>
      </c>
      <c r="IN655" t="inlineStr">
        <is>
          <t>good</t>
        </is>
      </c>
      <c r="IO655">
        <f>IF(IN655="good",II655,NA())</f>
        <v/>
      </c>
      <c r="IP655">
        <f>IF(IN655="moderate",II655,NA())</f>
        <v/>
      </c>
      <c r="IQ655">
        <f>IF(IN655="low",II655,NA())</f>
        <v/>
      </c>
      <c r="IR655">
        <f>IF(AND(IN655="good",IJ655=1),IM655,NA())</f>
        <v/>
      </c>
      <c r="IS655">
        <f>IF(AND(IN655="moderate",IJ655=1),IM655,NA())</f>
        <v/>
      </c>
      <c r="IT655">
        <f>IF(AND(IN655="low",IJ655=1),IM655,NA())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  <c r="IG656">
        <f>Base_mundial!A655</f>
        <v/>
      </c>
      <c r="IH656">
        <f>Base_mundial!C655</f>
        <v/>
      </c>
      <c r="II656">
        <f>Base_mundial!E655-MIN(tope,DEGREES(ATAN(TAN(RADIANS(pe0-omega*Base_mundial!B655))*(Base_mundial!C655/sref)^(m_-1))))</f>
        <v/>
      </c>
      <c r="IJ656" t="n">
        <v>0</v>
      </c>
      <c r="IK656">
        <f>IF(IJ656=1,LN(IH656),"")</f>
        <v/>
      </c>
      <c r="IL656">
        <f>IF(IJ656=1,AVERAGEIFS(II3:II688,IG3:IG688,IG656,IJ3:IJ688,1),"")</f>
        <v/>
      </c>
      <c r="IM656">
        <f>IF(IJ656=1,II656-IL656,"")</f>
        <v/>
      </c>
      <c r="IN656" t="inlineStr">
        <is>
          <t>good</t>
        </is>
      </c>
      <c r="IO656">
        <f>IF(IN656="good",II656,NA())</f>
        <v/>
      </c>
      <c r="IP656">
        <f>IF(IN656="moderate",II656,NA())</f>
        <v/>
      </c>
      <c r="IQ656">
        <f>IF(IN656="low",II656,NA())</f>
        <v/>
      </c>
      <c r="IR656">
        <f>IF(AND(IN656="good",IJ656=1),IM656,NA())</f>
        <v/>
      </c>
      <c r="IS656">
        <f>IF(AND(IN656="moderate",IJ656=1),IM656,NA())</f>
        <v/>
      </c>
      <c r="IT656">
        <f>IF(AND(IN656="low",IJ656=1),IM656,NA())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  <c r="IG657">
        <f>Base_mundial!A656</f>
        <v/>
      </c>
      <c r="IH657">
        <f>Base_mundial!C656</f>
        <v/>
      </c>
      <c r="II657">
        <f>Base_mundial!E656-MIN(tope,DEGREES(ATAN(TAN(RADIANS(pe0-omega*Base_mundial!B656))*(Base_mundial!C656/sref)^(m_-1))))</f>
        <v/>
      </c>
      <c r="IJ657" t="n">
        <v>0</v>
      </c>
      <c r="IK657">
        <f>IF(IJ657=1,LN(IH657),"")</f>
        <v/>
      </c>
      <c r="IL657">
        <f>IF(IJ657=1,AVERAGEIFS(II3:II688,IG3:IG688,IG657,IJ3:IJ688,1),"")</f>
        <v/>
      </c>
      <c r="IM657">
        <f>IF(IJ657=1,II657-IL657,"")</f>
        <v/>
      </c>
      <c r="IN657" t="inlineStr">
        <is>
          <t>moderate</t>
        </is>
      </c>
      <c r="IO657">
        <f>IF(IN657="good",II657,NA())</f>
        <v/>
      </c>
      <c r="IP657">
        <f>IF(IN657="moderate",II657,NA())</f>
        <v/>
      </c>
      <c r="IQ657">
        <f>IF(IN657="low",II657,NA())</f>
        <v/>
      </c>
      <c r="IR657">
        <f>IF(AND(IN657="good",IJ657=1),IM657,NA())</f>
        <v/>
      </c>
      <c r="IS657">
        <f>IF(AND(IN657="moderate",IJ657=1),IM657,NA())</f>
        <v/>
      </c>
      <c r="IT657">
        <f>IF(AND(IN657="low",IJ657=1),IM657,NA())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  <c r="IG658">
        <f>Base_mundial!A657</f>
        <v/>
      </c>
      <c r="IH658">
        <f>Base_mundial!C657</f>
        <v/>
      </c>
      <c r="II658">
        <f>Base_mundial!E657-MIN(tope,DEGREES(ATAN(TAN(RADIANS(pe0-omega*Base_mundial!B657))*(Base_mundial!C657/sref)^(m_-1))))</f>
        <v/>
      </c>
      <c r="IJ658" t="n">
        <v>0</v>
      </c>
      <c r="IK658">
        <f>IF(IJ658=1,LN(IH658),"")</f>
        <v/>
      </c>
      <c r="IL658">
        <f>IF(IJ658=1,AVERAGEIFS(II3:II688,IG3:IG688,IG658,IJ3:IJ688,1),"")</f>
        <v/>
      </c>
      <c r="IM658">
        <f>IF(IJ658=1,II658-IL658,"")</f>
        <v/>
      </c>
      <c r="IN658" t="inlineStr">
        <is>
          <t>moderate</t>
        </is>
      </c>
      <c r="IO658">
        <f>IF(IN658="good",II658,NA())</f>
        <v/>
      </c>
      <c r="IP658">
        <f>IF(IN658="moderate",II658,NA())</f>
        <v/>
      </c>
      <c r="IQ658">
        <f>IF(IN658="low",II658,NA())</f>
        <v/>
      </c>
      <c r="IR658">
        <f>IF(AND(IN658="good",IJ658=1),IM658,NA())</f>
        <v/>
      </c>
      <c r="IS658">
        <f>IF(AND(IN658="moderate",IJ658=1),IM658,NA())</f>
        <v/>
      </c>
      <c r="IT658">
        <f>IF(AND(IN658="low",IJ658=1),IM658,NA())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  <c r="IG659">
        <f>Base_mundial!A658</f>
        <v/>
      </c>
      <c r="IH659">
        <f>Base_mundial!C658</f>
        <v/>
      </c>
      <c r="II659">
        <f>Base_mundial!E658-MIN(tope,DEGREES(ATAN(TAN(RADIANS(pe0-omega*Base_mundial!B658))*(Base_mundial!C658/sref)^(m_-1))))</f>
        <v/>
      </c>
      <c r="IJ659" t="n">
        <v>0</v>
      </c>
      <c r="IK659">
        <f>IF(IJ659=1,LN(IH659),"")</f>
        <v/>
      </c>
      <c r="IL659">
        <f>IF(IJ659=1,AVERAGEIFS(II3:II688,IG3:IG688,IG659,IJ3:IJ688,1),"")</f>
        <v/>
      </c>
      <c r="IM659">
        <f>IF(IJ659=1,II659-IL659,"")</f>
        <v/>
      </c>
      <c r="IN659" t="inlineStr">
        <is>
          <t>moderate</t>
        </is>
      </c>
      <c r="IO659">
        <f>IF(IN659="good",II659,NA())</f>
        <v/>
      </c>
      <c r="IP659">
        <f>IF(IN659="moderate",II659,NA())</f>
        <v/>
      </c>
      <c r="IQ659">
        <f>IF(IN659="low",II659,NA())</f>
        <v/>
      </c>
      <c r="IR659">
        <f>IF(AND(IN659="good",IJ659=1),IM659,NA())</f>
        <v/>
      </c>
      <c r="IS659">
        <f>IF(AND(IN659="moderate",IJ659=1),IM659,NA())</f>
        <v/>
      </c>
      <c r="IT659">
        <f>IF(AND(IN659="low",IJ659=1),IM659,NA())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  <c r="IG660">
        <f>Base_mundial!A659</f>
        <v/>
      </c>
      <c r="IH660">
        <f>Base_mundial!C659</f>
        <v/>
      </c>
      <c r="II660">
        <f>Base_mundial!E659-MIN(tope,DEGREES(ATAN(TAN(RADIANS(pe0-omega*Base_mundial!B659))*(Base_mundial!C659/sref)^(m_-1))))</f>
        <v/>
      </c>
      <c r="IJ660" t="n">
        <v>0</v>
      </c>
      <c r="IK660">
        <f>IF(IJ660=1,LN(IH660),"")</f>
        <v/>
      </c>
      <c r="IL660">
        <f>IF(IJ660=1,AVERAGEIFS(II3:II688,IG3:IG688,IG660,IJ3:IJ688,1),"")</f>
        <v/>
      </c>
      <c r="IM660">
        <f>IF(IJ660=1,II660-IL660,"")</f>
        <v/>
      </c>
      <c r="IN660" t="inlineStr">
        <is>
          <t>moderate</t>
        </is>
      </c>
      <c r="IO660">
        <f>IF(IN660="good",II660,NA())</f>
        <v/>
      </c>
      <c r="IP660">
        <f>IF(IN660="moderate",II660,NA())</f>
        <v/>
      </c>
      <c r="IQ660">
        <f>IF(IN660="low",II660,NA())</f>
        <v/>
      </c>
      <c r="IR660">
        <f>IF(AND(IN660="good",IJ660=1),IM660,NA())</f>
        <v/>
      </c>
      <c r="IS660">
        <f>IF(AND(IN660="moderate",IJ660=1),IM660,NA())</f>
        <v/>
      </c>
      <c r="IT660">
        <f>IF(AND(IN660="low",IJ660=1),IM660,NA())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  <c r="IG661">
        <f>Base_mundial!A660</f>
        <v/>
      </c>
      <c r="IH661">
        <f>Base_mundial!C660</f>
        <v/>
      </c>
      <c r="II661">
        <f>Base_mundial!E660-MIN(tope,DEGREES(ATAN(TAN(RADIANS(pe0-omega*Base_mundial!B660))*(Base_mundial!C660/sref)^(m_-1))))</f>
        <v/>
      </c>
      <c r="IJ661" t="n">
        <v>0</v>
      </c>
      <c r="IK661">
        <f>IF(IJ661=1,LN(IH661),"")</f>
        <v/>
      </c>
      <c r="IL661">
        <f>IF(IJ661=1,AVERAGEIFS(II3:II688,IG3:IG688,IG661,IJ3:IJ688,1),"")</f>
        <v/>
      </c>
      <c r="IM661">
        <f>IF(IJ661=1,II661-IL661,"")</f>
        <v/>
      </c>
      <c r="IN661" t="inlineStr">
        <is>
          <t>moderate</t>
        </is>
      </c>
      <c r="IO661">
        <f>IF(IN661="good",II661,NA())</f>
        <v/>
      </c>
      <c r="IP661">
        <f>IF(IN661="moderate",II661,NA())</f>
        <v/>
      </c>
      <c r="IQ661">
        <f>IF(IN661="low",II661,NA())</f>
        <v/>
      </c>
      <c r="IR661">
        <f>IF(AND(IN661="good",IJ661=1),IM661,NA())</f>
        <v/>
      </c>
      <c r="IS661">
        <f>IF(AND(IN661="moderate",IJ661=1),IM661,NA())</f>
        <v/>
      </c>
      <c r="IT661">
        <f>IF(AND(IN661="low",IJ661=1),IM661,NA())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  <c r="IG662">
        <f>Base_mundial!A661</f>
        <v/>
      </c>
      <c r="IH662">
        <f>Base_mundial!C661</f>
        <v/>
      </c>
      <c r="II662">
        <f>Base_mundial!E661-MIN(tope,DEGREES(ATAN(TAN(RADIANS(pe0-omega*Base_mundial!B661))*(Base_mundial!C661/sref)^(m_-1))))</f>
        <v/>
      </c>
      <c r="IJ662" t="n">
        <v>0</v>
      </c>
      <c r="IK662">
        <f>IF(IJ662=1,LN(IH662),"")</f>
        <v/>
      </c>
      <c r="IL662">
        <f>IF(IJ662=1,AVERAGEIFS(II3:II688,IG3:IG688,IG662,IJ3:IJ688,1),"")</f>
        <v/>
      </c>
      <c r="IM662">
        <f>IF(IJ662=1,II662-IL662,"")</f>
        <v/>
      </c>
      <c r="IN662" t="inlineStr">
        <is>
          <t>moderate</t>
        </is>
      </c>
      <c r="IO662">
        <f>IF(IN662="good",II662,NA())</f>
        <v/>
      </c>
      <c r="IP662">
        <f>IF(IN662="moderate",II662,NA())</f>
        <v/>
      </c>
      <c r="IQ662">
        <f>IF(IN662="low",II662,NA())</f>
        <v/>
      </c>
      <c r="IR662">
        <f>IF(AND(IN662="good",IJ662=1),IM662,NA())</f>
        <v/>
      </c>
      <c r="IS662">
        <f>IF(AND(IN662="moderate",IJ662=1),IM662,NA())</f>
        <v/>
      </c>
      <c r="IT662">
        <f>IF(AND(IN662="low",IJ662=1),IM662,NA())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  <c r="IG663">
        <f>Base_mundial!A662</f>
        <v/>
      </c>
      <c r="IH663">
        <f>Base_mundial!C662</f>
        <v/>
      </c>
      <c r="II663">
        <f>Base_mundial!E662-MIN(tope,DEGREES(ATAN(TAN(RADIANS(pe0-omega*Base_mundial!B662))*(Base_mundial!C662/sref)^(m_-1))))</f>
        <v/>
      </c>
      <c r="IJ663" t="n">
        <v>0</v>
      </c>
      <c r="IK663">
        <f>IF(IJ663=1,LN(IH663),"")</f>
        <v/>
      </c>
      <c r="IL663">
        <f>IF(IJ663=1,AVERAGEIFS(II3:II688,IG3:IG688,IG663,IJ3:IJ688,1),"")</f>
        <v/>
      </c>
      <c r="IM663">
        <f>IF(IJ663=1,II663-IL663,"")</f>
        <v/>
      </c>
      <c r="IN663" t="inlineStr">
        <is>
          <t>moderate</t>
        </is>
      </c>
      <c r="IO663">
        <f>IF(IN663="good",II663,NA())</f>
        <v/>
      </c>
      <c r="IP663">
        <f>IF(IN663="moderate",II663,NA())</f>
        <v/>
      </c>
      <c r="IQ663">
        <f>IF(IN663="low",II663,NA())</f>
        <v/>
      </c>
      <c r="IR663">
        <f>IF(AND(IN663="good",IJ663=1),IM663,NA())</f>
        <v/>
      </c>
      <c r="IS663">
        <f>IF(AND(IN663="moderate",IJ663=1),IM663,NA())</f>
        <v/>
      </c>
      <c r="IT663">
        <f>IF(AND(IN663="low",IJ663=1),IM663,NA())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  <c r="IG664">
        <f>Base_mundial!A663</f>
        <v/>
      </c>
      <c r="IH664">
        <f>Base_mundial!C663</f>
        <v/>
      </c>
      <c r="II664">
        <f>Base_mundial!E663-MIN(tope,DEGREES(ATAN(TAN(RADIANS(pe0-omega*Base_mundial!B663))*(Base_mundial!C663/sref)^(m_-1))))</f>
        <v/>
      </c>
      <c r="IJ664" t="n">
        <v>0</v>
      </c>
      <c r="IK664">
        <f>IF(IJ664=1,LN(IH664),"")</f>
        <v/>
      </c>
      <c r="IL664">
        <f>IF(IJ664=1,AVERAGEIFS(II3:II688,IG3:IG688,IG664,IJ3:IJ688,1),"")</f>
        <v/>
      </c>
      <c r="IM664">
        <f>IF(IJ664=1,II664-IL664,"")</f>
        <v/>
      </c>
      <c r="IN664" t="inlineStr">
        <is>
          <t>low</t>
        </is>
      </c>
      <c r="IO664">
        <f>IF(IN664="good",II664,NA())</f>
        <v/>
      </c>
      <c r="IP664">
        <f>IF(IN664="moderate",II664,NA())</f>
        <v/>
      </c>
      <c r="IQ664">
        <f>IF(IN664="low",II664,NA())</f>
        <v/>
      </c>
      <c r="IR664">
        <f>IF(AND(IN664="good",IJ664=1),IM664,NA())</f>
        <v/>
      </c>
      <c r="IS664">
        <f>IF(AND(IN664="moderate",IJ664=1),IM664,NA())</f>
        <v/>
      </c>
      <c r="IT664">
        <f>IF(AND(IN664="low",IJ664=1),IM664,NA())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  <c r="IG665">
        <f>Base_mundial!A664</f>
        <v/>
      </c>
      <c r="IH665">
        <f>Base_mundial!C664</f>
        <v/>
      </c>
      <c r="II665">
        <f>Base_mundial!E664-MIN(tope,DEGREES(ATAN(TAN(RADIANS(pe0-omega*Base_mundial!B664))*(Base_mundial!C664/sref)^(m_-1))))</f>
        <v/>
      </c>
      <c r="IJ665" t="n">
        <v>1</v>
      </c>
      <c r="IK665">
        <f>IF(IJ665=1,LN(IH665),"")</f>
        <v/>
      </c>
      <c r="IL665">
        <f>IF(IJ665=1,AVERAGEIFS(II3:II688,IG3:IG688,IG665,IJ3:IJ688,1),"")</f>
        <v/>
      </c>
      <c r="IM665">
        <f>IF(IJ665=1,II665-IL665,"")</f>
        <v/>
      </c>
      <c r="IN665" t="inlineStr">
        <is>
          <t>low</t>
        </is>
      </c>
      <c r="IO665">
        <f>IF(IN665="good",II665,NA())</f>
        <v/>
      </c>
      <c r="IP665">
        <f>IF(IN665="moderate",II665,NA())</f>
        <v/>
      </c>
      <c r="IQ665">
        <f>IF(IN665="low",II665,NA())</f>
        <v/>
      </c>
      <c r="IR665">
        <f>IF(AND(IN665="good",IJ665=1),IM665,NA())</f>
        <v/>
      </c>
      <c r="IS665">
        <f>IF(AND(IN665="moderate",IJ665=1),IM665,NA())</f>
        <v/>
      </c>
      <c r="IT665">
        <f>IF(AND(IN665="low",IJ665=1),IM665,NA())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  <c r="IG666">
        <f>Base_mundial!A665</f>
        <v/>
      </c>
      <c r="IH666">
        <f>Base_mundial!C665</f>
        <v/>
      </c>
      <c r="II666">
        <f>Base_mundial!E665-MIN(tope,DEGREES(ATAN(TAN(RADIANS(pe0-omega*Base_mundial!B665))*(Base_mundial!C665/sref)^(m_-1))))</f>
        <v/>
      </c>
      <c r="IJ666" t="n">
        <v>1</v>
      </c>
      <c r="IK666">
        <f>IF(IJ666=1,LN(IH666),"")</f>
        <v/>
      </c>
      <c r="IL666">
        <f>IF(IJ666=1,AVERAGEIFS(II3:II688,IG3:IG688,IG666,IJ3:IJ688,1),"")</f>
        <v/>
      </c>
      <c r="IM666">
        <f>IF(IJ666=1,II666-IL666,"")</f>
        <v/>
      </c>
      <c r="IN666" t="inlineStr">
        <is>
          <t>low</t>
        </is>
      </c>
      <c r="IO666">
        <f>IF(IN666="good",II666,NA())</f>
        <v/>
      </c>
      <c r="IP666">
        <f>IF(IN666="moderate",II666,NA())</f>
        <v/>
      </c>
      <c r="IQ666">
        <f>IF(IN666="low",II666,NA())</f>
        <v/>
      </c>
      <c r="IR666">
        <f>IF(AND(IN666="good",IJ666=1),IM666,NA())</f>
        <v/>
      </c>
      <c r="IS666">
        <f>IF(AND(IN666="moderate",IJ666=1),IM666,NA())</f>
        <v/>
      </c>
      <c r="IT666">
        <f>IF(AND(IN666="low",IJ666=1),IM666,NA())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  <c r="IG667">
        <f>Base_mundial!A666</f>
        <v/>
      </c>
      <c r="IH667">
        <f>Base_mundial!C666</f>
        <v/>
      </c>
      <c r="II667">
        <f>Base_mundial!E666-MIN(tope,DEGREES(ATAN(TAN(RADIANS(pe0-omega*Base_mundial!B666))*(Base_mundial!C666/sref)^(m_-1))))</f>
        <v/>
      </c>
      <c r="IJ667" t="n">
        <v>0</v>
      </c>
      <c r="IK667">
        <f>IF(IJ667=1,LN(IH667),"")</f>
        <v/>
      </c>
      <c r="IL667">
        <f>IF(IJ667=1,AVERAGEIFS(II3:II688,IG3:IG688,IG667,IJ3:IJ688,1),"")</f>
        <v/>
      </c>
      <c r="IM667">
        <f>IF(IJ667=1,II667-IL667,"")</f>
        <v/>
      </c>
      <c r="IN667" t="inlineStr">
        <is>
          <t>low</t>
        </is>
      </c>
      <c r="IO667">
        <f>IF(IN667="good",II667,NA())</f>
        <v/>
      </c>
      <c r="IP667">
        <f>IF(IN667="moderate",II667,NA())</f>
        <v/>
      </c>
      <c r="IQ667">
        <f>IF(IN667="low",II667,NA())</f>
        <v/>
      </c>
      <c r="IR667">
        <f>IF(AND(IN667="good",IJ667=1),IM667,NA())</f>
        <v/>
      </c>
      <c r="IS667">
        <f>IF(AND(IN667="moderate",IJ667=1),IM667,NA())</f>
        <v/>
      </c>
      <c r="IT667">
        <f>IF(AND(IN667="low",IJ667=1),IM667,NA())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  <c r="IG668">
        <f>Base_mundial!A667</f>
        <v/>
      </c>
      <c r="IH668">
        <f>Base_mundial!C667</f>
        <v/>
      </c>
      <c r="II668">
        <f>Base_mundial!E667-MIN(tope,DEGREES(ATAN(TAN(RADIANS(pe0-omega*Base_mundial!B667))*(Base_mundial!C667/sref)^(m_-1))))</f>
        <v/>
      </c>
      <c r="IJ668" t="n">
        <v>1</v>
      </c>
      <c r="IK668">
        <f>IF(IJ668=1,LN(IH668),"")</f>
        <v/>
      </c>
      <c r="IL668">
        <f>IF(IJ668=1,AVERAGEIFS(II3:II688,IG3:IG688,IG668,IJ3:IJ688,1),"")</f>
        <v/>
      </c>
      <c r="IM668">
        <f>IF(IJ668=1,II668-IL668,"")</f>
        <v/>
      </c>
      <c r="IN668" t="inlineStr">
        <is>
          <t>low</t>
        </is>
      </c>
      <c r="IO668">
        <f>IF(IN668="good",II668,NA())</f>
        <v/>
      </c>
      <c r="IP668">
        <f>IF(IN668="moderate",II668,NA())</f>
        <v/>
      </c>
      <c r="IQ668">
        <f>IF(IN668="low",II668,NA())</f>
        <v/>
      </c>
      <c r="IR668">
        <f>IF(AND(IN668="good",IJ668=1),IM668,NA())</f>
        <v/>
      </c>
      <c r="IS668">
        <f>IF(AND(IN668="moderate",IJ668=1),IM668,NA())</f>
        <v/>
      </c>
      <c r="IT668">
        <f>IF(AND(IN668="low",IJ668=1),IM668,NA())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  <c r="IG669">
        <f>Base_mundial!A668</f>
        <v/>
      </c>
      <c r="IH669">
        <f>Base_mundial!C668</f>
        <v/>
      </c>
      <c r="II669">
        <f>Base_mundial!E668-MIN(tope,DEGREES(ATAN(TAN(RADIANS(pe0-omega*Base_mundial!B668))*(Base_mundial!C668/sref)^(m_-1))))</f>
        <v/>
      </c>
      <c r="IJ669" t="n">
        <v>1</v>
      </c>
      <c r="IK669">
        <f>IF(IJ669=1,LN(IH669),"")</f>
        <v/>
      </c>
      <c r="IL669">
        <f>IF(IJ669=1,AVERAGEIFS(II3:II688,IG3:IG688,IG669,IJ3:IJ688,1),"")</f>
        <v/>
      </c>
      <c r="IM669">
        <f>IF(IJ669=1,II669-IL669,"")</f>
        <v/>
      </c>
      <c r="IN669" t="inlineStr">
        <is>
          <t>low</t>
        </is>
      </c>
      <c r="IO669">
        <f>IF(IN669="good",II669,NA())</f>
        <v/>
      </c>
      <c r="IP669">
        <f>IF(IN669="moderate",II669,NA())</f>
        <v/>
      </c>
      <c r="IQ669">
        <f>IF(IN669="low",II669,NA())</f>
        <v/>
      </c>
      <c r="IR669">
        <f>IF(AND(IN669="good",IJ669=1),IM669,NA())</f>
        <v/>
      </c>
      <c r="IS669">
        <f>IF(AND(IN669="moderate",IJ669=1),IM669,NA())</f>
        <v/>
      </c>
      <c r="IT669">
        <f>IF(AND(IN669="low",IJ669=1),IM669,NA())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  <c r="IG670">
        <f>Base_mundial!A669</f>
        <v/>
      </c>
      <c r="IH670">
        <f>Base_mundial!C669</f>
        <v/>
      </c>
      <c r="II670">
        <f>Base_mundial!E669-MIN(tope,DEGREES(ATAN(TAN(RADIANS(pe0-omega*Base_mundial!B669))*(Base_mundial!C669/sref)^(m_-1))))</f>
        <v/>
      </c>
      <c r="IJ670" t="n">
        <v>0</v>
      </c>
      <c r="IK670">
        <f>IF(IJ670=1,LN(IH670),"")</f>
        <v/>
      </c>
      <c r="IL670">
        <f>IF(IJ670=1,AVERAGEIFS(II3:II688,IG3:IG688,IG670,IJ3:IJ688,1),"")</f>
        <v/>
      </c>
      <c r="IM670">
        <f>IF(IJ670=1,II670-IL670,"")</f>
        <v/>
      </c>
      <c r="IN670" t="inlineStr">
        <is>
          <t>low</t>
        </is>
      </c>
      <c r="IO670">
        <f>IF(IN670="good",II670,NA())</f>
        <v/>
      </c>
      <c r="IP670">
        <f>IF(IN670="moderate",II670,NA())</f>
        <v/>
      </c>
      <c r="IQ670">
        <f>IF(IN670="low",II670,NA())</f>
        <v/>
      </c>
      <c r="IR670">
        <f>IF(AND(IN670="good",IJ670=1),IM670,NA())</f>
        <v/>
      </c>
      <c r="IS670">
        <f>IF(AND(IN670="moderate",IJ670=1),IM670,NA())</f>
        <v/>
      </c>
      <c r="IT670">
        <f>IF(AND(IN670="low",IJ670=1),IM670,NA())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  <c r="IG671">
        <f>Base_mundial!A670</f>
        <v/>
      </c>
      <c r="IH671">
        <f>Base_mundial!C670</f>
        <v/>
      </c>
      <c r="II671">
        <f>Base_mundial!E670-MIN(tope,DEGREES(ATAN(TAN(RADIANS(pe0-omega*Base_mundial!B670))*(Base_mundial!C670/sref)^(m_-1))))</f>
        <v/>
      </c>
      <c r="IJ671" t="n">
        <v>1</v>
      </c>
      <c r="IK671">
        <f>IF(IJ671=1,LN(IH671),"")</f>
        <v/>
      </c>
      <c r="IL671">
        <f>IF(IJ671=1,AVERAGEIFS(II3:II688,IG3:IG688,IG671,IJ3:IJ688,1),"")</f>
        <v/>
      </c>
      <c r="IM671">
        <f>IF(IJ671=1,II671-IL671,"")</f>
        <v/>
      </c>
      <c r="IN671" t="inlineStr">
        <is>
          <t>low</t>
        </is>
      </c>
      <c r="IO671">
        <f>IF(IN671="good",II671,NA())</f>
        <v/>
      </c>
      <c r="IP671">
        <f>IF(IN671="moderate",II671,NA())</f>
        <v/>
      </c>
      <c r="IQ671">
        <f>IF(IN671="low",II671,NA())</f>
        <v/>
      </c>
      <c r="IR671">
        <f>IF(AND(IN671="good",IJ671=1),IM671,NA())</f>
        <v/>
      </c>
      <c r="IS671">
        <f>IF(AND(IN671="moderate",IJ671=1),IM671,NA())</f>
        <v/>
      </c>
      <c r="IT671">
        <f>IF(AND(IN671="low",IJ671=1),IM671,NA())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  <c r="IG672">
        <f>Base_mundial!A671</f>
        <v/>
      </c>
      <c r="IH672">
        <f>Base_mundial!C671</f>
        <v/>
      </c>
      <c r="II672">
        <f>Base_mundial!E671-MIN(tope,DEGREES(ATAN(TAN(RADIANS(pe0-omega*Base_mundial!B671))*(Base_mundial!C671/sref)^(m_-1))))</f>
        <v/>
      </c>
      <c r="IJ672" t="n">
        <v>1</v>
      </c>
      <c r="IK672">
        <f>IF(IJ672=1,LN(IH672),"")</f>
        <v/>
      </c>
      <c r="IL672">
        <f>IF(IJ672=1,AVERAGEIFS(II3:II688,IG3:IG688,IG672,IJ3:IJ688,1),"")</f>
        <v/>
      </c>
      <c r="IM672">
        <f>IF(IJ672=1,II672-IL672,"")</f>
        <v/>
      </c>
      <c r="IN672" t="inlineStr">
        <is>
          <t>low</t>
        </is>
      </c>
      <c r="IO672">
        <f>IF(IN672="good",II672,NA())</f>
        <v/>
      </c>
      <c r="IP672">
        <f>IF(IN672="moderate",II672,NA())</f>
        <v/>
      </c>
      <c r="IQ672">
        <f>IF(IN672="low",II672,NA())</f>
        <v/>
      </c>
      <c r="IR672">
        <f>IF(AND(IN672="good",IJ672=1),IM672,NA())</f>
        <v/>
      </c>
      <c r="IS672">
        <f>IF(AND(IN672="moderate",IJ672=1),IM672,NA())</f>
        <v/>
      </c>
      <c r="IT672">
        <f>IF(AND(IN672="low",IJ672=1),IM672,NA())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  <c r="IG673">
        <f>Base_mundial!A672</f>
        <v/>
      </c>
      <c r="IH673">
        <f>Base_mundial!C672</f>
        <v/>
      </c>
      <c r="II673">
        <f>Base_mundial!E672-MIN(tope,DEGREES(ATAN(TAN(RADIANS(pe0-omega*Base_mundial!B672))*(Base_mundial!C672/sref)^(m_-1))))</f>
        <v/>
      </c>
      <c r="IJ673" t="n">
        <v>0</v>
      </c>
      <c r="IK673">
        <f>IF(IJ673=1,LN(IH673),"")</f>
        <v/>
      </c>
      <c r="IL673">
        <f>IF(IJ673=1,AVERAGEIFS(II3:II688,IG3:IG688,IG673,IJ3:IJ688,1),"")</f>
        <v/>
      </c>
      <c r="IM673">
        <f>IF(IJ673=1,II673-IL673,"")</f>
        <v/>
      </c>
      <c r="IN673" t="inlineStr">
        <is>
          <t>low</t>
        </is>
      </c>
      <c r="IO673">
        <f>IF(IN673="good",II673,NA())</f>
        <v/>
      </c>
      <c r="IP673">
        <f>IF(IN673="moderate",II673,NA())</f>
        <v/>
      </c>
      <c r="IQ673">
        <f>IF(IN673="low",II673,NA())</f>
        <v/>
      </c>
      <c r="IR673">
        <f>IF(AND(IN673="good",IJ673=1),IM673,NA())</f>
        <v/>
      </c>
      <c r="IS673">
        <f>IF(AND(IN673="moderate",IJ673=1),IM673,NA())</f>
        <v/>
      </c>
      <c r="IT673">
        <f>IF(AND(IN673="low",IJ673=1),IM673,NA())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  <c r="IG674">
        <f>Base_mundial!A673</f>
        <v/>
      </c>
      <c r="IH674">
        <f>Base_mundial!C673</f>
        <v/>
      </c>
      <c r="II674">
        <f>Base_mundial!E673-MIN(tope,DEGREES(ATAN(TAN(RADIANS(pe0-omega*Base_mundial!B673))*(Base_mundial!C673/sref)^(m_-1))))</f>
        <v/>
      </c>
      <c r="IJ674" t="n">
        <v>1</v>
      </c>
      <c r="IK674">
        <f>IF(IJ674=1,LN(IH674),"")</f>
        <v/>
      </c>
      <c r="IL674">
        <f>IF(IJ674=1,AVERAGEIFS(II3:II688,IG3:IG688,IG674,IJ3:IJ688,1),"")</f>
        <v/>
      </c>
      <c r="IM674">
        <f>IF(IJ674=1,II674-IL674,"")</f>
        <v/>
      </c>
      <c r="IN674" t="inlineStr">
        <is>
          <t>low</t>
        </is>
      </c>
      <c r="IO674">
        <f>IF(IN674="good",II674,NA())</f>
        <v/>
      </c>
      <c r="IP674">
        <f>IF(IN674="moderate",II674,NA())</f>
        <v/>
      </c>
      <c r="IQ674">
        <f>IF(IN674="low",II674,NA())</f>
        <v/>
      </c>
      <c r="IR674">
        <f>IF(AND(IN674="good",IJ674=1),IM674,NA())</f>
        <v/>
      </c>
      <c r="IS674">
        <f>IF(AND(IN674="moderate",IJ674=1),IM674,NA())</f>
        <v/>
      </c>
      <c r="IT674">
        <f>IF(AND(IN674="low",IJ674=1),IM674,NA())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  <c r="IG675">
        <f>Base_mundial!A674</f>
        <v/>
      </c>
      <c r="IH675">
        <f>Base_mundial!C674</f>
        <v/>
      </c>
      <c r="II675">
        <f>Base_mundial!E674-MIN(tope,DEGREES(ATAN(TAN(RADIANS(pe0-omega*Base_mundial!B674))*(Base_mundial!C674/sref)^(m_-1))))</f>
        <v/>
      </c>
      <c r="IJ675" t="n">
        <v>1</v>
      </c>
      <c r="IK675">
        <f>IF(IJ675=1,LN(IH675),"")</f>
        <v/>
      </c>
      <c r="IL675">
        <f>IF(IJ675=1,AVERAGEIFS(II3:II688,IG3:IG688,IG675,IJ3:IJ688,1),"")</f>
        <v/>
      </c>
      <c r="IM675">
        <f>IF(IJ675=1,II675-IL675,"")</f>
        <v/>
      </c>
      <c r="IN675" t="inlineStr">
        <is>
          <t>low</t>
        </is>
      </c>
      <c r="IO675">
        <f>IF(IN675="good",II675,NA())</f>
        <v/>
      </c>
      <c r="IP675">
        <f>IF(IN675="moderate",II675,NA())</f>
        <v/>
      </c>
      <c r="IQ675">
        <f>IF(IN675="low",II675,NA())</f>
        <v/>
      </c>
      <c r="IR675">
        <f>IF(AND(IN675="good",IJ675=1),IM675,NA())</f>
        <v/>
      </c>
      <c r="IS675">
        <f>IF(AND(IN675="moderate",IJ675=1),IM675,NA())</f>
        <v/>
      </c>
      <c r="IT675">
        <f>IF(AND(IN675="low",IJ675=1),IM675,NA())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  <c r="IG676">
        <f>Base_mundial!A675</f>
        <v/>
      </c>
      <c r="IH676">
        <f>Base_mundial!C675</f>
        <v/>
      </c>
      <c r="II676">
        <f>Base_mundial!E675-MIN(tope,DEGREES(ATAN(TAN(RADIANS(pe0-omega*Base_mundial!B675))*(Base_mundial!C675/sref)^(m_-1))))</f>
        <v/>
      </c>
      <c r="IJ676" t="n">
        <v>0</v>
      </c>
      <c r="IK676">
        <f>IF(IJ676=1,LN(IH676),"")</f>
        <v/>
      </c>
      <c r="IL676">
        <f>IF(IJ676=1,AVERAGEIFS(II3:II688,IG3:IG688,IG676,IJ3:IJ688,1),"")</f>
        <v/>
      </c>
      <c r="IM676">
        <f>IF(IJ676=1,II676-IL676,"")</f>
        <v/>
      </c>
      <c r="IN676" t="inlineStr">
        <is>
          <t>low</t>
        </is>
      </c>
      <c r="IO676">
        <f>IF(IN676="good",II676,NA())</f>
        <v/>
      </c>
      <c r="IP676">
        <f>IF(IN676="moderate",II676,NA())</f>
        <v/>
      </c>
      <c r="IQ676">
        <f>IF(IN676="low",II676,NA())</f>
        <v/>
      </c>
      <c r="IR676">
        <f>IF(AND(IN676="good",IJ676=1),IM676,NA())</f>
        <v/>
      </c>
      <c r="IS676">
        <f>IF(AND(IN676="moderate",IJ676=1),IM676,NA())</f>
        <v/>
      </c>
      <c r="IT676">
        <f>IF(AND(IN676="low",IJ676=1),IM676,NA())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  <c r="IG677">
        <f>Base_mundial!A676</f>
        <v/>
      </c>
      <c r="IH677">
        <f>Base_mundial!C676</f>
        <v/>
      </c>
      <c r="II677">
        <f>Base_mundial!E676-MIN(tope,DEGREES(ATAN(TAN(RADIANS(pe0-omega*Base_mundial!B676))*(Base_mundial!C676/sref)^(m_-1))))</f>
        <v/>
      </c>
      <c r="IJ677" t="n">
        <v>1</v>
      </c>
      <c r="IK677">
        <f>IF(IJ677=1,LN(IH677),"")</f>
        <v/>
      </c>
      <c r="IL677">
        <f>IF(IJ677=1,AVERAGEIFS(II3:II688,IG3:IG688,IG677,IJ3:IJ688,1),"")</f>
        <v/>
      </c>
      <c r="IM677">
        <f>IF(IJ677=1,II677-IL677,"")</f>
        <v/>
      </c>
      <c r="IN677" t="inlineStr">
        <is>
          <t>low</t>
        </is>
      </c>
      <c r="IO677">
        <f>IF(IN677="good",II677,NA())</f>
        <v/>
      </c>
      <c r="IP677">
        <f>IF(IN677="moderate",II677,NA())</f>
        <v/>
      </c>
      <c r="IQ677">
        <f>IF(IN677="low",II677,NA())</f>
        <v/>
      </c>
      <c r="IR677">
        <f>IF(AND(IN677="good",IJ677=1),IM677,NA())</f>
        <v/>
      </c>
      <c r="IS677">
        <f>IF(AND(IN677="moderate",IJ677=1),IM677,NA())</f>
        <v/>
      </c>
      <c r="IT677">
        <f>IF(AND(IN677="low",IJ677=1),IM677,NA())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  <c r="IG678">
        <f>Base_mundial!A677</f>
        <v/>
      </c>
      <c r="IH678">
        <f>Base_mundial!C677</f>
        <v/>
      </c>
      <c r="II678">
        <f>Base_mundial!E677-MIN(tope,DEGREES(ATAN(TAN(RADIANS(pe0-omega*Base_mundial!B677))*(Base_mundial!C677/sref)^(m_-1))))</f>
        <v/>
      </c>
      <c r="IJ678" t="n">
        <v>1</v>
      </c>
      <c r="IK678">
        <f>IF(IJ678=1,LN(IH678),"")</f>
        <v/>
      </c>
      <c r="IL678">
        <f>IF(IJ678=1,AVERAGEIFS(II3:II688,IG3:IG688,IG678,IJ3:IJ688,1),"")</f>
        <v/>
      </c>
      <c r="IM678">
        <f>IF(IJ678=1,II678-IL678,"")</f>
        <v/>
      </c>
      <c r="IN678" t="inlineStr">
        <is>
          <t>low</t>
        </is>
      </c>
      <c r="IO678">
        <f>IF(IN678="good",II678,NA())</f>
        <v/>
      </c>
      <c r="IP678">
        <f>IF(IN678="moderate",II678,NA())</f>
        <v/>
      </c>
      <c r="IQ678">
        <f>IF(IN678="low",II678,NA())</f>
        <v/>
      </c>
      <c r="IR678">
        <f>IF(AND(IN678="good",IJ678=1),IM678,NA())</f>
        <v/>
      </c>
      <c r="IS678">
        <f>IF(AND(IN678="moderate",IJ678=1),IM678,NA())</f>
        <v/>
      </c>
      <c r="IT678">
        <f>IF(AND(IN678="low",IJ678=1),IM678,NA())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  <c r="IG679">
        <f>Base_mundial!A678</f>
        <v/>
      </c>
      <c r="IH679">
        <f>Base_mundial!C678</f>
        <v/>
      </c>
      <c r="II679">
        <f>Base_mundial!E678-MIN(tope,DEGREES(ATAN(TAN(RADIANS(pe0-omega*Base_mundial!B678))*(Base_mundial!C678/sref)^(m_-1))))</f>
        <v/>
      </c>
      <c r="IJ679" t="n">
        <v>0</v>
      </c>
      <c r="IK679">
        <f>IF(IJ679=1,LN(IH679),"")</f>
        <v/>
      </c>
      <c r="IL679">
        <f>IF(IJ679=1,AVERAGEIFS(II3:II688,IG3:IG688,IG679,IJ3:IJ688,1),"")</f>
        <v/>
      </c>
      <c r="IM679">
        <f>IF(IJ679=1,II679-IL679,"")</f>
        <v/>
      </c>
      <c r="IN679" t="inlineStr">
        <is>
          <t>good</t>
        </is>
      </c>
      <c r="IO679">
        <f>IF(IN679="good",II679,NA())</f>
        <v/>
      </c>
      <c r="IP679">
        <f>IF(IN679="moderate",II679,NA())</f>
        <v/>
      </c>
      <c r="IQ679">
        <f>IF(IN679="low",II679,NA())</f>
        <v/>
      </c>
      <c r="IR679">
        <f>IF(AND(IN679="good",IJ679=1),IM679,NA())</f>
        <v/>
      </c>
      <c r="IS679">
        <f>IF(AND(IN679="moderate",IJ679=1),IM679,NA())</f>
        <v/>
      </c>
      <c r="IT679">
        <f>IF(AND(IN679="low",IJ679=1),IM679,NA())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  <c r="IG680">
        <f>Base_mundial!A679</f>
        <v/>
      </c>
      <c r="IH680">
        <f>Base_mundial!C679</f>
        <v/>
      </c>
      <c r="II680">
        <f>Base_mundial!E679-MIN(tope,DEGREES(ATAN(TAN(RADIANS(pe0-omega*Base_mundial!B679))*(Base_mundial!C679/sref)^(m_-1))))</f>
        <v/>
      </c>
      <c r="IJ680" t="n">
        <v>0</v>
      </c>
      <c r="IK680">
        <f>IF(IJ680=1,LN(IH680),"")</f>
        <v/>
      </c>
      <c r="IL680">
        <f>IF(IJ680=1,AVERAGEIFS(II3:II688,IG3:IG688,IG680,IJ3:IJ688,1),"")</f>
        <v/>
      </c>
      <c r="IM680">
        <f>IF(IJ680=1,II680-IL680,"")</f>
        <v/>
      </c>
      <c r="IN680" t="inlineStr">
        <is>
          <t>good</t>
        </is>
      </c>
      <c r="IO680">
        <f>IF(IN680="good",II680,NA())</f>
        <v/>
      </c>
      <c r="IP680">
        <f>IF(IN680="moderate",II680,NA())</f>
        <v/>
      </c>
      <c r="IQ680">
        <f>IF(IN680="low",II680,NA())</f>
        <v/>
      </c>
      <c r="IR680">
        <f>IF(AND(IN680="good",IJ680=1),IM680,NA())</f>
        <v/>
      </c>
      <c r="IS680">
        <f>IF(AND(IN680="moderate",IJ680=1),IM680,NA())</f>
        <v/>
      </c>
      <c r="IT680">
        <f>IF(AND(IN680="low",IJ680=1),IM680,NA())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  <c r="IG681">
        <f>Base_mundial!A680</f>
        <v/>
      </c>
      <c r="IH681">
        <f>Base_mundial!C680</f>
        <v/>
      </c>
      <c r="II681">
        <f>Base_mundial!E680-MIN(tope,DEGREES(ATAN(TAN(RADIANS(pe0-omega*Base_mundial!B680))*(Base_mundial!C680/sref)^(m_-1))))</f>
        <v/>
      </c>
      <c r="IJ681" t="n">
        <v>0</v>
      </c>
      <c r="IK681">
        <f>IF(IJ681=1,LN(IH681),"")</f>
        <v/>
      </c>
      <c r="IL681">
        <f>IF(IJ681=1,AVERAGEIFS(II3:II688,IG3:IG688,IG681,IJ3:IJ688,1),"")</f>
        <v/>
      </c>
      <c r="IM681">
        <f>IF(IJ681=1,II681-IL681,"")</f>
        <v/>
      </c>
      <c r="IN681" t="inlineStr">
        <is>
          <t>good</t>
        </is>
      </c>
      <c r="IO681">
        <f>IF(IN681="good",II681,NA())</f>
        <v/>
      </c>
      <c r="IP681">
        <f>IF(IN681="moderate",II681,NA())</f>
        <v/>
      </c>
      <c r="IQ681">
        <f>IF(IN681="low",II681,NA())</f>
        <v/>
      </c>
      <c r="IR681">
        <f>IF(AND(IN681="good",IJ681=1),IM681,NA())</f>
        <v/>
      </c>
      <c r="IS681">
        <f>IF(AND(IN681="moderate",IJ681=1),IM681,NA())</f>
        <v/>
      </c>
      <c r="IT681">
        <f>IF(AND(IN681="low",IJ681=1),IM681,NA())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  <c r="IG682">
        <f>Base_mundial!A681</f>
        <v/>
      </c>
      <c r="IH682">
        <f>Base_mundial!C681</f>
        <v/>
      </c>
      <c r="II682">
        <f>Base_mundial!E681-MIN(tope,DEGREES(ATAN(TAN(RADIANS(pe0-omega*Base_mundial!B681))*(Base_mundial!C681/sref)^(m_-1))))</f>
        <v/>
      </c>
      <c r="IJ682" t="n">
        <v>0</v>
      </c>
      <c r="IK682">
        <f>IF(IJ682=1,LN(IH682),"")</f>
        <v/>
      </c>
      <c r="IL682">
        <f>IF(IJ682=1,AVERAGEIFS(II3:II688,IG3:IG688,IG682,IJ3:IJ688,1),"")</f>
        <v/>
      </c>
      <c r="IM682">
        <f>IF(IJ682=1,II682-IL682,"")</f>
        <v/>
      </c>
      <c r="IN682" t="inlineStr">
        <is>
          <t>low</t>
        </is>
      </c>
      <c r="IO682">
        <f>IF(IN682="good",II682,NA())</f>
        <v/>
      </c>
      <c r="IP682">
        <f>IF(IN682="moderate",II682,NA())</f>
        <v/>
      </c>
      <c r="IQ682">
        <f>IF(IN682="low",II682,NA())</f>
        <v/>
      </c>
      <c r="IR682">
        <f>IF(AND(IN682="good",IJ682=1),IM682,NA())</f>
        <v/>
      </c>
      <c r="IS682">
        <f>IF(AND(IN682="moderate",IJ682=1),IM682,NA())</f>
        <v/>
      </c>
      <c r="IT682">
        <f>IF(AND(IN682="low",IJ682=1),IM682,NA())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  <c r="IG683">
        <f>Base_mundial!A682</f>
        <v/>
      </c>
      <c r="IH683">
        <f>Base_mundial!C682</f>
        <v/>
      </c>
      <c r="II683">
        <f>Base_mundial!E682-MIN(tope,DEGREES(ATAN(TAN(RADIANS(pe0-omega*Base_mundial!B682))*(Base_mundial!C682/sref)^(m_-1))))</f>
        <v/>
      </c>
      <c r="IJ683" t="n">
        <v>0</v>
      </c>
      <c r="IK683">
        <f>IF(IJ683=1,LN(IH683),"")</f>
        <v/>
      </c>
      <c r="IL683">
        <f>IF(IJ683=1,AVERAGEIFS(II3:II688,IG3:IG688,IG683,IJ3:IJ688,1),"")</f>
        <v/>
      </c>
      <c r="IM683">
        <f>IF(IJ683=1,II683-IL683,"")</f>
        <v/>
      </c>
      <c r="IN683" t="inlineStr">
        <is>
          <t>low</t>
        </is>
      </c>
      <c r="IO683">
        <f>IF(IN683="good",II683,NA())</f>
        <v/>
      </c>
      <c r="IP683">
        <f>IF(IN683="moderate",II683,NA())</f>
        <v/>
      </c>
      <c r="IQ683">
        <f>IF(IN683="low",II683,NA())</f>
        <v/>
      </c>
      <c r="IR683">
        <f>IF(AND(IN683="good",IJ683=1),IM683,NA())</f>
        <v/>
      </c>
      <c r="IS683">
        <f>IF(AND(IN683="moderate",IJ683=1),IM683,NA())</f>
        <v/>
      </c>
      <c r="IT683">
        <f>IF(AND(IN683="low",IJ683=1),IM683,NA())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  <c r="IG684">
        <f>Base_mundial!A683</f>
        <v/>
      </c>
      <c r="IH684">
        <f>Base_mundial!C683</f>
        <v/>
      </c>
      <c r="II684">
        <f>Base_mundial!E683-MIN(tope,DEGREES(ATAN(TAN(RADIANS(pe0-omega*Base_mundial!B683))*(Base_mundial!C683/sref)^(m_-1))))</f>
        <v/>
      </c>
      <c r="IJ684" t="n">
        <v>0</v>
      </c>
      <c r="IK684">
        <f>IF(IJ684=1,LN(IH684),"")</f>
        <v/>
      </c>
      <c r="IL684">
        <f>IF(IJ684=1,AVERAGEIFS(II3:II688,IG3:IG688,IG684,IJ3:IJ688,1),"")</f>
        <v/>
      </c>
      <c r="IM684">
        <f>IF(IJ684=1,II684-IL684,"")</f>
        <v/>
      </c>
      <c r="IN684" t="inlineStr">
        <is>
          <t>low</t>
        </is>
      </c>
      <c r="IO684">
        <f>IF(IN684="good",II684,NA())</f>
        <v/>
      </c>
      <c r="IP684">
        <f>IF(IN684="moderate",II684,NA())</f>
        <v/>
      </c>
      <c r="IQ684">
        <f>IF(IN684="low",II684,NA())</f>
        <v/>
      </c>
      <c r="IR684">
        <f>IF(AND(IN684="good",IJ684=1),IM684,NA())</f>
        <v/>
      </c>
      <c r="IS684">
        <f>IF(AND(IN684="moderate",IJ684=1),IM684,NA())</f>
        <v/>
      </c>
      <c r="IT684">
        <f>IF(AND(IN684="low",IJ684=1),IM684,NA())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  <c r="IG685">
        <f>Base_mundial!A684</f>
        <v/>
      </c>
      <c r="IH685">
        <f>Base_mundial!C684</f>
        <v/>
      </c>
      <c r="II685">
        <f>Base_mundial!E684-MIN(tope,DEGREES(ATAN(TAN(RADIANS(pe0-omega*Base_mundial!B684))*(Base_mundial!C684/sref)^(m_-1))))</f>
        <v/>
      </c>
      <c r="IJ685" t="n">
        <v>0</v>
      </c>
      <c r="IK685">
        <f>IF(IJ685=1,LN(IH685),"")</f>
        <v/>
      </c>
      <c r="IL685">
        <f>IF(IJ685=1,AVERAGEIFS(II3:II688,IG3:IG688,IG685,IJ3:IJ688,1),"")</f>
        <v/>
      </c>
      <c r="IM685">
        <f>IF(IJ685=1,II685-IL685,"")</f>
        <v/>
      </c>
      <c r="IN685" t="inlineStr">
        <is>
          <t>good</t>
        </is>
      </c>
      <c r="IO685">
        <f>IF(IN685="good",II685,NA())</f>
        <v/>
      </c>
      <c r="IP685">
        <f>IF(IN685="moderate",II685,NA())</f>
        <v/>
      </c>
      <c r="IQ685">
        <f>IF(IN685="low",II685,NA())</f>
        <v/>
      </c>
      <c r="IR685">
        <f>IF(AND(IN685="good",IJ685=1),IM685,NA())</f>
        <v/>
      </c>
      <c r="IS685">
        <f>IF(AND(IN685="moderate",IJ685=1),IM685,NA())</f>
        <v/>
      </c>
      <c r="IT685">
        <f>IF(AND(IN685="low",IJ685=1),IM685,NA())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  <c r="IG686">
        <f>Base_mundial!A685</f>
        <v/>
      </c>
      <c r="IH686">
        <f>Base_mundial!C685</f>
        <v/>
      </c>
      <c r="II686">
        <f>Base_mundial!E685-MIN(tope,DEGREES(ATAN(TAN(RADIANS(pe0-omega*Base_mundial!B685))*(Base_mundial!C685/sref)^(m_-1))))</f>
        <v/>
      </c>
      <c r="IJ686" t="n">
        <v>0</v>
      </c>
      <c r="IK686">
        <f>IF(IJ686=1,LN(IH686),"")</f>
        <v/>
      </c>
      <c r="IL686">
        <f>IF(IJ686=1,AVERAGEIFS(II3:II688,IG3:IG688,IG686,IJ3:IJ688,1),"")</f>
        <v/>
      </c>
      <c r="IM686">
        <f>IF(IJ686=1,II686-IL686,"")</f>
        <v/>
      </c>
      <c r="IN686" t="inlineStr">
        <is>
          <t>good</t>
        </is>
      </c>
      <c r="IO686">
        <f>IF(IN686="good",II686,NA())</f>
        <v/>
      </c>
      <c r="IP686">
        <f>IF(IN686="moderate",II686,NA())</f>
        <v/>
      </c>
      <c r="IQ686">
        <f>IF(IN686="low",II686,NA())</f>
        <v/>
      </c>
      <c r="IR686">
        <f>IF(AND(IN686="good",IJ686=1),IM686,NA())</f>
        <v/>
      </c>
      <c r="IS686">
        <f>IF(AND(IN686="moderate",IJ686=1),IM686,NA())</f>
        <v/>
      </c>
      <c r="IT686">
        <f>IF(AND(IN686="low",IJ686=1),IM686,NA())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  <c r="IG687">
        <f>Base_mundial!A686</f>
        <v/>
      </c>
      <c r="IH687">
        <f>Base_mundial!C686</f>
        <v/>
      </c>
      <c r="II687">
        <f>Base_mundial!E686-MIN(tope,DEGREES(ATAN(TAN(RADIANS(pe0-omega*Base_mundial!B686))*(Base_mundial!C686/sref)^(m_-1))))</f>
        <v/>
      </c>
      <c r="IJ687" t="n">
        <v>1</v>
      </c>
      <c r="IK687">
        <f>IF(IJ687=1,LN(IH687),"")</f>
        <v/>
      </c>
      <c r="IL687">
        <f>IF(IJ687=1,AVERAGEIFS(II3:II688,IG3:IG688,IG687,IJ3:IJ688,1),"")</f>
        <v/>
      </c>
      <c r="IM687">
        <f>IF(IJ687=1,II687-IL687,"")</f>
        <v/>
      </c>
      <c r="IN687" t="inlineStr">
        <is>
          <t>good</t>
        </is>
      </c>
      <c r="IO687">
        <f>IF(IN687="good",II687,NA())</f>
        <v/>
      </c>
      <c r="IP687">
        <f>IF(IN687="moderate",II687,NA())</f>
        <v/>
      </c>
      <c r="IQ687">
        <f>IF(IN687="low",II687,NA())</f>
        <v/>
      </c>
      <c r="IR687">
        <f>IF(AND(IN687="good",IJ687=1),IM687,NA())</f>
        <v/>
      </c>
      <c r="IS687">
        <f>IF(AND(IN687="moderate",IJ687=1),IM687,NA())</f>
        <v/>
      </c>
      <c r="IT687">
        <f>IF(AND(IN687="low",IJ687=1),IM687,NA())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  <c r="IG688">
        <f>Base_mundial!A687</f>
        <v/>
      </c>
      <c r="IH688">
        <f>Base_mundial!C687</f>
        <v/>
      </c>
      <c r="II688">
        <f>Base_mundial!E687-MIN(tope,DEGREES(ATAN(TAN(RADIANS(pe0-omega*Base_mundial!B687))*(Base_mundial!C687/sref)^(m_-1))))</f>
        <v/>
      </c>
      <c r="IJ688" t="n">
        <v>1</v>
      </c>
      <c r="IK688">
        <f>IF(IJ688=1,LN(IH688),"")</f>
        <v/>
      </c>
      <c r="IL688">
        <f>IF(IJ688=1,AVERAGEIFS(II3:II688,IG3:IG688,IG688,IJ3:IJ688,1),"")</f>
        <v/>
      </c>
      <c r="IM688">
        <f>IF(IJ688=1,II688-IL688,"")</f>
        <v/>
      </c>
      <c r="IN688" t="inlineStr">
        <is>
          <t>good</t>
        </is>
      </c>
      <c r="IO688">
        <f>IF(IN688="good",II688,NA())</f>
        <v/>
      </c>
      <c r="IP688">
        <f>IF(IN688="moderate",II688,NA())</f>
        <v/>
      </c>
      <c r="IQ688">
        <f>IF(IN688="low",II688,NA())</f>
        <v/>
      </c>
      <c r="IR688">
        <f>IF(AND(IN688="good",IJ688=1),IM688,NA())</f>
        <v/>
      </c>
      <c r="IS688">
        <f>IF(AND(IN688="moderate",IJ688=1),IM688,NA())</f>
        <v/>
      </c>
      <c r="IT688">
        <f>IF(AND(IN688="low",IJ688=1),IM688,NA())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2026-10-13T23:57:13Z</dcterms:created>
  <dcterms:modified xmlns:dcterms="http://purl.org/dc/terms/" xmlns:xsi="http://www.w3.org/2001/XMLSchema-instance" xsi:type="dcterms:W3CDTF">2026-10-13T23:57:15Z</dcterms:modified>
</cp:coreProperties>
</file>