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Hipotesis_m" sheetId="8" state="visible" r:id="rId8"/>
    <sheet xmlns:r="http://schemas.openxmlformats.org/officeDocument/2006/relationships" name="Base_mundial" sheetId="9" state="visible" r:id="rId9"/>
    <sheet xmlns:r="http://schemas.openxmlformats.org/officeDocument/2006/relationships" name="Ajuste" sheetId="10" state="visible" r:id="rId10"/>
    <sheet xmlns:r="http://schemas.openxmlformats.org/officeDocument/2006/relationships" name="FLAC_tangente" sheetId="11" state="visible" r:id="rId11"/>
    <sheet xmlns:r="http://schemas.openxmlformats.org/officeDocument/2006/relationships" name="Relacion_vacios" sheetId="12" state="visible" r:id="rId12"/>
    <sheet xmlns:r="http://schemas.openxmlformats.org/officeDocument/2006/relationships" name="Perfiles_e" sheetId="13" state="visible" r:id="rId13"/>
    <sheet xmlns:r="http://schemas.openxmlformats.org/officeDocument/2006/relationships" name="Edometros" sheetId="14" state="visible" r:id="rId14"/>
    <sheet xmlns:r="http://schemas.openxmlformats.org/officeDocument/2006/relationships" name="Tamano_particula" sheetId="15" state="visible" r:id="rId15"/>
    <sheet xmlns:r="http://schemas.openxmlformats.org/officeDocument/2006/relationships" name="Datos_figuras" sheetId="16" state="visible" r:id="rId16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1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61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67</row>
      <rowOff>0</rowOff>
    </from>
    <ext cx="612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99</row>
      <rowOff>0</rowOff>
    </from>
    <ext cx="612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125</row>
      <rowOff>0</rowOff>
    </from>
    <ext cx="612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157</row>
      <rowOff>0</rowOff>
    </from>
    <ext cx="306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9</col>
      <colOff>0</colOff>
      <row>157</row>
      <rowOff>0</rowOff>
    </from>
    <ext cx="45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 y corrección a e base (Ec. 27).</t>
        </is>
      </c>
    </row>
    <row r="10">
      <c r="A10" t="inlineStr">
        <is>
          <t xml:space="preserve">  Figuras: las seis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Edometros: edómetros de desmonte de Antamina y e resultante con la ley del perfil A.</t>
        </is>
      </c>
    </row>
    <row r="20">
      <c r="A20" t="inlineStr">
        <is>
          <t xml:space="preserve">  Tamano_particula: sensibilidad al tamaño (Frossard et al. 2012).</t>
        </is>
      </c>
    </row>
    <row r="21">
      <c r="A21" t="inlineStr"/>
    </row>
    <row r="22">
      <c r="A22" t="inlineStr">
        <is>
          <t>Fuentes: base de ensayos de Antamina verificada contra los PDF (datos_antamina/base, verificacion_ocr); base mundial de Cylwik et al. (2025);</t>
        </is>
      </c>
    </row>
    <row r="23">
      <c r="A23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5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Curva propuesta y su banda de incertidumbre, con los ensayos del ajuste y la base mundial llevados a e base</t>
        </is>
      </c>
    </row>
    <row r="67">
      <c r="B67" s="2" t="inlineStr">
        <is>
          <t>Figura 3. Contraste de la curva propuesta con los triaxiales CU de desmonte ROM no usados en el ajuste</t>
        </is>
      </c>
    </row>
    <row r="99">
      <c r="B99" s="2" t="inlineStr">
        <is>
          <t>Figura 4. Índice de rotura de Marsal (1967) en los triaxiales drenados del ajuste</t>
        </is>
      </c>
    </row>
    <row r="125">
      <c r="B125" s="2" t="inlineStr">
        <is>
          <t>Figura 5. Curva propuesta y su banda de incertidumbre en τ–σ′n</t>
        </is>
      </c>
    </row>
    <row r="157">
      <c r="B157" s="2" t="inlineStr">
        <is>
          <t>Figura 6. (a) Relación de vacíos con la profundidad; (b) ángulo de fricción secante de la curva propuesta con cada supuesto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DEGREES(ATAN(TAN(RADIANS(pe0-omega*J2))*(M2/sref)^(m_-1)))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DEGREES(ATAN(TAN(RADIANS(pe0-omega*J3))*(M3/sref)^(m_-1)))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DEGREES(ATAN(TAN(RADIANS(pe0-omega*J4))*(M4/sref)^(m_-1)))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DEGREES(ATAN(TAN(RADIANS(pe0-omega*J5))*(M5/sref)^(m_-1)))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DEGREES(ATAN(TAN(RADIANS(pe0-omega*J6))*(M6/sref)^(m_-1)))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DEGREES(ATAN(TAN(RADIANS(pe0-omega*J7))*(M7/sref)^(m_-1)))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DEGREES(ATAN(TAN(RADIANS(pe0-omega*J8))*(M8/sref)^(m_-1)))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DEGREES(ATAN(TAN(RADIANS(pe0-omega*J9))*(M9/sref)^(m_-1)))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DEGREES(ATAN(TAN(RADIANS(pe0-omega*J10))*(M10/sref)^(m_-1)))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DEGREES(ATAN(TAN(RADIANS(pe0-omega*J11))*(M11/sref)^(m_-1)))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DEGREES(ATAN(TAN(RADIANS(pe0-omega*J12))*(M12/sref)^(m_-1)))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DEGREES(ATAN(TAN(RADIANS(pe0-omega*J13))*(M13/sref)^(m_-1)))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DEGREES(ATAN(TAN(RADIANS(pe0-omega*J14))*(M14/sref)^(m_-1)))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DEGREES(ATAN(TAN(RADIANS(pe0-omega*J15))*(M15/sref)^(m_-1)))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DEGREES(ATAN(TAN(RADIANS(pe0-omega*J16))*(M16/sref)^(m_-1)))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DEGREES(ATAN(TAN(RADIANS(pe0-omega*J17))*(M17/sref)^(m_-1)))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DEGREES(ATAN(TAN(RADIANS(pe0-omega*J18))*(M18/sref)^(m_-1)))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DEGREES(ATAN(TAN(RADIANS(pe0-omega*J19))*(M19/sref)^(m_-1)))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DEGREES(ATAN(TAN(RADIANS(pe0-omega*J20))*(M20/sref)^(m_-1)))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DEGREES(ATAN(TAN(RADIANS(pe0-omega*J21))*(M21/sref)^(m_-1)))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DEGREES(ATAN(TAN(RADIANS(pe0-omega*J22))*(M22/sref)^(m_-1)))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DEGREES(ATAN(TAN(RADIANS(pe0-omega*J23))*(M23/sref)^(m_-1)))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DEGREES(ATAN(TAN(RADIANS(pe0-omega*J24))*(M24/sref)^(m_-1)))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DEGREES(ATAN(TAN(RADIANS(pe0-omega*J25))*(M25/sref)^(m_-1)))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DEGREES(ATAN(TAN(RADIANS(pe0-omega*J26))*(M26/sref)^(m_-1)))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DEGREES(ATAN(TAN(RADIANS(pe0-omega*J27))*(M27/sref)^(m_-1)))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DEGREES(ATAN(TAN(RADIANS(pe0-omega*J28))*(M28/sref)^(m_-1)))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DEGREES(ATAN(TAN(RADIANS(pe0-omega*J29))*(M29/sref)^(m_-1)))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DEGREES(ATAN(TAN(RADIANS(pe0-omega*J30))*(M30/sref)^(m_-1)))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DEGREES(ATAN(TAN(RADIANS(pe0-omega*J31))*(M31/sref)^(m_-1)))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DEGREES(ATAN(TAN(RADIANS(pe0-omega*J32))*(M32/sref)^(m_-1)))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DEGREES(ATAN(TAN(RADIANS(pe0-omega*J33))*(M33/sref)^(m_-1)))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DEGREES(ATAN(TAN(RADIANS(pe0-omega*J34))*(M34/sref)^(m_-1)))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DEGREES(ATAN(TAN(RADIANS(pe0-omega*J35))*(M35/sref)^(m_-1)))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DEGREES(ATAN(TAN(RADIANS(pe0-omega*J36))*(M36/sref)^(m_-1)))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DEGREES(ATAN(TAN(RADIANS(pe0-omega*J37))*(M37/sref)^(m_-1)))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DEGREES(ATAN(TAN(RADIANS(pe0-omega*J38))*(M38/sref)^(m_-1)))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DEGREES(ATAN(TAN(RADIANS(pe0-omega*J39))*(M39/sref)^(m_-1)))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DEGREES(ATAN(TAN(RADIANS(pe0-omega*J40))*(M40/sref)^(m_-1)))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DEGREES(ATAN(TAN(RADIANS(pe0-omega*J41))*(M41/sref)^(m_-1)))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DEGREES(ATAN(TAN(RADIANS(pe0-omega*J42))*(M42/sref)^(m_-1)))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DEGREES(ATAN(TAN(RADIANS(pe0-omega*J43))*(M43/sref)^(m_-1)))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DEGREES(ATAN(TAN(RADIANS(pe0-omega*J44))*(M44/sref)^(m_-1)))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DEGREES(ATAN(TAN(RADIANS(pe0-omega*J45))*(M45/sref)^(m_-1)))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DEGREES(ATAN(TAN(RADIANS(pe0-omega*J46))*(M46/sref)^(m_-1)))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DEGREES(ATAN(TAN(RADIANS(pe0-omega*J47))*(M47/sref)^(m_-1)))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DEGREES(ATAN(TAN(RADIANS(pe0-omega*J48))*(M48/sref)^(m_-1)))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DEGREES(ATAN(TAN(RADIANS(pe0-omega*J49))*(M49/sref)^(m_-1)))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DEGREES(ATAN(TAN(RADIANS(pe0-omega*J50))*(M50/sref)^(m_-1)))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DEGREES(ATAN(TAN(RADIANS(pe0-omega*J51))*(M51/sref)^(m_-1)))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DEGREES(ATAN(TAN(RADIANS(pe0-omega*J52))*(M52/sref)^(m_-1)))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DEGREES(ATAN(TAN(RADIANS(pe0-omega*J53))*(M53/sref)^(m_-1)))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DEGREES(ATAN(TAN(RADIANS(pe0-omega*J54))*(M54/sref)^(m_-1)))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DEGREES(ATAN(TAN(RADIANS(pe0-omega*J55))*(M55/sref)^(m_-1)))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DEGREES(ATAN(TAN(RADIANS(pe0-omega*J56))*(M56/sref)^(m_-1)))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DEGREES(ATAN(TAN(RADIANS(pe0-omega*J57))*(M57/sref)^(m_-1)))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DEGREES(ATAN(TAN(RADIANS(pe0-omega*J58))*(M58/sref)^(m_-1)))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DEGREES(ATAN(TAN(RADIANS(pe0-omega*J59))*(M59/sref)^(m_-1)))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DEGREES(ATAN(TAN(RADIANS(pe0-omega*J60))*(M60/sref)^(m_-1)))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DEGREES(ATAN(TAN(RADIANS(pe0-omega*J61))*(M61/sref)^(m_-1)))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DEGREES(ATAN(TAN(RADIANS(pe0-omega*J62))*(M62/sref)^(m_-1)))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DEGREES(ATAN(TAN(RADIANS(pe0-omega*J63))*(M63/sref)^(m_-1)))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DEGREES(ATAN(TAN(RADIANS(pe0-omega*J64))*(M64/sref)^(m_-1)))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DEGREES(ATAN(TAN(RADIANS(pe0-omega*J65))*(M65/sref)^(m_-1)))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DEGREES(ATAN(TAN(RADIANS(pe0-omega*J66))*(M66/sref)^(m_-1)))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DEGREES(ATAN(TAN(RADIANS(pe0-omega*J67))*(M67/sref)^(m_-1)))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DEGREES(ATAN(TAN(RADIANS(pe0-omega*J68))*(M68/sref)^(m_-1)))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DEGREES(ATAN(TAN(RADIANS(pe0-omega*J69))*(M69/sref)^(m_-1)))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DEGREES(ATAN(TAN(RADIANS(pe0-omega*J70))*(M70/sref)^(m_-1)))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DEGREES(ATAN(TAN(RADIANS(pe0-omega*J71))*(M71/sref)^(m_-1)))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DEGREES(ATAN(TAN(RADIANS(pe0-omega*J72))*(M72/sref)^(m_-1)))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DEGREES(ATAN(TAN(RADIANS(pe0-omega*J73))*(M73/sref)^(m_-1)))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DEGREES(ATAN(TAN(RADIANS(pe0-omega*J74))*(M74/sref)^(m_-1)))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DEGREES(ATAN(TAN(RADIANS(pe0-omega*J75))*(M75/sref)^(m_-1)))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DEGREES(ATAN(TAN(RADIANS(pe0-omega*J76))*(M76/sref)^(m_-1)))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DEGREES(ATAN(TAN(RADIANS(pe0-omega*J77))*(M77/sref)^(m_-1)))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DEGREES(ATAN(TAN(RADIANS(pe0-omega*J78))*(M78/sref)^(m_-1)))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DEGREES(ATAN(TAN(RADIANS(pe0-omega*J79))*(M79/sref)^(m_-1)))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DEGREES(ATAN(TAN(RADIANS(pe0-omega*J80))*(M80/sref)^(m_-1)))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DEGREES(ATAN(TAN(RADIANS(pe0-omega*J81))*(M81/sref)^(m_-1)))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DEGREES(ATAN(TAN(RADIANS(pe0-omega*J82))*(M82/sref)^(m_-1)))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DEGREES(ATAN(TAN(RADIANS(pe0-omega*J83))*(M83/sref)^(m_-1)))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DEGREES(ATAN(TAN(RADIANS(pe0-omega*J84))*(M84/sref)^(m_-1)))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DEGREES(ATAN(TAN(RADIANS(pe0-omega*J85))*(M85/sref)^(m_-1)))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DEGREES(ATAN(TAN(RADIANS(pe0-omega*J86))*(M86/sref)^(m_-1)))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DEGREES(ATAN(TAN(RADIANS(pe0-omega*J87))*(M87/sref)^(m_-1)))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DEGREES(ATAN(TAN(RADIANS(pe0-omega*J88))*(M88/sref)^(m_-1)))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DEGREES(ATAN(TAN(RADIANS(pe0-omega*J89))*(M89/sref)^(m_-1)))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DEGREES(ATAN(TAN(RADIANS(pe0-omega*J90))*(M90/sref)^(m_-1)))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DEGREES(ATAN(TAN(RADIANS(pe0-omega*J91))*(M91/sref)^(m_-1)))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DEGREES(ATAN(TAN(RADIANS(pe0-omega*J92))*(M92/sref)^(m_-1)))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DEGREES(ATAN(TAN(RADIANS(pe0-omega*J93))*(M93/sref)^(m_-1)))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DEGREES(ATAN(TAN(RADIANS(pe0-omega*J94))*(M94/sref)^(m_-1)))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DEGREES(ATAN(TAN(RADIANS(pe0-omega*J95))*(M95/sref)^(m_-1)))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DEGREES(ATAN(TAN(RADIANS(pe0-omega*J96))*(M96/sref)^(m_-1)))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DEGREES(ATAN(TAN(RADIANS(pe0-omega*J97))*(M97/sref)^(m_-1)))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DEGREES(ATAN(TAN(RADIANS(pe0-omega*J98))*(M98/sref)^(m_-1)))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DEGREES(ATAN(TAN(RADIANS(pe0-omega*J99))*(M99/sref)^(m_-1)))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DEGREES(ATAN(TAN(RADIANS(pe0-omega*J100))*(M100/sref)^(m_-1)))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DEGREES(ATAN(TAN(RADIANS(pe0-omega*J101))*(M101/sref)^(m_-1)))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DEGREES(ATAN(TAN(RADIANS(pe0-omega*J102))*(M102/sref)^(m_-1)))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DEGREES(ATAN(TAN(RADIANS(pe0-omega*J103))*(M103/sref)^(m_-1)))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DEGREES(ATAN(TAN(RADIANS(pe0-omega*J104))*(M104/sref)^(m_-1)))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DEGREES(ATAN(TAN(RADIANS(pe0-omega*J105))*(M105/sref)^(m_-1)))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DEGREES(ATAN(TAN(RADIANS(pe0-omega*J106))*(M106/sref)^(m_-1)))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DEGREES(ATAN(TAN(RADIANS(pe0-omega*J107))*(M107/sref)^(m_-1)))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DEGREES(ATAN(TAN(RADIANS(pe0-omega*J108))*(M108/sref)^(m_-1)))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DEGREES(ATAN(TAN(RADIANS(pe0-omega*J109))*(M109/sref)^(m_-1)))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DEGREES(ATAN(TAN(RADIANS(pe0-omega*J110))*(M110/sref)^(m_-1)))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DEGREES(ATAN(TAN(RADIANS(pe0-omega*J111))*(M111/sref)^(m_-1)))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DEGREES(ATAN(TAN(RADIANS(pe0-omega*J112))*(M112/sref)^(m_-1)))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DEGREES(ATAN(TAN(RADIANS(pe0-omega*J113))*(M113/sref)^(m_-1)))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DEGREES(ATAN(TAN(RADIANS(pe0-omega*J114))*(M114/sref)^(m_-1)))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DEGREES(ATAN(TAN(RADIANS(pe0-omega*J115))*(M115/sref)^(m_-1)))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DEGREES(ATAN(TAN(RADIANS(pe0-omega*J116))*(M116/sref)^(m_-1)))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DEGREES(ATAN(TAN(RADIANS(pe0-omega*J117))*(M117/sref)^(m_-1)))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DEGREES(ATAN(TAN(RADIANS(pe0-omega*J118))*(M118/sref)^(m_-1)))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DEGREES(ATAN(TAN(RADIANS(pe0-omega*J119))*(M119/sref)^(m_-1)))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DEGREES(ATAN(TAN(RADIANS(pe0-omega*J120))*(M120/sref)^(m_-1)))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DEGREES(ATAN(TAN(RADIANS(pe0-omega*J121))*(M121/sref)^(m_-1)))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4: Bg de Marsal (a16_bg.csv)</t>
        </is>
      </c>
      <c r="CZ1" s="2" t="inlineStr">
        <is>
          <t>Fig. 4: tendencia lineal (fórmula)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 t="n">
        <v>0.4903</v>
      </c>
      <c r="CS3" t="n">
        <v>13.4</v>
      </c>
      <c r="CW3" t="n">
        <v>13.4</v>
      </c>
      <c r="CZ3" t="n">
        <v>0</v>
      </c>
      <c r="DA3">
        <f>INTERCEPT(CS3:CS18,CR3:CR18)+SLOPE(CS3:CS18,CR3:CR18)*CZ3</f>
        <v/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 t="n">
        <v>0.4903</v>
      </c>
      <c r="CS4" t="n">
        <v>14.3</v>
      </c>
      <c r="CW4" t="n">
        <v>14.3</v>
      </c>
      <c r="CZ4" t="n">
        <v>2.6</v>
      </c>
      <c r="DA4">
        <f>INTERCEPT(CS3:CS18,CR3:CR18)+SLOPE(CS3:CS18,CR3:CR18)*CZ4</f>
        <v/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 t="n">
        <v>0.9807</v>
      </c>
      <c r="CS5" t="n">
        <v>20.4</v>
      </c>
      <c r="CW5" t="n">
        <v>20.4</v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 t="n">
        <v>1.9613</v>
      </c>
      <c r="CS6" t="n">
        <v>25.1</v>
      </c>
      <c r="CW6" t="n">
        <v>25.1</v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 t="n">
        <v>1.9613</v>
      </c>
      <c r="CS7" t="n">
        <v>27.7</v>
      </c>
      <c r="CW7" t="n">
        <v>27.7</v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 t="n">
        <v>0.9807</v>
      </c>
      <c r="CS8" t="n">
        <v>20</v>
      </c>
      <c r="CT8" t="n">
        <v>20</v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 t="n">
        <v>1.9613</v>
      </c>
      <c r="CS9" t="n">
        <v>29</v>
      </c>
      <c r="CT9" t="n">
        <v>29</v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 t="n">
        <v>2.4517</v>
      </c>
      <c r="CS10" t="n">
        <v>37</v>
      </c>
      <c r="CT10" t="n">
        <v>37</v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 t="n">
        <v>0.9807</v>
      </c>
      <c r="CS11" t="n">
        <v>24</v>
      </c>
      <c r="CT11" t="n">
        <v>24</v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 t="n">
        <v>1.9613</v>
      </c>
      <c r="CS12" t="n">
        <v>36</v>
      </c>
      <c r="CT12" t="n">
        <v>36</v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 t="n">
        <v>2.4517</v>
      </c>
      <c r="CS13" t="n">
        <v>39</v>
      </c>
      <c r="CT13" t="n">
        <v>39</v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 t="n">
        <v>0.977</v>
      </c>
      <c r="CS14" t="n">
        <v>15</v>
      </c>
      <c r="CU14" t="n">
        <v>15</v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 t="n">
        <v>0.982</v>
      </c>
      <c r="CS15" t="n">
        <v>30</v>
      </c>
      <c r="CX15" t="n">
        <v>30</v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 t="n">
        <v>0.49</v>
      </c>
      <c r="CS16" t="n">
        <v>8.300000000000001</v>
      </c>
      <c r="CV16" t="n">
        <v>8.300000000000001</v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 t="n">
        <v>0.98</v>
      </c>
      <c r="CS17" t="n">
        <v>8.5</v>
      </c>
      <c r="CV17" t="n">
        <v>8.5</v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 t="n">
        <v>1.96</v>
      </c>
      <c r="CS18" t="n">
        <v>17.6</v>
      </c>
      <c r="CV18" t="n">
        <v>17.6</v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2026-10-13T19:59:22Z</dcterms:created>
  <dcterms:modified xmlns:dcterms="http://purl.org/dc/terms/" xmlns:xsi="http://www.w3.org/2001/XMLSchema-instance" xsi:type="dcterms:W3CDTF">2026-10-13T19:59:23Z</dcterms:modified>
</cp:coreProperties>
</file>