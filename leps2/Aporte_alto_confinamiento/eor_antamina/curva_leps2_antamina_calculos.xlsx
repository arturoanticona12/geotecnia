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:\Mi unidad\00_WORKSPACE\20_PROYECTOS_CONSULTORÍA\Antamina\2026_Gate3\Revisión de literatura\Leps 2.0\Aporte_alto_confinamiento\eor_antamina\"/>
    </mc:Choice>
  </mc:AlternateContent>
  <xr:revisionPtr revIDLastSave="0" documentId="13_ncr:1_{23EF42B4-D13A-471C-84A7-758B53B5CE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eame" sheetId="1" r:id="rId1"/>
    <sheet name="Parametros" sheetId="2" r:id="rId2"/>
    <sheet name="Ensayos" sheetId="3" r:id="rId3"/>
    <sheet name="Curva" sheetId="4" r:id="rId4"/>
    <sheet name="phi1_vs_e" sheetId="5" r:id="rId5"/>
    <sheet name="Hipotesis_m" sheetId="6" r:id="rId6"/>
    <sheet name="Base_mundial" sheetId="7" r:id="rId7"/>
    <sheet name="Ajuste" sheetId="8" r:id="rId8"/>
    <sheet name="FLAC_tangente" sheetId="9" r:id="rId9"/>
    <sheet name="Relacion_vacios" sheetId="10" r:id="rId10"/>
    <sheet name="Perfiles_e" sheetId="11" r:id="rId11"/>
    <sheet name="Edometros" sheetId="12" r:id="rId12"/>
    <sheet name="Tamano_particula" sheetId="13" r:id="rId13"/>
  </sheets>
  <definedNames>
    <definedName name="c_ds">Parametros!$B$21</definedName>
    <definedName name="cc_alto">Parametros!$B$19</definedName>
    <definedName name="cc_bajo">Parametros!$B$18</definedName>
    <definedName name="e_base">Parametros!$B$5</definedName>
    <definedName name="m_">Parametros!$B$4</definedName>
    <definedName name="omega">Parametros!$B$3</definedName>
    <definedName name="pa">Parametros!$B$6</definedName>
    <definedName name="pe0">Parametros!$B$2</definedName>
    <definedName name="sref">Parametros!$B$7</definedName>
    <definedName name="sv_piso">Parametros!$B$20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3" l="1"/>
  <c r="E10" i="13" s="1"/>
  <c r="F10" i="13" s="1"/>
  <c r="G10" i="13" s="1"/>
  <c r="D9" i="13"/>
  <c r="E9" i="13" s="1"/>
  <c r="F9" i="13" s="1"/>
  <c r="G9" i="13" s="1"/>
  <c r="D8" i="13"/>
  <c r="E8" i="13" s="1"/>
  <c r="F8" i="13" s="1"/>
  <c r="G8" i="13" s="1"/>
  <c r="D7" i="13"/>
  <c r="E7" i="13" s="1"/>
  <c r="F7" i="13" s="1"/>
  <c r="G7" i="13" s="1"/>
  <c r="D6" i="13"/>
  <c r="E6" i="13" s="1"/>
  <c r="F6" i="13" s="1"/>
  <c r="G6" i="13" s="1"/>
  <c r="D5" i="13"/>
  <c r="E5" i="13" s="1"/>
  <c r="F5" i="13" s="1"/>
  <c r="G5" i="13" s="1"/>
  <c r="D4" i="13"/>
  <c r="E4" i="13" s="1"/>
  <c r="F4" i="13" s="1"/>
  <c r="G4" i="13" s="1"/>
  <c r="D3" i="13"/>
  <c r="E3" i="13" s="1"/>
  <c r="F3" i="13" s="1"/>
  <c r="G3" i="13" s="1"/>
  <c r="D2" i="13"/>
  <c r="E2" i="13" s="1"/>
  <c r="F2" i="13" s="1"/>
  <c r="G2" i="13" s="1"/>
  <c r="G7" i="10"/>
  <c r="G6" i="10"/>
  <c r="G5" i="10"/>
  <c r="G4" i="10"/>
  <c r="G3" i="10"/>
  <c r="G2" i="10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J4" i="7"/>
  <c r="E4" i="7"/>
  <c r="J3" i="7"/>
  <c r="E3" i="7"/>
  <c r="J2" i="7"/>
  <c r="E2" i="7"/>
  <c r="C5" i="6"/>
  <c r="B5" i="6"/>
  <c r="C4" i="6"/>
  <c r="B4" i="6"/>
  <c r="C3" i="6"/>
  <c r="B3" i="6"/>
  <c r="C2" i="6"/>
  <c r="B2" i="6"/>
  <c r="H18" i="5"/>
  <c r="H17" i="5"/>
  <c r="H16" i="5"/>
  <c r="H15" i="5"/>
  <c r="H14" i="5"/>
  <c r="D14" i="5"/>
  <c r="C14" i="5"/>
  <c r="H13" i="5"/>
  <c r="D13" i="5"/>
  <c r="C13" i="5"/>
  <c r="H12" i="5"/>
  <c r="D12" i="5"/>
  <c r="C12" i="5"/>
  <c r="H11" i="5"/>
  <c r="D11" i="5"/>
  <c r="C11" i="5"/>
  <c r="H10" i="5"/>
  <c r="D10" i="5"/>
  <c r="C10" i="5"/>
  <c r="H9" i="5"/>
  <c r="D9" i="5"/>
  <c r="C9" i="5"/>
  <c r="H8" i="5"/>
  <c r="D8" i="5"/>
  <c r="C8" i="5"/>
  <c r="H7" i="5"/>
  <c r="D7" i="5"/>
  <c r="C7" i="5"/>
  <c r="H6" i="5"/>
  <c r="D6" i="5"/>
  <c r="C6" i="5"/>
  <c r="H5" i="5"/>
  <c r="D5" i="5"/>
  <c r="C5" i="5"/>
  <c r="H4" i="5"/>
  <c r="D4" i="5"/>
  <c r="C4" i="5"/>
  <c r="H3" i="5"/>
  <c r="D3" i="5"/>
  <c r="C3" i="5"/>
  <c r="H2" i="5"/>
  <c r="D2" i="5"/>
  <c r="C2" i="5"/>
  <c r="S30" i="4"/>
  <c r="P30" i="4"/>
  <c r="R30" i="4" s="1"/>
  <c r="O30" i="4"/>
  <c r="Q30" i="4" s="1"/>
  <c r="K30" i="4"/>
  <c r="L30" i="4" s="1"/>
  <c r="J30" i="4"/>
  <c r="I30" i="4"/>
  <c r="F30" i="4"/>
  <c r="H30" i="4" s="1"/>
  <c r="S29" i="4"/>
  <c r="P29" i="4"/>
  <c r="R29" i="4" s="1"/>
  <c r="K29" i="4"/>
  <c r="L29" i="4" s="1"/>
  <c r="S28" i="4"/>
  <c r="P28" i="4"/>
  <c r="R28" i="4" s="1"/>
  <c r="K28" i="4"/>
  <c r="L28" i="4" s="1"/>
  <c r="S27" i="4"/>
  <c r="P27" i="4"/>
  <c r="R27" i="4" s="1"/>
  <c r="K27" i="4"/>
  <c r="L27" i="4" s="1"/>
  <c r="S26" i="4"/>
  <c r="P26" i="4"/>
  <c r="R26" i="4" s="1"/>
  <c r="K26" i="4"/>
  <c r="L26" i="4" s="1"/>
  <c r="S25" i="4"/>
  <c r="P25" i="4"/>
  <c r="R25" i="4" s="1"/>
  <c r="K25" i="4"/>
  <c r="L25" i="4" s="1"/>
  <c r="S24" i="4"/>
  <c r="P24" i="4"/>
  <c r="R24" i="4" s="1"/>
  <c r="K24" i="4"/>
  <c r="L24" i="4" s="1"/>
  <c r="S23" i="4"/>
  <c r="P23" i="4"/>
  <c r="R23" i="4" s="1"/>
  <c r="K23" i="4"/>
  <c r="L23" i="4" s="1"/>
  <c r="S22" i="4"/>
  <c r="P22" i="4"/>
  <c r="R22" i="4" s="1"/>
  <c r="K22" i="4"/>
  <c r="L22" i="4" s="1"/>
  <c r="J22" i="4"/>
  <c r="I22" i="4"/>
  <c r="F22" i="4"/>
  <c r="H22" i="4" s="1"/>
  <c r="E22" i="4"/>
  <c r="G22" i="4" s="1"/>
  <c r="C22" i="4"/>
  <c r="D22" i="4" s="1"/>
  <c r="S21" i="4"/>
  <c r="P21" i="4"/>
  <c r="R21" i="4" s="1"/>
  <c r="O21" i="4"/>
  <c r="Q21" i="4" s="1"/>
  <c r="N21" i="4"/>
  <c r="K21" i="4"/>
  <c r="L21" i="4" s="1"/>
  <c r="J21" i="4"/>
  <c r="I21" i="4"/>
  <c r="F21" i="4"/>
  <c r="H21" i="4" s="1"/>
  <c r="E21" i="4"/>
  <c r="G21" i="4" s="1"/>
  <c r="S20" i="4"/>
  <c r="P20" i="4"/>
  <c r="R20" i="4" s="1"/>
  <c r="K20" i="4"/>
  <c r="S19" i="4"/>
  <c r="P19" i="4"/>
  <c r="R19" i="4" s="1"/>
  <c r="K19" i="4"/>
  <c r="S18" i="4"/>
  <c r="P18" i="4"/>
  <c r="R18" i="4" s="1"/>
  <c r="K18" i="4"/>
  <c r="S17" i="4"/>
  <c r="P17" i="4"/>
  <c r="R17" i="4" s="1"/>
  <c r="K17" i="4"/>
  <c r="S16" i="4"/>
  <c r="P16" i="4"/>
  <c r="R16" i="4" s="1"/>
  <c r="K16" i="4"/>
  <c r="S15" i="4"/>
  <c r="P15" i="4"/>
  <c r="R15" i="4" s="1"/>
  <c r="K15" i="4"/>
  <c r="S14" i="4"/>
  <c r="P14" i="4"/>
  <c r="R14" i="4" s="1"/>
  <c r="K14" i="4"/>
  <c r="S13" i="4"/>
  <c r="P13" i="4"/>
  <c r="R13" i="4" s="1"/>
  <c r="K13" i="4"/>
  <c r="S12" i="4"/>
  <c r="P12" i="4"/>
  <c r="R12" i="4" s="1"/>
  <c r="K12" i="4"/>
  <c r="S11" i="4"/>
  <c r="P11" i="4"/>
  <c r="R11" i="4" s="1"/>
  <c r="K11" i="4"/>
  <c r="S10" i="4"/>
  <c r="P10" i="4"/>
  <c r="R10" i="4" s="1"/>
  <c r="K10" i="4"/>
  <c r="S9" i="4"/>
  <c r="P9" i="4"/>
  <c r="R9" i="4" s="1"/>
  <c r="K9" i="4"/>
  <c r="S8" i="4"/>
  <c r="P8" i="4"/>
  <c r="R8" i="4" s="1"/>
  <c r="K8" i="4"/>
  <c r="S7" i="4"/>
  <c r="P7" i="4"/>
  <c r="R7" i="4" s="1"/>
  <c r="K7" i="4"/>
  <c r="S6" i="4"/>
  <c r="P6" i="4"/>
  <c r="R6" i="4" s="1"/>
  <c r="K6" i="4"/>
  <c r="S5" i="4"/>
  <c r="P5" i="4"/>
  <c r="R5" i="4" s="1"/>
  <c r="K5" i="4"/>
  <c r="S4" i="4"/>
  <c r="P4" i="4"/>
  <c r="R4" i="4" s="1"/>
  <c r="K4" i="4"/>
  <c r="S3" i="4"/>
  <c r="P3" i="4"/>
  <c r="R3" i="4" s="1"/>
  <c r="K3" i="4"/>
  <c r="S2" i="4"/>
  <c r="P2" i="4"/>
  <c r="R2" i="4" s="1"/>
  <c r="K2" i="4"/>
  <c r="N121" i="3"/>
  <c r="M121" i="3"/>
  <c r="N120" i="3"/>
  <c r="M120" i="3"/>
  <c r="N119" i="3"/>
  <c r="M119" i="3"/>
  <c r="N118" i="3"/>
  <c r="M118" i="3"/>
  <c r="N117" i="3"/>
  <c r="M117" i="3"/>
  <c r="N116" i="3"/>
  <c r="M116" i="3"/>
  <c r="N115" i="3"/>
  <c r="M115" i="3"/>
  <c r="N114" i="3"/>
  <c r="M114" i="3"/>
  <c r="N113" i="3"/>
  <c r="M113" i="3"/>
  <c r="N112" i="3"/>
  <c r="M112" i="3"/>
  <c r="N111" i="3"/>
  <c r="M111" i="3"/>
  <c r="N110" i="3"/>
  <c r="M110" i="3"/>
  <c r="N109" i="3"/>
  <c r="M109" i="3"/>
  <c r="N108" i="3"/>
  <c r="M108" i="3"/>
  <c r="N107" i="3"/>
  <c r="M107" i="3"/>
  <c r="N106" i="3"/>
  <c r="M106" i="3"/>
  <c r="N105" i="3"/>
  <c r="M105" i="3"/>
  <c r="N104" i="3"/>
  <c r="M104" i="3"/>
  <c r="N103" i="3"/>
  <c r="M103" i="3"/>
  <c r="N102" i="3"/>
  <c r="M102" i="3"/>
  <c r="N101" i="3"/>
  <c r="M101" i="3"/>
  <c r="N100" i="3"/>
  <c r="M100" i="3"/>
  <c r="N99" i="3"/>
  <c r="M99" i="3"/>
  <c r="N98" i="3"/>
  <c r="M98" i="3"/>
  <c r="N97" i="3"/>
  <c r="M97" i="3"/>
  <c r="N96" i="3"/>
  <c r="M96" i="3"/>
  <c r="N95" i="3"/>
  <c r="M95" i="3"/>
  <c r="N94" i="3"/>
  <c r="M94" i="3"/>
  <c r="N93" i="3"/>
  <c r="M93" i="3"/>
  <c r="N92" i="3"/>
  <c r="M92" i="3"/>
  <c r="N91" i="3"/>
  <c r="M91" i="3"/>
  <c r="N90" i="3"/>
  <c r="M90" i="3"/>
  <c r="N89" i="3"/>
  <c r="M89" i="3"/>
  <c r="N88" i="3"/>
  <c r="M88" i="3"/>
  <c r="N87" i="3"/>
  <c r="M87" i="3"/>
  <c r="N86" i="3"/>
  <c r="M86" i="3"/>
  <c r="N85" i="3"/>
  <c r="M85" i="3"/>
  <c r="N84" i="3"/>
  <c r="M84" i="3"/>
  <c r="N83" i="3"/>
  <c r="M83" i="3"/>
  <c r="N82" i="3"/>
  <c r="M82" i="3"/>
  <c r="N81" i="3"/>
  <c r="M81" i="3"/>
  <c r="N80" i="3"/>
  <c r="M80" i="3"/>
  <c r="N79" i="3"/>
  <c r="M79" i="3"/>
  <c r="N78" i="3"/>
  <c r="M78" i="3"/>
  <c r="N77" i="3"/>
  <c r="M77" i="3"/>
  <c r="N76" i="3"/>
  <c r="M76" i="3"/>
  <c r="N75" i="3"/>
  <c r="M75" i="3"/>
  <c r="N74" i="3"/>
  <c r="M74" i="3"/>
  <c r="N73" i="3"/>
  <c r="M73" i="3"/>
  <c r="N72" i="3"/>
  <c r="M72" i="3"/>
  <c r="N71" i="3"/>
  <c r="M71" i="3"/>
  <c r="N70" i="3"/>
  <c r="M70" i="3"/>
  <c r="N69" i="3"/>
  <c r="M69" i="3"/>
  <c r="N68" i="3"/>
  <c r="M68" i="3"/>
  <c r="N67" i="3"/>
  <c r="M67" i="3"/>
  <c r="N66" i="3"/>
  <c r="M66" i="3"/>
  <c r="N65" i="3"/>
  <c r="M65" i="3"/>
  <c r="N64" i="3"/>
  <c r="M64" i="3"/>
  <c r="N63" i="3"/>
  <c r="M63" i="3"/>
  <c r="N62" i="3"/>
  <c r="M62" i="3"/>
  <c r="N61" i="3"/>
  <c r="M61" i="3"/>
  <c r="N60" i="3"/>
  <c r="M60" i="3"/>
  <c r="N59" i="3"/>
  <c r="M59" i="3"/>
  <c r="N58" i="3"/>
  <c r="M58" i="3"/>
  <c r="N57" i="3"/>
  <c r="M57" i="3"/>
  <c r="N56" i="3"/>
  <c r="M56" i="3"/>
  <c r="N55" i="3"/>
  <c r="M55" i="3"/>
  <c r="N54" i="3"/>
  <c r="M54" i="3"/>
  <c r="N53" i="3"/>
  <c r="M53" i="3"/>
  <c r="N52" i="3"/>
  <c r="M52" i="3"/>
  <c r="N51" i="3"/>
  <c r="M51" i="3"/>
  <c r="N50" i="3"/>
  <c r="M50" i="3"/>
  <c r="N49" i="3"/>
  <c r="M49" i="3"/>
  <c r="N48" i="3"/>
  <c r="M48" i="3"/>
  <c r="N47" i="3"/>
  <c r="M47" i="3"/>
  <c r="N46" i="3"/>
  <c r="M46" i="3"/>
  <c r="N45" i="3"/>
  <c r="M45" i="3"/>
  <c r="N44" i="3"/>
  <c r="M44" i="3"/>
  <c r="N43" i="3"/>
  <c r="M43" i="3"/>
  <c r="N42" i="3"/>
  <c r="M42" i="3"/>
  <c r="N41" i="3"/>
  <c r="M41" i="3"/>
  <c r="N40" i="3"/>
  <c r="M40" i="3"/>
  <c r="N39" i="3"/>
  <c r="M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N23" i="3"/>
  <c r="M23" i="3"/>
  <c r="N22" i="3"/>
  <c r="M22" i="3"/>
  <c r="N21" i="3"/>
  <c r="M21" i="3"/>
  <c r="N20" i="3"/>
  <c r="M20" i="3"/>
  <c r="N19" i="3"/>
  <c r="M19" i="3"/>
  <c r="N18" i="3"/>
  <c r="M18" i="3"/>
  <c r="N17" i="3"/>
  <c r="M17" i="3"/>
  <c r="N16" i="3"/>
  <c r="M16" i="3"/>
  <c r="N15" i="3"/>
  <c r="M15" i="3"/>
  <c r="N14" i="3"/>
  <c r="M14" i="3"/>
  <c r="N13" i="3"/>
  <c r="M13" i="3"/>
  <c r="N12" i="3"/>
  <c r="M12" i="3"/>
  <c r="N11" i="3"/>
  <c r="M11" i="3"/>
  <c r="N10" i="3"/>
  <c r="M10" i="3"/>
  <c r="N9" i="3"/>
  <c r="M9" i="3"/>
  <c r="N8" i="3"/>
  <c r="M8" i="3"/>
  <c r="N7" i="3"/>
  <c r="M7" i="3"/>
  <c r="N6" i="3"/>
  <c r="M6" i="3"/>
  <c r="N5" i="3"/>
  <c r="M5" i="3"/>
  <c r="N4" i="3"/>
  <c r="M4" i="3"/>
  <c r="N3" i="3"/>
  <c r="M3" i="3"/>
  <c r="N2" i="3"/>
  <c r="M2" i="3"/>
  <c r="B8" i="2"/>
  <c r="B7" i="2"/>
  <c r="L20" i="4" l="1"/>
  <c r="L19" i="4"/>
  <c r="L18" i="4"/>
  <c r="L17" i="4"/>
  <c r="L16" i="4"/>
  <c r="L15" i="4"/>
  <c r="L14" i="4"/>
  <c r="L13" i="4"/>
  <c r="L12" i="4"/>
  <c r="L11" i="4"/>
  <c r="L10" i="4"/>
  <c r="L8" i="4"/>
  <c r="O40" i="3"/>
  <c r="C21" i="4"/>
  <c r="D21" i="4" s="1"/>
  <c r="O20" i="4"/>
  <c r="Q20" i="4" s="1"/>
  <c r="N20" i="4"/>
  <c r="J20" i="4"/>
  <c r="I20" i="4"/>
  <c r="F20" i="4"/>
  <c r="H20" i="4" s="1"/>
  <c r="E20" i="4"/>
  <c r="G20" i="4" s="1"/>
  <c r="C20" i="4"/>
  <c r="D20" i="4" s="1"/>
  <c r="O19" i="4"/>
  <c r="Q19" i="4" s="1"/>
  <c r="N19" i="4"/>
  <c r="J19" i="4"/>
  <c r="I19" i="4"/>
  <c r="F19" i="4"/>
  <c r="H19" i="4" s="1"/>
  <c r="E19" i="4"/>
  <c r="G19" i="4" s="1"/>
  <c r="C19" i="4"/>
  <c r="D19" i="4" s="1"/>
  <c r="O18" i="4"/>
  <c r="Q18" i="4" s="1"/>
  <c r="N18" i="4"/>
  <c r="J18" i="4"/>
  <c r="I18" i="4"/>
  <c r="F18" i="4"/>
  <c r="H18" i="4" s="1"/>
  <c r="E18" i="4"/>
  <c r="G18" i="4" s="1"/>
  <c r="C18" i="4"/>
  <c r="D18" i="4" s="1"/>
  <c r="O17" i="4"/>
  <c r="Q17" i="4" s="1"/>
  <c r="N17" i="4"/>
  <c r="J17" i="4"/>
  <c r="I17" i="4"/>
  <c r="F17" i="4"/>
  <c r="H17" i="4" s="1"/>
  <c r="E17" i="4"/>
  <c r="G17" i="4" s="1"/>
  <c r="C17" i="4"/>
  <c r="D17" i="4" s="1"/>
  <c r="O16" i="4"/>
  <c r="Q16" i="4" s="1"/>
  <c r="N16" i="4"/>
  <c r="J16" i="4"/>
  <c r="I16" i="4"/>
  <c r="F16" i="4"/>
  <c r="H16" i="4" s="1"/>
  <c r="E16" i="4"/>
  <c r="G16" i="4" s="1"/>
  <c r="C16" i="4"/>
  <c r="D16" i="4" s="1"/>
  <c r="O15" i="4"/>
  <c r="Q15" i="4" s="1"/>
  <c r="N15" i="4"/>
  <c r="J15" i="4"/>
  <c r="I15" i="4"/>
  <c r="F15" i="4"/>
  <c r="H15" i="4" s="1"/>
  <c r="E15" i="4"/>
  <c r="G15" i="4" s="1"/>
  <c r="C15" i="4"/>
  <c r="D15" i="4" s="1"/>
  <c r="O14" i="4"/>
  <c r="Q14" i="4" s="1"/>
  <c r="N14" i="4"/>
  <c r="J14" i="4"/>
  <c r="I14" i="4"/>
  <c r="F14" i="4"/>
  <c r="H14" i="4" s="1"/>
  <c r="E14" i="4"/>
  <c r="G14" i="4" s="1"/>
  <c r="C14" i="4"/>
  <c r="D14" i="4" s="1"/>
  <c r="O13" i="4"/>
  <c r="Q13" i="4" s="1"/>
  <c r="N13" i="4"/>
  <c r="J13" i="4"/>
  <c r="I13" i="4"/>
  <c r="F13" i="4"/>
  <c r="H13" i="4" s="1"/>
  <c r="E13" i="4"/>
  <c r="G13" i="4" s="1"/>
  <c r="C13" i="4"/>
  <c r="D13" i="4" s="1"/>
  <c r="O12" i="4"/>
  <c r="Q12" i="4" s="1"/>
  <c r="N12" i="4"/>
  <c r="J12" i="4"/>
  <c r="I12" i="4"/>
  <c r="F12" i="4"/>
  <c r="H12" i="4" s="1"/>
  <c r="E12" i="4"/>
  <c r="G12" i="4" s="1"/>
  <c r="C12" i="4"/>
  <c r="D12" i="4" s="1"/>
  <c r="O11" i="4"/>
  <c r="Q11" i="4" s="1"/>
  <c r="N11" i="4"/>
  <c r="J11" i="4"/>
  <c r="I11" i="4"/>
  <c r="F11" i="4"/>
  <c r="H11" i="4" s="1"/>
  <c r="E11" i="4"/>
  <c r="G11" i="4" s="1"/>
  <c r="C11" i="4"/>
  <c r="D11" i="4" s="1"/>
  <c r="O10" i="4"/>
  <c r="Q10" i="4" s="1"/>
  <c r="N10" i="4"/>
  <c r="J10" i="4"/>
  <c r="I10" i="4"/>
  <c r="F10" i="4"/>
  <c r="H10" i="4" s="1"/>
  <c r="E10" i="4"/>
  <c r="G10" i="4" s="1"/>
  <c r="L9" i="4"/>
  <c r="L7" i="4"/>
  <c r="L6" i="4"/>
  <c r="L5" i="4"/>
  <c r="L4" i="4"/>
  <c r="L3" i="4"/>
  <c r="L2" i="4"/>
  <c r="O121" i="3"/>
  <c r="Q121" i="3"/>
  <c r="O120" i="3"/>
  <c r="Q120" i="3"/>
  <c r="O119" i="3"/>
  <c r="Q119" i="3"/>
  <c r="O118" i="3"/>
  <c r="Q118" i="3"/>
  <c r="O117" i="3"/>
  <c r="Q117" i="3"/>
  <c r="O116" i="3"/>
  <c r="Q116" i="3"/>
  <c r="O115" i="3"/>
  <c r="Q115" i="3"/>
  <c r="O114" i="3"/>
  <c r="Q114" i="3"/>
  <c r="O113" i="3"/>
  <c r="Q113" i="3"/>
  <c r="O112" i="3"/>
  <c r="Q112" i="3"/>
  <c r="O111" i="3"/>
  <c r="Q111" i="3"/>
  <c r="O110" i="3"/>
  <c r="Q110" i="3"/>
  <c r="O109" i="3"/>
  <c r="Q109" i="3"/>
  <c r="O108" i="3"/>
  <c r="Q108" i="3"/>
  <c r="O107" i="3"/>
  <c r="Q107" i="3"/>
  <c r="O106" i="3"/>
  <c r="Q106" i="3"/>
  <c r="O105" i="3"/>
  <c r="Q105" i="3"/>
  <c r="O104" i="3"/>
  <c r="Q104" i="3"/>
  <c r="O103" i="3"/>
  <c r="Q103" i="3"/>
  <c r="O102" i="3"/>
  <c r="Q102" i="3"/>
  <c r="O101" i="3"/>
  <c r="Q101" i="3"/>
  <c r="O100" i="3"/>
  <c r="Q100" i="3"/>
  <c r="O99" i="3"/>
  <c r="Q99" i="3"/>
  <c r="O98" i="3"/>
  <c r="Q98" i="3"/>
  <c r="O97" i="3"/>
  <c r="Q97" i="3"/>
  <c r="O96" i="3"/>
  <c r="Q96" i="3"/>
  <c r="O95" i="3"/>
  <c r="Q95" i="3"/>
  <c r="O78" i="3"/>
  <c r="Q78" i="3"/>
  <c r="O77" i="3"/>
  <c r="Q77" i="3"/>
  <c r="O76" i="3"/>
  <c r="Q76" i="3"/>
  <c r="O75" i="3"/>
  <c r="Q75" i="3"/>
  <c r="O74" i="3"/>
  <c r="Q74" i="3"/>
  <c r="O73" i="3"/>
  <c r="Q73" i="3"/>
  <c r="O72" i="3"/>
  <c r="Q72" i="3"/>
  <c r="O71" i="3"/>
  <c r="Q71" i="3"/>
  <c r="O70" i="3"/>
  <c r="Q70" i="3"/>
  <c r="O69" i="3"/>
  <c r="Q69" i="3"/>
  <c r="O68" i="3"/>
  <c r="Q68" i="3"/>
  <c r="O67" i="3"/>
  <c r="Q67" i="3"/>
  <c r="O66" i="3"/>
  <c r="Q66" i="3"/>
  <c r="O65" i="3"/>
  <c r="Q65" i="3"/>
  <c r="O64" i="3"/>
  <c r="Q64" i="3"/>
  <c r="O63" i="3"/>
  <c r="Q63" i="3"/>
  <c r="O62" i="3"/>
  <c r="Q62" i="3"/>
  <c r="O61" i="3"/>
  <c r="Q61" i="3"/>
  <c r="O60" i="3"/>
  <c r="Q60" i="3"/>
  <c r="O59" i="3"/>
  <c r="Q59" i="3"/>
  <c r="O58" i="3"/>
  <c r="Q58" i="3"/>
  <c r="O57" i="3"/>
  <c r="Q57" i="3"/>
  <c r="O56" i="3"/>
  <c r="Q56" i="3"/>
  <c r="O55" i="3"/>
  <c r="Q55" i="3"/>
  <c r="O54" i="3"/>
  <c r="Q54" i="3"/>
  <c r="O53" i="3"/>
  <c r="Q53" i="3"/>
  <c r="O52" i="3"/>
  <c r="Q52" i="3"/>
  <c r="O51" i="3"/>
  <c r="Q51" i="3"/>
  <c r="O50" i="3"/>
  <c r="Q50" i="3"/>
  <c r="O49" i="3"/>
  <c r="Q49" i="3"/>
  <c r="O48" i="3"/>
  <c r="Q48" i="3"/>
  <c r="O47" i="3"/>
  <c r="Q47" i="3"/>
  <c r="O46" i="3"/>
  <c r="Q46" i="3"/>
  <c r="O45" i="3"/>
  <c r="Q45" i="3"/>
  <c r="O44" i="3"/>
  <c r="Q44" i="3"/>
  <c r="O43" i="3"/>
  <c r="Q43" i="3"/>
  <c r="O42" i="3"/>
  <c r="Q42" i="3"/>
  <c r="O41" i="3"/>
  <c r="Q41" i="3"/>
  <c r="Q40" i="3"/>
  <c r="O39" i="3"/>
  <c r="Q39" i="3"/>
  <c r="O23" i="3"/>
  <c r="Q23" i="3"/>
  <c r="O22" i="3"/>
  <c r="Q22" i="3"/>
  <c r="O21" i="3"/>
  <c r="Q21" i="3"/>
  <c r="O20" i="3"/>
  <c r="Q20" i="3"/>
  <c r="O19" i="3"/>
  <c r="Q19" i="3"/>
  <c r="O18" i="3"/>
  <c r="Q18" i="3"/>
  <c r="O17" i="3"/>
  <c r="Q17" i="3"/>
  <c r="O16" i="3"/>
  <c r="Q16" i="3"/>
  <c r="O15" i="3"/>
  <c r="Q15" i="3"/>
  <c r="O14" i="3"/>
  <c r="Q14" i="3"/>
  <c r="O13" i="3"/>
  <c r="Q13" i="3"/>
  <c r="O12" i="3"/>
  <c r="Q12" i="3"/>
  <c r="O11" i="3"/>
  <c r="Q11" i="3"/>
  <c r="O10" i="3"/>
  <c r="Q10" i="3"/>
  <c r="O9" i="3"/>
  <c r="Q9" i="3"/>
  <c r="O8" i="3"/>
  <c r="Q8" i="3"/>
  <c r="O7" i="3"/>
  <c r="Q7" i="3"/>
  <c r="O6" i="3"/>
  <c r="Q6" i="3"/>
  <c r="O5" i="3"/>
  <c r="Q5" i="3"/>
  <c r="O4" i="3"/>
  <c r="Q4" i="3"/>
  <c r="O3" i="3"/>
  <c r="Q3" i="3"/>
  <c r="O2" i="3"/>
  <c r="Q2" i="3"/>
  <c r="O94" i="3"/>
  <c r="Q94" i="3"/>
  <c r="O93" i="3"/>
  <c r="Q93" i="3"/>
  <c r="O92" i="3"/>
  <c r="Q92" i="3"/>
  <c r="O91" i="3"/>
  <c r="Q91" i="3"/>
  <c r="O90" i="3"/>
  <c r="Q90" i="3"/>
  <c r="O89" i="3"/>
  <c r="Q89" i="3"/>
  <c r="O88" i="3"/>
  <c r="Q88" i="3"/>
  <c r="O87" i="3"/>
  <c r="Q87" i="3"/>
  <c r="O86" i="3"/>
  <c r="Q86" i="3"/>
  <c r="O85" i="3"/>
  <c r="Q85" i="3"/>
  <c r="O84" i="3"/>
  <c r="Q84" i="3"/>
  <c r="O83" i="3"/>
  <c r="Q83" i="3"/>
  <c r="O82" i="3"/>
  <c r="Q82" i="3"/>
  <c r="O81" i="3"/>
  <c r="Q81" i="3"/>
  <c r="O80" i="3"/>
  <c r="Q80" i="3"/>
  <c r="O79" i="3"/>
  <c r="Q79" i="3"/>
  <c r="J37" i="8"/>
  <c r="U37" i="8" s="1"/>
  <c r="Y37" i="8" s="1"/>
  <c r="Z37" i="8" s="1"/>
  <c r="J36" i="8"/>
  <c r="U36" i="8" s="1"/>
  <c r="Y36" i="8" s="1"/>
  <c r="Z36" i="8" s="1"/>
  <c r="J35" i="8"/>
  <c r="U35" i="8" s="1"/>
  <c r="Y35" i="8" s="1"/>
  <c r="Z35" i="8" s="1"/>
  <c r="J34" i="8"/>
  <c r="U34" i="8" s="1"/>
  <c r="Y34" i="8" s="1"/>
  <c r="Z34" i="8" s="1"/>
  <c r="J33" i="8"/>
  <c r="U33" i="8" s="1"/>
  <c r="Y33" i="8" s="1"/>
  <c r="Z33" i="8" s="1"/>
  <c r="J32" i="8"/>
  <c r="U32" i="8" s="1"/>
  <c r="Y32" i="8" s="1"/>
  <c r="Z32" i="8" s="1"/>
  <c r="J31" i="8"/>
  <c r="U31" i="8" s="1"/>
  <c r="Y31" i="8" s="1"/>
  <c r="Z31" i="8" s="1"/>
  <c r="J30" i="8"/>
  <c r="U30" i="8" s="1"/>
  <c r="Y30" i="8" s="1"/>
  <c r="Z30" i="8" s="1"/>
  <c r="J29" i="8"/>
  <c r="U29" i="8" s="1"/>
  <c r="Y29" i="8" s="1"/>
  <c r="Z29" i="8" s="1"/>
  <c r="J28" i="8"/>
  <c r="U28" i="8" s="1"/>
  <c r="Y28" i="8" s="1"/>
  <c r="Z28" i="8" s="1"/>
  <c r="J27" i="8"/>
  <c r="U27" i="8" s="1"/>
  <c r="Y27" i="8" s="1"/>
  <c r="Z27" i="8" s="1"/>
  <c r="J26" i="8"/>
  <c r="U26" i="8" s="1"/>
  <c r="Y26" i="8" s="1"/>
  <c r="Z26" i="8" s="1"/>
  <c r="J25" i="8"/>
  <c r="U25" i="8" s="1"/>
  <c r="Y25" i="8" s="1"/>
  <c r="Z25" i="8" s="1"/>
  <c r="J24" i="8"/>
  <c r="U24" i="8" s="1"/>
  <c r="Y24" i="8" s="1"/>
  <c r="Z24" i="8" s="1"/>
  <c r="J23" i="8"/>
  <c r="K23" i="8" s="1"/>
  <c r="L23" i="8" s="1"/>
  <c r="M23" i="8" s="1"/>
  <c r="N23" i="8" s="1"/>
  <c r="O23" i="8" s="1"/>
  <c r="P23" i="8" s="1"/>
  <c r="Q23" i="8" s="1"/>
  <c r="R23" i="8" s="1"/>
  <c r="S23" i="8" s="1"/>
  <c r="T23" i="8" s="1"/>
  <c r="J22" i="8"/>
  <c r="K22" i="8" s="1"/>
  <c r="L22" i="8" s="1"/>
  <c r="M22" i="8" s="1"/>
  <c r="N22" i="8" s="1"/>
  <c r="O22" i="8" s="1"/>
  <c r="P22" i="8" s="1"/>
  <c r="Q22" i="8" s="1"/>
  <c r="R22" i="8" s="1"/>
  <c r="S22" i="8" s="1"/>
  <c r="T22" i="8" s="1"/>
  <c r="J21" i="8"/>
  <c r="K21" i="8" s="1"/>
  <c r="L21" i="8" s="1"/>
  <c r="M21" i="8" s="1"/>
  <c r="N21" i="8" s="1"/>
  <c r="O21" i="8" s="1"/>
  <c r="P21" i="8" s="1"/>
  <c r="Q21" i="8" s="1"/>
  <c r="R21" i="8" s="1"/>
  <c r="S21" i="8" s="1"/>
  <c r="T21" i="8" s="1"/>
  <c r="J20" i="8"/>
  <c r="K20" i="8" s="1"/>
  <c r="L20" i="8" s="1"/>
  <c r="M20" i="8" s="1"/>
  <c r="N20" i="8" s="1"/>
  <c r="O20" i="8" s="1"/>
  <c r="P20" i="8" s="1"/>
  <c r="Q20" i="8" s="1"/>
  <c r="R20" i="8" s="1"/>
  <c r="S20" i="8" s="1"/>
  <c r="T20" i="8" s="1"/>
  <c r="J19" i="8"/>
  <c r="K19" i="8" s="1"/>
  <c r="L19" i="8" s="1"/>
  <c r="M19" i="8" s="1"/>
  <c r="N19" i="8" s="1"/>
  <c r="O19" i="8" s="1"/>
  <c r="P19" i="8" s="1"/>
  <c r="Q19" i="8" s="1"/>
  <c r="R19" i="8" s="1"/>
  <c r="S19" i="8" s="1"/>
  <c r="T19" i="8" s="1"/>
  <c r="J18" i="8"/>
  <c r="K18" i="8" s="1"/>
  <c r="L18" i="8" s="1"/>
  <c r="M18" i="8" s="1"/>
  <c r="N18" i="8" s="1"/>
  <c r="O18" i="8" s="1"/>
  <c r="P18" i="8" s="1"/>
  <c r="Q18" i="8" s="1"/>
  <c r="R18" i="8" s="1"/>
  <c r="S18" i="8" s="1"/>
  <c r="T18" i="8" s="1"/>
  <c r="J17" i="8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J16" i="8"/>
  <c r="K16" i="8" s="1"/>
  <c r="L16" i="8" s="1"/>
  <c r="M16" i="8" s="1"/>
  <c r="N16" i="8" s="1"/>
  <c r="O16" i="8" s="1"/>
  <c r="P16" i="8" s="1"/>
  <c r="Q16" i="8" s="1"/>
  <c r="R16" i="8" s="1"/>
  <c r="S16" i="8" s="1"/>
  <c r="T16" i="8" s="1"/>
  <c r="J15" i="8"/>
  <c r="K15" i="8" s="1"/>
  <c r="L15" i="8" s="1"/>
  <c r="M15" i="8" s="1"/>
  <c r="N15" i="8" s="1"/>
  <c r="O15" i="8" s="1"/>
  <c r="P15" i="8" s="1"/>
  <c r="Q15" i="8" s="1"/>
  <c r="R15" i="8" s="1"/>
  <c r="S15" i="8" s="1"/>
  <c r="T15" i="8" s="1"/>
  <c r="F674" i="7"/>
  <c r="G674" i="7" s="1"/>
  <c r="F673" i="7"/>
  <c r="G673" i="7" s="1"/>
  <c r="F672" i="7"/>
  <c r="G672" i="7" s="1"/>
  <c r="F671" i="7"/>
  <c r="G671" i="7" s="1"/>
  <c r="F670" i="7"/>
  <c r="G670" i="7" s="1"/>
  <c r="F669" i="7"/>
  <c r="G669" i="7" s="1"/>
  <c r="F561" i="7"/>
  <c r="G561" i="7" s="1"/>
  <c r="F560" i="7"/>
  <c r="G560" i="7" s="1"/>
  <c r="F559" i="7"/>
  <c r="G559" i="7" s="1"/>
  <c r="F266" i="7"/>
  <c r="G266" i="7" s="1"/>
  <c r="F264" i="7"/>
  <c r="G264" i="7" s="1"/>
  <c r="F262" i="7"/>
  <c r="G262" i="7" s="1"/>
  <c r="F259" i="7"/>
  <c r="G259" i="7" s="1"/>
  <c r="F256" i="7"/>
  <c r="G256" i="7" s="1"/>
  <c r="F253" i="7"/>
  <c r="G253" i="7" s="1"/>
  <c r="F250" i="7"/>
  <c r="G250" i="7" s="1"/>
  <c r="F247" i="7"/>
  <c r="G247" i="7" s="1"/>
  <c r="F244" i="7"/>
  <c r="G244" i="7" s="1"/>
  <c r="F241" i="7"/>
  <c r="G241" i="7" s="1"/>
  <c r="F238" i="7"/>
  <c r="G238" i="7" s="1"/>
  <c r="F237" i="7"/>
  <c r="G237" i="7" s="1"/>
  <c r="F234" i="7"/>
  <c r="G234" i="7" s="1"/>
  <c r="F232" i="7"/>
  <c r="G232" i="7" s="1"/>
  <c r="F229" i="7"/>
  <c r="G229" i="7" s="1"/>
  <c r="F226" i="7"/>
  <c r="G226" i="7" s="1"/>
  <c r="F223" i="7"/>
  <c r="G223" i="7" s="1"/>
  <c r="F220" i="7"/>
  <c r="G220" i="7" s="1"/>
  <c r="F217" i="7"/>
  <c r="G217" i="7" s="1"/>
  <c r="F215" i="7"/>
  <c r="G215" i="7" s="1"/>
  <c r="F213" i="7"/>
  <c r="G213" i="7" s="1"/>
  <c r="F210" i="7"/>
  <c r="G210" i="7" s="1"/>
  <c r="F207" i="7"/>
  <c r="G207" i="7" s="1"/>
  <c r="F205" i="7"/>
  <c r="G205" i="7" s="1"/>
  <c r="F204" i="7"/>
  <c r="G204" i="7" s="1"/>
  <c r="F199" i="7"/>
  <c r="G199" i="7" s="1"/>
  <c r="F198" i="7"/>
  <c r="G198" i="7" s="1"/>
  <c r="F196" i="7"/>
  <c r="G196" i="7" s="1"/>
  <c r="F194" i="7"/>
  <c r="G194" i="7" s="1"/>
  <c r="F85" i="7"/>
  <c r="G85" i="7" s="1"/>
  <c r="F668" i="7"/>
  <c r="G668" i="7" s="1"/>
  <c r="F667" i="7"/>
  <c r="G667" i="7" s="1"/>
  <c r="F666" i="7"/>
  <c r="G666" i="7" s="1"/>
  <c r="F665" i="7"/>
  <c r="G665" i="7" s="1"/>
  <c r="F664" i="7"/>
  <c r="G664" i="7" s="1"/>
  <c r="F663" i="7"/>
  <c r="G663" i="7" s="1"/>
  <c r="F662" i="7"/>
  <c r="G662" i="7" s="1"/>
  <c r="F661" i="7"/>
  <c r="G661" i="7" s="1"/>
  <c r="F660" i="7"/>
  <c r="G660" i="7" s="1"/>
  <c r="F659" i="7"/>
  <c r="G659" i="7" s="1"/>
  <c r="F658" i="7"/>
  <c r="G658" i="7" s="1"/>
  <c r="F657" i="7"/>
  <c r="G657" i="7" s="1"/>
  <c r="F656" i="7"/>
  <c r="G656" i="7" s="1"/>
  <c r="F655" i="7"/>
  <c r="G655" i="7" s="1"/>
  <c r="F654" i="7"/>
  <c r="G654" i="7" s="1"/>
  <c r="F653" i="7"/>
  <c r="G653" i="7" s="1"/>
  <c r="F652" i="7"/>
  <c r="G652" i="7" s="1"/>
  <c r="F651" i="7"/>
  <c r="G651" i="7" s="1"/>
  <c r="F565" i="7"/>
  <c r="G565" i="7" s="1"/>
  <c r="F564" i="7"/>
  <c r="G564" i="7" s="1"/>
  <c r="F563" i="7"/>
  <c r="G563" i="7" s="1"/>
  <c r="F562" i="7"/>
  <c r="G562" i="7" s="1"/>
  <c r="F558" i="7"/>
  <c r="G558" i="7" s="1"/>
  <c r="F557" i="7"/>
  <c r="G557" i="7" s="1"/>
  <c r="F261" i="7"/>
  <c r="G261" i="7" s="1"/>
  <c r="F258" i="7"/>
  <c r="G258" i="7" s="1"/>
  <c r="F255" i="7"/>
  <c r="G255" i="7" s="1"/>
  <c r="F251" i="7"/>
  <c r="G251" i="7" s="1"/>
  <c r="F248" i="7"/>
  <c r="G248" i="7" s="1"/>
  <c r="F245" i="7"/>
  <c r="G245" i="7" s="1"/>
  <c r="F242" i="7"/>
  <c r="G242" i="7" s="1"/>
  <c r="F239" i="7"/>
  <c r="G239" i="7" s="1"/>
  <c r="F235" i="7"/>
  <c r="G235" i="7" s="1"/>
  <c r="F231" i="7"/>
  <c r="G231" i="7" s="1"/>
  <c r="F228" i="7"/>
  <c r="G228" i="7" s="1"/>
  <c r="F225" i="7"/>
  <c r="G225" i="7" s="1"/>
  <c r="F222" i="7"/>
  <c r="G222" i="7" s="1"/>
  <c r="F219" i="7"/>
  <c r="G219" i="7" s="1"/>
  <c r="F216" i="7"/>
  <c r="G216" i="7" s="1"/>
  <c r="F212" i="7"/>
  <c r="G212" i="7" s="1"/>
  <c r="F209" i="7"/>
  <c r="G209" i="7" s="1"/>
  <c r="F83" i="7"/>
  <c r="G83" i="7" s="1"/>
  <c r="F3" i="7"/>
  <c r="G3" i="7" s="1"/>
  <c r="F556" i="7"/>
  <c r="G556" i="7" s="1"/>
  <c r="F555" i="7"/>
  <c r="G555" i="7" s="1"/>
  <c r="F554" i="7"/>
  <c r="G554" i="7" s="1"/>
  <c r="F553" i="7"/>
  <c r="G553" i="7" s="1"/>
  <c r="F552" i="7"/>
  <c r="G552" i="7" s="1"/>
  <c r="F551" i="7"/>
  <c r="G551" i="7" s="1"/>
  <c r="F550" i="7"/>
  <c r="G550" i="7" s="1"/>
  <c r="F549" i="7"/>
  <c r="G549" i="7" s="1"/>
  <c r="F548" i="7"/>
  <c r="G548" i="7" s="1"/>
  <c r="F547" i="7"/>
  <c r="G547" i="7" s="1"/>
  <c r="F546" i="7"/>
  <c r="G546" i="7" s="1"/>
  <c r="F545" i="7"/>
  <c r="G545" i="7" s="1"/>
  <c r="F544" i="7"/>
  <c r="G544" i="7" s="1"/>
  <c r="F543" i="7"/>
  <c r="G543" i="7" s="1"/>
  <c r="F542" i="7"/>
  <c r="G542" i="7" s="1"/>
  <c r="F541" i="7"/>
  <c r="G541" i="7" s="1"/>
  <c r="F540" i="7"/>
  <c r="G540" i="7" s="1"/>
  <c r="F539" i="7"/>
  <c r="G539" i="7" s="1"/>
  <c r="F538" i="7"/>
  <c r="G538" i="7" s="1"/>
  <c r="F537" i="7"/>
  <c r="G537" i="7" s="1"/>
  <c r="F536" i="7"/>
  <c r="G536" i="7" s="1"/>
  <c r="F310" i="7"/>
  <c r="G310" i="7" s="1"/>
  <c r="F309" i="7"/>
  <c r="G309" i="7" s="1"/>
  <c r="F308" i="7"/>
  <c r="G308" i="7" s="1"/>
  <c r="F307" i="7"/>
  <c r="G307" i="7" s="1"/>
  <c r="F306" i="7"/>
  <c r="G306" i="7" s="1"/>
  <c r="F305" i="7"/>
  <c r="G305" i="7" s="1"/>
  <c r="F286" i="7"/>
  <c r="G286" i="7" s="1"/>
  <c r="F284" i="7"/>
  <c r="G284" i="7" s="1"/>
  <c r="F276" i="7"/>
  <c r="G276" i="7" s="1"/>
  <c r="F275" i="7"/>
  <c r="G275" i="7" s="1"/>
  <c r="F273" i="7"/>
  <c r="G273" i="7" s="1"/>
  <c r="F4" i="7"/>
  <c r="G4" i="7" s="1"/>
  <c r="F2" i="7"/>
  <c r="G2" i="7" s="1"/>
  <c r="F316" i="7"/>
  <c r="G316" i="7" s="1"/>
  <c r="F315" i="7"/>
  <c r="G315" i="7" s="1"/>
  <c r="F314" i="7"/>
  <c r="G314" i="7" s="1"/>
  <c r="F313" i="7"/>
  <c r="G313" i="7" s="1"/>
  <c r="F312" i="7"/>
  <c r="G312" i="7" s="1"/>
  <c r="F311" i="7"/>
  <c r="G311" i="7" s="1"/>
  <c r="F285" i="7"/>
  <c r="G285" i="7" s="1"/>
  <c r="F283" i="7"/>
  <c r="G283" i="7" s="1"/>
  <c r="F282" i="7"/>
  <c r="G282" i="7" s="1"/>
  <c r="F281" i="7"/>
  <c r="G281" i="7" s="1"/>
  <c r="F280" i="7"/>
  <c r="G280" i="7" s="1"/>
  <c r="F279" i="7"/>
  <c r="G279" i="7" s="1"/>
  <c r="F278" i="7"/>
  <c r="G278" i="7" s="1"/>
  <c r="F277" i="7"/>
  <c r="G277" i="7" s="1"/>
  <c r="F274" i="7"/>
  <c r="G274" i="7" s="1"/>
  <c r="F272" i="7"/>
  <c r="G272" i="7" s="1"/>
  <c r="F271" i="7"/>
  <c r="G271" i="7" s="1"/>
  <c r="F270" i="7"/>
  <c r="G270" i="7" s="1"/>
  <c r="F269" i="7"/>
  <c r="G269" i="7" s="1"/>
  <c r="F268" i="7"/>
  <c r="G268" i="7" s="1"/>
  <c r="J38" i="8"/>
  <c r="U38" i="8" s="1"/>
  <c r="Y38" i="8" s="1"/>
  <c r="Z38" i="8" s="1"/>
  <c r="F265" i="7"/>
  <c r="G265" i="7" s="1"/>
  <c r="F263" i="7"/>
  <c r="G263" i="7" s="1"/>
  <c r="F260" i="7"/>
  <c r="G260" i="7" s="1"/>
  <c r="F257" i="7"/>
  <c r="G257" i="7" s="1"/>
  <c r="F254" i="7"/>
  <c r="G254" i="7" s="1"/>
  <c r="F252" i="7"/>
  <c r="G252" i="7" s="1"/>
  <c r="F249" i="7"/>
  <c r="G249" i="7" s="1"/>
  <c r="F246" i="7"/>
  <c r="G246" i="7" s="1"/>
  <c r="F243" i="7"/>
  <c r="G243" i="7" s="1"/>
  <c r="F240" i="7"/>
  <c r="G240" i="7" s="1"/>
  <c r="F236" i="7"/>
  <c r="G236" i="7" s="1"/>
  <c r="F233" i="7"/>
  <c r="G233" i="7" s="1"/>
  <c r="F230" i="7"/>
  <c r="G230" i="7" s="1"/>
  <c r="F227" i="7"/>
  <c r="G227" i="7" s="1"/>
  <c r="F224" i="7"/>
  <c r="G224" i="7" s="1"/>
  <c r="F221" i="7"/>
  <c r="G221" i="7" s="1"/>
  <c r="F218" i="7"/>
  <c r="G218" i="7" s="1"/>
  <c r="F214" i="7"/>
  <c r="G214" i="7" s="1"/>
  <c r="F211" i="7"/>
  <c r="G211" i="7" s="1"/>
  <c r="F208" i="7"/>
  <c r="G208" i="7" s="1"/>
  <c r="F206" i="7"/>
  <c r="G206" i="7" s="1"/>
  <c r="F203" i="7"/>
  <c r="G203" i="7" s="1"/>
  <c r="F202" i="7"/>
  <c r="G202" i="7" s="1"/>
  <c r="F201" i="7"/>
  <c r="G201" i="7" s="1"/>
  <c r="F200" i="7"/>
  <c r="G200" i="7" s="1"/>
  <c r="F267" i="7"/>
  <c r="G267" i="7" s="1"/>
  <c r="F195" i="7"/>
  <c r="G195" i="7" s="1"/>
  <c r="F193" i="7"/>
  <c r="G193" i="7" s="1"/>
  <c r="F192" i="7"/>
  <c r="G192" i="7" s="1"/>
  <c r="F191" i="7"/>
  <c r="G191" i="7" s="1"/>
  <c r="F190" i="7"/>
  <c r="G190" i="7" s="1"/>
  <c r="F86" i="7"/>
  <c r="G86" i="7" s="1"/>
  <c r="F84" i="7"/>
  <c r="G84" i="7" s="1"/>
  <c r="F82" i="7"/>
  <c r="G82" i="7" s="1"/>
  <c r="F81" i="7"/>
  <c r="G81" i="7" s="1"/>
  <c r="F80" i="7"/>
  <c r="G80" i="7" s="1"/>
  <c r="F79" i="7"/>
  <c r="G79" i="7" s="1"/>
  <c r="F78" i="7"/>
  <c r="G78" i="7" s="1"/>
  <c r="F77" i="7"/>
  <c r="G77" i="7" s="1"/>
  <c r="F76" i="7"/>
  <c r="G76" i="7" s="1"/>
  <c r="F75" i="7"/>
  <c r="G75" i="7" s="1"/>
  <c r="C10" i="4"/>
  <c r="D10" i="4" s="1"/>
  <c r="O9" i="4"/>
  <c r="Q9" i="4" s="1"/>
  <c r="N9" i="4"/>
  <c r="J9" i="4"/>
  <c r="I9" i="4"/>
  <c r="F9" i="4"/>
  <c r="H9" i="4" s="1"/>
  <c r="E9" i="4"/>
  <c r="G9" i="4" s="1"/>
  <c r="C9" i="4"/>
  <c r="D9" i="4" s="1"/>
  <c r="O8" i="4"/>
  <c r="Q8" i="4" s="1"/>
  <c r="N8" i="4"/>
  <c r="F197" i="7"/>
  <c r="G197" i="7" s="1"/>
  <c r="I5" i="6"/>
  <c r="H5" i="6"/>
  <c r="G5" i="6"/>
  <c r="F5" i="6"/>
  <c r="E5" i="6"/>
  <c r="D5" i="6"/>
  <c r="E4" i="6"/>
  <c r="D4" i="6"/>
  <c r="F4" i="6"/>
  <c r="I4" i="6"/>
  <c r="H4" i="6"/>
  <c r="G4" i="6"/>
  <c r="I3" i="6"/>
  <c r="H3" i="6"/>
  <c r="G3" i="6"/>
  <c r="E3" i="6"/>
  <c r="D3" i="6"/>
  <c r="F3" i="6"/>
  <c r="G2" i="6"/>
  <c r="H2" i="6"/>
  <c r="I2" i="6"/>
  <c r="D2" i="6"/>
  <c r="E2" i="6"/>
  <c r="F2" i="6"/>
  <c r="P38" i="3"/>
  <c r="V38" i="3"/>
  <c r="W38" i="3" s="1"/>
  <c r="P37" i="3"/>
  <c r="V37" i="3"/>
  <c r="W37" i="3" s="1"/>
  <c r="P36" i="3"/>
  <c r="V36" i="3"/>
  <c r="P35" i="3"/>
  <c r="V35" i="3"/>
  <c r="W35" i="3" s="1"/>
  <c r="P34" i="3"/>
  <c r="V34" i="3"/>
  <c r="W34" i="3" s="1"/>
  <c r="V33" i="3"/>
  <c r="P33" i="3"/>
  <c r="V32" i="3"/>
  <c r="W32" i="3" s="1"/>
  <c r="P32" i="3"/>
  <c r="V31" i="3"/>
  <c r="W31" i="3" s="1"/>
  <c r="P31" i="3"/>
  <c r="P30" i="3"/>
  <c r="V30" i="3"/>
  <c r="V29" i="3"/>
  <c r="W29" i="3" s="1"/>
  <c r="P29" i="3"/>
  <c r="P28" i="3"/>
  <c r="V28" i="3"/>
  <c r="W28" i="3" s="1"/>
  <c r="P27" i="3"/>
  <c r="V27" i="3"/>
  <c r="P26" i="3"/>
  <c r="V26" i="3"/>
  <c r="W26" i="3" s="1"/>
  <c r="P25" i="3"/>
  <c r="V25" i="3"/>
  <c r="W25" i="3" s="1"/>
  <c r="P24" i="3"/>
  <c r="V24" i="3"/>
  <c r="F529" i="7"/>
  <c r="G529" i="7" s="1"/>
  <c r="F57" i="7"/>
  <c r="G57" i="7" s="1"/>
  <c r="F528" i="7"/>
  <c r="G528" i="7" s="1"/>
  <c r="F56" i="7"/>
  <c r="G56" i="7" s="1"/>
  <c r="F527" i="7"/>
  <c r="G527" i="7" s="1"/>
  <c r="F55" i="7"/>
  <c r="G55" i="7" s="1"/>
  <c r="F526" i="7"/>
  <c r="G526" i="7" s="1"/>
  <c r="F54" i="7"/>
  <c r="G54" i="7" s="1"/>
  <c r="F525" i="7"/>
  <c r="G525" i="7" s="1"/>
  <c r="F53" i="7"/>
  <c r="G53" i="7" s="1"/>
  <c r="F524" i="7"/>
  <c r="G524" i="7" s="1"/>
  <c r="F52" i="7"/>
  <c r="G52" i="7" s="1"/>
  <c r="F523" i="7"/>
  <c r="G523" i="7" s="1"/>
  <c r="F51" i="7"/>
  <c r="G51" i="7" s="1"/>
  <c r="F522" i="7"/>
  <c r="G522" i="7" s="1"/>
  <c r="F50" i="7"/>
  <c r="G50" i="7" s="1"/>
  <c r="F521" i="7"/>
  <c r="G521" i="7" s="1"/>
  <c r="F49" i="7"/>
  <c r="G49" i="7" s="1"/>
  <c r="F520" i="7"/>
  <c r="G520" i="7" s="1"/>
  <c r="F48" i="7"/>
  <c r="G48" i="7" s="1"/>
  <c r="F519" i="7"/>
  <c r="G519" i="7" s="1"/>
  <c r="F47" i="7"/>
  <c r="G47" i="7" s="1"/>
  <c r="F518" i="7"/>
  <c r="G518" i="7" s="1"/>
  <c r="F46" i="7"/>
  <c r="G46" i="7" s="1"/>
  <c r="F517" i="7"/>
  <c r="G517" i="7" s="1"/>
  <c r="F45" i="7"/>
  <c r="G45" i="7" s="1"/>
  <c r="F516" i="7"/>
  <c r="G516" i="7" s="1"/>
  <c r="F44" i="7"/>
  <c r="G44" i="7" s="1"/>
  <c r="F515" i="7"/>
  <c r="G515" i="7" s="1"/>
  <c r="F43" i="7"/>
  <c r="G43" i="7" s="1"/>
  <c r="F514" i="7"/>
  <c r="G514" i="7" s="1"/>
  <c r="F42" i="7"/>
  <c r="G42" i="7" s="1"/>
  <c r="F513" i="7"/>
  <c r="G513" i="7" s="1"/>
  <c r="F41" i="7"/>
  <c r="G41" i="7" s="1"/>
  <c r="F512" i="7"/>
  <c r="G512" i="7" s="1"/>
  <c r="F40" i="7"/>
  <c r="G40" i="7" s="1"/>
  <c r="F511" i="7"/>
  <c r="G511" i="7" s="1"/>
  <c r="F39" i="7"/>
  <c r="G39" i="7" s="1"/>
  <c r="F510" i="7"/>
  <c r="G510" i="7" s="1"/>
  <c r="F38" i="7"/>
  <c r="G38" i="7" s="1"/>
  <c r="F509" i="7"/>
  <c r="G509" i="7" s="1"/>
  <c r="F37" i="7"/>
  <c r="G37" i="7" s="1"/>
  <c r="F508" i="7"/>
  <c r="G508" i="7" s="1"/>
  <c r="F36" i="7"/>
  <c r="G36" i="7" s="1"/>
  <c r="F507" i="7"/>
  <c r="G507" i="7" s="1"/>
  <c r="F35" i="7"/>
  <c r="G35" i="7" s="1"/>
  <c r="F506" i="7"/>
  <c r="G506" i="7" s="1"/>
  <c r="F34" i="7"/>
  <c r="G34" i="7" s="1"/>
  <c r="F505" i="7"/>
  <c r="G505" i="7" s="1"/>
  <c r="F33" i="7"/>
  <c r="G33" i="7" s="1"/>
  <c r="F504" i="7"/>
  <c r="G504" i="7" s="1"/>
  <c r="F32" i="7"/>
  <c r="G32" i="7" s="1"/>
  <c r="F503" i="7"/>
  <c r="G503" i="7" s="1"/>
  <c r="F31" i="7"/>
  <c r="G31" i="7" s="1"/>
  <c r="F502" i="7"/>
  <c r="G502" i="7" s="1"/>
  <c r="F30" i="7"/>
  <c r="G30" i="7" s="1"/>
  <c r="F501" i="7"/>
  <c r="G501" i="7" s="1"/>
  <c r="F29" i="7"/>
  <c r="G29" i="7" s="1"/>
  <c r="F500" i="7"/>
  <c r="G500" i="7" s="1"/>
  <c r="F28" i="7"/>
  <c r="G28" i="7" s="1"/>
  <c r="F499" i="7"/>
  <c r="G499" i="7" s="1"/>
  <c r="F27" i="7"/>
  <c r="G27" i="7" s="1"/>
  <c r="F498" i="7"/>
  <c r="G498" i="7" s="1"/>
  <c r="F26" i="7"/>
  <c r="G26" i="7" s="1"/>
  <c r="F497" i="7"/>
  <c r="G497" i="7" s="1"/>
  <c r="F25" i="7"/>
  <c r="G25" i="7" s="1"/>
  <c r="F496" i="7"/>
  <c r="G496" i="7" s="1"/>
  <c r="F24" i="7"/>
  <c r="G24" i="7" s="1"/>
  <c r="F495" i="7"/>
  <c r="G495" i="7" s="1"/>
  <c r="F23" i="7"/>
  <c r="G23" i="7" s="1"/>
  <c r="F494" i="7"/>
  <c r="G494" i="7" s="1"/>
  <c r="F22" i="7"/>
  <c r="G22" i="7" s="1"/>
  <c r="F493" i="7"/>
  <c r="G493" i="7" s="1"/>
  <c r="F21" i="7"/>
  <c r="G21" i="7" s="1"/>
  <c r="F492" i="7"/>
  <c r="G492" i="7" s="1"/>
  <c r="F20" i="7"/>
  <c r="G20" i="7" s="1"/>
  <c r="F491" i="7"/>
  <c r="G491" i="7" s="1"/>
  <c r="F19" i="7"/>
  <c r="G19" i="7" s="1"/>
  <c r="F490" i="7"/>
  <c r="G490" i="7" s="1"/>
  <c r="F18" i="7"/>
  <c r="G18" i="7" s="1"/>
  <c r="F489" i="7"/>
  <c r="G489" i="7" s="1"/>
  <c r="F17" i="7"/>
  <c r="G17" i="7" s="1"/>
  <c r="F488" i="7"/>
  <c r="G488" i="7" s="1"/>
  <c r="F16" i="7"/>
  <c r="G16" i="7" s="1"/>
  <c r="F487" i="7"/>
  <c r="G487" i="7" s="1"/>
  <c r="F15" i="7"/>
  <c r="G15" i="7" s="1"/>
  <c r="F486" i="7"/>
  <c r="G486" i="7" s="1"/>
  <c r="F14" i="7"/>
  <c r="G14" i="7" s="1"/>
  <c r="F485" i="7"/>
  <c r="G485" i="7" s="1"/>
  <c r="F13" i="7"/>
  <c r="G13" i="7" s="1"/>
  <c r="F484" i="7"/>
  <c r="G484" i="7" s="1"/>
  <c r="F12" i="7"/>
  <c r="G12" i="7" s="1"/>
  <c r="F483" i="7"/>
  <c r="G483" i="7" s="1"/>
  <c r="F11" i="7"/>
  <c r="G11" i="7" s="1"/>
  <c r="F482" i="7"/>
  <c r="G482" i="7" s="1"/>
  <c r="F10" i="7"/>
  <c r="G10" i="7" s="1"/>
  <c r="F481" i="7"/>
  <c r="G481" i="7" s="1"/>
  <c r="F9" i="7"/>
  <c r="G9" i="7" s="1"/>
  <c r="F480" i="7"/>
  <c r="G480" i="7" s="1"/>
  <c r="F8" i="7"/>
  <c r="G8" i="7" s="1"/>
  <c r="F479" i="7"/>
  <c r="G479" i="7" s="1"/>
  <c r="F7" i="7"/>
  <c r="G7" i="7" s="1"/>
  <c r="F478" i="7"/>
  <c r="G478" i="7" s="1"/>
  <c r="F6" i="7"/>
  <c r="G6" i="7" s="1"/>
  <c r="F477" i="7"/>
  <c r="G477" i="7" s="1"/>
  <c r="F5" i="7"/>
  <c r="G5" i="7" s="1"/>
  <c r="E30" i="4"/>
  <c r="G30" i="4" s="1"/>
  <c r="C30" i="4"/>
  <c r="D30" i="4" s="1"/>
  <c r="F476" i="7"/>
  <c r="G476" i="7" s="1"/>
  <c r="O29" i="4"/>
  <c r="Q29" i="4" s="1"/>
  <c r="F475" i="7"/>
  <c r="G475" i="7" s="1"/>
  <c r="J29" i="4"/>
  <c r="I29" i="4"/>
  <c r="F29" i="4"/>
  <c r="H29" i="4" s="1"/>
  <c r="E29" i="4"/>
  <c r="G29" i="4" s="1"/>
  <c r="C29" i="4"/>
  <c r="D29" i="4" s="1"/>
  <c r="F474" i="7"/>
  <c r="G474" i="7" s="1"/>
  <c r="O28" i="4"/>
  <c r="Q28" i="4" s="1"/>
  <c r="N28" i="4"/>
  <c r="F473" i="7"/>
  <c r="G473" i="7" s="1"/>
  <c r="J28" i="4"/>
  <c r="I28" i="4"/>
  <c r="F28" i="4"/>
  <c r="H28" i="4" s="1"/>
  <c r="E28" i="4"/>
  <c r="G28" i="4" s="1"/>
  <c r="C28" i="4"/>
  <c r="D28" i="4" s="1"/>
  <c r="F472" i="7"/>
  <c r="G472" i="7" s="1"/>
  <c r="O27" i="4"/>
  <c r="Q27" i="4" s="1"/>
  <c r="N27" i="4"/>
  <c r="F471" i="7"/>
  <c r="G471" i="7" s="1"/>
  <c r="J27" i="4"/>
  <c r="I27" i="4"/>
  <c r="F27" i="4"/>
  <c r="H27" i="4" s="1"/>
  <c r="E27" i="4"/>
  <c r="G27" i="4" s="1"/>
  <c r="C27" i="4"/>
  <c r="D27" i="4" s="1"/>
  <c r="F470" i="7"/>
  <c r="G470" i="7" s="1"/>
  <c r="O26" i="4"/>
  <c r="Q26" i="4" s="1"/>
  <c r="N26" i="4"/>
  <c r="F469" i="7"/>
  <c r="G469" i="7" s="1"/>
  <c r="J26" i="4"/>
  <c r="I26" i="4"/>
  <c r="F26" i="4"/>
  <c r="H26" i="4" s="1"/>
  <c r="E26" i="4"/>
  <c r="G26" i="4" s="1"/>
  <c r="C26" i="4"/>
  <c r="D26" i="4" s="1"/>
  <c r="F468" i="7"/>
  <c r="G468" i="7" s="1"/>
  <c r="O25" i="4"/>
  <c r="Q25" i="4" s="1"/>
  <c r="N25" i="4"/>
  <c r="F467" i="7"/>
  <c r="G467" i="7" s="1"/>
  <c r="J25" i="4"/>
  <c r="I25" i="4"/>
  <c r="F25" i="4"/>
  <c r="H25" i="4" s="1"/>
  <c r="E25" i="4"/>
  <c r="G25" i="4" s="1"/>
  <c r="C25" i="4"/>
  <c r="D25" i="4" s="1"/>
  <c r="F466" i="7"/>
  <c r="G466" i="7" s="1"/>
  <c r="O24" i="4"/>
  <c r="Q24" i="4" s="1"/>
  <c r="N24" i="4"/>
  <c r="F465" i="7"/>
  <c r="G465" i="7" s="1"/>
  <c r="J24" i="4"/>
  <c r="I24" i="4"/>
  <c r="F24" i="4"/>
  <c r="H24" i="4" s="1"/>
  <c r="E24" i="4"/>
  <c r="G24" i="4" s="1"/>
  <c r="C24" i="4"/>
  <c r="D24" i="4" s="1"/>
  <c r="F464" i="7"/>
  <c r="G464" i="7" s="1"/>
  <c r="O23" i="4"/>
  <c r="Q23" i="4" s="1"/>
  <c r="N23" i="4"/>
  <c r="F463" i="7"/>
  <c r="G463" i="7" s="1"/>
  <c r="J23" i="4"/>
  <c r="I23" i="4"/>
  <c r="F23" i="4"/>
  <c r="H23" i="4" s="1"/>
  <c r="E23" i="4"/>
  <c r="G23" i="4" s="1"/>
  <c r="C23" i="4"/>
  <c r="D23" i="4" s="1"/>
  <c r="F462" i="7"/>
  <c r="G462" i="7" s="1"/>
  <c r="O22" i="4"/>
  <c r="Q22" i="4" s="1"/>
  <c r="N22" i="4"/>
  <c r="F461" i="7"/>
  <c r="G461" i="7" s="1"/>
  <c r="F460" i="7"/>
  <c r="G460" i="7" s="1"/>
  <c r="F459" i="7"/>
  <c r="G459" i="7" s="1"/>
  <c r="F458" i="7"/>
  <c r="G458" i="7" s="1"/>
  <c r="F457" i="7"/>
  <c r="G457" i="7" s="1"/>
  <c r="F456" i="7"/>
  <c r="G456" i="7" s="1"/>
  <c r="F455" i="7"/>
  <c r="G455" i="7" s="1"/>
  <c r="F454" i="7"/>
  <c r="G454" i="7" s="1"/>
  <c r="F453" i="7"/>
  <c r="G453" i="7" s="1"/>
  <c r="F452" i="7"/>
  <c r="G452" i="7" s="1"/>
  <c r="F451" i="7"/>
  <c r="G451" i="7" s="1"/>
  <c r="F450" i="7"/>
  <c r="G450" i="7" s="1"/>
  <c r="F449" i="7"/>
  <c r="G449" i="7" s="1"/>
  <c r="F448" i="7"/>
  <c r="G448" i="7" s="1"/>
  <c r="F447" i="7"/>
  <c r="G447" i="7" s="1"/>
  <c r="F446" i="7"/>
  <c r="G446" i="7" s="1"/>
  <c r="F445" i="7"/>
  <c r="G445" i="7" s="1"/>
  <c r="F444" i="7"/>
  <c r="G444" i="7" s="1"/>
  <c r="F443" i="7"/>
  <c r="G443" i="7" s="1"/>
  <c r="F442" i="7"/>
  <c r="G442" i="7" s="1"/>
  <c r="F441" i="7"/>
  <c r="G441" i="7" s="1"/>
  <c r="F440" i="7"/>
  <c r="G440" i="7" s="1"/>
  <c r="F439" i="7"/>
  <c r="G439" i="7" s="1"/>
  <c r="F438" i="7"/>
  <c r="G438" i="7" s="1"/>
  <c r="F437" i="7"/>
  <c r="G437" i="7" s="1"/>
  <c r="F436" i="7"/>
  <c r="G436" i="7" s="1"/>
  <c r="F435" i="7"/>
  <c r="G435" i="7" s="1"/>
  <c r="F434" i="7"/>
  <c r="G434" i="7" s="1"/>
  <c r="F433" i="7"/>
  <c r="G433" i="7" s="1"/>
  <c r="F432" i="7"/>
  <c r="G432" i="7" s="1"/>
  <c r="F431" i="7"/>
  <c r="G431" i="7" s="1"/>
  <c r="F430" i="7"/>
  <c r="G430" i="7" s="1"/>
  <c r="F429" i="7"/>
  <c r="G429" i="7" s="1"/>
  <c r="F428" i="7"/>
  <c r="G428" i="7" s="1"/>
  <c r="F427" i="7"/>
  <c r="G427" i="7" s="1"/>
  <c r="F426" i="7"/>
  <c r="G426" i="7" s="1"/>
  <c r="F425" i="7"/>
  <c r="G425" i="7" s="1"/>
  <c r="F424" i="7"/>
  <c r="G424" i="7" s="1"/>
  <c r="F423" i="7"/>
  <c r="G423" i="7" s="1"/>
  <c r="F422" i="7"/>
  <c r="G422" i="7" s="1"/>
  <c r="F421" i="7"/>
  <c r="G421" i="7" s="1"/>
  <c r="F420" i="7"/>
  <c r="G420" i="7" s="1"/>
  <c r="F419" i="7"/>
  <c r="G419" i="7" s="1"/>
  <c r="F418" i="7"/>
  <c r="G418" i="7" s="1"/>
  <c r="F417" i="7"/>
  <c r="G417" i="7" s="1"/>
  <c r="F416" i="7"/>
  <c r="G416" i="7" s="1"/>
  <c r="F415" i="7"/>
  <c r="G415" i="7" s="1"/>
  <c r="F414" i="7"/>
  <c r="G414" i="7" s="1"/>
  <c r="F413" i="7"/>
  <c r="G413" i="7" s="1"/>
  <c r="F412" i="7"/>
  <c r="G412" i="7" s="1"/>
  <c r="F411" i="7"/>
  <c r="G411" i="7" s="1"/>
  <c r="F410" i="7"/>
  <c r="G410" i="7" s="1"/>
  <c r="F409" i="7"/>
  <c r="G409" i="7" s="1"/>
  <c r="F408" i="7"/>
  <c r="G408" i="7" s="1"/>
  <c r="F407" i="7"/>
  <c r="G407" i="7" s="1"/>
  <c r="F406" i="7"/>
  <c r="G406" i="7" s="1"/>
  <c r="F405" i="7"/>
  <c r="G405" i="7" s="1"/>
  <c r="F404" i="7"/>
  <c r="G404" i="7" s="1"/>
  <c r="F403" i="7"/>
  <c r="G403" i="7" s="1"/>
  <c r="F402" i="7"/>
  <c r="G402" i="7" s="1"/>
  <c r="F401" i="7"/>
  <c r="G401" i="7" s="1"/>
  <c r="F400" i="7"/>
  <c r="G400" i="7" s="1"/>
  <c r="F399" i="7"/>
  <c r="G399" i="7" s="1"/>
  <c r="F398" i="7"/>
  <c r="G398" i="7" s="1"/>
  <c r="F397" i="7"/>
  <c r="G397" i="7" s="1"/>
  <c r="F396" i="7"/>
  <c r="G396" i="7" s="1"/>
  <c r="F395" i="7"/>
  <c r="G395" i="7" s="1"/>
  <c r="F394" i="7"/>
  <c r="G394" i="7" s="1"/>
  <c r="F393" i="7"/>
  <c r="G393" i="7" s="1"/>
  <c r="F392" i="7"/>
  <c r="G392" i="7" s="1"/>
  <c r="F391" i="7"/>
  <c r="G391" i="7" s="1"/>
  <c r="F390" i="7"/>
  <c r="G390" i="7" s="1"/>
  <c r="F389" i="7"/>
  <c r="G389" i="7" s="1"/>
  <c r="F388" i="7"/>
  <c r="G388" i="7" s="1"/>
  <c r="F387" i="7"/>
  <c r="G387" i="7" s="1"/>
  <c r="F386" i="7"/>
  <c r="G386" i="7" s="1"/>
  <c r="F385" i="7"/>
  <c r="G385" i="7" s="1"/>
  <c r="F384" i="7"/>
  <c r="G384" i="7" s="1"/>
  <c r="F383" i="7"/>
  <c r="G383" i="7" s="1"/>
  <c r="F382" i="7"/>
  <c r="G382" i="7" s="1"/>
  <c r="F381" i="7"/>
  <c r="G381" i="7" s="1"/>
  <c r="F380" i="7"/>
  <c r="G380" i="7" s="1"/>
  <c r="F379" i="7"/>
  <c r="G379" i="7" s="1"/>
  <c r="F378" i="7"/>
  <c r="G378" i="7" s="1"/>
  <c r="J8" i="4"/>
  <c r="I8" i="4"/>
  <c r="F8" i="4"/>
  <c r="H8" i="4" s="1"/>
  <c r="E8" i="4"/>
  <c r="G8" i="4" s="1"/>
  <c r="C8" i="4"/>
  <c r="D8" i="4" s="1"/>
  <c r="F377" i="7"/>
  <c r="G377" i="7" s="1"/>
  <c r="O7" i="4"/>
  <c r="Q7" i="4" s="1"/>
  <c r="N7" i="4"/>
  <c r="F376" i="7"/>
  <c r="G376" i="7" s="1"/>
  <c r="J7" i="4"/>
  <c r="I7" i="4"/>
  <c r="F7" i="4"/>
  <c r="H7" i="4" s="1"/>
  <c r="E7" i="4"/>
  <c r="G7" i="4" s="1"/>
  <c r="C7" i="4"/>
  <c r="D7" i="4" s="1"/>
  <c r="F375" i="7"/>
  <c r="G375" i="7" s="1"/>
  <c r="O6" i="4"/>
  <c r="Q6" i="4" s="1"/>
  <c r="N6" i="4"/>
  <c r="F374" i="7"/>
  <c r="G374" i="7" s="1"/>
  <c r="J6" i="4"/>
  <c r="I6" i="4"/>
  <c r="F6" i="4"/>
  <c r="H6" i="4" s="1"/>
  <c r="E6" i="4"/>
  <c r="G6" i="4" s="1"/>
  <c r="C6" i="4"/>
  <c r="D6" i="4" s="1"/>
  <c r="F373" i="7"/>
  <c r="G373" i="7" s="1"/>
  <c r="O5" i="4"/>
  <c r="Q5" i="4" s="1"/>
  <c r="N5" i="4"/>
  <c r="F372" i="7"/>
  <c r="G372" i="7" s="1"/>
  <c r="J5" i="4"/>
  <c r="I5" i="4"/>
  <c r="F5" i="4"/>
  <c r="H5" i="4" s="1"/>
  <c r="E5" i="4"/>
  <c r="G5" i="4" s="1"/>
  <c r="C5" i="4"/>
  <c r="D5" i="4" s="1"/>
  <c r="F371" i="7"/>
  <c r="G371" i="7" s="1"/>
  <c r="O4" i="4"/>
  <c r="Q4" i="4" s="1"/>
  <c r="N4" i="4"/>
  <c r="F370" i="7"/>
  <c r="G370" i="7" s="1"/>
  <c r="J4" i="4"/>
  <c r="I4" i="4"/>
  <c r="F4" i="4"/>
  <c r="H4" i="4" s="1"/>
  <c r="E4" i="4"/>
  <c r="G4" i="4" s="1"/>
  <c r="C4" i="4"/>
  <c r="D4" i="4" s="1"/>
  <c r="F369" i="7"/>
  <c r="G369" i="7" s="1"/>
  <c r="O3" i="4"/>
  <c r="Q3" i="4" s="1"/>
  <c r="N3" i="4"/>
  <c r="F368" i="7"/>
  <c r="G368" i="7" s="1"/>
  <c r="J3" i="4"/>
  <c r="I3" i="4"/>
  <c r="F3" i="4"/>
  <c r="H3" i="4" s="1"/>
  <c r="E3" i="4"/>
  <c r="G3" i="4" s="1"/>
  <c r="C3" i="4"/>
  <c r="D3" i="4" s="1"/>
  <c r="F367" i="7"/>
  <c r="G367" i="7" s="1"/>
  <c r="O2" i="4"/>
  <c r="Q2" i="4" s="1"/>
  <c r="N2" i="4"/>
  <c r="F366" i="7"/>
  <c r="G366" i="7" s="1"/>
  <c r="J2" i="4"/>
  <c r="I2" i="4"/>
  <c r="F2" i="4"/>
  <c r="H2" i="4" s="1"/>
  <c r="E2" i="4"/>
  <c r="G2" i="4" s="1"/>
  <c r="C2" i="4"/>
  <c r="D2" i="4" s="1"/>
  <c r="F365" i="7"/>
  <c r="G365" i="7" s="1"/>
  <c r="F364" i="7"/>
  <c r="G364" i="7" s="1"/>
  <c r="F363" i="7"/>
  <c r="G363" i="7" s="1"/>
  <c r="F361" i="7"/>
  <c r="G361" i="7" s="1"/>
  <c r="F360" i="7"/>
  <c r="G360" i="7" s="1"/>
  <c r="F359" i="7"/>
  <c r="G359" i="7" s="1"/>
  <c r="F358" i="7"/>
  <c r="G358" i="7" s="1"/>
  <c r="F357" i="7"/>
  <c r="G357" i="7" s="1"/>
  <c r="F356" i="7"/>
  <c r="G356" i="7" s="1"/>
  <c r="F355" i="7"/>
  <c r="G355" i="7" s="1"/>
  <c r="F354" i="7"/>
  <c r="G354" i="7" s="1"/>
  <c r="F353" i="7"/>
  <c r="G353" i="7" s="1"/>
  <c r="F352" i="7"/>
  <c r="G352" i="7" s="1"/>
  <c r="F351" i="7"/>
  <c r="G351" i="7" s="1"/>
  <c r="F350" i="7"/>
  <c r="G350" i="7" s="1"/>
  <c r="F349" i="7"/>
  <c r="G349" i="7" s="1"/>
  <c r="F348" i="7"/>
  <c r="G348" i="7" s="1"/>
  <c r="F347" i="7"/>
  <c r="G347" i="7" s="1"/>
  <c r="F346" i="7"/>
  <c r="G346" i="7" s="1"/>
  <c r="F345" i="7"/>
  <c r="G345" i="7" s="1"/>
  <c r="F344" i="7"/>
  <c r="G344" i="7" s="1"/>
  <c r="F343" i="7"/>
  <c r="G343" i="7" s="1"/>
  <c r="F342" i="7"/>
  <c r="G342" i="7" s="1"/>
  <c r="F341" i="7"/>
  <c r="G341" i="7" s="1"/>
  <c r="F340" i="7"/>
  <c r="G340" i="7" s="1"/>
  <c r="F339" i="7"/>
  <c r="G339" i="7" s="1"/>
  <c r="F338" i="7"/>
  <c r="G338" i="7" s="1"/>
  <c r="F337" i="7"/>
  <c r="G337" i="7" s="1"/>
  <c r="F336" i="7"/>
  <c r="G336" i="7" s="1"/>
  <c r="F335" i="7"/>
  <c r="G335" i="7" s="1"/>
  <c r="F334" i="7"/>
  <c r="G334" i="7" s="1"/>
  <c r="F333" i="7"/>
  <c r="G333" i="7" s="1"/>
  <c r="F332" i="7"/>
  <c r="G332" i="7" s="1"/>
  <c r="F331" i="7"/>
  <c r="G331" i="7" s="1"/>
  <c r="F330" i="7"/>
  <c r="G330" i="7" s="1"/>
  <c r="F329" i="7"/>
  <c r="G329" i="7" s="1"/>
  <c r="F328" i="7"/>
  <c r="G328" i="7" s="1"/>
  <c r="F327" i="7"/>
  <c r="G327" i="7" s="1"/>
  <c r="F326" i="7"/>
  <c r="G326" i="7" s="1"/>
  <c r="F325" i="7"/>
  <c r="G325" i="7" s="1"/>
  <c r="F324" i="7"/>
  <c r="G324" i="7" s="1"/>
  <c r="F323" i="7"/>
  <c r="G323" i="7" s="1"/>
  <c r="F322" i="7"/>
  <c r="G322" i="7" s="1"/>
  <c r="F321" i="7"/>
  <c r="G321" i="7" s="1"/>
  <c r="F320" i="7"/>
  <c r="G320" i="7" s="1"/>
  <c r="F319" i="7"/>
  <c r="G319" i="7" s="1"/>
  <c r="F318" i="7"/>
  <c r="G318" i="7" s="1"/>
  <c r="F317" i="7"/>
  <c r="G317" i="7" s="1"/>
  <c r="F304" i="7"/>
  <c r="G304" i="7" s="1"/>
  <c r="F303" i="7"/>
  <c r="G303" i="7" s="1"/>
  <c r="F302" i="7"/>
  <c r="G302" i="7" s="1"/>
  <c r="F301" i="7"/>
  <c r="G301" i="7" s="1"/>
  <c r="F300" i="7"/>
  <c r="G300" i="7" s="1"/>
  <c r="F299" i="7"/>
  <c r="G299" i="7" s="1"/>
  <c r="F298" i="7"/>
  <c r="G298" i="7" s="1"/>
  <c r="F297" i="7"/>
  <c r="G297" i="7" s="1"/>
  <c r="F296" i="7"/>
  <c r="G296" i="7" s="1"/>
  <c r="F295" i="7"/>
  <c r="G295" i="7" s="1"/>
  <c r="F294" i="7"/>
  <c r="G294" i="7" s="1"/>
  <c r="F293" i="7"/>
  <c r="G293" i="7" s="1"/>
  <c r="F292" i="7"/>
  <c r="G292" i="7" s="1"/>
  <c r="F291" i="7"/>
  <c r="G291" i="7" s="1"/>
  <c r="F290" i="7"/>
  <c r="G290" i="7" s="1"/>
  <c r="F289" i="7"/>
  <c r="G289" i="7" s="1"/>
  <c r="F288" i="7"/>
  <c r="G288" i="7" s="1"/>
  <c r="F287" i="7"/>
  <c r="G287" i="7" s="1"/>
  <c r="F189" i="7"/>
  <c r="G189" i="7" s="1"/>
  <c r="F188" i="7"/>
  <c r="G188" i="7" s="1"/>
  <c r="F187" i="7"/>
  <c r="G187" i="7" s="1"/>
  <c r="F186" i="7"/>
  <c r="G186" i="7" s="1"/>
  <c r="F185" i="7"/>
  <c r="G185" i="7" s="1"/>
  <c r="F586" i="7"/>
  <c r="G586" i="7" s="1"/>
  <c r="F184" i="7"/>
  <c r="G184" i="7" s="1"/>
  <c r="G6" i="9"/>
  <c r="H6" i="9" s="1"/>
  <c r="I6" i="9" s="1"/>
  <c r="J6" i="9" s="1"/>
  <c r="K6" i="9" s="1"/>
  <c r="L6" i="9" s="1"/>
  <c r="M6" i="9" s="1"/>
  <c r="N6" i="9" s="1"/>
  <c r="O6" i="9" s="1"/>
  <c r="P6" i="9" s="1"/>
  <c r="Q6" i="9" s="1"/>
  <c r="B6" i="9" s="1"/>
  <c r="C6" i="9" s="1"/>
  <c r="F183" i="7"/>
  <c r="G183" i="7" s="1"/>
  <c r="F182" i="7"/>
  <c r="G182" i="7" s="1"/>
  <c r="G5" i="9"/>
  <c r="H5" i="9" s="1"/>
  <c r="I5" i="9" s="1"/>
  <c r="J5" i="9" s="1"/>
  <c r="K5" i="9" s="1"/>
  <c r="L5" i="9" s="1"/>
  <c r="M5" i="9" s="1"/>
  <c r="N5" i="9" s="1"/>
  <c r="O5" i="9" s="1"/>
  <c r="P5" i="9" s="1"/>
  <c r="Q5" i="9" s="1"/>
  <c r="B5" i="9" s="1"/>
  <c r="C5" i="9" s="1"/>
  <c r="F181" i="7"/>
  <c r="G181" i="7" s="1"/>
  <c r="F180" i="7"/>
  <c r="G180" i="7" s="1"/>
  <c r="G4" i="9"/>
  <c r="H4" i="9" s="1"/>
  <c r="I4" i="9" s="1"/>
  <c r="J4" i="9" s="1"/>
  <c r="K4" i="9" s="1"/>
  <c r="L4" i="9" s="1"/>
  <c r="M4" i="9" s="1"/>
  <c r="N4" i="9" s="1"/>
  <c r="O4" i="9" s="1"/>
  <c r="P4" i="9" s="1"/>
  <c r="Q4" i="9" s="1"/>
  <c r="B4" i="9" s="1"/>
  <c r="C4" i="9" s="1"/>
  <c r="F179" i="7"/>
  <c r="G179" i="7" s="1"/>
  <c r="F178" i="7"/>
  <c r="G178" i="7" s="1"/>
  <c r="G3" i="9"/>
  <c r="H3" i="9" s="1"/>
  <c r="I3" i="9" s="1"/>
  <c r="J3" i="9" s="1"/>
  <c r="K3" i="9" s="1"/>
  <c r="L3" i="9" s="1"/>
  <c r="M3" i="9" s="1"/>
  <c r="N3" i="9" s="1"/>
  <c r="O3" i="9" s="1"/>
  <c r="P3" i="9" s="1"/>
  <c r="Q3" i="9" s="1"/>
  <c r="B3" i="9" s="1"/>
  <c r="C3" i="9" s="1"/>
  <c r="F177" i="7"/>
  <c r="G177" i="7" s="1"/>
  <c r="F176" i="7"/>
  <c r="G176" i="7" s="1"/>
  <c r="G2" i="9"/>
  <c r="H2" i="9" s="1"/>
  <c r="I2" i="9" s="1"/>
  <c r="J2" i="9" s="1"/>
  <c r="K2" i="9" s="1"/>
  <c r="L2" i="9" s="1"/>
  <c r="M2" i="9" s="1"/>
  <c r="N2" i="9" s="1"/>
  <c r="O2" i="9" s="1"/>
  <c r="P2" i="9" s="1"/>
  <c r="Q2" i="9" s="1"/>
  <c r="B2" i="9" s="1"/>
  <c r="C2" i="9" s="1"/>
  <c r="F175" i="7"/>
  <c r="G175" i="7" s="1"/>
  <c r="F174" i="7"/>
  <c r="G174" i="7" s="1"/>
  <c r="J14" i="8"/>
  <c r="F173" i="7"/>
  <c r="G173" i="7" s="1"/>
  <c r="J13" i="8"/>
  <c r="F172" i="7"/>
  <c r="G172" i="7" s="1"/>
  <c r="J12" i="8"/>
  <c r="F171" i="7"/>
  <c r="G171" i="7" s="1"/>
  <c r="J11" i="8"/>
  <c r="F170" i="7"/>
  <c r="G170" i="7" s="1"/>
  <c r="J10" i="8"/>
  <c r="F169" i="7"/>
  <c r="G169" i="7" s="1"/>
  <c r="J9" i="8"/>
  <c r="F168" i="7"/>
  <c r="G168" i="7" s="1"/>
  <c r="J8" i="8"/>
  <c r="F167" i="7"/>
  <c r="G167" i="7" s="1"/>
  <c r="F362" i="7"/>
  <c r="G362" i="7" s="1"/>
  <c r="J7" i="8"/>
  <c r="F166" i="7"/>
  <c r="G166" i="7" s="1"/>
  <c r="J6" i="8"/>
  <c r="F165" i="7"/>
  <c r="G165" i="7" s="1"/>
  <c r="J5" i="8"/>
  <c r="F164" i="7"/>
  <c r="G164" i="7" s="1"/>
  <c r="J4" i="8"/>
  <c r="F163" i="7"/>
  <c r="G163" i="7" s="1"/>
  <c r="J3" i="8"/>
  <c r="F162" i="7"/>
  <c r="G162" i="7" s="1"/>
  <c r="J2" i="8"/>
  <c r="F161" i="7"/>
  <c r="G161" i="7" s="1"/>
  <c r="F687" i="7"/>
  <c r="G687" i="7" s="1"/>
  <c r="F160" i="7"/>
  <c r="G160" i="7" s="1"/>
  <c r="F686" i="7"/>
  <c r="G686" i="7" s="1"/>
  <c r="F159" i="7"/>
  <c r="G159" i="7" s="1"/>
  <c r="F685" i="7"/>
  <c r="G685" i="7" s="1"/>
  <c r="F158" i="7"/>
  <c r="G158" i="7" s="1"/>
  <c r="F684" i="7"/>
  <c r="G684" i="7" s="1"/>
  <c r="F157" i="7"/>
  <c r="G157" i="7" s="1"/>
  <c r="F683" i="7"/>
  <c r="G683" i="7" s="1"/>
  <c r="F156" i="7"/>
  <c r="G156" i="7" s="1"/>
  <c r="F682" i="7"/>
  <c r="G682" i="7" s="1"/>
  <c r="F155" i="7"/>
  <c r="G155" i="7" s="1"/>
  <c r="F681" i="7"/>
  <c r="G681" i="7" s="1"/>
  <c r="F154" i="7"/>
  <c r="G154" i="7" s="1"/>
  <c r="F680" i="7"/>
  <c r="G680" i="7" s="1"/>
  <c r="F153" i="7"/>
  <c r="G153" i="7" s="1"/>
  <c r="F679" i="7"/>
  <c r="G679" i="7" s="1"/>
  <c r="F152" i="7"/>
  <c r="G152" i="7" s="1"/>
  <c r="F678" i="7"/>
  <c r="G678" i="7" s="1"/>
  <c r="F151" i="7"/>
  <c r="G151" i="7" s="1"/>
  <c r="F677" i="7"/>
  <c r="G677" i="7" s="1"/>
  <c r="F150" i="7"/>
  <c r="G150" i="7" s="1"/>
  <c r="F676" i="7"/>
  <c r="G676" i="7" s="1"/>
  <c r="F149" i="7"/>
  <c r="G149" i="7" s="1"/>
  <c r="F675" i="7"/>
  <c r="G675" i="7" s="1"/>
  <c r="F148" i="7"/>
  <c r="G148" i="7" s="1"/>
  <c r="F650" i="7"/>
  <c r="G650" i="7" s="1"/>
  <c r="F147" i="7"/>
  <c r="G147" i="7" s="1"/>
  <c r="F649" i="7"/>
  <c r="G649" i="7" s="1"/>
  <c r="F146" i="7"/>
  <c r="G146" i="7" s="1"/>
  <c r="F648" i="7"/>
  <c r="G648" i="7" s="1"/>
  <c r="F145" i="7"/>
  <c r="G145" i="7" s="1"/>
  <c r="F647" i="7"/>
  <c r="G647" i="7" s="1"/>
  <c r="F144" i="7"/>
  <c r="G144" i="7" s="1"/>
  <c r="F646" i="7"/>
  <c r="G646" i="7" s="1"/>
  <c r="F143" i="7"/>
  <c r="G143" i="7" s="1"/>
  <c r="F645" i="7"/>
  <c r="G645" i="7" s="1"/>
  <c r="F142" i="7"/>
  <c r="G142" i="7" s="1"/>
  <c r="F644" i="7"/>
  <c r="G644" i="7" s="1"/>
  <c r="F141" i="7"/>
  <c r="G141" i="7" s="1"/>
  <c r="F643" i="7"/>
  <c r="G643" i="7" s="1"/>
  <c r="F140" i="7"/>
  <c r="G140" i="7" s="1"/>
  <c r="F642" i="7"/>
  <c r="G642" i="7" s="1"/>
  <c r="F139" i="7"/>
  <c r="G139" i="7" s="1"/>
  <c r="F641" i="7"/>
  <c r="G641" i="7" s="1"/>
  <c r="F138" i="7"/>
  <c r="G138" i="7" s="1"/>
  <c r="F640" i="7"/>
  <c r="G640" i="7" s="1"/>
  <c r="F137" i="7"/>
  <c r="G137" i="7" s="1"/>
  <c r="F639" i="7"/>
  <c r="G639" i="7" s="1"/>
  <c r="F136" i="7"/>
  <c r="G136" i="7" s="1"/>
  <c r="F638" i="7"/>
  <c r="G638" i="7" s="1"/>
  <c r="F135" i="7"/>
  <c r="G135" i="7" s="1"/>
  <c r="F637" i="7"/>
  <c r="G637" i="7" s="1"/>
  <c r="F134" i="7"/>
  <c r="G134" i="7" s="1"/>
  <c r="F636" i="7"/>
  <c r="G636" i="7" s="1"/>
  <c r="F133" i="7"/>
  <c r="G133" i="7" s="1"/>
  <c r="F635" i="7"/>
  <c r="G635" i="7" s="1"/>
  <c r="F132" i="7"/>
  <c r="G132" i="7" s="1"/>
  <c r="F634" i="7"/>
  <c r="G634" i="7" s="1"/>
  <c r="F131" i="7"/>
  <c r="G131" i="7" s="1"/>
  <c r="F633" i="7"/>
  <c r="G633" i="7" s="1"/>
  <c r="F130" i="7"/>
  <c r="G130" i="7" s="1"/>
  <c r="F632" i="7"/>
  <c r="G632" i="7" s="1"/>
  <c r="F129" i="7"/>
  <c r="G129" i="7" s="1"/>
  <c r="F631" i="7"/>
  <c r="G631" i="7" s="1"/>
  <c r="F128" i="7"/>
  <c r="G128" i="7" s="1"/>
  <c r="F630" i="7"/>
  <c r="G630" i="7" s="1"/>
  <c r="F127" i="7"/>
  <c r="G127" i="7" s="1"/>
  <c r="F629" i="7"/>
  <c r="G629" i="7" s="1"/>
  <c r="F126" i="7"/>
  <c r="G126" i="7" s="1"/>
  <c r="F628" i="7"/>
  <c r="G628" i="7" s="1"/>
  <c r="Q38" i="3"/>
  <c r="R38" i="3" s="1"/>
  <c r="F125" i="7"/>
  <c r="G125" i="7" s="1"/>
  <c r="F627" i="7"/>
  <c r="G627" i="7" s="1"/>
  <c r="F124" i="7"/>
  <c r="G124" i="7" s="1"/>
  <c r="Q37" i="3"/>
  <c r="R37" i="3" s="1"/>
  <c r="F626" i="7"/>
  <c r="G626" i="7" s="1"/>
  <c r="F123" i="7"/>
  <c r="G123" i="7" s="1"/>
  <c r="F625" i="7"/>
  <c r="G625" i="7" s="1"/>
  <c r="Q36" i="3"/>
  <c r="R36" i="3" s="1"/>
  <c r="F122" i="7"/>
  <c r="G122" i="7" s="1"/>
  <c r="F624" i="7"/>
  <c r="G624" i="7" s="1"/>
  <c r="F121" i="7"/>
  <c r="G121" i="7" s="1"/>
  <c r="Q35" i="3"/>
  <c r="R35" i="3" s="1"/>
  <c r="F623" i="7"/>
  <c r="G623" i="7" s="1"/>
  <c r="F120" i="7"/>
  <c r="G120" i="7" s="1"/>
  <c r="F622" i="7"/>
  <c r="G622" i="7" s="1"/>
  <c r="Q34" i="3"/>
  <c r="R34" i="3" s="1"/>
  <c r="F119" i="7"/>
  <c r="G119" i="7" s="1"/>
  <c r="F621" i="7"/>
  <c r="G621" i="7" s="1"/>
  <c r="F118" i="7"/>
  <c r="G118" i="7" s="1"/>
  <c r="Q33" i="3"/>
  <c r="R33" i="3" s="1"/>
  <c r="F620" i="7"/>
  <c r="G620" i="7" s="1"/>
  <c r="F117" i="7"/>
  <c r="G117" i="7" s="1"/>
  <c r="F619" i="7"/>
  <c r="G619" i="7" s="1"/>
  <c r="Q32" i="3"/>
  <c r="R32" i="3" s="1"/>
  <c r="F116" i="7"/>
  <c r="G116" i="7" s="1"/>
  <c r="F618" i="7"/>
  <c r="G618" i="7" s="1"/>
  <c r="F115" i="7"/>
  <c r="G115" i="7" s="1"/>
  <c r="Q31" i="3"/>
  <c r="R31" i="3" s="1"/>
  <c r="F617" i="7"/>
  <c r="G617" i="7" s="1"/>
  <c r="F114" i="7"/>
  <c r="G114" i="7" s="1"/>
  <c r="F616" i="7"/>
  <c r="G616" i="7" s="1"/>
  <c r="Q30" i="3"/>
  <c r="R30" i="3" s="1"/>
  <c r="F113" i="7"/>
  <c r="G113" i="7" s="1"/>
  <c r="F615" i="7"/>
  <c r="G615" i="7" s="1"/>
  <c r="F112" i="7"/>
  <c r="G112" i="7" s="1"/>
  <c r="Q29" i="3"/>
  <c r="R29" i="3" s="1"/>
  <c r="F614" i="7"/>
  <c r="G614" i="7" s="1"/>
  <c r="F111" i="7"/>
  <c r="G111" i="7" s="1"/>
  <c r="F613" i="7"/>
  <c r="G613" i="7" s="1"/>
  <c r="Q28" i="3"/>
  <c r="R28" i="3" s="1"/>
  <c r="F110" i="7"/>
  <c r="G110" i="7" s="1"/>
  <c r="F612" i="7"/>
  <c r="G612" i="7" s="1"/>
  <c r="F109" i="7"/>
  <c r="G109" i="7" s="1"/>
  <c r="Q27" i="3"/>
  <c r="R27" i="3" s="1"/>
  <c r="F611" i="7"/>
  <c r="G611" i="7" s="1"/>
  <c r="F108" i="7"/>
  <c r="G108" i="7" s="1"/>
  <c r="F610" i="7"/>
  <c r="G610" i="7" s="1"/>
  <c r="Q26" i="3"/>
  <c r="R26" i="3" s="1"/>
  <c r="F107" i="7"/>
  <c r="G107" i="7" s="1"/>
  <c r="F609" i="7"/>
  <c r="G609" i="7" s="1"/>
  <c r="F106" i="7"/>
  <c r="G106" i="7" s="1"/>
  <c r="Q25" i="3"/>
  <c r="R25" i="3" s="1"/>
  <c r="F608" i="7"/>
  <c r="G608" i="7" s="1"/>
  <c r="F105" i="7"/>
  <c r="G105" i="7" s="1"/>
  <c r="F607" i="7"/>
  <c r="G607" i="7" s="1"/>
  <c r="Q24" i="3"/>
  <c r="R24" i="3" s="1"/>
  <c r="F104" i="7"/>
  <c r="G104" i="7" s="1"/>
  <c r="F606" i="7"/>
  <c r="G606" i="7" s="1"/>
  <c r="F103" i="7"/>
  <c r="G103" i="7" s="1"/>
  <c r="F605" i="7"/>
  <c r="G605" i="7" s="1"/>
  <c r="F102" i="7"/>
  <c r="G102" i="7" s="1"/>
  <c r="F604" i="7"/>
  <c r="G604" i="7" s="1"/>
  <c r="F101" i="7"/>
  <c r="G101" i="7" s="1"/>
  <c r="F603" i="7"/>
  <c r="G603" i="7" s="1"/>
  <c r="F100" i="7"/>
  <c r="G100" i="7" s="1"/>
  <c r="F602" i="7"/>
  <c r="G602" i="7" s="1"/>
  <c r="F99" i="7"/>
  <c r="G99" i="7" s="1"/>
  <c r="F601" i="7"/>
  <c r="G601" i="7" s="1"/>
  <c r="F98" i="7"/>
  <c r="G98" i="7" s="1"/>
  <c r="F600" i="7"/>
  <c r="G600" i="7" s="1"/>
  <c r="F97" i="7"/>
  <c r="G97" i="7" s="1"/>
  <c r="F599" i="7"/>
  <c r="G599" i="7" s="1"/>
  <c r="F96" i="7"/>
  <c r="G96" i="7" s="1"/>
  <c r="F598" i="7"/>
  <c r="G598" i="7" s="1"/>
  <c r="F95" i="7"/>
  <c r="G95" i="7" s="1"/>
  <c r="F597" i="7"/>
  <c r="G597" i="7" s="1"/>
  <c r="F94" i="7"/>
  <c r="G94" i="7" s="1"/>
  <c r="F596" i="7"/>
  <c r="G596" i="7" s="1"/>
  <c r="F93" i="7"/>
  <c r="G93" i="7" s="1"/>
  <c r="F595" i="7"/>
  <c r="G595" i="7" s="1"/>
  <c r="F92" i="7"/>
  <c r="G92" i="7" s="1"/>
  <c r="F594" i="7"/>
  <c r="G594" i="7" s="1"/>
  <c r="F91" i="7"/>
  <c r="G91" i="7" s="1"/>
  <c r="F593" i="7"/>
  <c r="G593" i="7" s="1"/>
  <c r="F90" i="7"/>
  <c r="G90" i="7" s="1"/>
  <c r="F592" i="7"/>
  <c r="G592" i="7" s="1"/>
  <c r="F89" i="7"/>
  <c r="G89" i="7" s="1"/>
  <c r="F591" i="7"/>
  <c r="G591" i="7" s="1"/>
  <c r="F88" i="7"/>
  <c r="G88" i="7" s="1"/>
  <c r="F590" i="7"/>
  <c r="G590" i="7" s="1"/>
  <c r="F87" i="7"/>
  <c r="G87" i="7" s="1"/>
  <c r="F589" i="7"/>
  <c r="G589" i="7" s="1"/>
  <c r="F588" i="7"/>
  <c r="G588" i="7" s="1"/>
  <c r="F587" i="7"/>
  <c r="G587" i="7" s="1"/>
  <c r="F585" i="7"/>
  <c r="G585" i="7" s="1"/>
  <c r="F584" i="7"/>
  <c r="G584" i="7" s="1"/>
  <c r="F583" i="7"/>
  <c r="G583" i="7" s="1"/>
  <c r="F582" i="7"/>
  <c r="G582" i="7" s="1"/>
  <c r="F581" i="7"/>
  <c r="G581" i="7" s="1"/>
  <c r="F580" i="7"/>
  <c r="G580" i="7" s="1"/>
  <c r="F579" i="7"/>
  <c r="G579" i="7" s="1"/>
  <c r="F578" i="7"/>
  <c r="G578" i="7" s="1"/>
  <c r="F577" i="7"/>
  <c r="G577" i="7" s="1"/>
  <c r="F576" i="7"/>
  <c r="G576" i="7" s="1"/>
  <c r="F74" i="7"/>
  <c r="G74" i="7" s="1"/>
  <c r="F575" i="7"/>
  <c r="G575" i="7" s="1"/>
  <c r="F73" i="7"/>
  <c r="G73" i="7" s="1"/>
  <c r="F574" i="7"/>
  <c r="G574" i="7" s="1"/>
  <c r="F72" i="7"/>
  <c r="G72" i="7" s="1"/>
  <c r="F573" i="7"/>
  <c r="G573" i="7" s="1"/>
  <c r="F71" i="7"/>
  <c r="G71" i="7" s="1"/>
  <c r="F572" i="7"/>
  <c r="G572" i="7" s="1"/>
  <c r="F70" i="7"/>
  <c r="G70" i="7" s="1"/>
  <c r="F571" i="7"/>
  <c r="G571" i="7" s="1"/>
  <c r="F69" i="7"/>
  <c r="G69" i="7" s="1"/>
  <c r="F570" i="7"/>
  <c r="G570" i="7" s="1"/>
  <c r="F68" i="7"/>
  <c r="G68" i="7" s="1"/>
  <c r="F569" i="7"/>
  <c r="G569" i="7" s="1"/>
  <c r="F67" i="7"/>
  <c r="G67" i="7" s="1"/>
  <c r="F568" i="7"/>
  <c r="G568" i="7" s="1"/>
  <c r="F66" i="7"/>
  <c r="G66" i="7" s="1"/>
  <c r="F567" i="7"/>
  <c r="G567" i="7" s="1"/>
  <c r="F65" i="7"/>
  <c r="G65" i="7" s="1"/>
  <c r="F566" i="7"/>
  <c r="G566" i="7" s="1"/>
  <c r="F64" i="7"/>
  <c r="G64" i="7" s="1"/>
  <c r="F535" i="7"/>
  <c r="G535" i="7" s="1"/>
  <c r="F63" i="7"/>
  <c r="G63" i="7" s="1"/>
  <c r="F534" i="7"/>
  <c r="G534" i="7" s="1"/>
  <c r="F62" i="7"/>
  <c r="G62" i="7" s="1"/>
  <c r="F533" i="7"/>
  <c r="G533" i="7" s="1"/>
  <c r="F61" i="7"/>
  <c r="G61" i="7" s="1"/>
  <c r="F532" i="7"/>
  <c r="G532" i="7" s="1"/>
  <c r="F60" i="7"/>
  <c r="G60" i="7" s="1"/>
  <c r="F531" i="7"/>
  <c r="G531" i="7" s="1"/>
  <c r="F59" i="7"/>
  <c r="G59" i="7" s="1"/>
  <c r="F530" i="7"/>
  <c r="G530" i="7" s="1"/>
  <c r="F58" i="7"/>
  <c r="G58" i="7" s="1"/>
  <c r="R40" i="3" l="1"/>
  <c r="L4" i="7" a="1"/>
  <c r="L4" i="7" s="1"/>
  <c r="L2" i="7" a="1"/>
  <c r="L2" i="7" s="1"/>
  <c r="P40" i="3"/>
  <c r="V40" i="3"/>
  <c r="W40" i="3" s="1"/>
  <c r="R121" i="3"/>
  <c r="P121" i="3"/>
  <c r="V121" i="3"/>
  <c r="W121" i="3" s="1"/>
  <c r="R120" i="3"/>
  <c r="P120" i="3"/>
  <c r="V120" i="3"/>
  <c r="W120" i="3" s="1"/>
  <c r="P119" i="3"/>
  <c r="V119" i="3"/>
  <c r="W119" i="3" s="1"/>
  <c r="R119" i="3"/>
  <c r="R118" i="3"/>
  <c r="V118" i="3"/>
  <c r="W118" i="3" s="1"/>
  <c r="P118" i="3"/>
  <c r="V117" i="3"/>
  <c r="W117" i="3" s="1"/>
  <c r="P117" i="3"/>
  <c r="R117" i="3"/>
  <c r="V116" i="3"/>
  <c r="W116" i="3" s="1"/>
  <c r="P116" i="3"/>
  <c r="R116" i="3"/>
  <c r="R115" i="3"/>
  <c r="P115" i="3"/>
  <c r="V115" i="3"/>
  <c r="W115" i="3" s="1"/>
  <c r="P114" i="3"/>
  <c r="V114" i="3"/>
  <c r="W114" i="3" s="1"/>
  <c r="R114" i="3"/>
  <c r="R113" i="3"/>
  <c r="P113" i="3"/>
  <c r="V113" i="3"/>
  <c r="W113" i="3" s="1"/>
  <c r="P112" i="3"/>
  <c r="V112" i="3"/>
  <c r="W112" i="3" s="1"/>
  <c r="R112" i="3"/>
  <c r="V111" i="3"/>
  <c r="W111" i="3" s="1"/>
  <c r="P111" i="3"/>
  <c r="R111" i="3"/>
  <c r="P110" i="3"/>
  <c r="V110" i="3"/>
  <c r="W110" i="3" s="1"/>
  <c r="R110" i="3"/>
  <c r="P109" i="3"/>
  <c r="R109" i="3"/>
  <c r="V109" i="3"/>
  <c r="W109" i="3" s="1"/>
  <c r="P108" i="3"/>
  <c r="R108" i="3"/>
  <c r="V108" i="3"/>
  <c r="W108" i="3" s="1"/>
  <c r="P107" i="3"/>
  <c r="R107" i="3"/>
  <c r="V107" i="3"/>
  <c r="W107" i="3" s="1"/>
  <c r="L3" i="7" a="1"/>
  <c r="L3" i="7" s="1"/>
  <c r="K3" i="7"/>
  <c r="K2" i="7"/>
  <c r="P106" i="3"/>
  <c r="R106" i="3"/>
  <c r="V106" i="3"/>
  <c r="W106" i="3" s="1"/>
  <c r="P105" i="3"/>
  <c r="R105" i="3"/>
  <c r="V105" i="3"/>
  <c r="W105" i="3" s="1"/>
  <c r="P104" i="3"/>
  <c r="R104" i="3"/>
  <c r="V104" i="3"/>
  <c r="W104" i="3" s="1"/>
  <c r="P103" i="3"/>
  <c r="R103" i="3"/>
  <c r="V103" i="3"/>
  <c r="W103" i="3" s="1"/>
  <c r="P102" i="3"/>
  <c r="R102" i="3"/>
  <c r="V102" i="3"/>
  <c r="W102" i="3" s="1"/>
  <c r="P101" i="3"/>
  <c r="R101" i="3"/>
  <c r="V101" i="3"/>
  <c r="W101" i="3" s="1"/>
  <c r="P100" i="3"/>
  <c r="R100" i="3"/>
  <c r="V100" i="3"/>
  <c r="W100" i="3" s="1"/>
  <c r="P99" i="3"/>
  <c r="R99" i="3"/>
  <c r="V99" i="3"/>
  <c r="W99" i="3" s="1"/>
  <c r="P98" i="3"/>
  <c r="R98" i="3"/>
  <c r="V98" i="3"/>
  <c r="W98" i="3" s="1"/>
  <c r="P97" i="3"/>
  <c r="R97" i="3"/>
  <c r="V97" i="3"/>
  <c r="W97" i="3" s="1"/>
  <c r="P96" i="3"/>
  <c r="R96" i="3"/>
  <c r="V96" i="3"/>
  <c r="W96" i="3" s="1"/>
  <c r="P95" i="3"/>
  <c r="R95" i="3"/>
  <c r="V95" i="3"/>
  <c r="W95" i="3" s="1"/>
  <c r="R78" i="3"/>
  <c r="V78" i="3"/>
  <c r="W78" i="3" s="1"/>
  <c r="P78" i="3"/>
  <c r="P77" i="3"/>
  <c r="R77" i="3"/>
  <c r="V77" i="3"/>
  <c r="W77" i="3" s="1"/>
  <c r="R76" i="3"/>
  <c r="V76" i="3"/>
  <c r="W76" i="3" s="1"/>
  <c r="P76" i="3"/>
  <c r="P75" i="3"/>
  <c r="R75" i="3"/>
  <c r="V75" i="3"/>
  <c r="W75" i="3" s="1"/>
  <c r="P74" i="3"/>
  <c r="R74" i="3"/>
  <c r="V74" i="3"/>
  <c r="W74" i="3" s="1"/>
  <c r="P73" i="3"/>
  <c r="R73" i="3"/>
  <c r="V73" i="3"/>
  <c r="W73" i="3" s="1"/>
  <c r="P72" i="3"/>
  <c r="R72" i="3"/>
  <c r="V72" i="3"/>
  <c r="W72" i="3" s="1"/>
  <c r="P71" i="3"/>
  <c r="R71" i="3"/>
  <c r="V71" i="3"/>
  <c r="W71" i="3" s="1"/>
  <c r="P70" i="3"/>
  <c r="R70" i="3"/>
  <c r="V70" i="3"/>
  <c r="W70" i="3" s="1"/>
  <c r="P69" i="3"/>
  <c r="R69" i="3"/>
  <c r="V69" i="3"/>
  <c r="W69" i="3" s="1"/>
  <c r="P68" i="3"/>
  <c r="R68" i="3"/>
  <c r="V68" i="3"/>
  <c r="W68" i="3" s="1"/>
  <c r="P67" i="3"/>
  <c r="R67" i="3"/>
  <c r="V67" i="3"/>
  <c r="W67" i="3" s="1"/>
  <c r="P66" i="3"/>
  <c r="R66" i="3"/>
  <c r="V66" i="3"/>
  <c r="W66" i="3" s="1"/>
  <c r="P65" i="3"/>
  <c r="R65" i="3"/>
  <c r="V65" i="3"/>
  <c r="W65" i="3" s="1"/>
  <c r="P64" i="3"/>
  <c r="V64" i="3"/>
  <c r="W64" i="3" s="1"/>
  <c r="R64" i="3"/>
  <c r="P63" i="3"/>
  <c r="R63" i="3"/>
  <c r="V63" i="3"/>
  <c r="W63" i="3" s="1"/>
  <c r="P62" i="3"/>
  <c r="R62" i="3"/>
  <c r="V62" i="3"/>
  <c r="W62" i="3" s="1"/>
  <c r="P61" i="3"/>
  <c r="R61" i="3"/>
  <c r="V61" i="3"/>
  <c r="W61" i="3" s="1"/>
  <c r="R60" i="3"/>
  <c r="P60" i="3"/>
  <c r="V60" i="3"/>
  <c r="W60" i="3" s="1"/>
  <c r="V59" i="3"/>
  <c r="W59" i="3" s="1"/>
  <c r="R59" i="3"/>
  <c r="P59" i="3"/>
  <c r="V58" i="3"/>
  <c r="W58" i="3" s="1"/>
  <c r="R58" i="3"/>
  <c r="P58" i="3"/>
  <c r="P57" i="3"/>
  <c r="V57" i="3"/>
  <c r="W57" i="3" s="1"/>
  <c r="R57" i="3"/>
  <c r="V56" i="3"/>
  <c r="W56" i="3" s="1"/>
  <c r="R56" i="3"/>
  <c r="P56" i="3"/>
  <c r="V55" i="3"/>
  <c r="W55" i="3" s="1"/>
  <c r="R55" i="3"/>
  <c r="P55" i="3"/>
  <c r="R54" i="3"/>
  <c r="P54" i="3"/>
  <c r="V54" i="3"/>
  <c r="W54" i="3" s="1"/>
  <c r="R53" i="3"/>
  <c r="P53" i="3"/>
  <c r="V53" i="3"/>
  <c r="W53" i="3" s="1"/>
  <c r="V52" i="3"/>
  <c r="W52" i="3" s="1"/>
  <c r="P52" i="3"/>
  <c r="R52" i="3"/>
  <c r="P51" i="3"/>
  <c r="R51" i="3"/>
  <c r="V51" i="3"/>
  <c r="W51" i="3" s="1"/>
  <c r="V50" i="3"/>
  <c r="W50" i="3" s="1"/>
  <c r="P50" i="3"/>
  <c r="R50" i="3"/>
  <c r="P49" i="3"/>
  <c r="R49" i="3"/>
  <c r="V49" i="3"/>
  <c r="W49" i="3" s="1"/>
  <c r="P48" i="3"/>
  <c r="R48" i="3"/>
  <c r="V48" i="3"/>
  <c r="W48" i="3" s="1"/>
  <c r="P47" i="3"/>
  <c r="R47" i="3"/>
  <c r="V47" i="3"/>
  <c r="W47" i="3" s="1"/>
  <c r="P46" i="3"/>
  <c r="R46" i="3"/>
  <c r="V46" i="3"/>
  <c r="W46" i="3" s="1"/>
  <c r="P45" i="3"/>
  <c r="R45" i="3"/>
  <c r="V45" i="3"/>
  <c r="W45" i="3" s="1"/>
  <c r="R44" i="3"/>
  <c r="P44" i="3"/>
  <c r="V44" i="3"/>
  <c r="W44" i="3" s="1"/>
  <c r="P43" i="3"/>
  <c r="V43" i="3"/>
  <c r="W43" i="3" s="1"/>
  <c r="R43" i="3"/>
  <c r="P42" i="3"/>
  <c r="R42" i="3"/>
  <c r="V42" i="3"/>
  <c r="W42" i="3" s="1"/>
  <c r="P41" i="3"/>
  <c r="R41" i="3"/>
  <c r="V41" i="3"/>
  <c r="W41" i="3" s="1"/>
  <c r="P39" i="3"/>
  <c r="R39" i="3"/>
  <c r="V39" i="3"/>
  <c r="W39" i="3" s="1"/>
  <c r="P23" i="3"/>
  <c r="R23" i="3"/>
  <c r="V23" i="3"/>
  <c r="W23" i="3" s="1"/>
  <c r="V22" i="3"/>
  <c r="W22" i="3" s="1"/>
  <c r="P22" i="3"/>
  <c r="R22" i="3"/>
  <c r="P21" i="3"/>
  <c r="R21" i="3"/>
  <c r="V21" i="3"/>
  <c r="P20" i="3"/>
  <c r="R20" i="3"/>
  <c r="V20" i="3"/>
  <c r="W20" i="3" s="1"/>
  <c r="V19" i="3"/>
  <c r="W19" i="3" s="1"/>
  <c r="R19" i="3"/>
  <c r="P19" i="3"/>
  <c r="R18" i="3"/>
  <c r="V18" i="3"/>
  <c r="P18" i="3"/>
  <c r="P17" i="3"/>
  <c r="R17" i="3"/>
  <c r="V17" i="3"/>
  <c r="P16" i="3"/>
  <c r="R16" i="3"/>
  <c r="V16" i="3"/>
  <c r="P15" i="3"/>
  <c r="R15" i="3"/>
  <c r="V15" i="3"/>
  <c r="W15" i="3" s="1"/>
  <c r="P14" i="3"/>
  <c r="R14" i="3"/>
  <c r="V14" i="3"/>
  <c r="W14" i="3" s="1"/>
  <c r="P13" i="3"/>
  <c r="R13" i="3"/>
  <c r="V13" i="3"/>
  <c r="P12" i="3"/>
  <c r="R12" i="3"/>
  <c r="V12" i="3"/>
  <c r="W12" i="3" s="1"/>
  <c r="P11" i="3"/>
  <c r="R11" i="3"/>
  <c r="V11" i="3"/>
  <c r="W11" i="3" s="1"/>
  <c r="P10" i="3"/>
  <c r="R10" i="3"/>
  <c r="V10" i="3"/>
  <c r="W10" i="3" s="1"/>
  <c r="P9" i="3"/>
  <c r="R9" i="3"/>
  <c r="V9" i="3"/>
  <c r="W9" i="3" s="1"/>
  <c r="P8" i="3"/>
  <c r="R8" i="3"/>
  <c r="V8" i="3"/>
  <c r="W8" i="3" s="1"/>
  <c r="R7" i="3"/>
  <c r="P7" i="3"/>
  <c r="V7" i="3"/>
  <c r="P6" i="3"/>
  <c r="R6" i="3"/>
  <c r="V6" i="3"/>
  <c r="W6" i="3" s="1"/>
  <c r="V5" i="3"/>
  <c r="W5" i="3" s="1"/>
  <c r="P5" i="3"/>
  <c r="R5" i="3"/>
  <c r="R4" i="3"/>
  <c r="P4" i="3"/>
  <c r="V4" i="3"/>
  <c r="W4" i="3" s="1"/>
  <c r="V3" i="3"/>
  <c r="W3" i="3" s="1"/>
  <c r="R3" i="3"/>
  <c r="P3" i="3"/>
  <c r="P2" i="3"/>
  <c r="V2" i="3"/>
  <c r="R2" i="3"/>
  <c r="V94" i="3"/>
  <c r="W94" i="3" s="1"/>
  <c r="R94" i="3"/>
  <c r="P94" i="3"/>
  <c r="V93" i="3"/>
  <c r="W93" i="3" s="1"/>
  <c r="R93" i="3"/>
  <c r="P93" i="3"/>
  <c r="R92" i="3"/>
  <c r="P92" i="3"/>
  <c r="V92" i="3"/>
  <c r="W92" i="3" s="1"/>
  <c r="R91" i="3"/>
  <c r="V91" i="3"/>
  <c r="W91" i="3" s="1"/>
  <c r="P91" i="3"/>
  <c r="P90" i="3"/>
  <c r="R90" i="3"/>
  <c r="V90" i="3"/>
  <c r="W90" i="3" s="1"/>
  <c r="P89" i="3"/>
  <c r="V89" i="3"/>
  <c r="W89" i="3" s="1"/>
  <c r="R89" i="3"/>
  <c r="P88" i="3"/>
  <c r="R88" i="3"/>
  <c r="V88" i="3"/>
  <c r="W88" i="3" s="1"/>
  <c r="R87" i="3"/>
  <c r="P87" i="3"/>
  <c r="V87" i="3"/>
  <c r="W87" i="3" s="1"/>
  <c r="V86" i="3"/>
  <c r="W86" i="3" s="1"/>
  <c r="P86" i="3"/>
  <c r="R86" i="3"/>
  <c r="V85" i="3"/>
  <c r="W85" i="3" s="1"/>
  <c r="R85" i="3"/>
  <c r="P85" i="3"/>
  <c r="V84" i="3"/>
  <c r="W84" i="3" s="1"/>
  <c r="P84" i="3"/>
  <c r="R84" i="3"/>
  <c r="V83" i="3"/>
  <c r="W83" i="3" s="1"/>
  <c r="R83" i="3"/>
  <c r="P83" i="3"/>
  <c r="R82" i="3"/>
  <c r="P82" i="3"/>
  <c r="V82" i="3"/>
  <c r="W82" i="3" s="1"/>
  <c r="R81" i="3"/>
  <c r="V81" i="3"/>
  <c r="W81" i="3" s="1"/>
  <c r="P81" i="3"/>
  <c r="P80" i="3"/>
  <c r="R80" i="3"/>
  <c r="V80" i="3"/>
  <c r="W80" i="3" s="1"/>
  <c r="V79" i="3"/>
  <c r="W79" i="3" s="1"/>
  <c r="P79" i="3"/>
  <c r="R79" i="3"/>
  <c r="V23" i="8"/>
  <c r="U23" i="8"/>
  <c r="W36" i="3"/>
  <c r="E14" i="5"/>
  <c r="N14" i="5" s="1"/>
  <c r="W33" i="3"/>
  <c r="E13" i="5"/>
  <c r="N13" i="5" s="1"/>
  <c r="W30" i="3"/>
  <c r="E12" i="5"/>
  <c r="N12" i="5" s="1"/>
  <c r="W27" i="3"/>
  <c r="E11" i="5"/>
  <c r="N11" i="5" s="1"/>
  <c r="W24" i="3"/>
  <c r="E10" i="5"/>
  <c r="N10" i="5" s="1"/>
  <c r="W21" i="3"/>
  <c r="E9" i="5"/>
  <c r="N9" i="5" s="1"/>
  <c r="W18" i="3"/>
  <c r="E8" i="5"/>
  <c r="N8" i="5" s="1"/>
  <c r="W17" i="3"/>
  <c r="E7" i="5"/>
  <c r="N7" i="5" s="1"/>
  <c r="E4" i="5"/>
  <c r="N4" i="5" s="1"/>
  <c r="W7" i="3"/>
  <c r="E3" i="5"/>
  <c r="N3" i="5" s="1"/>
  <c r="W2" i="3"/>
  <c r="E2" i="5"/>
  <c r="N2" i="5" s="1"/>
  <c r="D6" i="9"/>
  <c r="F6" i="9" s="1"/>
  <c r="E6" i="9"/>
  <c r="D5" i="9"/>
  <c r="F5" i="9" s="1"/>
  <c r="E5" i="9"/>
  <c r="D4" i="9"/>
  <c r="F4" i="9" s="1"/>
  <c r="E4" i="9"/>
  <c r="D3" i="9"/>
  <c r="F3" i="9" s="1"/>
  <c r="E3" i="9"/>
  <c r="D2" i="9"/>
  <c r="F2" i="9" s="1"/>
  <c r="E2" i="9"/>
  <c r="K14" i="8"/>
  <c r="L14" i="8" s="1"/>
  <c r="M14" i="8" s="1"/>
  <c r="N14" i="8" s="1"/>
  <c r="O14" i="8" s="1"/>
  <c r="P14" i="8" s="1"/>
  <c r="Q14" i="8" s="1"/>
  <c r="R14" i="8" s="1"/>
  <c r="S14" i="8" s="1"/>
  <c r="T14" i="8" s="1"/>
  <c r="K13" i="8"/>
  <c r="L13" i="8" s="1"/>
  <c r="M13" i="8" s="1"/>
  <c r="N13" i="8" s="1"/>
  <c r="O13" i="8" s="1"/>
  <c r="P13" i="8" s="1"/>
  <c r="Q13" i="8" s="1"/>
  <c r="R13" i="8" s="1"/>
  <c r="S13" i="8" s="1"/>
  <c r="T13" i="8" s="1"/>
  <c r="K12" i="8"/>
  <c r="L12" i="8" s="1"/>
  <c r="M12" i="8" s="1"/>
  <c r="N12" i="8" s="1"/>
  <c r="O12" i="8" s="1"/>
  <c r="P12" i="8" s="1"/>
  <c r="Q12" i="8" s="1"/>
  <c r="R12" i="8" s="1"/>
  <c r="S12" i="8" s="1"/>
  <c r="T12" i="8" s="1"/>
  <c r="K11" i="8"/>
  <c r="L11" i="8" s="1"/>
  <c r="M11" i="8" s="1"/>
  <c r="N11" i="8" s="1"/>
  <c r="O11" i="8" s="1"/>
  <c r="P11" i="8" s="1"/>
  <c r="Q11" i="8" s="1"/>
  <c r="R11" i="8" s="1"/>
  <c r="S11" i="8" s="1"/>
  <c r="T11" i="8" s="1"/>
  <c r="K10" i="8"/>
  <c r="L10" i="8" s="1"/>
  <c r="M10" i="8" s="1"/>
  <c r="N10" i="8" s="1"/>
  <c r="O10" i="8" s="1"/>
  <c r="P10" i="8" s="1"/>
  <c r="Q10" i="8" s="1"/>
  <c r="R10" i="8" s="1"/>
  <c r="S10" i="8" s="1"/>
  <c r="T10" i="8" s="1"/>
  <c r="K9" i="8"/>
  <c r="L9" i="8" s="1"/>
  <c r="M9" i="8" s="1"/>
  <c r="N9" i="8" s="1"/>
  <c r="O9" i="8" s="1"/>
  <c r="P9" i="8" s="1"/>
  <c r="Q9" i="8" s="1"/>
  <c r="R9" i="8" s="1"/>
  <c r="S9" i="8" s="1"/>
  <c r="T9" i="8" s="1"/>
  <c r="K8" i="8"/>
  <c r="L8" i="8" s="1"/>
  <c r="M8" i="8" s="1"/>
  <c r="N8" i="8" s="1"/>
  <c r="O8" i="8" s="1"/>
  <c r="P8" i="8" s="1"/>
  <c r="Q8" i="8" s="1"/>
  <c r="R8" i="8" s="1"/>
  <c r="S8" i="8" s="1"/>
  <c r="T8" i="8" s="1"/>
  <c r="K7" i="8"/>
  <c r="L7" i="8" s="1"/>
  <c r="M7" i="8" s="1"/>
  <c r="N7" i="8" s="1"/>
  <c r="O7" i="8" s="1"/>
  <c r="P7" i="8" s="1"/>
  <c r="Q7" i="8" s="1"/>
  <c r="R7" i="8" s="1"/>
  <c r="S7" i="8" s="1"/>
  <c r="T7" i="8" s="1"/>
  <c r="K6" i="8"/>
  <c r="L6" i="8" s="1"/>
  <c r="M6" i="8" s="1"/>
  <c r="N6" i="8" s="1"/>
  <c r="O6" i="8" s="1"/>
  <c r="P6" i="8" s="1"/>
  <c r="Q6" i="8" s="1"/>
  <c r="R6" i="8" s="1"/>
  <c r="S6" i="8" s="1"/>
  <c r="T6" i="8" s="1"/>
  <c r="K5" i="8"/>
  <c r="L5" i="8" s="1"/>
  <c r="M5" i="8" s="1"/>
  <c r="N5" i="8" s="1"/>
  <c r="O5" i="8" s="1"/>
  <c r="P5" i="8" s="1"/>
  <c r="Q5" i="8" s="1"/>
  <c r="R5" i="8" s="1"/>
  <c r="S5" i="8" s="1"/>
  <c r="T5" i="8" s="1"/>
  <c r="K4" i="8"/>
  <c r="L4" i="8" s="1"/>
  <c r="M4" i="8" s="1"/>
  <c r="N4" i="8" s="1"/>
  <c r="O4" i="8" s="1"/>
  <c r="P4" i="8" s="1"/>
  <c r="Q4" i="8" s="1"/>
  <c r="R4" i="8" s="1"/>
  <c r="S4" i="8" s="1"/>
  <c r="T4" i="8" s="1"/>
  <c r="K3" i="8"/>
  <c r="L3" i="8" s="1"/>
  <c r="M3" i="8" s="1"/>
  <c r="N3" i="8" s="1"/>
  <c r="O3" i="8" s="1"/>
  <c r="P3" i="8" s="1"/>
  <c r="Q3" i="8" s="1"/>
  <c r="R3" i="8" s="1"/>
  <c r="S3" i="8" s="1"/>
  <c r="T3" i="8" s="1"/>
  <c r="K2" i="8"/>
  <c r="L2" i="8" s="1"/>
  <c r="M2" i="8" s="1"/>
  <c r="N2" i="8" s="1"/>
  <c r="O2" i="8" s="1"/>
  <c r="P2" i="8" s="1"/>
  <c r="Q2" i="8" s="1"/>
  <c r="R2" i="8" s="1"/>
  <c r="S2" i="8" s="1"/>
  <c r="T2" i="8" s="1"/>
  <c r="W23" i="8"/>
  <c r="X23" i="8" s="1"/>
  <c r="Y23" i="8" s="1"/>
  <c r="Z23" i="8" s="1"/>
  <c r="K4" i="7"/>
  <c r="U22" i="8"/>
  <c r="V22" i="8"/>
  <c r="U21" i="8"/>
  <c r="V21" i="8"/>
  <c r="V20" i="8"/>
  <c r="U20" i="8"/>
  <c r="V19" i="8"/>
  <c r="U19" i="8"/>
  <c r="V18" i="8"/>
  <c r="U18" i="8"/>
  <c r="V17" i="8"/>
  <c r="U17" i="8"/>
  <c r="V16" i="8"/>
  <c r="U16" i="8"/>
  <c r="V15" i="8"/>
  <c r="U15" i="8"/>
  <c r="U12" i="8" l="1"/>
  <c r="V12" i="8"/>
  <c r="W16" i="3"/>
  <c r="E6" i="5"/>
  <c r="N6" i="5" s="1"/>
  <c r="W13" i="3"/>
  <c r="E5" i="5"/>
  <c r="N5" i="5" s="1"/>
  <c r="N15" i="5" s="1"/>
  <c r="U10" i="8"/>
  <c r="V10" i="8"/>
  <c r="V5" i="8"/>
  <c r="U5" i="8"/>
  <c r="W5" i="8" s="1"/>
  <c r="X5" i="8" s="1"/>
  <c r="Y5" i="8" s="1"/>
  <c r="Z5" i="8" s="1"/>
  <c r="U4" i="8"/>
  <c r="V4" i="8"/>
  <c r="W10" i="8"/>
  <c r="X10" i="8" s="1"/>
  <c r="Y10" i="8" s="1"/>
  <c r="Z10" i="8" s="1"/>
  <c r="W21" i="8"/>
  <c r="X21" i="8" s="1"/>
  <c r="Y21" i="8" s="1"/>
  <c r="Z21" i="8" s="1"/>
  <c r="W17" i="8"/>
  <c r="X17" i="8" s="1"/>
  <c r="Y17" i="8" s="1"/>
  <c r="Z17" i="8" s="1"/>
  <c r="W22" i="8"/>
  <c r="X22" i="8" s="1"/>
  <c r="Y22" i="8" s="1"/>
  <c r="Z22" i="8" s="1"/>
  <c r="W20" i="8"/>
  <c r="X20" i="8" s="1"/>
  <c r="Y20" i="8" s="1"/>
  <c r="Z20" i="8" s="1"/>
  <c r="W19" i="8"/>
  <c r="X19" i="8" s="1"/>
  <c r="Y19" i="8" s="1"/>
  <c r="Z19" i="8" s="1"/>
  <c r="W18" i="8"/>
  <c r="X18" i="8" s="1"/>
  <c r="Y18" i="8" s="1"/>
  <c r="Z18" i="8" s="1"/>
  <c r="W16" i="8"/>
  <c r="X16" i="8" s="1"/>
  <c r="Y16" i="8" s="1"/>
  <c r="Z16" i="8" s="1"/>
  <c r="W15" i="8"/>
  <c r="X15" i="8" s="1"/>
  <c r="Y15" i="8" s="1"/>
  <c r="Z15" i="8" s="1"/>
  <c r="V14" i="8"/>
  <c r="U14" i="8"/>
  <c r="U13" i="8"/>
  <c r="V13" i="8"/>
  <c r="U11" i="8"/>
  <c r="V11" i="8"/>
  <c r="U9" i="8"/>
  <c r="V9" i="8"/>
  <c r="U8" i="8"/>
  <c r="V8" i="8"/>
  <c r="U7" i="8"/>
  <c r="V7" i="8"/>
  <c r="U6" i="8"/>
  <c r="V6" i="8"/>
  <c r="U3" i="8"/>
  <c r="V3" i="8"/>
  <c r="U2" i="8"/>
  <c r="V2" i="8"/>
  <c r="W14" i="8" l="1"/>
  <c r="X14" i="8" s="1"/>
  <c r="Y14" i="8" s="1"/>
  <c r="Z14" i="8" s="1"/>
  <c r="W12" i="8"/>
  <c r="X12" i="8" s="1"/>
  <c r="Y12" i="8" s="1"/>
  <c r="Z12" i="8" s="1"/>
  <c r="W4" i="8"/>
  <c r="X4" i="8" s="1"/>
  <c r="Y4" i="8" s="1"/>
  <c r="Z4" i="8" s="1"/>
  <c r="W8" i="8"/>
  <c r="X8" i="8" s="1"/>
  <c r="Y8" i="8" s="1"/>
  <c r="Z8" i="8" s="1"/>
  <c r="W6" i="8"/>
  <c r="X6" i="8" s="1"/>
  <c r="Y6" i="8" s="1"/>
  <c r="Z6" i="8" s="1"/>
  <c r="W3" i="8"/>
  <c r="X3" i="8" s="1"/>
  <c r="Y3" i="8" s="1"/>
  <c r="Z3" i="8" s="1"/>
  <c r="W13" i="8"/>
  <c r="X13" i="8" s="1"/>
  <c r="Y13" i="8" s="1"/>
  <c r="Z13" i="8" s="1"/>
  <c r="W11" i="8"/>
  <c r="X11" i="8" s="1"/>
  <c r="Y11" i="8" s="1"/>
  <c r="Z11" i="8" s="1"/>
  <c r="W9" i="8"/>
  <c r="X9" i="8" s="1"/>
  <c r="Y9" i="8" s="1"/>
  <c r="Z9" i="8" s="1"/>
  <c r="W7" i="8"/>
  <c r="X7" i="8" s="1"/>
  <c r="Y7" i="8" s="1"/>
  <c r="Z7" i="8" s="1"/>
  <c r="W2" i="8"/>
  <c r="X2" i="8" s="1"/>
  <c r="Y2" i="8" s="1"/>
  <c r="Z2" i="8" s="1"/>
  <c r="Z40" i="8" l="1"/>
</calcChain>
</file>

<file path=xl/sharedStrings.xml><?xml version="1.0" encoding="utf-8"?>
<sst xmlns="http://schemas.openxmlformats.org/spreadsheetml/2006/main" count="2132" uniqueCount="671">
  <si>
    <t>Curva de resistencia Leps 2.0 del desmonte ROM de Antamina: datos, cálculos y curvas (memo de Stantec, 12 de octubre de 2026)</t>
  </si>
  <si>
    <t>Las celdas en azul de la hoja Parametros son las entradas; todo lo demás se calcula con fórmulas a partir de ellas (nombres definidos: pe0, omega, m_, e_base, sref).</t>
  </si>
  <si>
    <t>Leps 2.0 (Cylwik et al. 2025, Ec. 26): τ = tan(φ′e=0 − ω·e)·(10pa)^(1−m)·σ′n^m; φ′s = atan(τ/σ′n).</t>
  </si>
  <si>
    <t>Unidades: esfuerzos en MPa; ángulos en grados.</t>
  </si>
  <si>
    <t>Hojas:</t>
  </si>
  <si>
    <t xml:space="preserve">  Parametros: parámetros de la curva propuesta, hipótesis de curvatura y control con la composición del DDE.</t>
  </si>
  <si>
    <t xml:space="preserve">  Ensayos: los 120 ensayos de resistencia con su uso (ajuste, contraste, no usado), esfuerzos de falla, conversión de Leps 2.0 (fórmula) y corrección a e base (Ec. 27).</t>
  </si>
  <si>
    <t xml:space="preserve">  Curva: curva propuesta a e base, 0.55, 0.65 y perfiles A y V; banda de incertidumbre; cotas de Indraratna et al. (1993) y Hawley y Cunning (2017); recta de 37°; sensibilidad del DDE; gráficos.</t>
  </si>
  <si>
    <t xml:space="preserve">  phi1_vs_e: φ′1 de cada ensayo y por set contra e, φ′e=0 por set y su media (el nivel de la curva), con la recta de la curva propuesta, las envolventes de Leps (1970) y la cota de Indraratna et al. (1993).</t>
  </si>
  <si>
    <t xml:space="preserve">  Hipotesis_m: φ′s según la hipótesis de curvatura (m del intervalo al 90 % de la prueba con la base mundial, y m = 1 de Antamina sola como sensibilidad).</t>
  </si>
  <si>
    <t xml:space="preserve">  Base_mundial: los ensayos de la base de Leps 2.0 (sin los censurados, como en el memo) frente a la curva evaluada a su propia e (Δφ′s) y conteos por rango de esfuerzo.</t>
  </si>
  <si>
    <t xml:space="preserve">  FLAC_tangente: Mohr-Coulomb tangente a la curva según σ′3 (para verificar la implementación en FLAC2D).</t>
  </si>
  <si>
    <t xml:space="preserve">  Relacion_vacios: e de colocación calculada con los pesos unitarios de los estudios de Antamina.</t>
  </si>
  <si>
    <t xml:space="preserve">  Perfiles_e: e y σ′v con la profundidad (perfiles A y V).</t>
  </si>
  <si>
    <t xml:space="preserve">  Edometros: edómetros de desmonte de Antamina y e resultante con la ley del perfil A.</t>
  </si>
  <si>
    <t xml:space="preserve">  Tamano_particula: sensibilidad al tamaño (Frossard et al. 2012).</t>
  </si>
  <si>
    <t>Fuentes: base de ensayos de Antamina verificada contra los PDF (datos_antamina/base, verificacion_ocr); base mundial de Cylwik et al. (2025);</t>
  </si>
  <si>
    <t>Informe final de estudio del DDE (Stantec 2026, IFF-115-G-0001 Rev. B) para la composición de control y la sensibilidad de 33°/30°.</t>
  </si>
  <si>
    <t>Parámetro</t>
  </si>
  <si>
    <t>Valor</t>
  </si>
  <si>
    <t>Unidad</t>
  </si>
  <si>
    <t>Nota</t>
  </si>
  <si>
    <t>φ′e=0, curva propuesta</t>
  </si>
  <si>
    <t>°</t>
  </si>
  <si>
    <t>Media de φ′1 + 20·e0 de los 13 sets con m = 0.85, todos con igual peso (a33; ver phi1_vs_e)</t>
  </si>
  <si>
    <t>ω</t>
  </si>
  <si>
    <t>Leps 2.0, Ec. 25</t>
  </si>
  <si>
    <t>m (curvatura)</t>
  </si>
  <si>
    <t>-</t>
  </si>
  <si>
    <t>Sin sesgo en los ensayos mundiales de mayor esfuerzo (a31; IC 90 % 0.834–0.862)</t>
  </si>
  <si>
    <t>e base de colocación</t>
  </si>
  <si>
    <t>Desmonte ROM (sección 7 del memo)</t>
  </si>
  <si>
    <t>pa</t>
  </si>
  <si>
    <t>MPa</t>
  </si>
  <si>
    <t>Presión atmosférica</t>
  </si>
  <si>
    <t>10·pa</t>
  </si>
  <si>
    <t>Esfuerzo de referencia</t>
  </si>
  <si>
    <t>φ′1 a e base</t>
  </si>
  <si>
    <t>Hipótesis de curvatura</t>
  </si>
  <si>
    <t>Hipótesis</t>
  </si>
  <si>
    <t>m</t>
  </si>
  <si>
    <t>φ′e=0 (°)</t>
  </si>
  <si>
    <t>φ′e=0 P5 (°)</t>
  </si>
  <si>
    <t>φ′e=0 P95 (°)</t>
  </si>
  <si>
    <t>m alto (IC 90 %)</t>
  </si>
  <si>
    <t>Nivel reajustado a los ensayos de Antamina con esa m (a33)</t>
  </si>
  <si>
    <t>Curva propuesta</t>
  </si>
  <si>
    <t>m bajo (IC 90 %)</t>
  </si>
  <si>
    <t>Antamina sola (m = 1), sensibilidad</t>
  </si>
  <si>
    <t>Control: φ′e=0 con la composición del DDE (44/56)</t>
  </si>
  <si>
    <t>IFF-115-G-0001 Rev. B, Tabla 3-1: intrusivo y exoskarn 44 %, hornfels y mármol 56 % (repartido por igual)</t>
  </si>
  <si>
    <t>Cc perfil A, 0.2–0.8 MPa</t>
  </si>
  <si>
    <t>Edómetro de mármol suelto (a13)</t>
  </si>
  <si>
    <t>Cc perfil A, 1.2–4.8 MPa</t>
  </si>
  <si>
    <t>σ′v mínima de la ley del perfil A</t>
  </si>
  <si>
    <t>a13</t>
  </si>
  <si>
    <t>Peso del residuo del corte directo</t>
  </si>
  <si>
    <t>Iguala la sensibilidad al ángulo de ln q y ln τ (a9)</t>
  </si>
  <si>
    <t>Fuente</t>
  </si>
  <si>
    <t>Set</t>
  </si>
  <si>
    <t>Ensayo (id)</t>
  </si>
  <si>
    <t>Litología</t>
  </si>
  <si>
    <t>Tipo</t>
  </si>
  <si>
    <t>Uso</t>
  </si>
  <si>
    <t>Motivo</t>
  </si>
  <si>
    <t>D (m)</t>
  </si>
  <si>
    <t>Dmax (mm)</t>
  </si>
  <si>
    <t>e0</t>
  </si>
  <si>
    <t>σ′3 (MPa)</t>
  </si>
  <si>
    <t>σ′1 (MPa)</t>
  </si>
  <si>
    <t>σ′n (MPa)</t>
  </si>
  <si>
    <t>τ (MPa)</t>
  </si>
  <si>
    <t>φ′s (°)</t>
  </si>
  <si>
    <t>φ′s a e base (°)</t>
  </si>
  <si>
    <t>φ′s predicha por la curva (mismo σ′n y e0 del ensayo) (°)</t>
  </si>
  <si>
    <t>Δφ′s ensayo − curva (°)</t>
  </si>
  <si>
    <t>εa (%)</t>
  </si>
  <si>
    <t>Criterio de falla</t>
  </si>
  <si>
    <t>Página</t>
  </si>
  <si>
    <t>φ′1 del ensayo a su e0 (°)</t>
  </si>
  <si>
    <t>φ′1 del ensayo a e base (°)</t>
  </si>
  <si>
    <t>G2012</t>
  </si>
  <si>
    <t>G2012-MN-C</t>
  </si>
  <si>
    <t>Test 1 / Probeta 1 (σ'c = 5 kg/cm²)</t>
  </si>
  <si>
    <t>Mármol</t>
  </si>
  <si>
    <t>Triaxial CD</t>
  </si>
  <si>
    <t>Ajuste de la curva propuesta</t>
  </si>
  <si>
    <t>CD: máximo desviador</t>
  </si>
  <si>
    <t>7;29;27;28;17;10</t>
  </si>
  <si>
    <t>Test 2 / Probeta 2 (σ'c = 5 kg/cm²)</t>
  </si>
  <si>
    <t>7;40;27;28;17;10</t>
  </si>
  <si>
    <t>Test 3 / Probeta 3 (σ'c = 10 kg/cm²)</t>
  </si>
  <si>
    <t>7;52;27;28;17;10</t>
  </si>
  <si>
    <t>Test 4 / Probeta 4 (σ'c = 20 kg/cm²)</t>
  </si>
  <si>
    <t>7;55;27;28;17;10</t>
  </si>
  <si>
    <t>Test 5 / Probeta 5 (σ'c = 20 kg/cm²)</t>
  </si>
  <si>
    <t>7;70;27;28;17;10</t>
  </si>
  <si>
    <t>G2021</t>
  </si>
  <si>
    <t>G21-DESM-COMP</t>
  </si>
  <si>
    <t>II0471-E1</t>
  </si>
  <si>
    <t>Mezcla</t>
  </si>
  <si>
    <t>20;108;46</t>
  </si>
  <si>
    <t>II0471-E2</t>
  </si>
  <si>
    <t>20;109;46</t>
  </si>
  <si>
    <t>II0471-E3</t>
  </si>
  <si>
    <t>20;110;46</t>
  </si>
  <si>
    <t>W2022</t>
  </si>
  <si>
    <t>HF-1.0m-IDIEM-mono</t>
  </si>
  <si>
    <t>Tabla 3 Hornfels Probeta 1 = IDIEM 1.555.677-B.2 PROBETA 1</t>
  </si>
  <si>
    <t>Hornfels</t>
  </si>
  <si>
    <t>10;233-236;62-63;41</t>
  </si>
  <si>
    <t>Tabla 3 Hornfels Probeta 2 = IDIEM 1.555.677-B.2 PROBETA 2</t>
  </si>
  <si>
    <t>10;238-243;62-63;41</t>
  </si>
  <si>
    <t>Tabla 3 Hornfels Probeta 3 = IDIEM 1.555.677-B.2 PROBETA 3</t>
  </si>
  <si>
    <t>10;245-250;62-63;41</t>
  </si>
  <si>
    <t>HF-1.0m-IDIEM-cd</t>
  </si>
  <si>
    <t>Tabla 3 Hornfels Probeta 4 = IDIEM 1.555.677-E PROBETA 1</t>
  </si>
  <si>
    <t>Triaxial CD carga-descarga</t>
  </si>
  <si>
    <t>10;106-117;62-63;41</t>
  </si>
  <si>
    <t>Tabla 3 Hornfels Probeta 5 = IDIEM 1.555.677-E PROBETA 2</t>
  </si>
  <si>
    <t>10;119-167;62-63;41</t>
  </si>
  <si>
    <t>Tabla 3 Hornfels Probeta 6 = IDIEM 1.555.677-E PROBETA 3</t>
  </si>
  <si>
    <t>10;169-227;62-63;41</t>
  </si>
  <si>
    <t>HF-0.15m-Golder</t>
  </si>
  <si>
    <t>Tabla 3 Hornfels Probeta 7 = CID 6" HR (Golder B21-132)</t>
  </si>
  <si>
    <t>10;350;353;351;6;41</t>
  </si>
  <si>
    <t>MN-0.15m-Golder</t>
  </si>
  <si>
    <t>Tabla 3 Mármol Negro Probeta 6 = CID 6" MR (Golder B21-132)</t>
  </si>
  <si>
    <t>10;357;355;7;41</t>
  </si>
  <si>
    <t>W2024</t>
  </si>
  <si>
    <t>WSP24_C4_MON</t>
  </si>
  <si>
    <t>IDIEM 1.914.482-B Codisposal 4 Probeta 1 (TX M) Pc 5 kgf/cm2</t>
  </si>
  <si>
    <t>Intrusivo</t>
  </si>
  <si>
    <t>111;112;15;93;36;132</t>
  </si>
  <si>
    <t>IDIEM 1.914.482-B Codisposal 4 Probeta 2 (TX M) Pc 10 kgf/cm2</t>
  </si>
  <si>
    <t>114;115;15;93;36;132</t>
  </si>
  <si>
    <t>IDIEM 1.914.482-B Codisposal 4 Probeta 3 (TX M) Pc 20 kgf/cm2</t>
  </si>
  <si>
    <t>117;118;15;93;36;132</t>
  </si>
  <si>
    <t>I2025</t>
  </si>
  <si>
    <t>Codisposal 1 (100% Intrusivo)</t>
  </si>
  <si>
    <t>Probeta 1</t>
  </si>
  <si>
    <t>10-14;15;8;29</t>
  </si>
  <si>
    <t>Probeta 2</t>
  </si>
  <si>
    <t>16-20;21;8;29</t>
  </si>
  <si>
    <t>Probeta 3</t>
  </si>
  <si>
    <t>22-27;28;8;29</t>
  </si>
  <si>
    <t>A2024DS</t>
  </si>
  <si>
    <t>Ruma 02</t>
  </si>
  <si>
    <t>LSDS Ruma 02 (H-1 al H-12) σn=300</t>
  </si>
  <si>
    <t>Corte directo CD</t>
  </si>
  <si>
    <t>CD: τ pico</t>
  </si>
  <si>
    <t>LSDS Ruma 02 (H-1 al H-12) σn=600</t>
  </si>
  <si>
    <t>LSDS Ruma 02 (H-1 al H-12) σn=1200</t>
  </si>
  <si>
    <t>Ruma 03 / Fase 10 A</t>
  </si>
  <si>
    <t>LSDS Ruma 03 / Fase 10 A (I-1 al I-12) σn=300</t>
  </si>
  <si>
    <t>LSDS Ruma 03 / Fase 10 A (I-1 al I-12) σn=600</t>
  </si>
  <si>
    <t>LSDS Ruma 03 / Fase 10 A (I-1 al I-12) σn=1200</t>
  </si>
  <si>
    <t>Ruma 01</t>
  </si>
  <si>
    <t>LSDS Ruma 01 (M-1 al M-13) σn=300</t>
  </si>
  <si>
    <t>LSDS Ruma 01 (M-1 al M-13) σn=600</t>
  </si>
  <si>
    <t>LSDS Ruma 01 (M-1 al M-13) σn=1200</t>
  </si>
  <si>
    <t>Pila 01 (Mármol + Hornfels)</t>
  </si>
  <si>
    <t>LSDS Pila 01 (Mármol + Hornfels) σn=300</t>
  </si>
  <si>
    <t>LSDS Pila 01 (Mármol + Hornfels) σn=600</t>
  </si>
  <si>
    <t>LSDS Pila 01 (Mármol + Hornfels) σn=1000</t>
  </si>
  <si>
    <t>Pila 02 (Intrusivo)</t>
  </si>
  <si>
    <t>LSDS Pila 02 (Intrusivo) σn=300</t>
  </si>
  <si>
    <t>LSDS Pila 02 (Intrusivo) σn=600</t>
  </si>
  <si>
    <t>LSDS Pila 02 (Intrusivo) σn=1200</t>
  </si>
  <si>
    <t>G2010</t>
  </si>
  <si>
    <t>G2010-A-MN-2.8in</t>
  </si>
  <si>
    <t>GL-481-09 Prueba Nº 1 (σ3c=324 kPa)</t>
  </si>
  <si>
    <t>Triaxial CU</t>
  </si>
  <si>
    <t>Contraste</t>
  </si>
  <si>
    <t>triaxial no drenado (CU), máximo desviador</t>
  </si>
  <si>
    <t>CU: máximo desviador (la fuente no permite máxima oblicuidad)</t>
  </si>
  <si>
    <t>82;84;8;9;49</t>
  </si>
  <si>
    <t>GL-481-09 Prueba Nº 2 (σ3c=788 kPa)</t>
  </si>
  <si>
    <t>GL-481-09 Prueba Nº 3 (σ3c=1570 kPa)</t>
  </si>
  <si>
    <t>G2010-A-HG-2.8in</t>
  </si>
  <si>
    <t>GL-482-09 Prueba Nº 1 (σ3c=393 kPa)</t>
  </si>
  <si>
    <t>87;89;8;9;49</t>
  </si>
  <si>
    <t>GL-482-09 Prueba Nº 2 (σ3c=786 kPa)</t>
  </si>
  <si>
    <t>GL-482-09 Prueba Nº 3 (σ3c=1577 kPa)</t>
  </si>
  <si>
    <t>G2010-A-INT-2.8in</t>
  </si>
  <si>
    <t>GL-483-09 Prueba Nº 1 (σ3c=394 kPa)</t>
  </si>
  <si>
    <t>92;94;8;9;49</t>
  </si>
  <si>
    <t>GL-483-09 Prueba Nº 2 (σ3c=788 kPa)</t>
  </si>
  <si>
    <t>GL-483-09 Prueba Nº 3 (σ3c=1570 kPa)</t>
  </si>
  <si>
    <t>G2010-A-EXO-2.8in</t>
  </si>
  <si>
    <t>GL-484-09 Prueba Nº 1 (σ3c=394 kPa)</t>
  </si>
  <si>
    <t>Skarn</t>
  </si>
  <si>
    <t>97;99;8;9;49</t>
  </si>
  <si>
    <t>GL-484-09 Prueba Nº 2 (σ3c=787 kPa)</t>
  </si>
  <si>
    <t>GL-484-09 Prueba Nº 3 (σ3c=1573 kPa)</t>
  </si>
  <si>
    <t>G2010-A-HG-4in</t>
  </si>
  <si>
    <t>GL-482-09 Prueba Nº 1 (σ3c=392 kPa)</t>
  </si>
  <si>
    <t>102;104;8;9;49</t>
  </si>
  <si>
    <t>GL-482-09 Prueba Nº 2 (σ3c=591 kPa)</t>
  </si>
  <si>
    <t>GL-482-09 Prueba Nº 3 (σ3c=785 kPa)</t>
  </si>
  <si>
    <t>G2010-A-INT-4in</t>
  </si>
  <si>
    <t>GL-483-09 Prueba Nº 1 (σ3c=393 kPa)</t>
  </si>
  <si>
    <t>107;109;8;9;49</t>
  </si>
  <si>
    <t>GL-483-09 Prueba Nº 2 (σ3c=590 kPa)</t>
  </si>
  <si>
    <t>GL-483-09 Prueba Nº 3 (σ3c=786 kPa)</t>
  </si>
  <si>
    <t>G2010-A-EXO-4in</t>
  </si>
  <si>
    <t>GL-484-09 Prueba Nº 1 (σ3c=392 kPa)</t>
  </si>
  <si>
    <t>112;114;8;9;49</t>
  </si>
  <si>
    <t>GL-484-09 Prueba Nº 2 (σ3c=588 kPa)</t>
  </si>
  <si>
    <t>GL-484-09 Prueba Nº 3 (σ3c=783 kPa)</t>
  </si>
  <si>
    <t>A2024</t>
  </si>
  <si>
    <t>Ruma 01 (M-1 al M-13)</t>
  </si>
  <si>
    <t>500 kPa (Esf. efect. inicial)</t>
  </si>
  <si>
    <t>triaxial no drenado (CU), máxima oblicuidad</t>
  </si>
  <si>
    <t>CU: máxima oblicuidad σ′1/σ′3</t>
  </si>
  <si>
    <t>5;1;7</t>
  </si>
  <si>
    <t>1000 kPa (Esf. efect. inicial)</t>
  </si>
  <si>
    <t>4;1;7</t>
  </si>
  <si>
    <t>2000 kPa (Esf. efect. inicial)</t>
  </si>
  <si>
    <t>3;1;7</t>
  </si>
  <si>
    <t>Ruma 02 (H-1 al H-12)</t>
  </si>
  <si>
    <t>Ruma 03 / Fase 10 A (I-1 al I-12)</t>
  </si>
  <si>
    <t>Pila 01 (MP1-B-M-1, MP1-B-M2, MP1-B-M3, MP1-H-Material B)</t>
  </si>
  <si>
    <t>Pila 02 (MP2-A-M-1 a MP2-A-M-5, MP2-H-Material A)</t>
  </si>
  <si>
    <t>G2010-B-MN-2.8in</t>
  </si>
  <si>
    <t>GL-481-09 Prueba Nº 1 (σ3c=391 kPa)</t>
  </si>
  <si>
    <t>No usado</t>
  </si>
  <si>
    <t>material chancado (fase B)</t>
  </si>
  <si>
    <t>117;119;8;10;49</t>
  </si>
  <si>
    <t>GL-481-09 Prueba Nº 3 (σ3c=1577 kPa)</t>
  </si>
  <si>
    <t>G2010-B-HG-2.8in</t>
  </si>
  <si>
    <t>GL-482-09 Prueba Nº 1 (σ3c=387 kPa)</t>
  </si>
  <si>
    <t>122;124;8;10;49</t>
  </si>
  <si>
    <t>GL-482-09 Prueba Nº 3 (σ3c=1576 kPa)</t>
  </si>
  <si>
    <t>G2010-B-INT-2.8in</t>
  </si>
  <si>
    <t>GL-483-09 Prueba Nº 1 (σ3c=390 kPa)</t>
  </si>
  <si>
    <t>127;129;8;10;49</t>
  </si>
  <si>
    <t>GL-483-09 Prueba Nº 2 (σ3c=785 kPa)</t>
  </si>
  <si>
    <t>GL-483-09 Prueba Nº 3 (σ3c=1568 kPa)</t>
  </si>
  <si>
    <t>G2010-B-EXO-2.8in</t>
  </si>
  <si>
    <t>GL-484-09 Prueba Nº 1 (σ3c=393 kPa)</t>
  </si>
  <si>
    <t>132;134;8;10;49</t>
  </si>
  <si>
    <t>GL-484-09 Prueba Nº 2 (σ3c=784 kPa)</t>
  </si>
  <si>
    <t>GL-484-09 Prueba Nº 3 (σ3c=1568 kPa)</t>
  </si>
  <si>
    <t>G2010-B-MN-4in</t>
  </si>
  <si>
    <t>GL-481-09 Prueba Nº 1 (σ3c=392 kPa)</t>
  </si>
  <si>
    <t>137;139;8;10;49</t>
  </si>
  <si>
    <t>GL-481-09 Prueba Nº 2 (σ3c=550 kPa)</t>
  </si>
  <si>
    <t>GL-481-09 Prueba Nº 3 (σ3c=785 kPa)</t>
  </si>
  <si>
    <t>G2010-B-HG-4in</t>
  </si>
  <si>
    <t>142;144;8;10;49</t>
  </si>
  <si>
    <t>GL-482-09 Prueba Nº 2 (σ3c=580 kPa)</t>
  </si>
  <si>
    <t>GL-482-09 Prueba Nº 3 (σ3c=783 kPa)</t>
  </si>
  <si>
    <t>G2010-B-INT-4in</t>
  </si>
  <si>
    <t>GL-483-09 Prueba Nº 1 (σ3c=392 kPa)</t>
  </si>
  <si>
    <t>147;149;8;10;49</t>
  </si>
  <si>
    <t>GL-483-09 Prueba Nº 2 (σ3c=589 kPa)</t>
  </si>
  <si>
    <t>GL-483-09 Prueba Nº 3 (σ3c=780 kPa)</t>
  </si>
  <si>
    <t>G2010-B-EXO-4in</t>
  </si>
  <si>
    <t>GL-484-09 Prueba Nº 1 (σ3c=391 kPa)</t>
  </si>
  <si>
    <t>152;154;8;10;49</t>
  </si>
  <si>
    <t>GL-484-09 Prueba Nº 2 (σ3c=589 kPa)</t>
  </si>
  <si>
    <t>GL-484-09 Prueba Nº 3 (σ3c=784 kPa)</t>
  </si>
  <si>
    <t>G2010-B-MN-6in</t>
  </si>
  <si>
    <t>VP-209-09E σ'c=500 kPa</t>
  </si>
  <si>
    <t>161;165;3;10;49</t>
  </si>
  <si>
    <t>VP-209-09E σ'c=250 kPa</t>
  </si>
  <si>
    <t>162;165;3;10;49</t>
  </si>
  <si>
    <t>VP-209-09E σ'c=125 kPa</t>
  </si>
  <si>
    <t>163;165;3;10;49</t>
  </si>
  <si>
    <t>G2010-B-HG-6in</t>
  </si>
  <si>
    <t>167;171;3;10;49</t>
  </si>
  <si>
    <t>168;171;3;10;49</t>
  </si>
  <si>
    <t>169;171;3;10;49</t>
  </si>
  <si>
    <t>G2010-B-INT-6in</t>
  </si>
  <si>
    <t>173;177;3;10;49</t>
  </si>
  <si>
    <t>174;177;3;10;49</t>
  </si>
  <si>
    <t>175;177;3;10;49</t>
  </si>
  <si>
    <t>G2010-B-EXO-6in</t>
  </si>
  <si>
    <t>179;183;3;10;49</t>
  </si>
  <si>
    <t>180;183;3;10;49</t>
  </si>
  <si>
    <t>181;183;3;10;49</t>
  </si>
  <si>
    <t>HF-USC-ciclico-350</t>
  </si>
  <si>
    <t>USC HR-LCTX2 (6", CSR=0.38)</t>
  </si>
  <si>
    <t>Triaxial cíclico + monótono post-cíclico</t>
  </si>
  <si>
    <t>carga cíclica (compresión y extensión) previa a la carga monótona</t>
  </si>
  <si>
    <t>10;373;41</t>
  </si>
  <si>
    <t>USC HR-CTX1 (4", CSR=0.33)</t>
  </si>
  <si>
    <t>10;361;41</t>
  </si>
  <si>
    <t>USC HR-CTX4 (4", CSR=0.2)</t>
  </si>
  <si>
    <t>10;367;41</t>
  </si>
  <si>
    <t>MN-USC-ciclico-350</t>
  </si>
  <si>
    <t>USC MN-CTX3 (4", CSR=0.25)</t>
  </si>
  <si>
    <t>10;379;41</t>
  </si>
  <si>
    <t>USC MN-LCTX1 (6", CSR=0.19)</t>
  </si>
  <si>
    <t>10;385;41</t>
  </si>
  <si>
    <t>USC MN-LCTX2 (6", CSR=0.38)</t>
  </si>
  <si>
    <t>10;391;41</t>
  </si>
  <si>
    <t>MN-1.0m-IDIEM-2011</t>
  </si>
  <si>
    <t>Tabla 3 Mármol Negro Probeta 1 = IDIEM 708.397-A Probeta 1 (σ'c = 5 kg/cm²) ESTATICO</t>
  </si>
  <si>
    <t>duplicado de Golder Associates Perú (2012); se usa el original</t>
  </si>
  <si>
    <t>10;252;66-67;41</t>
  </si>
  <si>
    <t>Tabla 3 Mármol Negro Probeta 3 = IDIEM 708.397-A Probeta 2 (σ'c = 5 kg/cm²) CICLICO</t>
  </si>
  <si>
    <t>10;254-263;66-67;41</t>
  </si>
  <si>
    <t>Tabla 3 Mármol Negro Probeta 4 = IDIEM 708.397-A Probeta 3 (σ'c = 10 kg/cm²) CICLICO</t>
  </si>
  <si>
    <t>10;265-275;66-67;41</t>
  </si>
  <si>
    <t>Tabla 3 Mármol Negro Probeta 2 = IDIEM 708.397-A Probeta 4 (σ'c = 20 kg/cm²) ESTATICO</t>
  </si>
  <si>
    <t>10;277-278;66-67;41</t>
  </si>
  <si>
    <t>Tabla 3 Mármol Negro Probeta 5 = IDIEM 708.397-A Probeta 5 (σ'c = 20 kg/cm²) CICLICO</t>
  </si>
  <si>
    <t>10;280-293;66-67;41</t>
  </si>
  <si>
    <t>Zona</t>
  </si>
  <si>
    <t>τ curva (MPa)</t>
  </si>
  <si>
    <t>φ′s curva (°)</t>
  </si>
  <si>
    <t>φ′s banda inf. (°)</t>
  </si>
  <si>
    <t>φ′s banda sup. (°)</t>
  </si>
  <si>
    <t>τ banda inf. (MPa)</t>
  </si>
  <si>
    <t>τ banda sup. (MPa)</t>
  </si>
  <si>
    <t>τ e = 0.55</t>
  </si>
  <si>
    <t>τ e = 0.65</t>
  </si>
  <si>
    <t>e perfil A</t>
  </si>
  <si>
    <t>τ perfil A</t>
  </si>
  <si>
    <t>e perfil V</t>
  </si>
  <si>
    <t>τ perfil V</t>
  </si>
  <si>
    <t>φ′s Indraratna (°)</t>
  </si>
  <si>
    <t>φ′s Hawley y Cunning (°)</t>
  </si>
  <si>
    <t>τ Indraratna</t>
  </si>
  <si>
    <t>τ Hawley y Cunning</t>
  </si>
  <si>
    <t>τ 37° (MPa)</t>
  </si>
  <si>
    <t>φ′ sensibilidad DDE (°)</t>
  </si>
  <si>
    <t>con ensayos de Antamina</t>
  </si>
  <si>
    <t>solo base mundial</t>
  </si>
  <si>
    <t>extrapolación</t>
  </si>
  <si>
    <t>Set (ensayos del ajuste)</t>
  </si>
  <si>
    <t>Ensayos</t>
  </si>
  <si>
    <t>e0 media</t>
  </si>
  <si>
    <t>φ′1 medio a su e0 (°)</t>
  </si>
  <si>
    <t>e</t>
  </si>
  <si>
    <t>Curva propuesta (°)</t>
  </si>
  <si>
    <t>Leps (1970), superior (46°)</t>
  </si>
  <si>
    <t>Leps (1970), media (41°)</t>
  </si>
  <si>
    <t>Leps (1970), inferior (36°)</t>
  </si>
  <si>
    <t>Indraratna et al. (1993) (33°)</t>
  </si>
  <si>
    <t>φ′e=0 del set = φ′1 + ω·e0 (°)</t>
  </si>
  <si>
    <t>G2012 | G2012-MN-C</t>
  </si>
  <si>
    <t>G2021 | G21-DESM-COMP</t>
  </si>
  <si>
    <t>W2022 | HF-1.0m-IDIEM-mono</t>
  </si>
  <si>
    <t>W2022 | HF-1.0m-IDIEM-cd</t>
  </si>
  <si>
    <t>W2022 | HF-0.15m-Golder</t>
  </si>
  <si>
    <t>W2022 | MN-0.15m-Golder</t>
  </si>
  <si>
    <t>W2024 | WSP24_C4_MON</t>
  </si>
  <si>
    <t>I2025 | Codisposal 1 (100% Intrusivo)</t>
  </si>
  <si>
    <t>A2024DS | Ruma 02</t>
  </si>
  <si>
    <t>A2024DS | Ruma 03 / Fase 10 A</t>
  </si>
  <si>
    <t>A2024DS | Ruma 01</t>
  </si>
  <si>
    <t>A2024DS | Pila 01 (Mármol + Hornfels)</t>
  </si>
  <si>
    <t>A2024DS | Pila 02 (Intrusivo)</t>
  </si>
  <si>
    <t>Media</t>
  </si>
  <si>
    <t>φ′1 de cada ensayo: Ensayos!V (a su e0). Cada punto de la figura de Cylwik et al. (2025) es un set; aquí, el promedio de los ensayos del set.</t>
  </si>
  <si>
    <t>Media de los φ′1 de los ensayos de cada set; la curva usa el φ′1 del set ajustado por mínimos cuadrados (a33), por eso esta media difiere algo de Parametros!B2.</t>
  </si>
  <si>
    <t>φ′s a 1 MPa (°)</t>
  </si>
  <si>
    <t>φ′s a 2 MPa (°)</t>
  </si>
  <si>
    <t>φ′s a 3 MPa (°)</t>
  </si>
  <si>
    <t>φ′s a 4.6 MPa (°)</t>
  </si>
  <si>
    <t>φ′s a 8 MPa (°)</t>
  </si>
  <si>
    <t>φ′s a 15 MPa (°)</t>
  </si>
  <si>
    <t>φ′s ensayo (°)</t>
  </si>
  <si>
    <t>φ′s curva a su e (°)</t>
  </si>
  <si>
    <t>Δφ′s (°)</t>
  </si>
  <si>
    <t>Rango de σ′n</t>
  </si>
  <si>
    <t>Bajo la curva</t>
  </si>
  <si>
    <t>Δφ′s mediana (°)</t>
  </si>
  <si>
    <t>Holtz &amp; Gibbs (1956) | Ho-aa</t>
  </si>
  <si>
    <t>2–4.6 MPa</t>
  </si>
  <si>
    <t>4.6–7.9 MPa</t>
  </si>
  <si>
    <t>3–7.9 MPa</t>
  </si>
  <si>
    <t>Holtz &amp; Gibbs (1956) | Ho-bb</t>
  </si>
  <si>
    <t>Holtz &amp; Gibbs (1956) | Ho-cc</t>
  </si>
  <si>
    <t>Holtz &amp; Gibbs (1956) | Ho-dd</t>
  </si>
  <si>
    <t>Holtz &amp; Gibbs (1956) | Ho-ff</t>
  </si>
  <si>
    <t>Holtz &amp; Gibbs (1956) | Ho-gg</t>
  </si>
  <si>
    <t>Holtz &amp; Gibbs (1956) | Ho-n</t>
  </si>
  <si>
    <t>Holtz &amp; Gibbs (1956) | Ho-o</t>
  </si>
  <si>
    <t>Holtz &amp; Gibbs (1956) | Ho-p</t>
  </si>
  <si>
    <t>Holtz &amp; Gibbs (1956) | Ho-q</t>
  </si>
  <si>
    <t>Holtz &amp; Gibbs (1956) | Ho-r</t>
  </si>
  <si>
    <t>Holtz &amp; Gibbs (1956) | Ho-s</t>
  </si>
  <si>
    <t>Holtz &amp; Gibbs (1956) | Ho-t</t>
  </si>
  <si>
    <t>Holtz &amp; Gibbs (1956) | Ho-u</t>
  </si>
  <si>
    <t>Holtz &amp; Gibbs (1956) | Ho-v</t>
  </si>
  <si>
    <t>Holtz &amp; Gibbs (1956) | Ho-x</t>
  </si>
  <si>
    <t>Holtz &amp; Gibbs (1956) | Ho-z</t>
  </si>
  <si>
    <t>Hall &amp; Gordon (1963) | EB-65b</t>
  </si>
  <si>
    <t>Hall &amp; Gordon (1963) | EB-71b</t>
  </si>
  <si>
    <t>Hall &amp; Gordon (1963) | EB-71c</t>
  </si>
  <si>
    <t>Hall &amp; Gordon (1963) | EB-71d</t>
  </si>
  <si>
    <t>Hall &amp; Gordon (1963) | TP15</t>
  </si>
  <si>
    <t>Hall &amp; Gordon (1963) | TP24</t>
  </si>
  <si>
    <t>Marsal et al. (1965) | a</t>
  </si>
  <si>
    <t>Marsal et al. (1965) | b</t>
  </si>
  <si>
    <t>Marsal et al. (1965) | c</t>
  </si>
  <si>
    <t>Marsal et al. (1965) | d</t>
  </si>
  <si>
    <t>Marsal et al. (1965) | e</t>
  </si>
  <si>
    <t>Marsal et al. (1965) | f</t>
  </si>
  <si>
    <t>Marsal et al. (1965) | g</t>
  </si>
  <si>
    <t>SMHEA (1965) | XK1/1-a</t>
  </si>
  <si>
    <t>SMHEA (1965) | XK1/1-b</t>
  </si>
  <si>
    <t>SMHEA (1965) | XK1/1-c</t>
  </si>
  <si>
    <t>SMHEA (1965) | XK1/2-a</t>
  </si>
  <si>
    <t>SMHEA (1965) | XK1/2-b</t>
  </si>
  <si>
    <t>SMHEA(1966) | 3B/2/C1/7FD-a</t>
  </si>
  <si>
    <t>SMHEA(1966) | 3B/2/C3/9FD-a</t>
  </si>
  <si>
    <t>SMHEA(1966) | 3B/2/CJ-a</t>
  </si>
  <si>
    <t>SMHEA(1966) | 3B/2/CJ-b</t>
  </si>
  <si>
    <t>SMHEA(1966) | 3B/2/V1/1FD-a</t>
  </si>
  <si>
    <t>SMHEA(1966) | 3B/2/V3/3FD-a</t>
  </si>
  <si>
    <t>SMHEA(1966) | 3B/2/V3/3FD-b</t>
  </si>
  <si>
    <t>SMHEA(1966) | 3B/2/VJ-a</t>
  </si>
  <si>
    <t>SMHEA(1966) | YV/6.6/D/3B/34/S-a</t>
  </si>
  <si>
    <t>SMHEA(1966) | ZD/3A/2/B/20D-a</t>
  </si>
  <si>
    <t>SMHEA(1966) | ZD/3A/2/B/20D-b</t>
  </si>
  <si>
    <t>SMHEA(1966) | ZD/3A/2/L/19D-a</t>
  </si>
  <si>
    <t>SMHEA(1966) | ZD/3A/2/L/19D-b</t>
  </si>
  <si>
    <t>SMHEA(1966) | ZD/3A/2/M/21D-a</t>
  </si>
  <si>
    <t>SMHEA(1966) | ZD/3B/2/VJ/19D-b</t>
  </si>
  <si>
    <t>SMHEA(1966) | ZD18/16T/29E/1D-a</t>
  </si>
  <si>
    <t>SMHEA(1966) | ZD18/16T/29E/1D-b</t>
  </si>
  <si>
    <t>SMHEA(1966) | ZD20/12T/Q1/4D</t>
  </si>
  <si>
    <t>SMHEA(1966) | ZD20/12T/Q2/4D</t>
  </si>
  <si>
    <t>SMHEA(1966) | ZD20/7T/54E/1D-a</t>
  </si>
  <si>
    <t>Gibbs (1966) | US 27C-X5</t>
  </si>
  <si>
    <t>Gibbs (1966) | US 27C-X6</t>
  </si>
  <si>
    <t>Gibbs (1966) | US 27C-X7</t>
  </si>
  <si>
    <t>SMHEA(1967) | ACXII/F1</t>
  </si>
  <si>
    <t>SMHEA(1967) | ACXII/F2-a</t>
  </si>
  <si>
    <t>SMHEA(1967) | ACXII/F2-b</t>
  </si>
  <si>
    <t>SMHEA(1967) | ACXII/O3</t>
  </si>
  <si>
    <t>SMHEA(1967) | ACXII/W3-a</t>
  </si>
  <si>
    <t>SMHEA(1967) | ACXII/W3-b</t>
  </si>
  <si>
    <t>SMHEA(1967) | ZD/3B/2/CJ/32D-a</t>
  </si>
  <si>
    <t>SMHEA(1968) | YV11/005/1M-a</t>
  </si>
  <si>
    <t>SMHEA(1968) | YV11/005/1M-b</t>
  </si>
  <si>
    <t>SMHEA(1968) | YV11/Q1/4-a</t>
  </si>
  <si>
    <t>SMHEA(1968) | YV11/Q1/4-b</t>
  </si>
  <si>
    <t>SMHEA(1968) | YV11/Q1/4-c</t>
  </si>
  <si>
    <t>SMHEA(1968) | YV11/T2B/Q5/1D-a</t>
  </si>
  <si>
    <t>SMHEA(1968) | YV11/T2B/Q5/1D-c</t>
  </si>
  <si>
    <t>SMHEA(1968) | YV32/1E/1D</t>
  </si>
  <si>
    <t>SMHEA(1968) | ZD/3B/2/VJ/19D-a</t>
  </si>
  <si>
    <t>HEC (1970) | I-4066</t>
  </si>
  <si>
    <t>HEC (1970) | I-4067</t>
  </si>
  <si>
    <t>HEC (1970) | I-4124</t>
  </si>
  <si>
    <t>HEC (1970) | II-4119/3</t>
  </si>
  <si>
    <t>HEC (1971) | I-4119/4</t>
  </si>
  <si>
    <t>HEC (1971) | III-4119/4</t>
  </si>
  <si>
    <t>Marsal (1971) | C-Cd</t>
  </si>
  <si>
    <t>Marsal (1971) | C-Cl</t>
  </si>
  <si>
    <t>Marsal (1971) | C-Dd</t>
  </si>
  <si>
    <t>Marsal (1971) | C-Ed</t>
  </si>
  <si>
    <t>Marsal (1971) | LA-Cd</t>
  </si>
  <si>
    <t>Marachi et al. (1972) | BL</t>
  </si>
  <si>
    <t>Marachi et al. (1972) | BM</t>
  </si>
  <si>
    <t>Marachi et al. (1972) | BS</t>
  </si>
  <si>
    <t>Marachi et al. (1972) | OL</t>
  </si>
  <si>
    <t>Marachi et al. (1972) | OM</t>
  </si>
  <si>
    <t>Marachi et al. (1972) | OS</t>
  </si>
  <si>
    <t>Marachi et al. (1972) | PL</t>
  </si>
  <si>
    <t>Marachi et al. (1972) | PM</t>
  </si>
  <si>
    <t>Marachi et al. (1972) | PS</t>
  </si>
  <si>
    <t>Marsal (1973) | M1</t>
  </si>
  <si>
    <t>Marsal (1973) | M10</t>
  </si>
  <si>
    <t>Marsal (1973) | M11</t>
  </si>
  <si>
    <t>Marsal (1973) | M12</t>
  </si>
  <si>
    <t>Marsal (1973) | M13</t>
  </si>
  <si>
    <t>Marsal (1973) | M14</t>
  </si>
  <si>
    <t>Marsal (1973) | M2</t>
  </si>
  <si>
    <t>Marsal (1973) | M3</t>
  </si>
  <si>
    <t>Marsal (1973) | M4</t>
  </si>
  <si>
    <t>Marsal (1973) | M5</t>
  </si>
  <si>
    <t>Marsal (1973) | M6</t>
  </si>
  <si>
    <t>Marsal (1973) | M7</t>
  </si>
  <si>
    <t>Marsal (1973) | M8</t>
  </si>
  <si>
    <t>Marsal (1973) | M9</t>
  </si>
  <si>
    <t>SMEC (1973) | WH11/1Q/1M - a</t>
  </si>
  <si>
    <t>SMEC (1973) | WH11/1Q/1M - b</t>
  </si>
  <si>
    <t>SMEC (1973) | WH11/1Q/1M - c</t>
  </si>
  <si>
    <t>SMEC (1973) | WH11/1Q/2M</t>
  </si>
  <si>
    <t>SMEC (1973) | WH11/1Q/3M</t>
  </si>
  <si>
    <t>SMEC (1973) | WH3/3E/3D</t>
  </si>
  <si>
    <t>Good (1976) | G</t>
  </si>
  <si>
    <t>Donaghe &amp; Cohen (1978) | D180</t>
  </si>
  <si>
    <t>Donaghe &amp; Cohen (1978) | D196</t>
  </si>
  <si>
    <t>Donaghe &amp; Cohen (1978) | D206</t>
  </si>
  <si>
    <t>Donaghe &amp; Cohen (1978) | D228</t>
  </si>
  <si>
    <t>Donaghe &amp; Cohen (1978) | D250</t>
  </si>
  <si>
    <t>Donaghe &amp; Cohen (1978) | D254</t>
  </si>
  <si>
    <t>Donaghe &amp; Cohen (1978) | D258</t>
  </si>
  <si>
    <t>Donaghe &amp; Cohen (1978) | D262</t>
  </si>
  <si>
    <t>Donaghe &amp; Cohen (1978) | D268</t>
  </si>
  <si>
    <t>Donaghe &amp; Cohen (1978) | D272</t>
  </si>
  <si>
    <t>Donaghe &amp; Cohen (1978) | D276</t>
  </si>
  <si>
    <t>Donaghe &amp; Cohen (1978) | D280</t>
  </si>
  <si>
    <t>Donaghe &amp; Torrey (1979) | 10,14</t>
  </si>
  <si>
    <t>Donaghe &amp; Torrey (1979) | 15,18</t>
  </si>
  <si>
    <t>Donaghe &amp; Torrey (1979) | 16,19</t>
  </si>
  <si>
    <t>Donaghe &amp; Torrey (1979) | 17,20</t>
  </si>
  <si>
    <t>Donaghe &amp; Torrey (1979) | 7,11</t>
  </si>
  <si>
    <t>Donaghe &amp; Torrey (1979) | 8,12</t>
  </si>
  <si>
    <t>Alva-Hurtado et al. (1981) | Al-comp</t>
  </si>
  <si>
    <t>Alva-Hurtado et al. (1981) | Al-uncomp</t>
  </si>
  <si>
    <t>Charles &amp; Watts (1980) | A</t>
  </si>
  <si>
    <t>SMEC (1976-80) | UC13/TRH-a</t>
  </si>
  <si>
    <t>SMEC (1976-80) | UC13/TRH-b</t>
  </si>
  <si>
    <t>SMEC (1976-80) | UC13/TRS</t>
  </si>
  <si>
    <t>SMEC (1976-80) | UC13/TRS/2-a</t>
  </si>
  <si>
    <t>SMEC (1976-80) | UC13/TRS/3-a</t>
  </si>
  <si>
    <t>SMEC (1976-80) | UC13/TRS/4-a</t>
  </si>
  <si>
    <t>SMEC (1976-80) | UC13/TRS/4-b</t>
  </si>
  <si>
    <t>SMEC (1976-80) | UC25/3A/19T-a</t>
  </si>
  <si>
    <t>SMEC (1976-80) | UC25/3A/3T-a</t>
  </si>
  <si>
    <t>SMEC (1976-80) | UC25/3A/4T-a</t>
  </si>
  <si>
    <t>SMEC (1976-80) | UC25/3A/7T-a</t>
  </si>
  <si>
    <t>SMEC (1976-80) | UC25/4/15T-a</t>
  </si>
  <si>
    <t>SMEC (1976-80) | UC25/4/1T-a</t>
  </si>
  <si>
    <t>SMEC (1976-80) | UC25/4/6T-a</t>
  </si>
  <si>
    <t>SMEC (1976-80) | UC25/4/9T-a</t>
  </si>
  <si>
    <t>Al-Hussaini (1983) | A1</t>
  </si>
  <si>
    <t>Al-Hussaini (1983) | A13</t>
  </si>
  <si>
    <t>Al-Hussaini (1983) | A17</t>
  </si>
  <si>
    <t>Al-Hussaini (1983) | A18</t>
  </si>
  <si>
    <t>Al-Hussaini (1983) | A21</t>
  </si>
  <si>
    <t>Al-Hussaini (1983) | A25</t>
  </si>
  <si>
    <t>Al-Hussaini (1983) | A29</t>
  </si>
  <si>
    <t>Al-Hussaini (1983) | A33</t>
  </si>
  <si>
    <t>Al-Hussaini (1983) | A5</t>
  </si>
  <si>
    <t>Al-Hussaini (1983) | A9</t>
  </si>
  <si>
    <t>HEC (1984) | B-4479</t>
  </si>
  <si>
    <t>HEC (1984) | R-4479</t>
  </si>
  <si>
    <t>Naylor et al. (1986) | N</t>
  </si>
  <si>
    <t>Siddiqi et al. (1987) | Sid1</t>
  </si>
  <si>
    <t>Ayers et al. (1989) | B10</t>
  </si>
  <si>
    <t>Ayers et al. (1989) | B11</t>
  </si>
  <si>
    <t>Ayers et al. (1989) | B12</t>
  </si>
  <si>
    <t>Ayers et al. (1989) | B13</t>
  </si>
  <si>
    <t>Ayers et al. (1989) | B14</t>
  </si>
  <si>
    <t>Ayers et al. (1989) | B15</t>
  </si>
  <si>
    <t>Ayers et al. (1989) | B7</t>
  </si>
  <si>
    <t>Ayers et al. (1989) | B8</t>
  </si>
  <si>
    <t>Ayers et al. (1989) | B9</t>
  </si>
  <si>
    <t>Ayers et al. (1989) | CD4</t>
  </si>
  <si>
    <t>Ayers et al. (1989) | CD5</t>
  </si>
  <si>
    <t>Ayers et al. (1989) | CD6</t>
  </si>
  <si>
    <t>Raad et al. (1989) | CLS1b</t>
  </si>
  <si>
    <t>Raad et al. (1989) | CLS2a</t>
  </si>
  <si>
    <t>Raad et al. (1989) | CLS2b</t>
  </si>
  <si>
    <t>Raad et al. (1989) | CLS3a</t>
  </si>
  <si>
    <t>Raad et al. (1989) | CLS3b</t>
  </si>
  <si>
    <t>Nishio &amp; Tamaoki (1990) | recon</t>
  </si>
  <si>
    <t>Nishio &amp; Tamaoki (1990) | undis</t>
  </si>
  <si>
    <t>Goto et al. (1992) | low-dis</t>
  </si>
  <si>
    <t>Goto et al. (1992) | low-undis</t>
  </si>
  <si>
    <t>Goto et al. (1992) | up-dis</t>
  </si>
  <si>
    <t>Goto et al. (1992) | up-undis</t>
  </si>
  <si>
    <t>Indraratna et al (1993) | IWB-A</t>
  </si>
  <si>
    <t>Indraratna et al (1993) | IWB-B</t>
  </si>
  <si>
    <t>Indraratna et al (1998) | IIC-A</t>
  </si>
  <si>
    <t>Indraratna et al (1998) | IIC-B</t>
  </si>
  <si>
    <t>Ionescu and Indraratna (2003) | A fresh</t>
  </si>
  <si>
    <t>Ionescu and Indraratna (2003) | A recycled</t>
  </si>
  <si>
    <t>Ionescu and Indraratna (2003) | B fresh</t>
  </si>
  <si>
    <t>Ionescu and Indraratna (2003) | B recycled</t>
  </si>
  <si>
    <t>Ionescu and Indraratna (2003) | C recycled</t>
  </si>
  <si>
    <t>Tosun et al. (1999) | A</t>
  </si>
  <si>
    <t>Tosun et al. (1999) | B</t>
  </si>
  <si>
    <t>Tosun et al. (1999) | C</t>
  </si>
  <si>
    <t>Tosun et al. (1999) | D80</t>
  </si>
  <si>
    <t>Tosun et al. (1999) | D90A</t>
  </si>
  <si>
    <t>Tosun et al. (1999) | D90B</t>
  </si>
  <si>
    <t>Tosun et al. (1999) | E</t>
  </si>
  <si>
    <t>Tosun et al. (1999) | F</t>
  </si>
  <si>
    <t>Ovalle et al (2014) | CP1</t>
  </si>
  <si>
    <t>Ovalle et al (2014) | CP2</t>
  </si>
  <si>
    <t>Ovalle et al (2014) | STV1</t>
  </si>
  <si>
    <t>Ovalle et al (2014) | STV2</t>
  </si>
  <si>
    <t>Xiao et al. (2014) | e=0.189</t>
  </si>
  <si>
    <t>Xiao et al. (2014) | e=0.244</t>
  </si>
  <si>
    <t>Xiao et al. (2014) | e=0.285</t>
  </si>
  <si>
    <t>Xiao et al. (2014) | e=0.317</t>
  </si>
  <si>
    <t>Alonso et al (2016) | Specimen 2</t>
  </si>
  <si>
    <t>Ovalle et al. (2020) | 1</t>
  </si>
  <si>
    <t>Ovalle et al. (2020) | 2</t>
  </si>
  <si>
    <t>Ovalle et al. (2020) | 3</t>
  </si>
  <si>
    <t>q obs (MPa)</t>
  </si>
  <si>
    <t>σ′n obs, DS (MPa)</t>
  </si>
  <si>
    <t>τ obs, DS (MPa)</t>
  </si>
  <si>
    <t>a = tan(φ′e0 − ω·e0)·(10pa)^(1−m)</t>
  </si>
  <si>
    <t>Newton 1: σ′n (MPa)</t>
  </si>
  <si>
    <t>Newton 2: σ′n (MPa)</t>
  </si>
  <si>
    <t>Newton 3: σ′n (MPa)</t>
  </si>
  <si>
    <t>Newton 4: σ′n (MPa)</t>
  </si>
  <si>
    <t>Newton 5: σ′n (MPa)</t>
  </si>
  <si>
    <t>Newton 6: σ′n (MPa)</t>
  </si>
  <si>
    <t>Newton 7: σ′n (MPa)</t>
  </si>
  <si>
    <t>Newton 8: σ′n (MPa)</t>
  </si>
  <si>
    <t>Newton 9: σ′n (MPa)</t>
  </si>
  <si>
    <t>Newton 10: σ′n (MPa)</t>
  </si>
  <si>
    <t>tan φ′t</t>
  </si>
  <si>
    <t>R (MPa)</t>
  </si>
  <si>
    <t>q pred (MPa)</t>
  </si>
  <si>
    <t>Residuo</t>
  </si>
  <si>
    <t>Residuo²</t>
  </si>
  <si>
    <t>TX</t>
  </si>
  <si>
    <t>DS</t>
  </si>
  <si>
    <t>SSE</t>
  </si>
  <si>
    <t>Control: ajuste global por mínimos cuadrados (Solver: minimizar Z40 cambiando Parametros!$B$2). La curva propuesta no usa este estimador sino la media por set (hoja phi1_vs_e, a33).</t>
  </si>
  <si>
    <t>Tangencia: σ′3 = σ′n + τ·tan φ′t − τ·√(1 + tan² φ′t) (círculo de Mohr tangente a la curva), resuelta con 10 pasos de Newton; q = 2R, R = τ·√(1 + tan² φ′t).</t>
  </si>
  <si>
    <t>σ′n tangencia (MPa)</t>
  </si>
  <si>
    <t>φ′t (°)</t>
  </si>
  <si>
    <t>c′t (kPa)</t>
  </si>
  <si>
    <t>σ′1 − σ′3 (MPa)</t>
  </si>
  <si>
    <t>a</t>
  </si>
  <si>
    <t>Newton 1</t>
  </si>
  <si>
    <t>Newton 2</t>
  </si>
  <si>
    <t>Newton 3</t>
  </si>
  <si>
    <t>Newton 4</t>
  </si>
  <si>
    <t>Newton 5</t>
  </si>
  <si>
    <t>Newton 6</t>
  </si>
  <si>
    <t>Newton 7</t>
  </si>
  <si>
    <t>Newton 8</t>
  </si>
  <si>
    <t>Newton 9</t>
  </si>
  <si>
    <t>Newton 10</t>
  </si>
  <si>
    <t>σ′n de tangencia: σ′3 = σ′n + τ·tan φ′t − τ·√(1 + tan² φ′t), resuelta con 10 pasos de Newton (columnas H a Q); tan φ′t = m·τ/σ′n, c′t = (1 − m)·τ.</t>
  </si>
  <si>
    <t>Material</t>
  </si>
  <si>
    <t>γ (kN/m³)</t>
  </si>
  <si>
    <t>w</t>
  </si>
  <si>
    <t>Gs</t>
  </si>
  <si>
    <t>γw</t>
  </si>
  <si>
    <t>ROM</t>
  </si>
  <si>
    <t>SDA, INF-115-R-0005 (Stantec 2025), valor adoptado</t>
  </si>
  <si>
    <t>DDE, INF-115-R-0004, Tabla 9-3</t>
  </si>
  <si>
    <t>Golder 2010, citado en el DDE (p. 59)</t>
  </si>
  <si>
    <t>Chancado</t>
  </si>
  <si>
    <t>Golder 2010, citado en el DDE</t>
  </si>
  <si>
    <t>SDA, valor adoptado</t>
  </si>
  <si>
    <t>Enrocado 3B</t>
  </si>
  <si>
    <t>DDE y SDA</t>
  </si>
  <si>
    <t>Profundidad (m)</t>
  </si>
  <si>
    <t>σ′v perfil A (MPa)</t>
  </si>
  <si>
    <t>σ′v perfil V (MPa)</t>
  </si>
  <si>
    <t>Valenzuela et al. (2008), curva de diseño (lectura de la figura): altura (m)</t>
  </si>
  <si>
    <t>γd (t/m³)</t>
  </si>
  <si>
    <t>Ensayo</t>
  </si>
  <si>
    <t>Diámetro (mm)</t>
  </si>
  <si>
    <t>Cc1 (0.2–0.8 MPa)</t>
  </si>
  <si>
    <t>Cc2 (1.2–4.8 MPa)</t>
  </si>
  <si>
    <t>e a 300 m</t>
  </si>
  <si>
    <t>e a 700 m</t>
  </si>
  <si>
    <t>INT-edo-0.6m-C4 (IDIEM/WSP)</t>
  </si>
  <si>
    <t>HF-edo-1.0m (IDIEM)</t>
  </si>
  <si>
    <t>MN-edo-1.0m-2021 (IDIEM)</t>
  </si>
  <si>
    <t>MN-edo-1.0m-2011 (IDIEM 708.397-A)</t>
  </si>
  <si>
    <t>MN-edo-0.24m-1.86 (Golder Test 1)</t>
  </si>
  <si>
    <t>HF-edo-0.24m-2.1 (Golder)</t>
  </si>
  <si>
    <t>HF-edo-0.24m-1.8 (Golder)</t>
  </si>
  <si>
    <t>MN-edo-0.24m-2.3 (Golder)</t>
  </si>
  <si>
    <t>D lab (mm)</t>
  </si>
  <si>
    <t>m_w</t>
  </si>
  <si>
    <t>D campo (mm)</t>
  </si>
  <si>
    <t>λ = (Dlab/Dcampo)^(3/mw)</t>
  </si>
  <si>
    <t>Factor sobre τ = λ^(1−m)</t>
  </si>
  <si>
    <t>φ′1 (°)</t>
  </si>
  <si>
    <t>Diferencia (°)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</si>
</sst>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1F4E9E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8E6F2"/>
      </patternFill>
    </fill>
    <fill>
      <patternFill patternType="solid">
        <fgColor rgb="FF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3" borderId="0" xfId="0" applyFont="1" applyFill="1"/>
    <xf numFmtId="0" fontId="3" fillId="0" borderId="0" xfId="0" applyFont="1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Ángulo de fricción secante a e base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Curva propuesta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Curva!$A$7:$A$30</c:f>
              <c:numCache>
                <c:formatCode>General</c:formatCode>
                <c:ptCount val="24"/>
                <c:pt idx="0">
                  <c:v>0.1</c:v>
                </c:pt>
                <c:pt idx="1">
                  <c:v>0.15</c:v>
                </c:pt>
                <c:pt idx="2">
                  <c:v>0.2</c:v>
                </c:pt>
                <c:pt idx="3">
                  <c:v>0.3</c:v>
                </c:pt>
                <c:pt idx="4">
                  <c:v>0.5</c:v>
                </c:pt>
                <c:pt idx="5">
                  <c:v>0.7</c:v>
                </c:pt>
                <c:pt idx="6">
                  <c:v>1</c:v>
                </c:pt>
                <c:pt idx="7">
                  <c:v>1.5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4.5999999999999996</c:v>
                </c:pt>
                <c:pt idx="12">
                  <c:v>5</c:v>
                </c:pt>
                <c:pt idx="13">
                  <c:v>6</c:v>
                </c:pt>
                <c:pt idx="14">
                  <c:v>7</c:v>
                </c:pt>
                <c:pt idx="15">
                  <c:v>7.86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11</c:v>
                </c:pt>
                <c:pt idx="20">
                  <c:v>12</c:v>
                </c:pt>
                <c:pt idx="21">
                  <c:v>13</c:v>
                </c:pt>
                <c:pt idx="22">
                  <c:v>14</c:v>
                </c:pt>
                <c:pt idx="23">
                  <c:v>15</c:v>
                </c:pt>
              </c:numCache>
            </c:numRef>
          </c:xVal>
          <c:yVal>
            <c:numRef>
              <c:f>Curva!$D$7:$D$30</c:f>
              <c:numCache>
                <c:formatCode>General</c:formatCode>
                <c:ptCount val="24"/>
                <c:pt idx="0">
                  <c:v>49.368919714780567</c:v>
                </c:pt>
                <c:pt idx="1">
                  <c:v>47.639852001677987</c:v>
                </c:pt>
                <c:pt idx="2">
                  <c:v>46.406807511220535</c:v>
                </c:pt>
                <c:pt idx="3">
                  <c:v>44.665022943488822</c:v>
                </c:pt>
                <c:pt idx="4">
                  <c:v>42.473186568435885</c:v>
                </c:pt>
                <c:pt idx="5">
                  <c:v>41.036724093786944</c:v>
                </c:pt>
                <c:pt idx="6">
                  <c:v>39.524960122521513</c:v>
                </c:pt>
                <c:pt idx="7">
                  <c:v>37.825169784041414</c:v>
                </c:pt>
                <c:pt idx="8">
                  <c:v>36.634241362260084</c:v>
                </c:pt>
                <c:pt idx="9">
                  <c:v>34.981092687766171</c:v>
                </c:pt>
                <c:pt idx="10">
                  <c:v>33.828558709171361</c:v>
                </c:pt>
                <c:pt idx="11">
                  <c:v>33.275306584381838</c:v>
                </c:pt>
                <c:pt idx="12">
                  <c:v>32.947416147431795</c:v>
                </c:pt>
                <c:pt idx="13">
                  <c:v>32.236319848551815</c:v>
                </c:pt>
                <c:pt idx="14">
                  <c:v>31.64158228980239</c:v>
                </c:pt>
                <c:pt idx="15">
                  <c:v>31.198551584568516</c:v>
                </c:pt>
                <c:pt idx="16">
                  <c:v>31.131361494139746</c:v>
                </c:pt>
                <c:pt idx="17">
                  <c:v>30.685240507457301</c:v>
                </c:pt>
                <c:pt idx="18">
                  <c:v>30.289355853727038</c:v>
                </c:pt>
                <c:pt idx="19">
                  <c:v>29.93387050233035</c:v>
                </c:pt>
                <c:pt idx="20">
                  <c:v>29.611556558471808</c:v>
                </c:pt>
                <c:pt idx="21">
                  <c:v>29.316950355047766</c:v>
                </c:pt>
                <c:pt idx="22">
                  <c:v>29.045823437290593</c:v>
                </c:pt>
                <c:pt idx="23">
                  <c:v>28.794837679589438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86-44A5-B4B3-4810AF40223B}"/>
            </c:ext>
          </c:extLst>
        </c:ser>
        <c:ser>
          <c:idx val="1"/>
          <c:order val="1"/>
          <c:tx>
            <c:v>Banda inferior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Curva!$A$7:$A$30</c:f>
              <c:numCache>
                <c:formatCode>General</c:formatCode>
                <c:ptCount val="24"/>
                <c:pt idx="0">
                  <c:v>0.1</c:v>
                </c:pt>
                <c:pt idx="1">
                  <c:v>0.15</c:v>
                </c:pt>
                <c:pt idx="2">
                  <c:v>0.2</c:v>
                </c:pt>
                <c:pt idx="3">
                  <c:v>0.3</c:v>
                </c:pt>
                <c:pt idx="4">
                  <c:v>0.5</c:v>
                </c:pt>
                <c:pt idx="5">
                  <c:v>0.7</c:v>
                </c:pt>
                <c:pt idx="6">
                  <c:v>1</c:v>
                </c:pt>
                <c:pt idx="7">
                  <c:v>1.5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4.5999999999999996</c:v>
                </c:pt>
                <c:pt idx="12">
                  <c:v>5</c:v>
                </c:pt>
                <c:pt idx="13">
                  <c:v>6</c:v>
                </c:pt>
                <c:pt idx="14">
                  <c:v>7</c:v>
                </c:pt>
                <c:pt idx="15">
                  <c:v>7.86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11</c:v>
                </c:pt>
                <c:pt idx="20">
                  <c:v>12</c:v>
                </c:pt>
                <c:pt idx="21">
                  <c:v>13</c:v>
                </c:pt>
                <c:pt idx="22">
                  <c:v>14</c:v>
                </c:pt>
                <c:pt idx="23">
                  <c:v>15</c:v>
                </c:pt>
              </c:numCache>
            </c:numRef>
          </c:xVal>
          <c:yVal>
            <c:numRef>
              <c:f>Curva!$E$7:$E$30</c:f>
              <c:numCache>
                <c:formatCode>General</c:formatCode>
                <c:ptCount val="24"/>
                <c:pt idx="0">
                  <c:v>46.579676279986373</c:v>
                </c:pt>
                <c:pt idx="1">
                  <c:v>44.977508082211116</c:v>
                </c:pt>
                <c:pt idx="2">
                  <c:v>43.840499951088837</c:v>
                </c:pt>
                <c:pt idx="3">
                  <c:v>42.241486572927634</c:v>
                </c:pt>
                <c:pt idx="4">
                  <c:v>40.23976905852993</c:v>
                </c:pt>
                <c:pt idx="5">
                  <c:v>38.899026404333114</c:v>
                </c:pt>
                <c:pt idx="6">
                  <c:v>37.410065270115922</c:v>
                </c:pt>
                <c:pt idx="7">
                  <c:v>35.613214513112482</c:v>
                </c:pt>
                <c:pt idx="8">
                  <c:v>34.328249002223387</c:v>
                </c:pt>
                <c:pt idx="9">
                  <c:v>32.555244731304185</c:v>
                </c:pt>
                <c:pt idx="10">
                  <c:v>31.326991414614177</c:v>
                </c:pt>
                <c:pt idx="11">
                  <c:v>30.739797558931674</c:v>
                </c:pt>
                <c:pt idx="12">
                  <c:v>30.392548936016127</c:v>
                </c:pt>
                <c:pt idx="13">
                  <c:v>29.641449647034978</c:v>
                </c:pt>
                <c:pt idx="14">
                  <c:v>29.015379308789061</c:v>
                </c:pt>
                <c:pt idx="15">
                  <c:v>28.550293346862958</c:v>
                </c:pt>
                <c:pt idx="16">
                  <c:v>28.479855450996784</c:v>
                </c:pt>
                <c:pt idx="17">
                  <c:v>28.012825955117087</c:v>
                </c:pt>
                <c:pt idx="18">
                  <c:v>27.599351967258766</c:v>
                </c:pt>
                <c:pt idx="19">
                  <c:v>27.228855729163424</c:v>
                </c:pt>
                <c:pt idx="20">
                  <c:v>26.893580018866807</c:v>
                </c:pt>
                <c:pt idx="21">
                  <c:v>26.587671409505656</c:v>
                </c:pt>
                <c:pt idx="22">
                  <c:v>26.30660722235314</c:v>
                </c:pt>
                <c:pt idx="23">
                  <c:v>26.046822508529907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86-44A5-B4B3-4810AF40223B}"/>
            </c:ext>
          </c:extLst>
        </c:ser>
        <c:ser>
          <c:idx val="2"/>
          <c:order val="2"/>
          <c:tx>
            <c:v>Banda superior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Curva!$A$7:$A$30</c:f>
              <c:numCache>
                <c:formatCode>General</c:formatCode>
                <c:ptCount val="24"/>
                <c:pt idx="0">
                  <c:v>0.1</c:v>
                </c:pt>
                <c:pt idx="1">
                  <c:v>0.15</c:v>
                </c:pt>
                <c:pt idx="2">
                  <c:v>0.2</c:v>
                </c:pt>
                <c:pt idx="3">
                  <c:v>0.3</c:v>
                </c:pt>
                <c:pt idx="4">
                  <c:v>0.5</c:v>
                </c:pt>
                <c:pt idx="5">
                  <c:v>0.7</c:v>
                </c:pt>
                <c:pt idx="6">
                  <c:v>1</c:v>
                </c:pt>
                <c:pt idx="7">
                  <c:v>1.5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4.5999999999999996</c:v>
                </c:pt>
                <c:pt idx="12">
                  <c:v>5</c:v>
                </c:pt>
                <c:pt idx="13">
                  <c:v>6</c:v>
                </c:pt>
                <c:pt idx="14">
                  <c:v>7</c:v>
                </c:pt>
                <c:pt idx="15">
                  <c:v>7.86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11</c:v>
                </c:pt>
                <c:pt idx="20">
                  <c:v>12</c:v>
                </c:pt>
                <c:pt idx="21">
                  <c:v>13</c:v>
                </c:pt>
                <c:pt idx="22">
                  <c:v>14</c:v>
                </c:pt>
                <c:pt idx="23">
                  <c:v>15</c:v>
                </c:pt>
              </c:numCache>
            </c:numRef>
          </c:xVal>
          <c:yVal>
            <c:numRef>
              <c:f>Curva!$F$7:$F$30</c:f>
              <c:numCache>
                <c:formatCode>General</c:formatCode>
                <c:ptCount val="24"/>
                <c:pt idx="0">
                  <c:v>52.548634887957874</c:v>
                </c:pt>
                <c:pt idx="1">
                  <c:v>50.671901517716194</c:v>
                </c:pt>
                <c:pt idx="2">
                  <c:v>49.32471727967237</c:v>
                </c:pt>
                <c:pt idx="3">
                  <c:v>47.410179927419684</c:v>
                </c:pt>
                <c:pt idx="4">
                  <c:v>44.983771557350771</c:v>
                </c:pt>
                <c:pt idx="5">
                  <c:v>43.384517983412465</c:v>
                </c:pt>
                <c:pt idx="6">
                  <c:v>41.694832546375565</c:v>
                </c:pt>
                <c:pt idx="7">
                  <c:v>39.898240771267858</c:v>
                </c:pt>
                <c:pt idx="8">
                  <c:v>38.78311200697469</c:v>
                </c:pt>
                <c:pt idx="9">
                  <c:v>37.227897962412371</c:v>
                </c:pt>
                <c:pt idx="10">
                  <c:v>36.138243520450949</c:v>
                </c:pt>
                <c:pt idx="11">
                  <c:v>35.613504130731897</c:v>
                </c:pt>
                <c:pt idx="12">
                  <c:v>35.301982432015187</c:v>
                </c:pt>
                <c:pt idx="13">
                  <c:v>34.624994547142705</c:v>
                </c:pt>
                <c:pt idx="14">
                  <c:v>34.057283290825502</c:v>
                </c:pt>
                <c:pt idx="15">
                  <c:v>33.633471459160234</c:v>
                </c:pt>
                <c:pt idx="16">
                  <c:v>33.569126806244732</c:v>
                </c:pt>
                <c:pt idx="17">
                  <c:v>33.141428830317707</c:v>
                </c:pt>
                <c:pt idx="18">
                  <c:v>32.761199206658382</c:v>
                </c:pt>
                <c:pt idx="19">
                  <c:v>32.419205532662907</c:v>
                </c:pt>
                <c:pt idx="20">
                  <c:v>32.108654067476138</c:v>
                </c:pt>
                <c:pt idx="21">
                  <c:v>31.824402287410049</c:v>
                </c:pt>
                <c:pt idx="22">
                  <c:v>31.562465221966317</c:v>
                </c:pt>
                <c:pt idx="23">
                  <c:v>31.319693237230645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986-44A5-B4B3-4810AF40223B}"/>
            </c:ext>
          </c:extLst>
        </c:ser>
        <c:ser>
          <c:idx val="3"/>
          <c:order val="3"/>
          <c:tx>
            <c:v>Cota de Indraratna et al. (1993)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Curva!$A$7:$A$30</c:f>
              <c:numCache>
                <c:formatCode>General</c:formatCode>
                <c:ptCount val="24"/>
                <c:pt idx="0">
                  <c:v>0.1</c:v>
                </c:pt>
                <c:pt idx="1">
                  <c:v>0.15</c:v>
                </c:pt>
                <c:pt idx="2">
                  <c:v>0.2</c:v>
                </c:pt>
                <c:pt idx="3">
                  <c:v>0.3</c:v>
                </c:pt>
                <c:pt idx="4">
                  <c:v>0.5</c:v>
                </c:pt>
                <c:pt idx="5">
                  <c:v>0.7</c:v>
                </c:pt>
                <c:pt idx="6">
                  <c:v>1</c:v>
                </c:pt>
                <c:pt idx="7">
                  <c:v>1.5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4.5999999999999996</c:v>
                </c:pt>
                <c:pt idx="12">
                  <c:v>5</c:v>
                </c:pt>
                <c:pt idx="13">
                  <c:v>6</c:v>
                </c:pt>
                <c:pt idx="14">
                  <c:v>7</c:v>
                </c:pt>
                <c:pt idx="15">
                  <c:v>7.86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11</c:v>
                </c:pt>
                <c:pt idx="20">
                  <c:v>12</c:v>
                </c:pt>
                <c:pt idx="21">
                  <c:v>13</c:v>
                </c:pt>
                <c:pt idx="22">
                  <c:v>14</c:v>
                </c:pt>
                <c:pt idx="23">
                  <c:v>15</c:v>
                </c:pt>
              </c:numCache>
            </c:numRef>
          </c:xVal>
          <c:yVal>
            <c:numRef>
              <c:f>Curva!$O$7:$O$30</c:f>
              <c:numCache>
                <c:formatCode>General</c:formatCode>
                <c:ptCount val="24"/>
                <c:pt idx="0">
                  <c:v>39.304180852807264</c:v>
                </c:pt>
                <c:pt idx="1">
                  <c:v>38.170336025373274</c:v>
                </c:pt>
                <c:pt idx="2">
                  <c:v>37.372314516984503</c:v>
                </c:pt>
                <c:pt idx="3">
                  <c:v>36.257911831099328</c:v>
                </c:pt>
                <c:pt idx="4">
                  <c:v>34.873311480200165</c:v>
                </c:pt>
                <c:pt idx="5">
                  <c:v>33.974382176565491</c:v>
                </c:pt>
                <c:pt idx="6">
                  <c:v>33.033812119294964</c:v>
                </c:pt>
                <c:pt idx="7">
                  <c:v>31.98102826250555</c:v>
                </c:pt>
                <c:pt idx="8">
                  <c:v>31.245265134450754</c:v>
                </c:pt>
                <c:pt idx="9">
                  <c:v>30.224831068232501</c:v>
                </c:pt>
                <c:pt idx="10">
                  <c:v>29.513021215221062</c:v>
                </c:pt>
                <c:pt idx="11">
                  <c:v>29.170967427874672</c:v>
                </c:pt>
                <c:pt idx="12">
                  <c:v>28.968087710776153</c:v>
                </c:pt>
                <c:pt idx="13">
                  <c:v>28.527602548333089</c:v>
                </c:pt>
                <c:pt idx="14">
                  <c:v>28.158565652304539</c:v>
                </c:pt>
                <c:pt idx="15">
                  <c:v>27.883223717631829</c:v>
                </c:pt>
                <c:pt idx="16">
                  <c:v>27.841429343128844</c:v>
                </c:pt>
                <c:pt idx="17">
                  <c:v>27.563668829385282</c:v>
                </c:pt>
                <c:pt idx="18">
                  <c:v>27.316782831696422</c:v>
                </c:pt>
                <c:pt idx="19">
                  <c:v>27.094740075187069</c:v>
                </c:pt>
                <c:pt idx="20">
                  <c:v>26.893108961986318</c:v>
                </c:pt>
                <c:pt idx="21">
                  <c:v>26.708539166351187</c:v>
                </c:pt>
                <c:pt idx="22">
                  <c:v>26.538437248205462</c:v>
                </c:pt>
                <c:pt idx="23">
                  <c:v>26.380755269082954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986-44A5-B4B3-4810AF40223B}"/>
            </c:ext>
          </c:extLst>
        </c:ser>
        <c:ser>
          <c:idx val="4"/>
          <c:order val="4"/>
          <c:tx>
            <c:v>Cota de Hawley y Cunning (2017)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Curva!$A$7:$A$30</c:f>
              <c:numCache>
                <c:formatCode>General</c:formatCode>
                <c:ptCount val="24"/>
                <c:pt idx="0">
                  <c:v>0.1</c:v>
                </c:pt>
                <c:pt idx="1">
                  <c:v>0.15</c:v>
                </c:pt>
                <c:pt idx="2">
                  <c:v>0.2</c:v>
                </c:pt>
                <c:pt idx="3">
                  <c:v>0.3</c:v>
                </c:pt>
                <c:pt idx="4">
                  <c:v>0.5</c:v>
                </c:pt>
                <c:pt idx="5">
                  <c:v>0.7</c:v>
                </c:pt>
                <c:pt idx="6">
                  <c:v>1</c:v>
                </c:pt>
                <c:pt idx="7">
                  <c:v>1.5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4.5999999999999996</c:v>
                </c:pt>
                <c:pt idx="12">
                  <c:v>5</c:v>
                </c:pt>
                <c:pt idx="13">
                  <c:v>6</c:v>
                </c:pt>
                <c:pt idx="14">
                  <c:v>7</c:v>
                </c:pt>
                <c:pt idx="15">
                  <c:v>7.86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11</c:v>
                </c:pt>
                <c:pt idx="20">
                  <c:v>12</c:v>
                </c:pt>
                <c:pt idx="21">
                  <c:v>13</c:v>
                </c:pt>
                <c:pt idx="22">
                  <c:v>14</c:v>
                </c:pt>
                <c:pt idx="23">
                  <c:v>15</c:v>
                </c:pt>
              </c:numCache>
            </c:numRef>
          </c:xVal>
          <c:yVal>
            <c:numRef>
              <c:f>Curva!$P$7:$P$30</c:f>
              <c:numCache>
                <c:formatCode>General</c:formatCode>
                <c:ptCount val="24"/>
                <c:pt idx="0">
                  <c:v>42.113572430950413</c:v>
                </c:pt>
                <c:pt idx="1">
                  <c:v>40.937557018035015</c:v>
                </c:pt>
                <c:pt idx="2">
                  <c:v>40.107203219988016</c:v>
                </c:pt>
                <c:pt idx="3">
                  <c:v>38.944052096003013</c:v>
                </c:pt>
                <c:pt idx="4">
                  <c:v>37.493174858423387</c:v>
                </c:pt>
                <c:pt idx="5">
                  <c:v>36.547917755206917</c:v>
                </c:pt>
                <c:pt idx="6">
                  <c:v>35.556170320309292</c:v>
                </c:pt>
                <c:pt idx="7">
                  <c:v>34.442914390896803</c:v>
                </c:pt>
                <c:pt idx="8">
                  <c:v>33.662945911106483</c:v>
                </c:pt>
                <c:pt idx="9">
                  <c:v>32.578641639058816</c:v>
                </c:pt>
                <c:pt idx="10">
                  <c:v>31.820570173082562</c:v>
                </c:pt>
                <c:pt idx="11">
                  <c:v>31.455800079104083</c:v>
                </c:pt>
                <c:pt idx="12">
                  <c:v>31.239300499943187</c:v>
                </c:pt>
                <c:pt idx="13">
                  <c:v>30.768874775634856</c:v>
                </c:pt>
                <c:pt idx="14">
                  <c:v>30.374370168131389</c:v>
                </c:pt>
                <c:pt idx="15">
                  <c:v>30.079802593929827</c:v>
                </c:pt>
                <c:pt idx="16">
                  <c:v>30.035073401454891</c:v>
                </c:pt>
                <c:pt idx="17">
                  <c:v>29.737698750251695</c:v>
                </c:pt>
                <c:pt idx="18">
                  <c:v>29.473220310816686</c:v>
                </c:pt>
                <c:pt idx="19">
                  <c:v>29.235229601132769</c:v>
                </c:pt>
                <c:pt idx="20">
                  <c:v>29.01901461672696</c:v>
                </c:pt>
                <c:pt idx="21">
                  <c:v>28.821010850428006</c:v>
                </c:pt>
                <c:pt idx="22">
                  <c:v>28.638457536754313</c:v>
                </c:pt>
                <c:pt idx="23">
                  <c:v>28.469173507227122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986-44A5-B4B3-4810AF40223B}"/>
            </c:ext>
          </c:extLst>
        </c:ser>
        <c:ser>
          <c:idx val="5"/>
          <c:order val="5"/>
          <c:tx>
            <c:v>Ensayos del ajuste, a e base</c:v>
          </c:tx>
          <c:spPr>
            <a:ln>
              <a:noFill/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Ensayos!$M$2:$M$38</c:f>
              <c:numCache>
                <c:formatCode>General</c:formatCode>
                <c:ptCount val="37"/>
                <c:pt idx="0">
                  <c:v>0.86357733521236113</c:v>
                </c:pt>
                <c:pt idx="1">
                  <c:v>0.8560779364979787</c:v>
                </c:pt>
                <c:pt idx="2">
                  <c:v>1.6605833688704599</c:v>
                </c:pt>
                <c:pt idx="3">
                  <c:v>3.3192324716848014</c:v>
                </c:pt>
                <c:pt idx="4">
                  <c:v>3.3755654561525059</c:v>
                </c:pt>
                <c:pt idx="5">
                  <c:v>0.16495993441958273</c:v>
                </c:pt>
                <c:pt idx="6">
                  <c:v>0.70903224845500401</c:v>
                </c:pt>
                <c:pt idx="7">
                  <c:v>2.1396129831693287</c:v>
                </c:pt>
                <c:pt idx="8">
                  <c:v>1.7575705949619653</c:v>
                </c:pt>
                <c:pt idx="9">
                  <c:v>3.6122715047967535</c:v>
                </c:pt>
                <c:pt idx="10">
                  <c:v>4.5584655500515883</c:v>
                </c:pt>
                <c:pt idx="11">
                  <c:v>1.7509666535242077</c:v>
                </c:pt>
                <c:pt idx="12">
                  <c:v>3.6564497395231754</c:v>
                </c:pt>
                <c:pt idx="13">
                  <c:v>4.6225510450702192</c:v>
                </c:pt>
                <c:pt idx="14">
                  <c:v>1.7683375612630907</c:v>
                </c:pt>
                <c:pt idx="15">
                  <c:v>1.7526740094693098</c:v>
                </c:pt>
                <c:pt idx="16">
                  <c:v>0.84960335358030947</c:v>
                </c:pt>
                <c:pt idx="17">
                  <c:v>1.7107352635661277</c:v>
                </c:pt>
                <c:pt idx="18">
                  <c:v>3.4450385050327346</c:v>
                </c:pt>
                <c:pt idx="19">
                  <c:v>0.85394839344167561</c:v>
                </c:pt>
                <c:pt idx="20">
                  <c:v>1.7164809213140721</c:v>
                </c:pt>
                <c:pt idx="21">
                  <c:v>3.4161123414443368</c:v>
                </c:pt>
                <c:pt idx="22">
                  <c:v>0.3</c:v>
                </c:pt>
                <c:pt idx="23">
                  <c:v>0.6</c:v>
                </c:pt>
                <c:pt idx="24">
                  <c:v>1.2</c:v>
                </c:pt>
                <c:pt idx="25">
                  <c:v>0.3</c:v>
                </c:pt>
                <c:pt idx="26">
                  <c:v>0.6</c:v>
                </c:pt>
                <c:pt idx="27">
                  <c:v>1.2</c:v>
                </c:pt>
                <c:pt idx="28">
                  <c:v>0.3</c:v>
                </c:pt>
                <c:pt idx="29">
                  <c:v>0.6</c:v>
                </c:pt>
                <c:pt idx="30">
                  <c:v>1.2</c:v>
                </c:pt>
                <c:pt idx="31">
                  <c:v>0.3</c:v>
                </c:pt>
                <c:pt idx="32">
                  <c:v>0.6</c:v>
                </c:pt>
                <c:pt idx="33">
                  <c:v>1</c:v>
                </c:pt>
                <c:pt idx="34">
                  <c:v>0.3</c:v>
                </c:pt>
                <c:pt idx="35">
                  <c:v>0.6</c:v>
                </c:pt>
                <c:pt idx="36">
                  <c:v>1.2</c:v>
                </c:pt>
              </c:numCache>
            </c:numRef>
          </c:xVal>
          <c:yVal>
            <c:numRef>
              <c:f>Ensayos!$P$2:$P$38</c:f>
              <c:numCache>
                <c:formatCode>General</c:formatCode>
                <c:ptCount val="37"/>
                <c:pt idx="0">
                  <c:v>37.248734794031655</c:v>
                </c:pt>
                <c:pt idx="1">
                  <c:v>36.481336593666455</c:v>
                </c:pt>
                <c:pt idx="2">
                  <c:v>33.836781503509755</c:v>
                </c:pt>
                <c:pt idx="3">
                  <c:v>33.791689434973911</c:v>
                </c:pt>
                <c:pt idx="4">
                  <c:v>35.230918537231759</c:v>
                </c:pt>
                <c:pt idx="5">
                  <c:v>33.541828418735285</c:v>
                </c:pt>
                <c:pt idx="6">
                  <c:v>38.243205555883307</c:v>
                </c:pt>
                <c:pt idx="7">
                  <c:v>38.56997851384277</c:v>
                </c:pt>
                <c:pt idx="8">
                  <c:v>39.165822311796155</c:v>
                </c:pt>
                <c:pt idx="9">
                  <c:v>41.711333274550967</c:v>
                </c:pt>
                <c:pt idx="10">
                  <c:v>42.574756464550092</c:v>
                </c:pt>
                <c:pt idx="11">
                  <c:v>39.341219906467188</c:v>
                </c:pt>
                <c:pt idx="12">
                  <c:v>43.368440635743077</c:v>
                </c:pt>
                <c:pt idx="13">
                  <c:v>44.419852944221077</c:v>
                </c:pt>
                <c:pt idx="14">
                  <c:v>40.116081083979878</c:v>
                </c:pt>
                <c:pt idx="15">
                  <c:v>38.724286590131499</c:v>
                </c:pt>
                <c:pt idx="16">
                  <c:v>36.659855364112779</c:v>
                </c:pt>
                <c:pt idx="17">
                  <c:v>37.240392058668647</c:v>
                </c:pt>
                <c:pt idx="18">
                  <c:v>37.847638902145256</c:v>
                </c:pt>
                <c:pt idx="19">
                  <c:v>35.815885683896127</c:v>
                </c:pt>
                <c:pt idx="20">
                  <c:v>36.24596800464645</c:v>
                </c:pt>
                <c:pt idx="21">
                  <c:v>35.819582583698569</c:v>
                </c:pt>
                <c:pt idx="22">
                  <c:v>38.075394616601841</c:v>
                </c:pt>
                <c:pt idx="23">
                  <c:v>36.06533353485294</c:v>
                </c:pt>
                <c:pt idx="24">
                  <c:v>37.385324039556394</c:v>
                </c:pt>
                <c:pt idx="25">
                  <c:v>36.44058728498166</c:v>
                </c:pt>
                <c:pt idx="26">
                  <c:v>37.153816676728042</c:v>
                </c:pt>
                <c:pt idx="27">
                  <c:v>37.417028106072316</c:v>
                </c:pt>
                <c:pt idx="28">
                  <c:v>32.432185072281705</c:v>
                </c:pt>
                <c:pt idx="29">
                  <c:v>34.283674800624837</c:v>
                </c:pt>
                <c:pt idx="30">
                  <c:v>35.600811212136584</c:v>
                </c:pt>
                <c:pt idx="31">
                  <c:v>47.414515553349439</c:v>
                </c:pt>
                <c:pt idx="32">
                  <c:v>43.694336751997142</c:v>
                </c:pt>
                <c:pt idx="33">
                  <c:v>40.961237554695117</c:v>
                </c:pt>
                <c:pt idx="34">
                  <c:v>50.291617365002466</c:v>
                </c:pt>
                <c:pt idx="35">
                  <c:v>47.144178828164506</c:v>
                </c:pt>
                <c:pt idx="36">
                  <c:v>40.921818615154734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986-44A5-B4B3-4810AF402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logBase val="10"/>
          <c:orientation val="minMax"/>
          <c:max val="15"/>
          <c:min val="0.1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σ′n (MPa)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56"/>
          <c:min val="22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φ′s (°)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τ–σ′n a e base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Curva propuesta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Curva!$A$2:$A$30</c:f>
              <c:numCache>
                <c:formatCode>General</c:formatCode>
                <c:ptCount val="29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0.05</c:v>
                </c:pt>
                <c:pt idx="4">
                  <c:v>7.0000000000000007E-2</c:v>
                </c:pt>
                <c:pt idx="5">
                  <c:v>0.1</c:v>
                </c:pt>
                <c:pt idx="6">
                  <c:v>0.15</c:v>
                </c:pt>
                <c:pt idx="7">
                  <c:v>0.2</c:v>
                </c:pt>
                <c:pt idx="8">
                  <c:v>0.3</c:v>
                </c:pt>
                <c:pt idx="9">
                  <c:v>0.5</c:v>
                </c:pt>
                <c:pt idx="10">
                  <c:v>0.7</c:v>
                </c:pt>
                <c:pt idx="11">
                  <c:v>1</c:v>
                </c:pt>
                <c:pt idx="12">
                  <c:v>1.5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  <c:pt idx="16">
                  <c:v>4.5999999999999996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7.86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15</c:v>
                </c:pt>
              </c:numCache>
            </c:numRef>
          </c:xVal>
          <c:yVal>
            <c:numRef>
              <c:f>Curva!$C$2:$C$30</c:f>
              <c:numCache>
                <c:formatCode>General</c:formatCode>
                <c:ptCount val="29"/>
                <c:pt idx="0">
                  <c:v>1.6462277125683621E-2</c:v>
                </c:pt>
                <c:pt idx="1">
                  <c:v>2.9673269750300092E-2</c:v>
                </c:pt>
                <c:pt idx="2">
                  <c:v>4.1883500813431063E-2</c:v>
                </c:pt>
                <c:pt idx="3">
                  <c:v>6.4656830570325216E-2</c:v>
                </c:pt>
                <c:pt idx="4">
                  <c:v>8.6064339939760301E-2</c:v>
                </c:pt>
                <c:pt idx="5">
                  <c:v>0.11654399692491138</c:v>
                </c:pt>
                <c:pt idx="6">
                  <c:v>0.16450059703837214</c:v>
                </c:pt>
                <c:pt idx="7">
                  <c:v>0.2100706622861831</c:v>
                </c:pt>
                <c:pt idx="8">
                  <c:v>0.29651247836118128</c:v>
                </c:pt>
                <c:pt idx="9">
                  <c:v>0.45773530633901194</c:v>
                </c:pt>
                <c:pt idx="10">
                  <c:v>0.60928886646156688</c:v>
                </c:pt>
                <c:pt idx="11">
                  <c:v>0.82506831318268914</c:v>
                </c:pt>
                <c:pt idx="12">
                  <c:v>1.1645750420198935</c:v>
                </c:pt>
                <c:pt idx="13">
                  <c:v>1.4871863978828719</c:v>
                </c:pt>
                <c:pt idx="14">
                  <c:v>2.0991475907309121</c:v>
                </c:pt>
                <c:pt idx="15">
                  <c:v>2.6806548581609451</c:v>
                </c:pt>
                <c:pt idx="16">
                  <c:v>3.0187980810234536</c:v>
                </c:pt>
                <c:pt idx="17">
                  <c:v>3.240517804864854</c:v>
                </c:pt>
                <c:pt idx="18">
                  <c:v>3.7837154744692878</c:v>
                </c:pt>
                <c:pt idx="19">
                  <c:v>4.3134348448365625</c:v>
                </c:pt>
                <c:pt idx="20">
                  <c:v>4.7599136306498373</c:v>
                </c:pt>
                <c:pt idx="21">
                  <c:v>4.8318828620350409</c:v>
                </c:pt>
                <c:pt idx="22">
                  <c:v>5.3406736597042359</c:v>
                </c:pt>
                <c:pt idx="23">
                  <c:v>5.8410363414661646</c:v>
                </c:pt>
                <c:pt idx="24">
                  <c:v>6.3339362900630594</c:v>
                </c:pt>
                <c:pt idx="25">
                  <c:v>6.8201506435064072</c:v>
                </c:pt>
                <c:pt idx="26">
                  <c:v>7.300317655243985</c:v>
                </c:pt>
                <c:pt idx="27">
                  <c:v>7.7749702987012528</c:v>
                </c:pt>
                <c:pt idx="28">
                  <c:v>8.2445599159696386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A6-46FB-B083-1D1075B34003}"/>
            </c:ext>
          </c:extLst>
        </c:ser>
        <c:ser>
          <c:idx val="1"/>
          <c:order val="1"/>
          <c:tx>
            <c:v>Banda inferior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Curva!$A$2:$A$30</c:f>
              <c:numCache>
                <c:formatCode>General</c:formatCode>
                <c:ptCount val="29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0.05</c:v>
                </c:pt>
                <c:pt idx="4">
                  <c:v>7.0000000000000007E-2</c:v>
                </c:pt>
                <c:pt idx="5">
                  <c:v>0.1</c:v>
                </c:pt>
                <c:pt idx="6">
                  <c:v>0.15</c:v>
                </c:pt>
                <c:pt idx="7">
                  <c:v>0.2</c:v>
                </c:pt>
                <c:pt idx="8">
                  <c:v>0.3</c:v>
                </c:pt>
                <c:pt idx="9">
                  <c:v>0.5</c:v>
                </c:pt>
                <c:pt idx="10">
                  <c:v>0.7</c:v>
                </c:pt>
                <c:pt idx="11">
                  <c:v>1</c:v>
                </c:pt>
                <c:pt idx="12">
                  <c:v>1.5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  <c:pt idx="16">
                  <c:v>4.5999999999999996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7.86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15</c:v>
                </c:pt>
              </c:numCache>
            </c:numRef>
          </c:xVal>
          <c:yVal>
            <c:numRef>
              <c:f>Curva!$G$2:$G$30</c:f>
              <c:numCache>
                <c:formatCode>General</c:formatCode>
                <c:ptCount val="29"/>
                <c:pt idx="0">
                  <c:v>1.4519766160591118E-2</c:v>
                </c:pt>
                <c:pt idx="1">
                  <c:v>2.6390491485389928E-2</c:v>
                </c:pt>
                <c:pt idx="2">
                  <c:v>3.7431578663754607E-2</c:v>
                </c:pt>
                <c:pt idx="3">
                  <c:v>5.8139563370934247E-2</c:v>
                </c:pt>
                <c:pt idx="4">
                  <c:v>7.7702346244154022E-2</c:v>
                </c:pt>
                <c:pt idx="5">
                  <c:v>0.105671925782754</c:v>
                </c:pt>
                <c:pt idx="6">
                  <c:v>0.14988227880020297</c:v>
                </c:pt>
                <c:pt idx="7">
                  <c:v>0.192064667348678</c:v>
                </c:pt>
                <c:pt idx="8">
                  <c:v>0.27241947003412076</c:v>
                </c:pt>
                <c:pt idx="9">
                  <c:v>0.4231280006595482</c:v>
                </c:pt>
                <c:pt idx="10">
                  <c:v>0.56480915679965604</c:v>
                </c:pt>
                <c:pt idx="11">
                  <c:v>0.76483612933410461</c:v>
                </c:pt>
                <c:pt idx="12">
                  <c:v>1.0744178873169845</c:v>
                </c:pt>
                <c:pt idx="13">
                  <c:v>1.3657529157104311</c:v>
                </c:pt>
                <c:pt idx="14">
                  <c:v>1.9152798798901549</c:v>
                </c:pt>
                <c:pt idx="15">
                  <c:v>2.4346198171491973</c:v>
                </c:pt>
                <c:pt idx="16">
                  <c:v>2.7356035055534744</c:v>
                </c:pt>
                <c:pt idx="17">
                  <c:v>2.932608598372938</c:v>
                </c:pt>
                <c:pt idx="18">
                  <c:v>3.4142181190527703</c:v>
                </c:pt>
                <c:pt idx="19">
                  <c:v>3.8826199821862142</c:v>
                </c:pt>
                <c:pt idx="20">
                  <c:v>4.2765693924041992</c:v>
                </c:pt>
                <c:pt idx="21">
                  <c:v>4.3400043930876882</c:v>
                </c:pt>
                <c:pt idx="22">
                  <c:v>4.7879694736559708</c:v>
                </c:pt>
                <c:pt idx="23">
                  <c:v>5.2277296481750106</c:v>
                </c:pt>
                <c:pt idx="24">
                  <c:v>5.6602370450944033</c:v>
                </c:pt>
                <c:pt idx="25">
                  <c:v>6.0862568895866982</c:v>
                </c:pt>
                <c:pt idx="26">
                  <c:v>6.5064167269055826</c:v>
                </c:pt>
                <c:pt idx="27">
                  <c:v>6.9212398834037687</c:v>
                </c:pt>
                <c:pt idx="28">
                  <c:v>7.3311689819432262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A6-46FB-B083-1D1075B34003}"/>
            </c:ext>
          </c:extLst>
        </c:ser>
        <c:ser>
          <c:idx val="2"/>
          <c:order val="2"/>
          <c:tx>
            <c:v>Banda superior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Curva!$A$2:$A$30</c:f>
              <c:numCache>
                <c:formatCode>General</c:formatCode>
                <c:ptCount val="29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0.05</c:v>
                </c:pt>
                <c:pt idx="4">
                  <c:v>7.0000000000000007E-2</c:v>
                </c:pt>
                <c:pt idx="5">
                  <c:v>0.1</c:v>
                </c:pt>
                <c:pt idx="6">
                  <c:v>0.15</c:v>
                </c:pt>
                <c:pt idx="7">
                  <c:v>0.2</c:v>
                </c:pt>
                <c:pt idx="8">
                  <c:v>0.3</c:v>
                </c:pt>
                <c:pt idx="9">
                  <c:v>0.5</c:v>
                </c:pt>
                <c:pt idx="10">
                  <c:v>0.7</c:v>
                </c:pt>
                <c:pt idx="11">
                  <c:v>1</c:v>
                </c:pt>
                <c:pt idx="12">
                  <c:v>1.5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  <c:pt idx="16">
                  <c:v>4.5999999999999996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7.86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15</c:v>
                </c:pt>
              </c:numCache>
            </c:numRef>
          </c:xVal>
          <c:yVal>
            <c:numRef>
              <c:f>Curva!$H$2:$H$30</c:f>
              <c:numCache>
                <c:formatCode>General</c:formatCode>
                <c:ptCount val="29"/>
                <c:pt idx="0">
                  <c:v>1.9132996928169454E-2</c:v>
                </c:pt>
                <c:pt idx="1">
                  <c:v>3.4106881960083893E-2</c:v>
                </c:pt>
                <c:pt idx="2">
                  <c:v>4.7830192440011791E-2</c:v>
                </c:pt>
                <c:pt idx="3">
                  <c:v>7.3235893659288884E-2</c:v>
                </c:pt>
                <c:pt idx="4">
                  <c:v>9.6960482313453042E-2</c:v>
                </c:pt>
                <c:pt idx="5">
                  <c:v>0.13055184138983722</c:v>
                </c:pt>
                <c:pt idx="6">
                  <c:v>0.18308093083330487</c:v>
                </c:pt>
                <c:pt idx="7">
                  <c:v>0.23272445297887712</c:v>
                </c:pt>
                <c:pt idx="8">
                  <c:v>0.32636391050062413</c:v>
                </c:pt>
                <c:pt idx="9">
                  <c:v>0.49971684043777326</c:v>
                </c:pt>
                <c:pt idx="10">
                  <c:v>0.66159888885107965</c:v>
                </c:pt>
                <c:pt idx="11">
                  <c:v>0.89080572971731875</c:v>
                </c:pt>
                <c:pt idx="12">
                  <c:v>1.2541164206382991</c:v>
                </c:pt>
                <c:pt idx="13">
                  <c:v>1.6070709297628016</c:v>
                </c:pt>
                <c:pt idx="14">
                  <c:v>2.2794271171096665</c:v>
                </c:pt>
                <c:pt idx="15">
                  <c:v>2.9209417850980213</c:v>
                </c:pt>
                <c:pt idx="16">
                  <c:v>3.2949167027771566</c:v>
                </c:pt>
                <c:pt idx="17">
                  <c:v>3.5404570700874212</c:v>
                </c:pt>
                <c:pt idx="18">
                  <c:v>4.142986964137207</c:v>
                </c:pt>
                <c:pt idx="19">
                  <c:v>4.7317490048442252</c:v>
                </c:pt>
                <c:pt idx="20">
                  <c:v>5.2287926935174207</c:v>
                </c:pt>
                <c:pt idx="21">
                  <c:v>5.3089759474343152</c:v>
                </c:pt>
                <c:pt idx="22">
                  <c:v>5.8763036882759447</c:v>
                </c:pt>
                <c:pt idx="23">
                  <c:v>6.4349798150417854</c:v>
                </c:pt>
                <c:pt idx="24">
                  <c:v>6.9859855592837716</c:v>
                </c:pt>
                <c:pt idx="25">
                  <c:v>7.5301117794787658</c:v>
                </c:pt>
                <c:pt idx="26">
                  <c:v>8.0680087148690234</c:v>
                </c:pt>
                <c:pt idx="27">
                  <c:v>8.6002198962589862</c:v>
                </c:pt>
                <c:pt idx="28">
                  <c:v>9.1272060347856279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8A6-46FB-B083-1D1075B34003}"/>
            </c:ext>
          </c:extLst>
        </c:ser>
        <c:ser>
          <c:idx val="3"/>
          <c:order val="3"/>
          <c:tx>
            <c:v>Indraratna et al. (1993)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Curva!$A$2:$A$30</c:f>
              <c:numCache>
                <c:formatCode>General</c:formatCode>
                <c:ptCount val="29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0.05</c:v>
                </c:pt>
                <c:pt idx="4">
                  <c:v>7.0000000000000007E-2</c:v>
                </c:pt>
                <c:pt idx="5">
                  <c:v>0.1</c:v>
                </c:pt>
                <c:pt idx="6">
                  <c:v>0.15</c:v>
                </c:pt>
                <c:pt idx="7">
                  <c:v>0.2</c:v>
                </c:pt>
                <c:pt idx="8">
                  <c:v>0.3</c:v>
                </c:pt>
                <c:pt idx="9">
                  <c:v>0.5</c:v>
                </c:pt>
                <c:pt idx="10">
                  <c:v>0.7</c:v>
                </c:pt>
                <c:pt idx="11">
                  <c:v>1</c:v>
                </c:pt>
                <c:pt idx="12">
                  <c:v>1.5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  <c:pt idx="16">
                  <c:v>4.5999999999999996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7.86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15</c:v>
                </c:pt>
              </c:numCache>
            </c:numRef>
          </c:xVal>
          <c:yVal>
            <c:numRef>
              <c:f>Curva!$Q$2:$Q$30</c:f>
              <c:numCache>
                <c:formatCode>General</c:formatCode>
                <c:ptCount val="29"/>
                <c:pt idx="0">
                  <c:v>1.0305719242281804E-2</c:v>
                </c:pt>
                <c:pt idx="1">
                  <c:v>1.9231152109129269E-2</c:v>
                </c:pt>
                <c:pt idx="2">
                  <c:v>2.7700489019598339E-2</c:v>
                </c:pt>
                <c:pt idx="3">
                  <c:v>4.386835110622575E-2</c:v>
                </c:pt>
                <c:pt idx="4">
                  <c:v>5.9383602823785513E-2</c:v>
                </c:pt>
                <c:pt idx="5">
                  <c:v>8.1861237732857653E-2</c:v>
                </c:pt>
                <c:pt idx="6">
                  <c:v>0.11791266087866348</c:v>
                </c:pt>
                <c:pt idx="7">
                  <c:v>0.15275847106558793</c:v>
                </c:pt>
                <c:pt idx="8">
                  <c:v>0.22003280543936893</c:v>
                </c:pt>
                <c:pt idx="9">
                  <c:v>0.34845869894473275</c:v>
                </c:pt>
                <c:pt idx="10">
                  <c:v>0.471700724025854</c:v>
                </c:pt>
                <c:pt idx="11">
                  <c:v>0.65024692460685563</c:v>
                </c:pt>
                <c:pt idx="12">
                  <c:v>0.93661355767391596</c:v>
                </c:pt>
                <c:pt idx="13">
                  <c:v>1.2134036666070867</c:v>
                </c:pt>
                <c:pt idx="14">
                  <c:v>1.7477826992608518</c:v>
                </c:pt>
                <c:pt idx="15">
                  <c:v>2.2642913059922822</c:v>
                </c:pt>
                <c:pt idx="16">
                  <c:v>2.567795038376143</c:v>
                </c:pt>
                <c:pt idx="17">
                  <c:v>2.7679058320708947</c:v>
                </c:pt>
                <c:pt idx="18">
                  <c:v>3.2614778408952585</c:v>
                </c:pt>
                <c:pt idx="19">
                  <c:v>3.7468520343362224</c:v>
                </c:pt>
                <c:pt idx="20">
                  <c:v>4.1587096321532293</c:v>
                </c:pt>
                <c:pt idx="21">
                  <c:v>4.2253169818815275</c:v>
                </c:pt>
                <c:pt idx="22">
                  <c:v>4.697822086098248</c:v>
                </c:pt>
                <c:pt idx="23">
                  <c:v>5.1650949175785668</c:v>
                </c:pt>
                <c:pt idx="24">
                  <c:v>5.6277101769822231</c:v>
                </c:pt>
                <c:pt idx="25">
                  <c:v>6.0861328534430204</c:v>
                </c:pt>
                <c:pt idx="26">
                  <c:v>6.5407465968666241</c:v>
                </c:pt>
                <c:pt idx="27">
                  <c:v>6.9918731248849939</c:v>
                </c:pt>
                <c:pt idx="28">
                  <c:v>7.4397859388595071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A6-46FB-B083-1D1075B34003}"/>
            </c:ext>
          </c:extLst>
        </c:ser>
        <c:ser>
          <c:idx val="4"/>
          <c:order val="4"/>
          <c:tx>
            <c:v>Hawley y Cunning (2017)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Curva!$A$2:$A$30</c:f>
              <c:numCache>
                <c:formatCode>General</c:formatCode>
                <c:ptCount val="29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0.05</c:v>
                </c:pt>
                <c:pt idx="4">
                  <c:v>7.0000000000000007E-2</c:v>
                </c:pt>
                <c:pt idx="5">
                  <c:v>0.1</c:v>
                </c:pt>
                <c:pt idx="6">
                  <c:v>0.15</c:v>
                </c:pt>
                <c:pt idx="7">
                  <c:v>0.2</c:v>
                </c:pt>
                <c:pt idx="8">
                  <c:v>0.3</c:v>
                </c:pt>
                <c:pt idx="9">
                  <c:v>0.5</c:v>
                </c:pt>
                <c:pt idx="10">
                  <c:v>0.7</c:v>
                </c:pt>
                <c:pt idx="11">
                  <c:v>1</c:v>
                </c:pt>
                <c:pt idx="12">
                  <c:v>1.5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  <c:pt idx="16">
                  <c:v>4.5999999999999996</c:v>
                </c:pt>
                <c:pt idx="17">
                  <c:v>5</c:v>
                </c:pt>
                <c:pt idx="18">
                  <c:v>6</c:v>
                </c:pt>
                <c:pt idx="19">
                  <c:v>7</c:v>
                </c:pt>
                <c:pt idx="20">
                  <c:v>7.86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15</c:v>
                </c:pt>
              </c:numCache>
            </c:numRef>
          </c:xVal>
          <c:yVal>
            <c:numRef>
              <c:f>Curva!$R$2:$R$30</c:f>
              <c:numCache>
                <c:formatCode>General</c:formatCode>
                <c:ptCount val="29"/>
                <c:pt idx="0">
                  <c:v>1.1433212960877473E-2</c:v>
                </c:pt>
                <c:pt idx="1">
                  <c:v>2.1305573505001743E-2</c:v>
                </c:pt>
                <c:pt idx="2">
                  <c:v>3.066360273177704E-2</c:v>
                </c:pt>
                <c:pt idx="3">
                  <c:v>4.8511349584141668E-2</c:v>
                </c:pt>
                <c:pt idx="4">
                  <c:v>6.5624549169946381E-2</c:v>
                </c:pt>
                <c:pt idx="5">
                  <c:v>9.0399971375364208E-2</c:v>
                </c:pt>
                <c:pt idx="6">
                  <c:v>0.13010627517571521</c:v>
                </c:pt>
                <c:pt idx="7">
                  <c:v>0.168458616276842</c:v>
                </c:pt>
                <c:pt idx="8">
                  <c:v>0.24245055337493157</c:v>
                </c:pt>
                <c:pt idx="9">
                  <c:v>0.38356887331609019</c:v>
                </c:pt>
                <c:pt idx="10">
                  <c:v>0.51887928500800262</c:v>
                </c:pt>
                <c:pt idx="11">
                  <c:v>0.71477325338296405</c:v>
                </c:pt>
                <c:pt idx="12">
                  <c:v>1.0287225115010219</c:v>
                </c:pt>
                <c:pt idx="13">
                  <c:v>1.331966275925224</c:v>
                </c:pt>
                <c:pt idx="14">
                  <c:v>1.9170047090028919</c:v>
                </c:pt>
                <c:pt idx="15">
                  <c:v>2.4820936595000966</c:v>
                </c:pt>
                <c:pt idx="16">
                  <c:v>2.8140047475786871</c:v>
                </c:pt>
                <c:pt idx="17">
                  <c:v>3.0327971049700504</c:v>
                </c:pt>
                <c:pt idx="18">
                  <c:v>3.5723015810912542</c:v>
                </c:pt>
                <c:pt idx="19">
                  <c:v>4.1026676116765763</c:v>
                </c:pt>
                <c:pt idx="20">
                  <c:v>4.5525816054087596</c:v>
                </c:pt>
                <c:pt idx="21">
                  <c:v>4.6253340237545482</c:v>
                </c:pt>
                <c:pt idx="22">
                  <c:v>5.1413606160362493</c:v>
                </c:pt>
                <c:pt idx="23">
                  <c:v>5.651559353158139</c:v>
                </c:pt>
                <c:pt idx="24">
                  <c:v>6.156571452769291</c:v>
                </c:pt>
                <c:pt idx="25">
                  <c:v>6.6569156175441737</c:v>
                </c:pt>
                <c:pt idx="26">
                  <c:v>7.1530197362601324</c:v>
                </c:pt>
                <c:pt idx="27">
                  <c:v>7.6452425635966517</c:v>
                </c:pt>
                <c:pt idx="28">
                  <c:v>8.1338890398616215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8A6-46FB-B083-1D1075B340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σ′n (MPa)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τ (MPa)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φ′1 contra relación de vacíos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Ensayos de Antamina</c:v>
          </c:tx>
          <c:spPr>
            <a:ln>
              <a:noFill/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Ensayos!$J$2:$J$38</c:f>
              <c:numCache>
                <c:formatCode>General</c:formatCode>
                <c:ptCount val="37"/>
                <c:pt idx="0">
                  <c:v>0.31196844660194167</c:v>
                </c:pt>
                <c:pt idx="1">
                  <c:v>0.31196844660194167</c:v>
                </c:pt>
                <c:pt idx="2">
                  <c:v>0.31196844660194167</c:v>
                </c:pt>
                <c:pt idx="3">
                  <c:v>0.31196844660194167</c:v>
                </c:pt>
                <c:pt idx="4">
                  <c:v>0.31196844660194167</c:v>
                </c:pt>
                <c:pt idx="5">
                  <c:v>0.3222733833484463</c:v>
                </c:pt>
                <c:pt idx="6">
                  <c:v>0.3222733833484463</c:v>
                </c:pt>
                <c:pt idx="7">
                  <c:v>0.323565296766471</c:v>
                </c:pt>
                <c:pt idx="8">
                  <c:v>0.33173131067961159</c:v>
                </c:pt>
                <c:pt idx="9">
                  <c:v>0.33173131067961159</c:v>
                </c:pt>
                <c:pt idx="10">
                  <c:v>0.33173131067961159</c:v>
                </c:pt>
                <c:pt idx="11">
                  <c:v>0.35743023255813949</c:v>
                </c:pt>
                <c:pt idx="12">
                  <c:v>0.35743023255813949</c:v>
                </c:pt>
                <c:pt idx="13">
                  <c:v>0.35743023255813949</c:v>
                </c:pt>
                <c:pt idx="14">
                  <c:v>0.33302551020408178</c:v>
                </c:pt>
                <c:pt idx="15">
                  <c:v>0.32678203240058901</c:v>
                </c:pt>
                <c:pt idx="16">
                  <c:v>0.35400000000000009</c:v>
                </c:pt>
                <c:pt idx="17">
                  <c:v>0.35400000000000009</c:v>
                </c:pt>
                <c:pt idx="18">
                  <c:v>0.35400000000000009</c:v>
                </c:pt>
                <c:pt idx="19">
                  <c:v>0.28958640776699052</c:v>
                </c:pt>
                <c:pt idx="20">
                  <c:v>0.28958640776699052</c:v>
                </c:pt>
                <c:pt idx="21">
                  <c:v>0.28958640776699052</c:v>
                </c:pt>
                <c:pt idx="22">
                  <c:v>0.3316666666666665</c:v>
                </c:pt>
                <c:pt idx="23">
                  <c:v>0.3316666666666665</c:v>
                </c:pt>
                <c:pt idx="24">
                  <c:v>0.3316666666666665</c:v>
                </c:pt>
                <c:pt idx="25">
                  <c:v>0.40968245705361789</c:v>
                </c:pt>
                <c:pt idx="26">
                  <c:v>0.40968245705361789</c:v>
                </c:pt>
                <c:pt idx="27">
                  <c:v>0.40968245705361789</c:v>
                </c:pt>
                <c:pt idx="28">
                  <c:v>0.26202473660100778</c:v>
                </c:pt>
                <c:pt idx="29">
                  <c:v>0.26202473660100778</c:v>
                </c:pt>
                <c:pt idx="30">
                  <c:v>0.26202473660100778</c:v>
                </c:pt>
                <c:pt idx="31">
                  <c:v>0.32557306590257878</c:v>
                </c:pt>
                <c:pt idx="32">
                  <c:v>0.32557306590257878</c:v>
                </c:pt>
                <c:pt idx="33">
                  <c:v>0.32557306590257878</c:v>
                </c:pt>
                <c:pt idx="34">
                  <c:v>0.478973238667395</c:v>
                </c:pt>
                <c:pt idx="35">
                  <c:v>0.478973238667395</c:v>
                </c:pt>
                <c:pt idx="36">
                  <c:v>0.478973238667395</c:v>
                </c:pt>
              </c:numCache>
            </c:numRef>
          </c:xVal>
          <c:yVal>
            <c:numRef>
              <c:f>Ensayos!$V$2:$V$38</c:f>
              <c:numCache>
                <c:formatCode>General</c:formatCode>
                <c:ptCount val="37"/>
                <c:pt idx="0">
                  <c:v>39.335427815608604</c:v>
                </c:pt>
                <c:pt idx="1">
                  <c:v>38.53512329494049</c:v>
                </c:pt>
                <c:pt idx="2">
                  <c:v>38.650798736423177</c:v>
                </c:pt>
                <c:pt idx="3">
                  <c:v>41.535610216910307</c:v>
                </c:pt>
                <c:pt idx="4">
                  <c:v>43.094274144814442</c:v>
                </c:pt>
                <c:pt idx="5">
                  <c:v>29.0453103022672</c:v>
                </c:pt>
                <c:pt idx="6">
                  <c:v>39.287711148476816</c:v>
                </c:pt>
                <c:pt idx="7">
                  <c:v>44.299669052961818</c:v>
                </c:pt>
                <c:pt idx="8">
                  <c:v>43.890783993471359</c:v>
                </c:pt>
                <c:pt idx="9">
                  <c:v>49.521188786719875</c:v>
                </c:pt>
                <c:pt idx="10">
                  <c:v>51.350730228000366</c:v>
                </c:pt>
                <c:pt idx="11">
                  <c:v>43.533639140467301</c:v>
                </c:pt>
                <c:pt idx="12">
                  <c:v>50.697663355483925</c:v>
                </c:pt>
                <c:pt idx="13">
                  <c:v>52.700481018982281</c:v>
                </c:pt>
                <c:pt idx="14">
                  <c:v>44.846282240813238</c:v>
                </c:pt>
                <c:pt idx="15">
                  <c:v>43.533822348253835</c:v>
                </c:pt>
                <c:pt idx="16">
                  <c:v>37.84511190135386</c:v>
                </c:pt>
                <c:pt idx="17">
                  <c:v>41.380945521059743</c:v>
                </c:pt>
                <c:pt idx="18">
                  <c:v>44.998136642596293</c:v>
                </c:pt>
                <c:pt idx="19">
                  <c:v>38.308081969720561</c:v>
                </c:pt>
                <c:pt idx="20">
                  <c:v>41.692807315753015</c:v>
                </c:pt>
                <c:pt idx="21">
                  <c:v>44.207822677796969</c:v>
                </c:pt>
                <c:pt idx="22">
                  <c:v>35.379603029663976</c:v>
                </c:pt>
                <c:pt idx="23">
                  <c:v>36.261814035507449</c:v>
                </c:pt>
                <c:pt idx="24">
                  <c:v>40.469360211044204</c:v>
                </c:pt>
                <c:pt idx="25">
                  <c:v>32.353315148843713</c:v>
                </c:pt>
                <c:pt idx="26">
                  <c:v>35.799952818363501</c:v>
                </c:pt>
                <c:pt idx="27">
                  <c:v>38.933111618345414</c:v>
                </c:pt>
                <c:pt idx="28">
                  <c:v>31.366196686232016</c:v>
                </c:pt>
                <c:pt idx="29">
                  <c:v>35.881169781914934</c:v>
                </c:pt>
                <c:pt idx="30">
                  <c:v>40.075924445661634</c:v>
                </c:pt>
                <c:pt idx="31">
                  <c:v>44.697977869430602</c:v>
                </c:pt>
                <c:pt idx="32">
                  <c:v>43.932843760748113</c:v>
                </c:pt>
                <c:pt idx="33">
                  <c:v>43.394357028508054</c:v>
                </c:pt>
                <c:pt idx="34">
                  <c:v>44.504374930407103</c:v>
                </c:pt>
                <c:pt idx="35">
                  <c:v>44.314943101579708</c:v>
                </c:pt>
                <c:pt idx="36">
                  <c:v>41.062123367819886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D6-4C8B-9B9E-92341857EDC6}"/>
            </c:ext>
          </c:extLst>
        </c:ser>
        <c:ser>
          <c:idx val="1"/>
          <c:order val="1"/>
          <c:tx>
            <c:v>Promedio por set</c:v>
          </c:tx>
          <c:spPr>
            <a:ln>
              <a:noFill/>
              <a:prstDash val="solid"/>
            </a:ln>
          </c:spPr>
          <c:marker>
            <c:symbol val="diamond"/>
            <c:size val="5"/>
            <c:spPr>
              <a:ln>
                <a:prstDash val="solid"/>
              </a:ln>
            </c:spPr>
          </c:marker>
          <c:xVal>
            <c:numRef>
              <c:f>phi1_vs_e!$D$2:$D$14</c:f>
              <c:numCache>
                <c:formatCode>General</c:formatCode>
                <c:ptCount val="13"/>
                <c:pt idx="0">
                  <c:v>0.31196844660194167</c:v>
                </c:pt>
                <c:pt idx="1">
                  <c:v>0.32270402115445451</c:v>
                </c:pt>
                <c:pt idx="2">
                  <c:v>0.33173131067961159</c:v>
                </c:pt>
                <c:pt idx="3">
                  <c:v>0.35743023255813949</c:v>
                </c:pt>
                <c:pt idx="4">
                  <c:v>0.33302551020408178</c:v>
                </c:pt>
                <c:pt idx="5">
                  <c:v>0.32678203240058901</c:v>
                </c:pt>
                <c:pt idx="6">
                  <c:v>0.35400000000000009</c:v>
                </c:pt>
                <c:pt idx="7">
                  <c:v>0.28958640776699052</c:v>
                </c:pt>
                <c:pt idx="8">
                  <c:v>0.3316666666666665</c:v>
                </c:pt>
                <c:pt idx="9">
                  <c:v>0.40968245705361789</c:v>
                </c:pt>
                <c:pt idx="10">
                  <c:v>0.26202473660100778</c:v>
                </c:pt>
                <c:pt idx="11">
                  <c:v>0.32557306590257878</c:v>
                </c:pt>
                <c:pt idx="12">
                  <c:v>0.478973238667395</c:v>
                </c:pt>
              </c:numCache>
            </c:numRef>
          </c:xVal>
          <c:yVal>
            <c:numRef>
              <c:f>phi1_vs_e!$E$2:$E$14</c:f>
              <c:numCache>
                <c:formatCode>General</c:formatCode>
                <c:ptCount val="13"/>
                <c:pt idx="0">
                  <c:v>40.230246841739401</c:v>
                </c:pt>
                <c:pt idx="1">
                  <c:v>37.544230167901944</c:v>
                </c:pt>
                <c:pt idx="2">
                  <c:v>48.254234336063867</c:v>
                </c:pt>
                <c:pt idx="3">
                  <c:v>48.9772611716445</c:v>
                </c:pt>
                <c:pt idx="4">
                  <c:v>44.846282240813238</c:v>
                </c:pt>
                <c:pt idx="5">
                  <c:v>43.533822348253835</c:v>
                </c:pt>
                <c:pt idx="6">
                  <c:v>41.40806468833663</c:v>
                </c:pt>
                <c:pt idx="7">
                  <c:v>41.402903987756851</c:v>
                </c:pt>
                <c:pt idx="8">
                  <c:v>37.370259092071876</c:v>
                </c:pt>
                <c:pt idx="9">
                  <c:v>35.695459861850878</c:v>
                </c:pt>
                <c:pt idx="10">
                  <c:v>35.774430304602866</c:v>
                </c:pt>
                <c:pt idx="11">
                  <c:v>44.008392886228926</c:v>
                </c:pt>
                <c:pt idx="12">
                  <c:v>43.29381379993557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D6-4C8B-9B9E-92341857EDC6}"/>
            </c:ext>
          </c:extLst>
        </c:ser>
        <c:ser>
          <c:idx val="2"/>
          <c:order val="2"/>
          <c:tx>
            <c:v>Curva propuesta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phi1_vs_e!$G$2:$G$18</c:f>
              <c:numCache>
                <c:formatCode>General</c:formatCode>
                <c:ptCount val="17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</c:numCache>
            </c:numRef>
          </c:xVal>
          <c:yVal>
            <c:numRef>
              <c:f>phi1_vs_e!$H$2:$H$18</c:f>
              <c:numCache>
                <c:formatCode>General</c:formatCode>
                <c:ptCount val="17"/>
                <c:pt idx="0">
                  <c:v>48.470477338834783</c:v>
                </c:pt>
                <c:pt idx="1">
                  <c:v>47.470477338834783</c:v>
                </c:pt>
                <c:pt idx="2">
                  <c:v>46.470477338834783</c:v>
                </c:pt>
                <c:pt idx="3">
                  <c:v>45.470477338834783</c:v>
                </c:pt>
                <c:pt idx="4">
                  <c:v>44.470477338834783</c:v>
                </c:pt>
                <c:pt idx="5">
                  <c:v>43.470477338834783</c:v>
                </c:pt>
                <c:pt idx="6">
                  <c:v>42.470477338834783</c:v>
                </c:pt>
                <c:pt idx="7">
                  <c:v>41.470477338834783</c:v>
                </c:pt>
                <c:pt idx="8">
                  <c:v>40.470477338834783</c:v>
                </c:pt>
                <c:pt idx="9">
                  <c:v>39.470477338834783</c:v>
                </c:pt>
                <c:pt idx="10">
                  <c:v>38.470477338834783</c:v>
                </c:pt>
                <c:pt idx="11">
                  <c:v>37.470477338834783</c:v>
                </c:pt>
                <c:pt idx="12">
                  <c:v>36.470477338834783</c:v>
                </c:pt>
                <c:pt idx="13">
                  <c:v>35.470477338834783</c:v>
                </c:pt>
                <c:pt idx="14">
                  <c:v>34.470477338834783</c:v>
                </c:pt>
                <c:pt idx="15">
                  <c:v>33.470477338834783</c:v>
                </c:pt>
                <c:pt idx="16">
                  <c:v>32.470477338834783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D6-4C8B-9B9E-92341857EDC6}"/>
            </c:ext>
          </c:extLst>
        </c:ser>
        <c:ser>
          <c:idx val="3"/>
          <c:order val="3"/>
          <c:tx>
            <c:v>Leps (1970), superior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phi1_vs_e!$G$2:$G$18</c:f>
              <c:numCache>
                <c:formatCode>General</c:formatCode>
                <c:ptCount val="17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</c:numCache>
            </c:numRef>
          </c:xVal>
          <c:yVal>
            <c:numRef>
              <c:f>phi1_vs_e!$I$2:$I$18</c:f>
              <c:numCache>
                <c:formatCode>General</c:formatCode>
                <c:ptCount val="17"/>
                <c:pt idx="0">
                  <c:v>46</c:v>
                </c:pt>
                <c:pt idx="1">
                  <c:v>46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46</c:v>
                </c:pt>
                <c:pt idx="6">
                  <c:v>46</c:v>
                </c:pt>
                <c:pt idx="7">
                  <c:v>46</c:v>
                </c:pt>
                <c:pt idx="8">
                  <c:v>46</c:v>
                </c:pt>
                <c:pt idx="9">
                  <c:v>46</c:v>
                </c:pt>
                <c:pt idx="10">
                  <c:v>46</c:v>
                </c:pt>
                <c:pt idx="11">
                  <c:v>46</c:v>
                </c:pt>
                <c:pt idx="12">
                  <c:v>46</c:v>
                </c:pt>
                <c:pt idx="13">
                  <c:v>46</c:v>
                </c:pt>
                <c:pt idx="14">
                  <c:v>46</c:v>
                </c:pt>
                <c:pt idx="15">
                  <c:v>46</c:v>
                </c:pt>
                <c:pt idx="16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DD6-4C8B-9B9E-92341857EDC6}"/>
            </c:ext>
          </c:extLst>
        </c:ser>
        <c:ser>
          <c:idx val="4"/>
          <c:order val="4"/>
          <c:tx>
            <c:v>Leps (1970), media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phi1_vs_e!$G$2:$G$18</c:f>
              <c:numCache>
                <c:formatCode>General</c:formatCode>
                <c:ptCount val="17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</c:numCache>
            </c:numRef>
          </c:xVal>
          <c:yVal>
            <c:numRef>
              <c:f>phi1_vs_e!$J$2:$J$18</c:f>
              <c:numCache>
                <c:formatCode>General</c:formatCode>
                <c:ptCount val="17"/>
                <c:pt idx="0">
                  <c:v>41</c:v>
                </c:pt>
                <c:pt idx="1">
                  <c:v>41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41</c:v>
                </c:pt>
                <c:pt idx="6">
                  <c:v>41</c:v>
                </c:pt>
                <c:pt idx="7">
                  <c:v>41</c:v>
                </c:pt>
                <c:pt idx="8">
                  <c:v>41</c:v>
                </c:pt>
                <c:pt idx="9">
                  <c:v>41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41</c:v>
                </c:pt>
                <c:pt idx="14">
                  <c:v>41</c:v>
                </c:pt>
                <c:pt idx="15">
                  <c:v>41</c:v>
                </c:pt>
                <c:pt idx="16">
                  <c:v>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DD6-4C8B-9B9E-92341857EDC6}"/>
            </c:ext>
          </c:extLst>
        </c:ser>
        <c:ser>
          <c:idx val="5"/>
          <c:order val="5"/>
          <c:tx>
            <c:v>Leps (1970), inferior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phi1_vs_e!$G$2:$G$18</c:f>
              <c:numCache>
                <c:formatCode>General</c:formatCode>
                <c:ptCount val="17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</c:numCache>
            </c:numRef>
          </c:xVal>
          <c:yVal>
            <c:numRef>
              <c:f>phi1_vs_e!$K$2:$K$18</c:f>
              <c:numCache>
                <c:formatCode>General</c:formatCode>
                <c:ptCount val="17"/>
                <c:pt idx="0">
                  <c:v>36</c:v>
                </c:pt>
                <c:pt idx="1">
                  <c:v>36</c:v>
                </c:pt>
                <c:pt idx="2">
                  <c:v>36</c:v>
                </c:pt>
                <c:pt idx="3">
                  <c:v>36</c:v>
                </c:pt>
                <c:pt idx="4">
                  <c:v>36</c:v>
                </c:pt>
                <c:pt idx="5">
                  <c:v>36</c:v>
                </c:pt>
                <c:pt idx="6">
                  <c:v>36</c:v>
                </c:pt>
                <c:pt idx="7">
                  <c:v>36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  <c:pt idx="11">
                  <c:v>36</c:v>
                </c:pt>
                <c:pt idx="12">
                  <c:v>36</c:v>
                </c:pt>
                <c:pt idx="13">
                  <c:v>36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DD6-4C8B-9B9E-92341857EDC6}"/>
            </c:ext>
          </c:extLst>
        </c:ser>
        <c:ser>
          <c:idx val="6"/>
          <c:order val="6"/>
          <c:tx>
            <c:v>Indraratna et al. (1993)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phi1_vs_e!$G$2:$G$18</c:f>
              <c:numCache>
                <c:formatCode>General</c:formatCode>
                <c:ptCount val="17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</c:numCache>
            </c:numRef>
          </c:xVal>
          <c:yVal>
            <c:numRef>
              <c:f>phi1_vs_e!$L$2:$L$18</c:f>
              <c:numCache>
                <c:formatCode>General</c:formatCode>
                <c:ptCount val="17"/>
                <c:pt idx="0">
                  <c:v>33</c:v>
                </c:pt>
                <c:pt idx="1">
                  <c:v>33</c:v>
                </c:pt>
                <c:pt idx="2">
                  <c:v>33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33</c:v>
                </c:pt>
                <c:pt idx="7">
                  <c:v>33</c:v>
                </c:pt>
                <c:pt idx="8">
                  <c:v>33</c:v>
                </c:pt>
                <c:pt idx="9">
                  <c:v>33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DD6-4C8B-9B9E-92341857E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e (relación de vacíos)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55"/>
          <c:min val="2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φ′1 (°)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1</xdr:row>
      <xdr:rowOff>0</xdr:rowOff>
    </xdr:from>
    <xdr:ext cx="720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21</xdr:col>
      <xdr:colOff>0</xdr:colOff>
      <xdr:row>25</xdr:row>
      <xdr:rowOff>0</xdr:rowOff>
    </xdr:from>
    <xdr:ext cx="720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48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tabSelected="1" workbookViewId="0"/>
  </sheetViews>
  <sheetFormatPr defaultRowHeight="14.4" x14ac:dyDescent="0.3"/>
  <cols>
    <col min="1" max="1" width="150" customWidth="1"/>
  </cols>
  <sheetData>
    <row r="1" spans="1:1" x14ac:dyDescent="0.3">
      <c r="A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7" spans="1:1" x14ac:dyDescent="0.3">
      <c r="A7" t="s">
        <v>4</v>
      </c>
    </row>
    <row r="8" spans="1:1" x14ac:dyDescent="0.3">
      <c r="A8" t="s">
        <v>5</v>
      </c>
    </row>
    <row r="9" spans="1:1" x14ac:dyDescent="0.3">
      <c r="A9" t="s">
        <v>6</v>
      </c>
    </row>
    <row r="10" spans="1:1" x14ac:dyDescent="0.3">
      <c r="A10" t="s">
        <v>7</v>
      </c>
    </row>
    <row r="11" spans="1:1" x14ac:dyDescent="0.3">
      <c r="A11" t="s">
        <v>8</v>
      </c>
    </row>
    <row r="12" spans="1:1" x14ac:dyDescent="0.3">
      <c r="A12" t="s">
        <v>9</v>
      </c>
    </row>
    <row r="13" spans="1:1" x14ac:dyDescent="0.3">
      <c r="A13" t="s">
        <v>10</v>
      </c>
    </row>
    <row r="14" spans="1:1" x14ac:dyDescent="0.3">
      <c r="A14" t="s">
        <v>11</v>
      </c>
    </row>
    <row r="15" spans="1:1" x14ac:dyDescent="0.3">
      <c r="A15" t="s">
        <v>12</v>
      </c>
    </row>
    <row r="16" spans="1:1" x14ac:dyDescent="0.3">
      <c r="A16" t="s">
        <v>13</v>
      </c>
    </row>
    <row r="17" spans="1:1" x14ac:dyDescent="0.3">
      <c r="A17" t="s">
        <v>14</v>
      </c>
    </row>
    <row r="18" spans="1:1" x14ac:dyDescent="0.3">
      <c r="A18" t="s">
        <v>15</v>
      </c>
    </row>
    <row r="20" spans="1:1" x14ac:dyDescent="0.3">
      <c r="A20" t="s">
        <v>16</v>
      </c>
    </row>
    <row r="21" spans="1:1" x14ac:dyDescent="0.3">
      <c r="A21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2" width="12" customWidth="1"/>
    <col min="3" max="3" width="10" customWidth="1"/>
    <col min="4" max="4" width="90" customWidth="1"/>
  </cols>
  <sheetData>
    <row r="1" spans="1:6" x14ac:dyDescent="0.3">
      <c r="A1" s="1" t="s">
        <v>18</v>
      </c>
      <c r="B1" s="1" t="s">
        <v>19</v>
      </c>
      <c r="C1" s="1" t="s">
        <v>20</v>
      </c>
      <c r="D1" s="1" t="s">
        <v>21</v>
      </c>
    </row>
    <row r="2" spans="1:6" x14ac:dyDescent="0.3">
      <c r="A2" t="s">
        <v>22</v>
      </c>
      <c r="B2" s="2">
        <v>48.470477338834783</v>
      </c>
      <c r="C2" t="s">
        <v>23</v>
      </c>
      <c r="D2" t="s">
        <v>24</v>
      </c>
    </row>
    <row r="3" spans="1:6" x14ac:dyDescent="0.3">
      <c r="A3" t="s">
        <v>25</v>
      </c>
      <c r="B3" s="2">
        <v>20</v>
      </c>
      <c r="C3" t="s">
        <v>23</v>
      </c>
      <c r="D3" t="s">
        <v>26</v>
      </c>
    </row>
    <row r="4" spans="1:6" x14ac:dyDescent="0.3">
      <c r="A4" t="s">
        <v>27</v>
      </c>
      <c r="B4" s="2">
        <v>0.85</v>
      </c>
      <c r="C4" t="s">
        <v>28</v>
      </c>
      <c r="D4" t="s">
        <v>29</v>
      </c>
    </row>
    <row r="5" spans="1:6" x14ac:dyDescent="0.3">
      <c r="A5" t="s">
        <v>30</v>
      </c>
      <c r="B5" s="2">
        <v>0.45</v>
      </c>
      <c r="C5" t="s">
        <v>28</v>
      </c>
      <c r="D5" t="s">
        <v>31</v>
      </c>
    </row>
    <row r="6" spans="1:6" x14ac:dyDescent="0.3">
      <c r="A6" t="s">
        <v>32</v>
      </c>
      <c r="B6" s="2">
        <v>0.1013</v>
      </c>
      <c r="C6" t="s">
        <v>33</v>
      </c>
      <c r="D6" t="s">
        <v>34</v>
      </c>
    </row>
    <row r="7" spans="1:6" x14ac:dyDescent="0.3">
      <c r="A7" t="s">
        <v>35</v>
      </c>
      <c r="B7" s="3">
        <f>10*pa</f>
        <v>1.0129999999999999</v>
      </c>
      <c r="C7" t="s">
        <v>33</v>
      </c>
      <c r="D7" t="s">
        <v>36</v>
      </c>
    </row>
    <row r="8" spans="1:6" x14ac:dyDescent="0.3">
      <c r="A8" t="s">
        <v>37</v>
      </c>
      <c r="B8">
        <f>pe0-omega*e_base</f>
        <v>39.470477338834783</v>
      </c>
      <c r="C8" t="s">
        <v>23</v>
      </c>
    </row>
    <row r="10" spans="1:6" x14ac:dyDescent="0.3">
      <c r="A10" s="4" t="s">
        <v>38</v>
      </c>
    </row>
    <row r="11" spans="1:6" x14ac:dyDescent="0.3">
      <c r="A11" t="s">
        <v>39</v>
      </c>
      <c r="B11" t="s">
        <v>40</v>
      </c>
      <c r="C11" t="s">
        <v>41</v>
      </c>
      <c r="D11" t="s">
        <v>21</v>
      </c>
      <c r="E11" t="s">
        <v>42</v>
      </c>
      <c r="F11" t="s">
        <v>43</v>
      </c>
    </row>
    <row r="12" spans="1:6" x14ac:dyDescent="0.3">
      <c r="A12" t="s">
        <v>44</v>
      </c>
      <c r="B12">
        <v>0.86199999999999999</v>
      </c>
      <c r="C12">
        <v>48.430521574199773</v>
      </c>
      <c r="D12" t="s">
        <v>45</v>
      </c>
      <c r="E12">
        <v>46.513065583165911</v>
      </c>
      <c r="F12">
        <v>50.432223343671382</v>
      </c>
    </row>
    <row r="13" spans="1:6" x14ac:dyDescent="0.3">
      <c r="A13" t="s">
        <v>46</v>
      </c>
      <c r="B13">
        <v>0.85</v>
      </c>
      <c r="C13">
        <v>48.470477338834783</v>
      </c>
      <c r="D13" t="s">
        <v>45</v>
      </c>
      <c r="E13">
        <v>46.356512090613087</v>
      </c>
      <c r="F13">
        <v>50.526616527344913</v>
      </c>
    </row>
    <row r="14" spans="1:6" x14ac:dyDescent="0.3">
      <c r="A14" t="s">
        <v>47</v>
      </c>
      <c r="B14">
        <v>0.83399999999999996</v>
      </c>
      <c r="C14">
        <v>48.525144134710089</v>
      </c>
      <c r="D14" t="s">
        <v>45</v>
      </c>
      <c r="E14">
        <v>46.398196493272742</v>
      </c>
      <c r="F14">
        <v>50.633824714637967</v>
      </c>
    </row>
    <row r="15" spans="1:6" x14ac:dyDescent="0.3">
      <c r="A15" t="s">
        <v>48</v>
      </c>
      <c r="B15">
        <v>1</v>
      </c>
      <c r="C15">
        <v>48.028927499686112</v>
      </c>
      <c r="D15" t="s">
        <v>45</v>
      </c>
      <c r="E15">
        <v>46.527687362820259</v>
      </c>
      <c r="F15">
        <v>49.697105282523971</v>
      </c>
    </row>
    <row r="16" spans="1:6" x14ac:dyDescent="0.3">
      <c r="A16" t="s">
        <v>49</v>
      </c>
      <c r="B16">
        <v>48.421841691584277</v>
      </c>
      <c r="D16" t="s">
        <v>50</v>
      </c>
    </row>
    <row r="18" spans="1:4" x14ac:dyDescent="0.3">
      <c r="A18" t="s">
        <v>51</v>
      </c>
      <c r="B18" s="2">
        <v>7.4743382134965577E-2</v>
      </c>
      <c r="C18" t="s">
        <v>28</v>
      </c>
      <c r="D18" t="s">
        <v>52</v>
      </c>
    </row>
    <row r="19" spans="1:4" x14ac:dyDescent="0.3">
      <c r="A19" t="s">
        <v>53</v>
      </c>
      <c r="B19" s="2">
        <v>0.1145612523015702</v>
      </c>
      <c r="C19" t="s">
        <v>28</v>
      </c>
      <c r="D19" t="s">
        <v>52</v>
      </c>
    </row>
    <row r="20" spans="1:4" x14ac:dyDescent="0.3">
      <c r="A20" t="s">
        <v>54</v>
      </c>
      <c r="B20" s="2">
        <v>0.05</v>
      </c>
      <c r="C20" t="s">
        <v>33</v>
      </c>
      <c r="D20" t="s">
        <v>55</v>
      </c>
    </row>
    <row r="21" spans="1:4" x14ac:dyDescent="0.3">
      <c r="A21" t="s">
        <v>56</v>
      </c>
      <c r="B21" s="2">
        <v>1.64458487283376</v>
      </c>
      <c r="C21" t="s">
        <v>28</v>
      </c>
      <c r="D21" t="s">
        <v>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9" customWidth="1"/>
    <col min="2" max="2" width="22" customWidth="1"/>
    <col min="3" max="3" width="30" customWidth="1"/>
    <col min="4" max="4" width="11" customWidth="1"/>
    <col min="5" max="5" width="18" customWidth="1"/>
    <col min="6" max="6" width="26" customWidth="1"/>
    <col min="7" max="7" width="34" customWidth="1"/>
    <col min="8" max="8" width="7" customWidth="1"/>
    <col min="9" max="9" width="8" customWidth="1"/>
    <col min="10" max="10" width="7" customWidth="1"/>
    <col min="11" max="14" width="9" customWidth="1"/>
    <col min="15" max="15" width="8" customWidth="1"/>
    <col min="16" max="16" width="9" customWidth="1"/>
    <col min="17" max="17" width="14" customWidth="1"/>
    <col min="18" max="18" width="9" customWidth="1"/>
    <col min="19" max="19" width="7" customWidth="1"/>
    <col min="20" max="20" width="34" customWidth="1"/>
    <col min="21" max="21" width="7" customWidth="1"/>
    <col min="22" max="23" width="11" customWidth="1"/>
  </cols>
  <sheetData>
    <row r="1" spans="1:23" ht="72" x14ac:dyDescent="0.3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  <c r="G1" s="1" t="s">
        <v>64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69</v>
      </c>
      <c r="M1" s="1" t="s">
        <v>70</v>
      </c>
      <c r="N1" s="1" t="s">
        <v>71</v>
      </c>
      <c r="O1" s="1" t="s">
        <v>72</v>
      </c>
      <c r="P1" s="1" t="s">
        <v>73</v>
      </c>
      <c r="Q1" s="1" t="s">
        <v>74</v>
      </c>
      <c r="R1" s="1" t="s">
        <v>75</v>
      </c>
      <c r="S1" s="1" t="s">
        <v>76</v>
      </c>
      <c r="T1" s="1" t="s">
        <v>77</v>
      </c>
      <c r="U1" s="1" t="s">
        <v>78</v>
      </c>
      <c r="V1" s="1" t="s">
        <v>79</v>
      </c>
      <c r="W1" s="1" t="s">
        <v>80</v>
      </c>
    </row>
    <row r="2" spans="1:23" x14ac:dyDescent="0.3">
      <c r="A2" t="s">
        <v>81</v>
      </c>
      <c r="B2" t="s">
        <v>82</v>
      </c>
      <c r="C2" t="s">
        <v>83</v>
      </c>
      <c r="D2" t="s">
        <v>84</v>
      </c>
      <c r="E2" t="s">
        <v>85</v>
      </c>
      <c r="F2" t="s">
        <v>86</v>
      </c>
      <c r="H2">
        <v>1</v>
      </c>
      <c r="I2">
        <v>177.8</v>
      </c>
      <c r="J2">
        <v>0.31196844660194167</v>
      </c>
      <c r="K2">
        <v>0.49030000000000001</v>
      </c>
      <c r="L2">
        <v>2.2711999999999999</v>
      </c>
      <c r="M2">
        <f t="shared" ref="M2:M23" si="0">(L2+K2)/2-(L2-K2)/2*((SQRT(4*m_*(m_-1)*(L2-K2)^2+(L2+K2)^2)-(L2+K2))/(2*(m_-1)*(L2-K2)))</f>
        <v>0.86357733521236113</v>
      </c>
      <c r="N2">
        <f t="shared" ref="N2:N23" si="1">(L2-K2)/2*SQRT(1-((SQRT(4*m_*(m_-1)*(L2-K2)^2+(L2+K2)^2)-(L2+K2))/(2*(m_-1)*(L2-K2)))^2)</f>
        <v>0.72486801370763532</v>
      </c>
      <c r="O2">
        <f t="shared" ref="O2:O33" si="2">DEGREES(ATAN(N2/M2))</f>
        <v>40.009365861992819</v>
      </c>
      <c r="P2">
        <f t="shared" ref="P2:P33" si="3">O2-omega*(e_base-J2)</f>
        <v>37.248734794031655</v>
      </c>
      <c r="Q2">
        <f t="shared" ref="Q2:Q33" si="4">DEGREES(ATAN(TAN(RADIANS(pe0-omega*J2))*(M2/sref)^(m_-1)))</f>
        <v>42.914411109053773</v>
      </c>
      <c r="R2">
        <f t="shared" ref="R2:R33" si="5">O2-Q2</f>
        <v>-2.9050452470609542</v>
      </c>
      <c r="S2">
        <v>17.27</v>
      </c>
      <c r="T2" t="s">
        <v>87</v>
      </c>
      <c r="U2" t="s">
        <v>88</v>
      </c>
      <c r="V2">
        <f t="shared" ref="V2:V33" si="6">DEGREES(ATAN(TAN(RADIANS(O2))*(M2/sref)^(1-m_)))</f>
        <v>39.335427815608604</v>
      </c>
      <c r="W2">
        <f t="shared" ref="W2:W33" si="7">V2-omega*(e_base-J2)</f>
        <v>36.57479674764744</v>
      </c>
    </row>
    <row r="3" spans="1:23" x14ac:dyDescent="0.3">
      <c r="A3" t="s">
        <v>81</v>
      </c>
      <c r="B3" t="s">
        <v>82</v>
      </c>
      <c r="C3" t="s">
        <v>89</v>
      </c>
      <c r="D3" t="s">
        <v>84</v>
      </c>
      <c r="E3" t="s">
        <v>85</v>
      </c>
      <c r="F3" t="s">
        <v>86</v>
      </c>
      <c r="H3">
        <v>1</v>
      </c>
      <c r="I3">
        <v>177.8</v>
      </c>
      <c r="J3">
        <v>0.31196844660194167</v>
      </c>
      <c r="K3">
        <v>0.49030000000000001</v>
      </c>
      <c r="L3">
        <v>2.1928000000000001</v>
      </c>
      <c r="M3">
        <f t="shared" si="0"/>
        <v>0.8560779364979787</v>
      </c>
      <c r="N3">
        <f t="shared" si="1"/>
        <v>0.69924490563685149</v>
      </c>
      <c r="O3">
        <f t="shared" si="2"/>
        <v>39.241967661627619</v>
      </c>
      <c r="P3">
        <f t="shared" si="3"/>
        <v>36.481336593666455</v>
      </c>
      <c r="Q3">
        <f t="shared" si="4"/>
        <v>42.951793781528437</v>
      </c>
      <c r="R3">
        <f t="shared" si="5"/>
        <v>-3.7098261199008178</v>
      </c>
      <c r="S3">
        <v>18.260000000000002</v>
      </c>
      <c r="T3" t="s">
        <v>87</v>
      </c>
      <c r="U3" t="s">
        <v>90</v>
      </c>
      <c r="V3">
        <f t="shared" si="6"/>
        <v>38.53512329494049</v>
      </c>
      <c r="W3">
        <f t="shared" si="7"/>
        <v>35.774492226979326</v>
      </c>
    </row>
    <row r="4" spans="1:23" x14ac:dyDescent="0.3">
      <c r="A4" t="s">
        <v>81</v>
      </c>
      <c r="B4" t="s">
        <v>82</v>
      </c>
      <c r="C4" t="s">
        <v>91</v>
      </c>
      <c r="D4" t="s">
        <v>84</v>
      </c>
      <c r="E4" t="s">
        <v>85</v>
      </c>
      <c r="F4" t="s">
        <v>86</v>
      </c>
      <c r="H4">
        <v>1</v>
      </c>
      <c r="I4">
        <v>177.8</v>
      </c>
      <c r="J4">
        <v>0.31196844660194167</v>
      </c>
      <c r="K4">
        <v>0.98070000000000002</v>
      </c>
      <c r="L4">
        <v>3.8972000000000002</v>
      </c>
      <c r="M4">
        <f t="shared" si="0"/>
        <v>1.6605833688704599</v>
      </c>
      <c r="N4">
        <f t="shared" si="1"/>
        <v>1.2331416990938429</v>
      </c>
      <c r="O4">
        <f t="shared" si="2"/>
        <v>36.597412571470919</v>
      </c>
      <c r="P4">
        <f t="shared" si="3"/>
        <v>33.836781503509755</v>
      </c>
      <c r="Q4">
        <f t="shared" si="4"/>
        <v>40.126569474819952</v>
      </c>
      <c r="R4">
        <f t="shared" si="5"/>
        <v>-3.5291569033490333</v>
      </c>
      <c r="S4">
        <v>18</v>
      </c>
      <c r="T4" t="s">
        <v>87</v>
      </c>
      <c r="U4" t="s">
        <v>92</v>
      </c>
      <c r="V4">
        <f t="shared" si="6"/>
        <v>38.650798736423177</v>
      </c>
      <c r="W4">
        <f t="shared" si="7"/>
        <v>35.890167668462013</v>
      </c>
    </row>
    <row r="5" spans="1:23" x14ac:dyDescent="0.3">
      <c r="A5" t="s">
        <v>81</v>
      </c>
      <c r="B5" t="s">
        <v>82</v>
      </c>
      <c r="C5" t="s">
        <v>93</v>
      </c>
      <c r="D5" t="s">
        <v>84</v>
      </c>
      <c r="E5" t="s">
        <v>85</v>
      </c>
      <c r="F5" t="s">
        <v>86</v>
      </c>
      <c r="H5">
        <v>1</v>
      </c>
      <c r="I5">
        <v>177.8</v>
      </c>
      <c r="J5">
        <v>0.31196844660194167</v>
      </c>
      <c r="K5">
        <v>1.9613</v>
      </c>
      <c r="L5">
        <v>7.7786</v>
      </c>
      <c r="M5">
        <f t="shared" si="0"/>
        <v>3.3192324716848014</v>
      </c>
      <c r="N5">
        <f t="shared" si="1"/>
        <v>2.4607966128625907</v>
      </c>
      <c r="O5">
        <f t="shared" si="2"/>
        <v>36.552320502935075</v>
      </c>
      <c r="P5">
        <f t="shared" si="3"/>
        <v>33.791689434973911</v>
      </c>
      <c r="Q5">
        <f t="shared" si="4"/>
        <v>37.224093469920781</v>
      </c>
      <c r="R5">
        <f t="shared" si="5"/>
        <v>-0.67177296698570643</v>
      </c>
      <c r="S5">
        <v>19.59</v>
      </c>
      <c r="T5" t="s">
        <v>87</v>
      </c>
      <c r="U5" t="s">
        <v>94</v>
      </c>
      <c r="V5">
        <f t="shared" si="6"/>
        <v>41.535610216910307</v>
      </c>
      <c r="W5">
        <f t="shared" si="7"/>
        <v>38.774979148949143</v>
      </c>
    </row>
    <row r="6" spans="1:23" x14ac:dyDescent="0.3">
      <c r="A6" t="s">
        <v>81</v>
      </c>
      <c r="B6" t="s">
        <v>82</v>
      </c>
      <c r="C6" t="s">
        <v>95</v>
      </c>
      <c r="D6" t="s">
        <v>84</v>
      </c>
      <c r="E6" t="s">
        <v>85</v>
      </c>
      <c r="F6" t="s">
        <v>86</v>
      </c>
      <c r="H6">
        <v>1</v>
      </c>
      <c r="I6">
        <v>177.8</v>
      </c>
      <c r="J6">
        <v>0.31196844660194167</v>
      </c>
      <c r="K6">
        <v>1.9613</v>
      </c>
      <c r="L6">
        <v>8.2904999999999998</v>
      </c>
      <c r="M6">
        <f t="shared" si="0"/>
        <v>3.3755654561525059</v>
      </c>
      <c r="N6">
        <f t="shared" si="1"/>
        <v>2.6364791189414314</v>
      </c>
      <c r="O6">
        <f t="shared" si="2"/>
        <v>37.991549605192922</v>
      </c>
      <c r="P6">
        <f t="shared" si="3"/>
        <v>35.230918537231759</v>
      </c>
      <c r="Q6">
        <f t="shared" si="4"/>
        <v>37.15444630370083</v>
      </c>
      <c r="R6">
        <f t="shared" si="5"/>
        <v>0.83710330149209256</v>
      </c>
      <c r="S6">
        <v>17.78</v>
      </c>
      <c r="T6" t="s">
        <v>87</v>
      </c>
      <c r="U6" t="s">
        <v>96</v>
      </c>
      <c r="V6">
        <f t="shared" si="6"/>
        <v>43.094274144814442</v>
      </c>
      <c r="W6">
        <f t="shared" si="7"/>
        <v>40.333643076853278</v>
      </c>
    </row>
    <row r="7" spans="1:23" x14ac:dyDescent="0.3">
      <c r="A7" t="s">
        <v>97</v>
      </c>
      <c r="B7" t="s">
        <v>98</v>
      </c>
      <c r="C7" t="s">
        <v>99</v>
      </c>
      <c r="D7" t="s">
        <v>100</v>
      </c>
      <c r="E7" t="s">
        <v>85</v>
      </c>
      <c r="F7" t="s">
        <v>86</v>
      </c>
      <c r="H7">
        <v>0.15240000000000001</v>
      </c>
      <c r="I7">
        <v>25.4</v>
      </c>
      <c r="J7">
        <v>0.3222733833484463</v>
      </c>
      <c r="K7">
        <v>9.8000000000000004E-2</v>
      </c>
      <c r="L7">
        <v>0.38100000000000001</v>
      </c>
      <c r="M7">
        <f t="shared" si="0"/>
        <v>0.16495993441958273</v>
      </c>
      <c r="N7">
        <f t="shared" si="1"/>
        <v>0.12027480460706265</v>
      </c>
      <c r="O7">
        <f t="shared" si="2"/>
        <v>36.096360751766362</v>
      </c>
      <c r="P7">
        <f t="shared" si="3"/>
        <v>33.541828418735285</v>
      </c>
      <c r="Q7">
        <f t="shared" si="4"/>
        <v>49.796336588275153</v>
      </c>
      <c r="R7">
        <f t="shared" si="5"/>
        <v>-13.699975836508791</v>
      </c>
      <c r="S7">
        <v>3.99</v>
      </c>
      <c r="T7" t="s">
        <v>87</v>
      </c>
      <c r="U7" t="s">
        <v>101</v>
      </c>
      <c r="V7">
        <f t="shared" si="6"/>
        <v>29.0453103022672</v>
      </c>
      <c r="W7">
        <f t="shared" si="7"/>
        <v>26.490777969236127</v>
      </c>
    </row>
    <row r="8" spans="1:23" x14ac:dyDescent="0.3">
      <c r="A8" t="s">
        <v>97</v>
      </c>
      <c r="B8" t="s">
        <v>98</v>
      </c>
      <c r="C8" t="s">
        <v>102</v>
      </c>
      <c r="D8" t="s">
        <v>100</v>
      </c>
      <c r="E8" t="s">
        <v>85</v>
      </c>
      <c r="F8" t="s">
        <v>86</v>
      </c>
      <c r="H8">
        <v>0.15240000000000001</v>
      </c>
      <c r="I8">
        <v>25.4</v>
      </c>
      <c r="J8">
        <v>0.3222733833484463</v>
      </c>
      <c r="K8">
        <v>0.39900000000000002</v>
      </c>
      <c r="L8">
        <v>1.917</v>
      </c>
      <c r="M8">
        <f t="shared" si="0"/>
        <v>0.70903224845500401</v>
      </c>
      <c r="N8">
        <f t="shared" si="1"/>
        <v>0.61197137030471527</v>
      </c>
      <c r="O8">
        <f t="shared" si="2"/>
        <v>40.797737888914384</v>
      </c>
      <c r="P8">
        <f t="shared" si="3"/>
        <v>38.243205555883307</v>
      </c>
      <c r="Q8">
        <f t="shared" si="4"/>
        <v>43.553371549392075</v>
      </c>
      <c r="R8">
        <f t="shared" si="5"/>
        <v>-2.7556336604776916</v>
      </c>
      <c r="S8">
        <v>20.21</v>
      </c>
      <c r="T8" t="s">
        <v>87</v>
      </c>
      <c r="U8" t="s">
        <v>103</v>
      </c>
      <c r="V8">
        <f t="shared" si="6"/>
        <v>39.287711148476816</v>
      </c>
      <c r="W8">
        <f t="shared" si="7"/>
        <v>36.73317881544574</v>
      </c>
    </row>
    <row r="9" spans="1:23" x14ac:dyDescent="0.3">
      <c r="A9" t="s">
        <v>97</v>
      </c>
      <c r="B9" t="s">
        <v>98</v>
      </c>
      <c r="C9" t="s">
        <v>104</v>
      </c>
      <c r="D9" t="s">
        <v>100</v>
      </c>
      <c r="E9" t="s">
        <v>85</v>
      </c>
      <c r="F9" t="s">
        <v>86</v>
      </c>
      <c r="H9">
        <v>0.15240000000000001</v>
      </c>
      <c r="I9">
        <v>25.4</v>
      </c>
      <c r="J9">
        <v>0.323565296766471</v>
      </c>
      <c r="K9">
        <v>1.2</v>
      </c>
      <c r="L9">
        <v>5.8470000000000004</v>
      </c>
      <c r="M9">
        <f t="shared" si="0"/>
        <v>2.1396129831693287</v>
      </c>
      <c r="N9">
        <f t="shared" si="1"/>
        <v>1.8664160775795695</v>
      </c>
      <c r="O9">
        <f t="shared" si="2"/>
        <v>41.098672578513352</v>
      </c>
      <c r="P9">
        <f t="shared" si="3"/>
        <v>38.56997851384277</v>
      </c>
      <c r="Q9">
        <f t="shared" si="4"/>
        <v>38.828913498105635</v>
      </c>
      <c r="R9">
        <f t="shared" si="5"/>
        <v>2.2697590804077166</v>
      </c>
      <c r="S9">
        <v>12.09</v>
      </c>
      <c r="T9" t="s">
        <v>87</v>
      </c>
      <c r="U9" t="s">
        <v>105</v>
      </c>
      <c r="V9">
        <f t="shared" si="6"/>
        <v>44.299669052961818</v>
      </c>
      <c r="W9">
        <f t="shared" si="7"/>
        <v>41.770974988291236</v>
      </c>
    </row>
    <row r="10" spans="1:23" x14ac:dyDescent="0.3">
      <c r="A10" t="s">
        <v>106</v>
      </c>
      <c r="B10" t="s">
        <v>107</v>
      </c>
      <c r="C10" t="s">
        <v>108</v>
      </c>
      <c r="D10" t="s">
        <v>109</v>
      </c>
      <c r="E10" t="s">
        <v>85</v>
      </c>
      <c r="F10" t="s">
        <v>86</v>
      </c>
      <c r="H10">
        <v>1</v>
      </c>
      <c r="I10">
        <v>177.8</v>
      </c>
      <c r="J10">
        <v>0.33173131067961159</v>
      </c>
      <c r="K10">
        <v>0.98099999999999998</v>
      </c>
      <c r="L10">
        <v>4.8780000000000001</v>
      </c>
      <c r="M10">
        <f t="shared" si="0"/>
        <v>1.7575705949619653</v>
      </c>
      <c r="N10">
        <f t="shared" si="1"/>
        <v>1.556673928479307</v>
      </c>
      <c r="O10">
        <f t="shared" si="2"/>
        <v>41.531196098203921</v>
      </c>
      <c r="P10">
        <f t="shared" si="3"/>
        <v>39.165822311796155</v>
      </c>
      <c r="Q10">
        <f t="shared" si="4"/>
        <v>39.495761310506445</v>
      </c>
      <c r="R10">
        <f t="shared" si="5"/>
        <v>2.0354347876974757</v>
      </c>
      <c r="S10">
        <v>13.13</v>
      </c>
      <c r="T10" t="s">
        <v>87</v>
      </c>
      <c r="U10" t="s">
        <v>110</v>
      </c>
      <c r="V10">
        <f t="shared" si="6"/>
        <v>43.890783993471359</v>
      </c>
      <c r="W10">
        <f t="shared" si="7"/>
        <v>41.525410207063594</v>
      </c>
    </row>
    <row r="11" spans="1:23" x14ac:dyDescent="0.3">
      <c r="A11" t="s">
        <v>106</v>
      </c>
      <c r="B11" t="s">
        <v>107</v>
      </c>
      <c r="C11" t="s">
        <v>111</v>
      </c>
      <c r="D11" t="s">
        <v>109</v>
      </c>
      <c r="E11" t="s">
        <v>85</v>
      </c>
      <c r="F11" t="s">
        <v>86</v>
      </c>
      <c r="H11">
        <v>1</v>
      </c>
      <c r="I11">
        <v>177.8</v>
      </c>
      <c r="J11">
        <v>0.33173131067961159</v>
      </c>
      <c r="K11">
        <v>1.9610000000000001</v>
      </c>
      <c r="L11">
        <v>11.021000000000001</v>
      </c>
      <c r="M11">
        <f t="shared" si="0"/>
        <v>3.6122715047967535</v>
      </c>
      <c r="N11">
        <f t="shared" si="1"/>
        <v>3.4976881294513453</v>
      </c>
      <c r="O11">
        <f t="shared" si="2"/>
        <v>44.076707060958732</v>
      </c>
      <c r="P11">
        <f t="shared" si="3"/>
        <v>41.711333274550967</v>
      </c>
      <c r="Q11">
        <f t="shared" si="4"/>
        <v>36.493691583938002</v>
      </c>
      <c r="R11">
        <f t="shared" si="5"/>
        <v>7.5830154770207301</v>
      </c>
      <c r="S11">
        <v>19.04</v>
      </c>
      <c r="T11" t="s">
        <v>87</v>
      </c>
      <c r="U11" t="s">
        <v>112</v>
      </c>
      <c r="V11">
        <f t="shared" si="6"/>
        <v>49.521188786719875</v>
      </c>
      <c r="W11">
        <f t="shared" si="7"/>
        <v>47.15581500031211</v>
      </c>
    </row>
    <row r="12" spans="1:23" x14ac:dyDescent="0.3">
      <c r="A12" t="s">
        <v>106</v>
      </c>
      <c r="B12" t="s">
        <v>107</v>
      </c>
      <c r="C12" t="s">
        <v>113</v>
      </c>
      <c r="D12" t="s">
        <v>109</v>
      </c>
      <c r="E12" t="s">
        <v>85</v>
      </c>
      <c r="F12" t="s">
        <v>86</v>
      </c>
      <c r="H12">
        <v>1</v>
      </c>
      <c r="I12">
        <v>177.8</v>
      </c>
      <c r="J12">
        <v>0.33173131067961159</v>
      </c>
      <c r="K12">
        <v>2.452</v>
      </c>
      <c r="L12">
        <v>14.382</v>
      </c>
      <c r="M12">
        <f t="shared" si="0"/>
        <v>4.5584655500515883</v>
      </c>
      <c r="N12">
        <f t="shared" si="1"/>
        <v>4.5489489883445948</v>
      </c>
      <c r="O12">
        <f t="shared" si="2"/>
        <v>44.940130250957857</v>
      </c>
      <c r="P12">
        <f t="shared" si="3"/>
        <v>42.574756464550092</v>
      </c>
      <c r="Q12">
        <f t="shared" si="4"/>
        <v>35.542742188336966</v>
      </c>
      <c r="R12">
        <f t="shared" si="5"/>
        <v>9.397388062620891</v>
      </c>
      <c r="S12">
        <v>17.829999999999998</v>
      </c>
      <c r="T12" t="s">
        <v>87</v>
      </c>
      <c r="U12" t="s">
        <v>114</v>
      </c>
      <c r="V12">
        <f t="shared" si="6"/>
        <v>51.350730228000366</v>
      </c>
      <c r="W12">
        <f t="shared" si="7"/>
        <v>48.9853564415926</v>
      </c>
    </row>
    <row r="13" spans="1:23" x14ac:dyDescent="0.3">
      <c r="A13" t="s">
        <v>106</v>
      </c>
      <c r="B13" t="s">
        <v>115</v>
      </c>
      <c r="C13" t="s">
        <v>116</v>
      </c>
      <c r="D13" t="s">
        <v>109</v>
      </c>
      <c r="E13" t="s">
        <v>117</v>
      </c>
      <c r="F13" t="s">
        <v>86</v>
      </c>
      <c r="H13">
        <v>1</v>
      </c>
      <c r="I13">
        <v>177.8</v>
      </c>
      <c r="J13">
        <v>0.35743023255813949</v>
      </c>
      <c r="K13">
        <v>0.98099999999999998</v>
      </c>
      <c r="L13">
        <v>4.8010000000000002</v>
      </c>
      <c r="M13">
        <f t="shared" si="0"/>
        <v>1.7509666535242077</v>
      </c>
      <c r="N13">
        <f t="shared" si="1"/>
        <v>1.5324568408027699</v>
      </c>
      <c r="O13">
        <f t="shared" si="2"/>
        <v>41.192615255304396</v>
      </c>
      <c r="P13">
        <f t="shared" si="3"/>
        <v>39.341219906467188</v>
      </c>
      <c r="Q13">
        <f t="shared" si="4"/>
        <v>39.004339633113631</v>
      </c>
      <c r="R13">
        <f t="shared" si="5"/>
        <v>2.1882756221907655</v>
      </c>
      <c r="S13">
        <v>19.149999999999999</v>
      </c>
      <c r="T13" t="s">
        <v>87</v>
      </c>
      <c r="U13" t="s">
        <v>118</v>
      </c>
      <c r="V13">
        <f t="shared" si="6"/>
        <v>43.533639140467301</v>
      </c>
      <c r="W13">
        <f t="shared" si="7"/>
        <v>41.682243791630093</v>
      </c>
    </row>
    <row r="14" spans="1:23" x14ac:dyDescent="0.3">
      <c r="A14" t="s">
        <v>106</v>
      </c>
      <c r="B14" t="s">
        <v>115</v>
      </c>
      <c r="C14" t="s">
        <v>119</v>
      </c>
      <c r="D14" t="s">
        <v>109</v>
      </c>
      <c r="E14" t="s">
        <v>117</v>
      </c>
      <c r="F14" t="s">
        <v>86</v>
      </c>
      <c r="H14">
        <v>1</v>
      </c>
      <c r="I14">
        <v>177.8</v>
      </c>
      <c r="J14">
        <v>0.35743023255813949</v>
      </c>
      <c r="K14">
        <v>1.9610000000000001</v>
      </c>
      <c r="L14">
        <v>11.664</v>
      </c>
      <c r="M14">
        <f t="shared" si="0"/>
        <v>3.6564497395231754</v>
      </c>
      <c r="N14">
        <f t="shared" si="1"/>
        <v>3.6846165340974308</v>
      </c>
      <c r="O14">
        <f t="shared" si="2"/>
        <v>45.219835984580286</v>
      </c>
      <c r="P14">
        <f t="shared" si="3"/>
        <v>43.368440635743077</v>
      </c>
      <c r="Q14">
        <f t="shared" si="4"/>
        <v>35.950337709652644</v>
      </c>
      <c r="R14">
        <f t="shared" si="5"/>
        <v>9.269498274927642</v>
      </c>
      <c r="S14">
        <v>18.8</v>
      </c>
      <c r="T14" t="s">
        <v>87</v>
      </c>
      <c r="U14" t="s">
        <v>120</v>
      </c>
      <c r="V14">
        <f t="shared" si="6"/>
        <v>50.697663355483925</v>
      </c>
      <c r="W14">
        <f t="shared" si="7"/>
        <v>48.846268006646717</v>
      </c>
    </row>
    <row r="15" spans="1:23" x14ac:dyDescent="0.3">
      <c r="A15" t="s">
        <v>106</v>
      </c>
      <c r="B15" t="s">
        <v>115</v>
      </c>
      <c r="C15" t="s">
        <v>121</v>
      </c>
      <c r="D15" t="s">
        <v>109</v>
      </c>
      <c r="E15" t="s">
        <v>117</v>
      </c>
      <c r="F15" t="s">
        <v>86</v>
      </c>
      <c r="H15">
        <v>1</v>
      </c>
      <c r="I15">
        <v>177.8</v>
      </c>
      <c r="J15">
        <v>0.35743023255813949</v>
      </c>
      <c r="K15">
        <v>2.452</v>
      </c>
      <c r="L15">
        <v>15.381</v>
      </c>
      <c r="M15">
        <f t="shared" si="0"/>
        <v>4.6225510450702192</v>
      </c>
      <c r="N15">
        <f t="shared" si="1"/>
        <v>4.8323661515304748</v>
      </c>
      <c r="O15">
        <f t="shared" si="2"/>
        <v>46.271248293058285</v>
      </c>
      <c r="P15">
        <f t="shared" si="3"/>
        <v>44.419852944221077</v>
      </c>
      <c r="Q15">
        <f t="shared" si="4"/>
        <v>34.998085133065196</v>
      </c>
      <c r="R15">
        <f t="shared" si="5"/>
        <v>11.273163159993089</v>
      </c>
      <c r="S15">
        <v>18.98</v>
      </c>
      <c r="T15" t="s">
        <v>87</v>
      </c>
      <c r="U15" t="s">
        <v>122</v>
      </c>
      <c r="V15">
        <f t="shared" si="6"/>
        <v>52.700481018982281</v>
      </c>
      <c r="W15">
        <f t="shared" si="7"/>
        <v>50.849085670145072</v>
      </c>
    </row>
    <row r="16" spans="1:23" x14ac:dyDescent="0.3">
      <c r="A16" t="s">
        <v>106</v>
      </c>
      <c r="B16" t="s">
        <v>123</v>
      </c>
      <c r="C16" t="s">
        <v>124</v>
      </c>
      <c r="D16" t="s">
        <v>109</v>
      </c>
      <c r="E16" t="s">
        <v>117</v>
      </c>
      <c r="F16" t="s">
        <v>86</v>
      </c>
      <c r="H16">
        <v>0.152</v>
      </c>
      <c r="I16">
        <v>25.4</v>
      </c>
      <c r="J16">
        <v>0.33302551020408178</v>
      </c>
      <c r="K16">
        <v>0.97699999999999998</v>
      </c>
      <c r="L16">
        <v>5.0759999999999996</v>
      </c>
      <c r="M16">
        <f t="shared" si="0"/>
        <v>1.7683375612630907</v>
      </c>
      <c r="N16">
        <f t="shared" si="1"/>
        <v>1.6178620237064689</v>
      </c>
      <c r="O16">
        <f t="shared" si="2"/>
        <v>42.455570879898247</v>
      </c>
      <c r="P16">
        <f t="shared" si="3"/>
        <v>40.116081083979878</v>
      </c>
      <c r="Q16">
        <f t="shared" si="4"/>
        <v>39.444444000239073</v>
      </c>
      <c r="R16">
        <f t="shared" si="5"/>
        <v>3.011126879659173</v>
      </c>
      <c r="S16">
        <v>11.44</v>
      </c>
      <c r="T16" t="s">
        <v>87</v>
      </c>
      <c r="U16" t="s">
        <v>125</v>
      </c>
      <c r="V16">
        <f t="shared" si="6"/>
        <v>44.846282240813238</v>
      </c>
      <c r="W16">
        <f t="shared" si="7"/>
        <v>42.50679244489487</v>
      </c>
    </row>
    <row r="17" spans="1:23" x14ac:dyDescent="0.3">
      <c r="A17" t="s">
        <v>106</v>
      </c>
      <c r="B17" t="s">
        <v>126</v>
      </c>
      <c r="C17" t="s">
        <v>127</v>
      </c>
      <c r="D17" t="s">
        <v>84</v>
      </c>
      <c r="E17" t="s">
        <v>117</v>
      </c>
      <c r="F17" t="s">
        <v>86</v>
      </c>
      <c r="H17">
        <v>0.15190000000000001</v>
      </c>
      <c r="I17">
        <v>25.4</v>
      </c>
      <c r="J17">
        <v>0.32678203240058901</v>
      </c>
      <c r="K17">
        <v>0.98199999999999998</v>
      </c>
      <c r="L17">
        <v>4.8049999999999997</v>
      </c>
      <c r="M17">
        <f t="shared" si="0"/>
        <v>1.7526740094693098</v>
      </c>
      <c r="N17">
        <f t="shared" si="1"/>
        <v>1.5337367144753589</v>
      </c>
      <c r="O17">
        <f t="shared" si="2"/>
        <v>41.18864594211972</v>
      </c>
      <c r="P17">
        <f t="shared" si="3"/>
        <v>38.724286590131499</v>
      </c>
      <c r="Q17">
        <f t="shared" si="4"/>
        <v>39.605311093922545</v>
      </c>
      <c r="R17">
        <f t="shared" si="5"/>
        <v>1.5833348481971754</v>
      </c>
      <c r="S17">
        <v>18.510000000000002</v>
      </c>
      <c r="T17" t="s">
        <v>87</v>
      </c>
      <c r="U17" t="s">
        <v>128</v>
      </c>
      <c r="V17">
        <f t="shared" si="6"/>
        <v>43.533822348253835</v>
      </c>
      <c r="W17">
        <f t="shared" si="7"/>
        <v>41.069462996265614</v>
      </c>
    </row>
    <row r="18" spans="1:23" x14ac:dyDescent="0.3">
      <c r="A18" t="s">
        <v>129</v>
      </c>
      <c r="B18" t="s">
        <v>130</v>
      </c>
      <c r="C18" t="s">
        <v>131</v>
      </c>
      <c r="D18" t="s">
        <v>132</v>
      </c>
      <c r="E18" t="s">
        <v>85</v>
      </c>
      <c r="F18" t="s">
        <v>86</v>
      </c>
      <c r="H18">
        <v>0.6</v>
      </c>
      <c r="I18">
        <v>101.6</v>
      </c>
      <c r="J18">
        <v>0.35400000000000009</v>
      </c>
      <c r="K18">
        <v>0.49030000000000001</v>
      </c>
      <c r="L18">
        <v>2.1280000000000001</v>
      </c>
      <c r="M18">
        <f t="shared" si="0"/>
        <v>0.84960335358030947</v>
      </c>
      <c r="N18">
        <f t="shared" si="1"/>
        <v>0.67774051248572709</v>
      </c>
      <c r="O18">
        <f t="shared" si="2"/>
        <v>38.579855364112781</v>
      </c>
      <c r="P18">
        <f t="shared" si="3"/>
        <v>36.659855364112779</v>
      </c>
      <c r="Q18">
        <f t="shared" si="4"/>
        <v>42.141526796313478</v>
      </c>
      <c r="R18">
        <f t="shared" si="5"/>
        <v>-3.561671432200697</v>
      </c>
      <c r="S18">
        <v>12.42</v>
      </c>
      <c r="T18" t="s">
        <v>87</v>
      </c>
      <c r="U18" t="s">
        <v>133</v>
      </c>
      <c r="V18">
        <f t="shared" si="6"/>
        <v>37.84511190135386</v>
      </c>
      <c r="W18">
        <f t="shared" si="7"/>
        <v>35.925111901353858</v>
      </c>
    </row>
    <row r="19" spans="1:23" x14ac:dyDescent="0.3">
      <c r="A19" t="s">
        <v>129</v>
      </c>
      <c r="B19" t="s">
        <v>130</v>
      </c>
      <c r="C19" t="s">
        <v>134</v>
      </c>
      <c r="D19" t="s">
        <v>132</v>
      </c>
      <c r="E19" t="s">
        <v>85</v>
      </c>
      <c r="F19" t="s">
        <v>86</v>
      </c>
      <c r="H19">
        <v>0.6</v>
      </c>
      <c r="I19">
        <v>101.6</v>
      </c>
      <c r="J19">
        <v>0.35400000000000009</v>
      </c>
      <c r="K19">
        <v>0.98070000000000002</v>
      </c>
      <c r="L19">
        <v>4.3698000000000006</v>
      </c>
      <c r="M19">
        <f t="shared" si="0"/>
        <v>1.7107352635661277</v>
      </c>
      <c r="N19">
        <f t="shared" si="1"/>
        <v>1.3932734927866453</v>
      </c>
      <c r="O19">
        <f t="shared" si="2"/>
        <v>39.160392058668648</v>
      </c>
      <c r="P19">
        <f t="shared" si="3"/>
        <v>37.240392058668647</v>
      </c>
      <c r="Q19">
        <f t="shared" si="4"/>
        <v>39.169801636078212</v>
      </c>
      <c r="R19">
        <f t="shared" si="5"/>
        <v>-9.4095774095634965E-3</v>
      </c>
      <c r="S19">
        <v>20.7</v>
      </c>
      <c r="T19" t="s">
        <v>87</v>
      </c>
      <c r="U19" t="s">
        <v>135</v>
      </c>
      <c r="V19">
        <f t="shared" si="6"/>
        <v>41.380945521059743</v>
      </c>
      <c r="W19">
        <f t="shared" si="7"/>
        <v>39.460945521059742</v>
      </c>
    </row>
    <row r="20" spans="1:23" x14ac:dyDescent="0.3">
      <c r="A20" t="s">
        <v>129</v>
      </c>
      <c r="B20" t="s">
        <v>130</v>
      </c>
      <c r="C20" t="s">
        <v>136</v>
      </c>
      <c r="D20" t="s">
        <v>132</v>
      </c>
      <c r="E20" t="s">
        <v>85</v>
      </c>
      <c r="F20" t="s">
        <v>86</v>
      </c>
      <c r="H20">
        <v>0.6</v>
      </c>
      <c r="I20">
        <v>101.6</v>
      </c>
      <c r="J20">
        <v>0.35400000000000009</v>
      </c>
      <c r="K20">
        <v>1.9613</v>
      </c>
      <c r="L20">
        <v>8.9848999999999997</v>
      </c>
      <c r="M20">
        <f t="shared" si="0"/>
        <v>3.4450385050327346</v>
      </c>
      <c r="N20">
        <f t="shared" si="1"/>
        <v>2.8670029320932238</v>
      </c>
      <c r="O20">
        <f t="shared" si="2"/>
        <v>39.767638902145258</v>
      </c>
      <c r="P20">
        <f t="shared" si="3"/>
        <v>37.847638902145256</v>
      </c>
      <c r="Q20">
        <f t="shared" si="4"/>
        <v>36.259884434194362</v>
      </c>
      <c r="R20">
        <f t="shared" si="5"/>
        <v>3.5077544679508961</v>
      </c>
      <c r="S20">
        <v>19.43</v>
      </c>
      <c r="T20" t="s">
        <v>87</v>
      </c>
      <c r="U20" t="s">
        <v>137</v>
      </c>
      <c r="V20">
        <f t="shared" si="6"/>
        <v>44.998136642596293</v>
      </c>
      <c r="W20">
        <f t="shared" si="7"/>
        <v>43.078136642596291</v>
      </c>
    </row>
    <row r="21" spans="1:23" x14ac:dyDescent="0.3">
      <c r="A21" t="s">
        <v>138</v>
      </c>
      <c r="B21" t="s">
        <v>139</v>
      </c>
      <c r="C21" t="s">
        <v>140</v>
      </c>
      <c r="D21" t="s">
        <v>132</v>
      </c>
      <c r="E21" t="s">
        <v>85</v>
      </c>
      <c r="F21" t="s">
        <v>86</v>
      </c>
      <c r="H21">
        <v>1</v>
      </c>
      <c r="I21">
        <v>177.8</v>
      </c>
      <c r="J21">
        <v>0.28958640776699052</v>
      </c>
      <c r="K21">
        <v>0.49030000000000001</v>
      </c>
      <c r="L21">
        <v>2.1711999999999998</v>
      </c>
      <c r="M21">
        <f t="shared" si="0"/>
        <v>0.85394839344167561</v>
      </c>
      <c r="N21">
        <f t="shared" si="1"/>
        <v>0.6921101288692435</v>
      </c>
      <c r="O21">
        <f t="shared" si="2"/>
        <v>39.024157528556316</v>
      </c>
      <c r="P21">
        <f t="shared" si="3"/>
        <v>35.815885683896127</v>
      </c>
      <c r="Q21">
        <f t="shared" si="4"/>
        <v>43.41098257643786</v>
      </c>
      <c r="R21">
        <f t="shared" si="5"/>
        <v>-4.386825047881544</v>
      </c>
      <c r="S21">
        <v>3.98</v>
      </c>
      <c r="T21" t="s">
        <v>87</v>
      </c>
      <c r="U21" t="s">
        <v>141</v>
      </c>
      <c r="V21">
        <f t="shared" si="6"/>
        <v>38.308081969720561</v>
      </c>
      <c r="W21">
        <f t="shared" si="7"/>
        <v>35.099810125060372</v>
      </c>
    </row>
    <row r="22" spans="1:23" x14ac:dyDescent="0.3">
      <c r="A22" t="s">
        <v>138</v>
      </c>
      <c r="B22" t="s">
        <v>139</v>
      </c>
      <c r="C22" t="s">
        <v>142</v>
      </c>
      <c r="D22" t="s">
        <v>132</v>
      </c>
      <c r="E22" t="s">
        <v>85</v>
      </c>
      <c r="F22" t="s">
        <v>86</v>
      </c>
      <c r="H22">
        <v>1</v>
      </c>
      <c r="I22">
        <v>177.8</v>
      </c>
      <c r="J22">
        <v>0.28958640776699052</v>
      </c>
      <c r="K22">
        <v>0.98070000000000002</v>
      </c>
      <c r="L22">
        <v>4.4287000000000001</v>
      </c>
      <c r="M22">
        <f t="shared" si="0"/>
        <v>1.7164809213140721</v>
      </c>
      <c r="N22">
        <f t="shared" si="1"/>
        <v>1.4126567355593276</v>
      </c>
      <c r="O22">
        <f t="shared" si="2"/>
        <v>39.454239849306639</v>
      </c>
      <c r="P22">
        <f t="shared" si="3"/>
        <v>36.24596800464645</v>
      </c>
      <c r="Q22">
        <f t="shared" si="4"/>
        <v>40.429554941005371</v>
      </c>
      <c r="R22">
        <f t="shared" si="5"/>
        <v>-0.97531509169873232</v>
      </c>
      <c r="S22">
        <v>12.97</v>
      </c>
      <c r="T22" t="s">
        <v>87</v>
      </c>
      <c r="U22" t="s">
        <v>143</v>
      </c>
      <c r="V22">
        <f t="shared" si="6"/>
        <v>41.692807315753015</v>
      </c>
      <c r="W22">
        <f t="shared" si="7"/>
        <v>38.484535471092826</v>
      </c>
    </row>
    <row r="23" spans="1:23" x14ac:dyDescent="0.3">
      <c r="A23" t="s">
        <v>138</v>
      </c>
      <c r="B23" t="s">
        <v>139</v>
      </c>
      <c r="C23" t="s">
        <v>144</v>
      </c>
      <c r="D23" t="s">
        <v>132</v>
      </c>
      <c r="E23" t="s">
        <v>85</v>
      </c>
      <c r="F23" t="s">
        <v>86</v>
      </c>
      <c r="H23">
        <v>1</v>
      </c>
      <c r="I23">
        <v>177.8</v>
      </c>
      <c r="J23">
        <v>0.28958640776699052</v>
      </c>
      <c r="K23">
        <v>1.9613</v>
      </c>
      <c r="L23">
        <v>8.6867000000000001</v>
      </c>
      <c r="M23">
        <f t="shared" si="0"/>
        <v>3.4161123414443368</v>
      </c>
      <c r="N23">
        <f t="shared" si="1"/>
        <v>2.7690640968260363</v>
      </c>
      <c r="O23">
        <f t="shared" si="2"/>
        <v>39.027854428358758</v>
      </c>
      <c r="P23">
        <f t="shared" si="3"/>
        <v>35.819582583698569</v>
      </c>
      <c r="Q23">
        <f t="shared" si="4"/>
        <v>37.538428005652996</v>
      </c>
      <c r="R23">
        <f t="shared" si="5"/>
        <v>1.4894264227057619</v>
      </c>
      <c r="S23">
        <v>11.18</v>
      </c>
      <c r="T23" t="s">
        <v>87</v>
      </c>
      <c r="U23" t="s">
        <v>145</v>
      </c>
      <c r="V23">
        <f t="shared" si="6"/>
        <v>44.207822677796969</v>
      </c>
      <c r="W23">
        <f t="shared" si="7"/>
        <v>40.99955083313678</v>
      </c>
    </row>
    <row r="24" spans="1:23" x14ac:dyDescent="0.3">
      <c r="A24" t="s">
        <v>146</v>
      </c>
      <c r="B24" t="s">
        <v>147</v>
      </c>
      <c r="C24" t="s">
        <v>148</v>
      </c>
      <c r="D24" t="s">
        <v>109</v>
      </c>
      <c r="E24" t="s">
        <v>149</v>
      </c>
      <c r="F24" t="s">
        <v>86</v>
      </c>
      <c r="H24">
        <v>0.31</v>
      </c>
      <c r="I24">
        <v>25.4</v>
      </c>
      <c r="J24">
        <v>0.3316666666666665</v>
      </c>
      <c r="M24">
        <v>0.3</v>
      </c>
      <c r="N24">
        <v>0.25569999999999998</v>
      </c>
      <c r="O24">
        <f t="shared" si="2"/>
        <v>40.442061283268508</v>
      </c>
      <c r="P24">
        <f t="shared" si="3"/>
        <v>38.075394616601841</v>
      </c>
      <c r="Q24">
        <f t="shared" si="4"/>
        <v>47.058121638510677</v>
      </c>
      <c r="R24">
        <f t="shared" si="5"/>
        <v>-6.6160603552421691</v>
      </c>
      <c r="T24" t="s">
        <v>150</v>
      </c>
      <c r="V24">
        <f t="shared" si="6"/>
        <v>35.379603029663976</v>
      </c>
      <c r="W24">
        <f t="shared" si="7"/>
        <v>33.012936362997308</v>
      </c>
    </row>
    <row r="25" spans="1:23" x14ac:dyDescent="0.3">
      <c r="A25" t="s">
        <v>146</v>
      </c>
      <c r="B25" t="s">
        <v>147</v>
      </c>
      <c r="C25" t="s">
        <v>151</v>
      </c>
      <c r="D25" t="s">
        <v>109</v>
      </c>
      <c r="E25" t="s">
        <v>149</v>
      </c>
      <c r="F25" t="s">
        <v>86</v>
      </c>
      <c r="H25">
        <v>0.31</v>
      </c>
      <c r="I25">
        <v>25.4</v>
      </c>
      <c r="J25">
        <v>0.3316666666666665</v>
      </c>
      <c r="M25">
        <v>0.6</v>
      </c>
      <c r="N25">
        <v>0.47610000000000019</v>
      </c>
      <c r="O25">
        <f t="shared" si="2"/>
        <v>38.432000201519607</v>
      </c>
      <c r="P25">
        <f t="shared" si="3"/>
        <v>36.06533353485294</v>
      </c>
      <c r="Q25">
        <f t="shared" si="4"/>
        <v>44.081471163125862</v>
      </c>
      <c r="R25">
        <f t="shared" si="5"/>
        <v>-5.6494709616062551</v>
      </c>
      <c r="T25" t="s">
        <v>150</v>
      </c>
      <c r="V25">
        <f t="shared" si="6"/>
        <v>36.261814035507449</v>
      </c>
      <c r="W25">
        <f t="shared" si="7"/>
        <v>33.895147368840782</v>
      </c>
    </row>
    <row r="26" spans="1:23" x14ac:dyDescent="0.3">
      <c r="A26" t="s">
        <v>146</v>
      </c>
      <c r="B26" t="s">
        <v>147</v>
      </c>
      <c r="C26" t="s">
        <v>152</v>
      </c>
      <c r="D26" t="s">
        <v>109</v>
      </c>
      <c r="E26" t="s">
        <v>149</v>
      </c>
      <c r="F26" t="s">
        <v>86</v>
      </c>
      <c r="H26">
        <v>0.31</v>
      </c>
      <c r="I26">
        <v>25.4</v>
      </c>
      <c r="J26">
        <v>0.3316666666666665</v>
      </c>
      <c r="M26">
        <v>1.2</v>
      </c>
      <c r="N26">
        <v>0.99809999999999999</v>
      </c>
      <c r="O26">
        <f t="shared" si="2"/>
        <v>39.751990706223062</v>
      </c>
      <c r="P26">
        <f t="shared" si="3"/>
        <v>37.385324039556394</v>
      </c>
      <c r="Q26">
        <f t="shared" si="4"/>
        <v>41.114698913852209</v>
      </c>
      <c r="R26">
        <f t="shared" si="5"/>
        <v>-1.3627082076291472</v>
      </c>
      <c r="T26" t="s">
        <v>150</v>
      </c>
      <c r="V26">
        <f t="shared" si="6"/>
        <v>40.469360211044204</v>
      </c>
      <c r="W26">
        <f t="shared" si="7"/>
        <v>38.102693544377537</v>
      </c>
    </row>
    <row r="27" spans="1:23" x14ac:dyDescent="0.3">
      <c r="A27" t="s">
        <v>146</v>
      </c>
      <c r="B27" t="s">
        <v>153</v>
      </c>
      <c r="C27" t="s">
        <v>154</v>
      </c>
      <c r="D27" t="s">
        <v>132</v>
      </c>
      <c r="E27" t="s">
        <v>149</v>
      </c>
      <c r="F27" t="s">
        <v>86</v>
      </c>
      <c r="H27">
        <v>0.31</v>
      </c>
      <c r="I27">
        <v>25.4</v>
      </c>
      <c r="J27">
        <v>0.40968245705361789</v>
      </c>
      <c r="M27">
        <v>0.3</v>
      </c>
      <c r="N27">
        <v>0.2281</v>
      </c>
      <c r="O27">
        <f t="shared" si="2"/>
        <v>37.246938143909304</v>
      </c>
      <c r="P27">
        <f t="shared" si="3"/>
        <v>36.44058728498166</v>
      </c>
      <c r="Q27">
        <f t="shared" si="4"/>
        <v>45.484456372918402</v>
      </c>
      <c r="R27">
        <f t="shared" si="5"/>
        <v>-8.2375182290090976</v>
      </c>
      <c r="T27" t="s">
        <v>150</v>
      </c>
      <c r="V27">
        <f t="shared" si="6"/>
        <v>32.353315148843713</v>
      </c>
      <c r="W27">
        <f t="shared" si="7"/>
        <v>31.546964289916069</v>
      </c>
    </row>
    <row r="28" spans="1:23" x14ac:dyDescent="0.3">
      <c r="A28" t="s">
        <v>146</v>
      </c>
      <c r="B28" t="s">
        <v>153</v>
      </c>
      <c r="C28" t="s">
        <v>155</v>
      </c>
      <c r="D28" t="s">
        <v>132</v>
      </c>
      <c r="E28" t="s">
        <v>149</v>
      </c>
      <c r="F28" t="s">
        <v>86</v>
      </c>
      <c r="H28">
        <v>0.31</v>
      </c>
      <c r="I28">
        <v>25.4</v>
      </c>
      <c r="J28">
        <v>0.40968245705361789</v>
      </c>
      <c r="M28">
        <v>0.6</v>
      </c>
      <c r="N28">
        <v>0.46810000000000002</v>
      </c>
      <c r="O28">
        <f t="shared" si="2"/>
        <v>37.960167535655685</v>
      </c>
      <c r="P28">
        <f t="shared" si="3"/>
        <v>37.153816676728042</v>
      </c>
      <c r="Q28">
        <f t="shared" si="4"/>
        <v>42.509043595491249</v>
      </c>
      <c r="R28">
        <f t="shared" si="5"/>
        <v>-4.548876059835564</v>
      </c>
      <c r="T28" t="s">
        <v>150</v>
      </c>
      <c r="V28">
        <f t="shared" si="6"/>
        <v>35.799952818363501</v>
      </c>
      <c r="W28">
        <f t="shared" si="7"/>
        <v>34.993601959435857</v>
      </c>
    </row>
    <row r="29" spans="1:23" x14ac:dyDescent="0.3">
      <c r="A29" t="s">
        <v>146</v>
      </c>
      <c r="B29" t="s">
        <v>153</v>
      </c>
      <c r="C29" t="s">
        <v>156</v>
      </c>
      <c r="D29" t="s">
        <v>132</v>
      </c>
      <c r="E29" t="s">
        <v>149</v>
      </c>
      <c r="F29" t="s">
        <v>86</v>
      </c>
      <c r="H29">
        <v>0.31</v>
      </c>
      <c r="I29">
        <v>25.4</v>
      </c>
      <c r="J29">
        <v>0.40968245705361789</v>
      </c>
      <c r="M29">
        <v>1.2</v>
      </c>
      <c r="N29">
        <v>0.94510000000000005</v>
      </c>
      <c r="O29">
        <f t="shared" si="2"/>
        <v>38.223378964999959</v>
      </c>
      <c r="P29">
        <f t="shared" si="3"/>
        <v>37.417028106072316</v>
      </c>
      <c r="Q29">
        <f t="shared" si="4"/>
        <v>39.560303948554953</v>
      </c>
      <c r="R29">
        <f t="shared" si="5"/>
        <v>-1.3369249835549937</v>
      </c>
      <c r="T29" t="s">
        <v>150</v>
      </c>
      <c r="V29">
        <f t="shared" si="6"/>
        <v>38.933111618345414</v>
      </c>
      <c r="W29">
        <f t="shared" si="7"/>
        <v>38.12676075941777</v>
      </c>
    </row>
    <row r="30" spans="1:23" x14ac:dyDescent="0.3">
      <c r="A30" t="s">
        <v>146</v>
      </c>
      <c r="B30" t="s">
        <v>157</v>
      </c>
      <c r="C30" t="s">
        <v>158</v>
      </c>
      <c r="D30" t="s">
        <v>84</v>
      </c>
      <c r="E30" t="s">
        <v>149</v>
      </c>
      <c r="F30" t="s">
        <v>86</v>
      </c>
      <c r="H30">
        <v>0.31</v>
      </c>
      <c r="I30">
        <v>25.4</v>
      </c>
      <c r="J30">
        <v>0.26202473660100778</v>
      </c>
      <c r="M30">
        <v>0.3</v>
      </c>
      <c r="N30">
        <v>0.2195</v>
      </c>
      <c r="O30">
        <f t="shared" si="2"/>
        <v>36.191690340261552</v>
      </c>
      <c r="P30">
        <f t="shared" si="3"/>
        <v>32.432185072281705</v>
      </c>
      <c r="Q30">
        <f t="shared" si="4"/>
        <v>48.449683610612816</v>
      </c>
      <c r="R30">
        <f t="shared" si="5"/>
        <v>-12.257993270351264</v>
      </c>
      <c r="T30" t="s">
        <v>150</v>
      </c>
      <c r="V30">
        <f t="shared" si="6"/>
        <v>31.366196686232016</v>
      </c>
      <c r="W30">
        <f t="shared" si="7"/>
        <v>27.606691418252172</v>
      </c>
    </row>
    <row r="31" spans="1:23" x14ac:dyDescent="0.3">
      <c r="A31" t="s">
        <v>146</v>
      </c>
      <c r="B31" t="s">
        <v>157</v>
      </c>
      <c r="C31" t="s">
        <v>159</v>
      </c>
      <c r="D31" t="s">
        <v>84</v>
      </c>
      <c r="E31" t="s">
        <v>149</v>
      </c>
      <c r="F31" t="s">
        <v>86</v>
      </c>
      <c r="H31">
        <v>0.31</v>
      </c>
      <c r="I31">
        <v>25.4</v>
      </c>
      <c r="J31">
        <v>0.26202473660100778</v>
      </c>
      <c r="M31">
        <v>0.6</v>
      </c>
      <c r="N31">
        <v>0.46949999999999997</v>
      </c>
      <c r="O31">
        <f t="shared" si="2"/>
        <v>38.043180068604684</v>
      </c>
      <c r="P31">
        <f t="shared" si="3"/>
        <v>34.283674800624837</v>
      </c>
      <c r="Q31">
        <f t="shared" si="4"/>
        <v>45.479447811113644</v>
      </c>
      <c r="R31">
        <f t="shared" si="5"/>
        <v>-7.4362677425089601</v>
      </c>
      <c r="T31" t="s">
        <v>150</v>
      </c>
      <c r="V31">
        <f t="shared" si="6"/>
        <v>35.881169781914934</v>
      </c>
      <c r="W31">
        <f t="shared" si="7"/>
        <v>32.121664513935087</v>
      </c>
    </row>
    <row r="32" spans="1:23" x14ac:dyDescent="0.3">
      <c r="A32" t="s">
        <v>146</v>
      </c>
      <c r="B32" t="s">
        <v>157</v>
      </c>
      <c r="C32" t="s">
        <v>160</v>
      </c>
      <c r="D32" t="s">
        <v>84</v>
      </c>
      <c r="E32" t="s">
        <v>149</v>
      </c>
      <c r="F32" t="s">
        <v>86</v>
      </c>
      <c r="H32">
        <v>0.31</v>
      </c>
      <c r="I32">
        <v>25.4</v>
      </c>
      <c r="J32">
        <v>0.26202473660100778</v>
      </c>
      <c r="M32">
        <v>1.2</v>
      </c>
      <c r="N32">
        <v>0.98430000000000017</v>
      </c>
      <c r="O32">
        <f t="shared" si="2"/>
        <v>39.360316480116431</v>
      </c>
      <c r="P32">
        <f t="shared" si="3"/>
        <v>35.600811212136584</v>
      </c>
      <c r="Q32">
        <f t="shared" si="4"/>
        <v>42.504053286953607</v>
      </c>
      <c r="R32">
        <f t="shared" si="5"/>
        <v>-3.1437368068371754</v>
      </c>
      <c r="T32" t="s">
        <v>150</v>
      </c>
      <c r="V32">
        <f t="shared" si="6"/>
        <v>40.075924445661634</v>
      </c>
      <c r="W32">
        <f t="shared" si="7"/>
        <v>36.316419177681787</v>
      </c>
    </row>
    <row r="33" spans="1:23" x14ac:dyDescent="0.3">
      <c r="A33" t="s">
        <v>146</v>
      </c>
      <c r="B33" t="s">
        <v>161</v>
      </c>
      <c r="C33" t="s">
        <v>162</v>
      </c>
      <c r="D33" t="s">
        <v>100</v>
      </c>
      <c r="E33" t="s">
        <v>149</v>
      </c>
      <c r="F33" t="s">
        <v>86</v>
      </c>
      <c r="H33">
        <v>0.31</v>
      </c>
      <c r="I33">
        <v>25.4</v>
      </c>
      <c r="J33">
        <v>0.32557306590257878</v>
      </c>
      <c r="M33">
        <v>0.3</v>
      </c>
      <c r="N33">
        <v>0.35629999999999989</v>
      </c>
      <c r="O33">
        <f t="shared" si="2"/>
        <v>49.903054235297866</v>
      </c>
      <c r="P33">
        <f t="shared" si="3"/>
        <v>47.414515553349439</v>
      </c>
      <c r="Q33">
        <f t="shared" si="4"/>
        <v>47.180376296619102</v>
      </c>
      <c r="R33">
        <f t="shared" si="5"/>
        <v>2.7226779386787641</v>
      </c>
      <c r="T33" t="s">
        <v>150</v>
      </c>
      <c r="V33">
        <f t="shared" si="6"/>
        <v>44.697977869430602</v>
      </c>
      <c r="W33">
        <f t="shared" si="7"/>
        <v>42.209439187482175</v>
      </c>
    </row>
    <row r="34" spans="1:23" x14ac:dyDescent="0.3">
      <c r="A34" t="s">
        <v>146</v>
      </c>
      <c r="B34" t="s">
        <v>161</v>
      </c>
      <c r="C34" t="s">
        <v>163</v>
      </c>
      <c r="D34" t="s">
        <v>100</v>
      </c>
      <c r="E34" t="s">
        <v>149</v>
      </c>
      <c r="F34" t="s">
        <v>86</v>
      </c>
      <c r="H34">
        <v>0.31</v>
      </c>
      <c r="I34">
        <v>25.4</v>
      </c>
      <c r="J34">
        <v>0.32557306590257878</v>
      </c>
      <c r="M34">
        <v>0.6</v>
      </c>
      <c r="N34">
        <v>0.62529999999999997</v>
      </c>
      <c r="O34">
        <f t="shared" ref="O34:O65" si="8">DEGREES(ATAN(N34/M34))</f>
        <v>46.182875433945568</v>
      </c>
      <c r="P34">
        <f t="shared" ref="P34:P65" si="9">O34-omega*(e_base-J34)</f>
        <v>43.694336751997142</v>
      </c>
      <c r="Q34">
        <f t="shared" ref="Q34:Q65" si="10">DEGREES(ATAN(TAN(RADIANS(pe0-omega*J34))*(M34/sref)^(m_-1)))</f>
        <v>44.204006217501174</v>
      </c>
      <c r="R34">
        <f t="shared" ref="R34:R65" si="11">O34-Q34</f>
        <v>1.9788692164443944</v>
      </c>
      <c r="T34" t="s">
        <v>150</v>
      </c>
      <c r="V34">
        <f t="shared" ref="V34:V65" si="12">DEGREES(ATAN(TAN(RADIANS(O34))*(M34/sref)^(1-m_)))</f>
        <v>43.932843760748113</v>
      </c>
      <c r="W34">
        <f t="shared" ref="W34:W65" si="13">V34-omega*(e_base-J34)</f>
        <v>41.444305078799687</v>
      </c>
    </row>
    <row r="35" spans="1:23" x14ac:dyDescent="0.3">
      <c r="A35" t="s">
        <v>146</v>
      </c>
      <c r="B35" t="s">
        <v>161</v>
      </c>
      <c r="C35" t="s">
        <v>164</v>
      </c>
      <c r="D35" t="s">
        <v>100</v>
      </c>
      <c r="E35" t="s">
        <v>149</v>
      </c>
      <c r="F35" t="s">
        <v>86</v>
      </c>
      <c r="H35">
        <v>0.31</v>
      </c>
      <c r="I35">
        <v>25.4</v>
      </c>
      <c r="J35">
        <v>0.32557306590257878</v>
      </c>
      <c r="M35">
        <v>1</v>
      </c>
      <c r="N35">
        <v>0.94730000000000003</v>
      </c>
      <c r="O35">
        <f t="shared" si="8"/>
        <v>43.449776236643544</v>
      </c>
      <c r="P35">
        <f t="shared" si="9"/>
        <v>40.961237554695117</v>
      </c>
      <c r="Q35">
        <f t="shared" si="10"/>
        <v>42.014212631453702</v>
      </c>
      <c r="R35">
        <f t="shared" si="11"/>
        <v>1.4355636051898415</v>
      </c>
      <c r="T35" t="s">
        <v>150</v>
      </c>
      <c r="V35">
        <f t="shared" si="12"/>
        <v>43.394357028508054</v>
      </c>
      <c r="W35">
        <f t="shared" si="13"/>
        <v>40.905818346559627</v>
      </c>
    </row>
    <row r="36" spans="1:23" x14ac:dyDescent="0.3">
      <c r="A36" t="s">
        <v>146</v>
      </c>
      <c r="B36" t="s">
        <v>165</v>
      </c>
      <c r="C36" t="s">
        <v>166</v>
      </c>
      <c r="D36" t="s">
        <v>132</v>
      </c>
      <c r="E36" t="s">
        <v>149</v>
      </c>
      <c r="F36" t="s">
        <v>86</v>
      </c>
      <c r="H36">
        <v>0.31</v>
      </c>
      <c r="I36">
        <v>25.4</v>
      </c>
      <c r="J36">
        <v>0.478973238667395</v>
      </c>
      <c r="M36">
        <v>0.3</v>
      </c>
      <c r="N36">
        <v>0.35389999999999999</v>
      </c>
      <c r="O36">
        <f t="shared" si="8"/>
        <v>49.712152591654565</v>
      </c>
      <c r="P36">
        <f t="shared" si="9"/>
        <v>50.291617365002466</v>
      </c>
      <c r="Q36">
        <f t="shared" si="10"/>
        <v>44.073537169010109</v>
      </c>
      <c r="R36">
        <f t="shared" si="11"/>
        <v>5.638615422644456</v>
      </c>
      <c r="T36" t="s">
        <v>150</v>
      </c>
      <c r="V36">
        <f t="shared" si="12"/>
        <v>44.504374930407103</v>
      </c>
      <c r="W36">
        <f t="shared" si="13"/>
        <v>45.083839703755004</v>
      </c>
    </row>
    <row r="37" spans="1:23" x14ac:dyDescent="0.3">
      <c r="A37" t="s">
        <v>146</v>
      </c>
      <c r="B37" t="s">
        <v>165</v>
      </c>
      <c r="C37" t="s">
        <v>167</v>
      </c>
      <c r="D37" t="s">
        <v>132</v>
      </c>
      <c r="E37" t="s">
        <v>149</v>
      </c>
      <c r="F37" t="s">
        <v>86</v>
      </c>
      <c r="H37">
        <v>0.31</v>
      </c>
      <c r="I37">
        <v>25.4</v>
      </c>
      <c r="J37">
        <v>0.478973238667395</v>
      </c>
      <c r="M37">
        <v>0.6</v>
      </c>
      <c r="N37">
        <v>0.63370000000000004</v>
      </c>
      <c r="O37">
        <f t="shared" si="8"/>
        <v>46.564714054816605</v>
      </c>
      <c r="P37">
        <f t="shared" si="9"/>
        <v>47.144178828164506</v>
      </c>
      <c r="Q37">
        <f t="shared" si="10"/>
        <v>41.106833844848119</v>
      </c>
      <c r="R37">
        <f t="shared" si="11"/>
        <v>5.4578802099684864</v>
      </c>
      <c r="T37" t="s">
        <v>150</v>
      </c>
      <c r="V37">
        <f t="shared" si="12"/>
        <v>44.314943101579708</v>
      </c>
      <c r="W37">
        <f t="shared" si="13"/>
        <v>44.894407874927609</v>
      </c>
    </row>
    <row r="38" spans="1:23" x14ac:dyDescent="0.3">
      <c r="A38" t="s">
        <v>146</v>
      </c>
      <c r="B38" t="s">
        <v>165</v>
      </c>
      <c r="C38" t="s">
        <v>168</v>
      </c>
      <c r="D38" t="s">
        <v>132</v>
      </c>
      <c r="E38" t="s">
        <v>149</v>
      </c>
      <c r="F38" t="s">
        <v>86</v>
      </c>
      <c r="H38">
        <v>0.31</v>
      </c>
      <c r="I38">
        <v>25.4</v>
      </c>
      <c r="J38">
        <v>0.478973238667395</v>
      </c>
      <c r="M38">
        <v>1.2</v>
      </c>
      <c r="N38">
        <v>1.0192000000000001</v>
      </c>
      <c r="O38">
        <f t="shared" si="8"/>
        <v>40.342353841806833</v>
      </c>
      <c r="P38">
        <f t="shared" si="9"/>
        <v>40.921818615154734</v>
      </c>
      <c r="Q38">
        <f t="shared" si="10"/>
        <v>38.181517805846035</v>
      </c>
      <c r="R38">
        <f t="shared" si="11"/>
        <v>2.1608360359607985</v>
      </c>
      <c r="T38" t="s">
        <v>150</v>
      </c>
      <c r="V38">
        <f t="shared" si="12"/>
        <v>41.062123367819886</v>
      </c>
      <c r="W38">
        <f t="shared" si="13"/>
        <v>41.641588141167787</v>
      </c>
    </row>
    <row r="39" spans="1:23" x14ac:dyDescent="0.3">
      <c r="A39" t="s">
        <v>169</v>
      </c>
      <c r="B39" t="s">
        <v>170</v>
      </c>
      <c r="C39" t="s">
        <v>171</v>
      </c>
      <c r="D39" t="s">
        <v>84</v>
      </c>
      <c r="E39" t="s">
        <v>172</v>
      </c>
      <c r="F39" t="s">
        <v>173</v>
      </c>
      <c r="G39" t="s">
        <v>174</v>
      </c>
      <c r="H39">
        <v>7.1400000000000005E-2</v>
      </c>
      <c r="I39">
        <v>9.5</v>
      </c>
      <c r="J39">
        <v>0.28999999999999998</v>
      </c>
      <c r="K39">
        <v>0.61899999999999999</v>
      </c>
      <c r="L39">
        <v>2.8380000000000001</v>
      </c>
      <c r="M39">
        <f t="shared" ref="M39:M70" si="14">(L39+K39)/2-(L39-K39)/2*((SQRT(4*m_*(m_-1)*(L39-K39)^2+(L39+K39)^2)-(L39+K39))/(2*(m_-1)*(L39-K39)))</f>
        <v>1.0874965092423987</v>
      </c>
      <c r="N39">
        <f t="shared" ref="N39:N70" si="15">(L39-K39)/2*SQRT(1-((SQRT(4*m_*(m_-1)*(L39-K39)^2+(L39+K39)^2)-(L39+K39))/(2*(m_-1)*(L39-K39)))^2)</f>
        <v>0.90559636419133793</v>
      </c>
      <c r="O39">
        <f t="shared" si="8"/>
        <v>39.785331863713019</v>
      </c>
      <c r="P39">
        <f t="shared" si="9"/>
        <v>36.585331863713016</v>
      </c>
      <c r="Q39">
        <f t="shared" si="10"/>
        <v>42.366685044047927</v>
      </c>
      <c r="R39">
        <f t="shared" si="11"/>
        <v>-2.5813531803349079</v>
      </c>
      <c r="S39">
        <v>8.3000000000000007</v>
      </c>
      <c r="T39" t="s">
        <v>175</v>
      </c>
      <c r="U39" t="s">
        <v>176</v>
      </c>
      <c r="V39">
        <f t="shared" si="12"/>
        <v>40.085514543802049</v>
      </c>
      <c r="W39">
        <f t="shared" si="13"/>
        <v>36.885514543802046</v>
      </c>
    </row>
    <row r="40" spans="1:23" x14ac:dyDescent="0.3">
      <c r="A40" t="s">
        <v>169</v>
      </c>
      <c r="B40" t="s">
        <v>170</v>
      </c>
      <c r="C40" t="s">
        <v>177</v>
      </c>
      <c r="D40" t="s">
        <v>84</v>
      </c>
      <c r="E40" t="s">
        <v>172</v>
      </c>
      <c r="F40" t="s">
        <v>173</v>
      </c>
      <c r="G40" t="s">
        <v>174</v>
      </c>
      <c r="H40">
        <v>7.1499999999999994E-2</v>
      </c>
      <c r="I40">
        <v>9.5</v>
      </c>
      <c r="J40">
        <v>0.29499999999999998</v>
      </c>
      <c r="K40">
        <v>0.71699999999999997</v>
      </c>
      <c r="L40">
        <v>3.1110000000000002</v>
      </c>
      <c r="M40">
        <f t="shared" si="14"/>
        <v>1.2423403016989099</v>
      </c>
      <c r="N40">
        <f t="shared" si="15"/>
        <v>0.99079879374073154</v>
      </c>
      <c r="O40">
        <f t="shared" si="8"/>
        <v>38.573273988104951</v>
      </c>
      <c r="P40">
        <f t="shared" si="9"/>
        <v>35.47327398810495</v>
      </c>
      <c r="Q40">
        <f t="shared" si="10"/>
        <v>41.697923768342953</v>
      </c>
      <c r="R40">
        <f t="shared" si="11"/>
        <v>-3.124649780238002</v>
      </c>
      <c r="S40">
        <v>7.6</v>
      </c>
      <c r="T40" t="s">
        <v>175</v>
      </c>
      <c r="U40" t="s">
        <v>176</v>
      </c>
      <c r="V40">
        <f t="shared" si="12"/>
        <v>39.431061170337458</v>
      </c>
      <c r="W40">
        <f t="shared" si="13"/>
        <v>36.331061170337456</v>
      </c>
    </row>
    <row r="41" spans="1:23" x14ac:dyDescent="0.3">
      <c r="A41" t="s">
        <v>169</v>
      </c>
      <c r="B41" t="s">
        <v>170</v>
      </c>
      <c r="C41" t="s">
        <v>178</v>
      </c>
      <c r="D41" t="s">
        <v>84</v>
      </c>
      <c r="E41" t="s">
        <v>172</v>
      </c>
      <c r="F41" t="s">
        <v>173</v>
      </c>
      <c r="G41" t="s">
        <v>174</v>
      </c>
      <c r="H41">
        <v>7.1400000000000005E-2</v>
      </c>
      <c r="I41">
        <v>9.5</v>
      </c>
      <c r="J41">
        <v>0.28999999999999998</v>
      </c>
      <c r="K41">
        <v>0.86899999999999999</v>
      </c>
      <c r="L41">
        <v>3.6059999999999999</v>
      </c>
      <c r="M41">
        <f t="shared" si="14"/>
        <v>1.4884324010406189</v>
      </c>
      <c r="N41">
        <f t="shared" si="15"/>
        <v>1.1452903484222803</v>
      </c>
      <c r="O41">
        <f t="shared" si="8"/>
        <v>37.576870439797112</v>
      </c>
      <c r="P41">
        <f t="shared" si="9"/>
        <v>34.376870439797109</v>
      </c>
      <c r="Q41">
        <f t="shared" si="10"/>
        <v>41.02711452462345</v>
      </c>
      <c r="R41">
        <f t="shared" si="11"/>
        <v>-3.4502440848263376</v>
      </c>
      <c r="S41">
        <v>5.3</v>
      </c>
      <c r="T41" t="s">
        <v>175</v>
      </c>
      <c r="U41" t="s">
        <v>176</v>
      </c>
      <c r="V41">
        <f t="shared" si="12"/>
        <v>39.186290004297163</v>
      </c>
      <c r="W41">
        <f t="shared" si="13"/>
        <v>35.98629000429716</v>
      </c>
    </row>
    <row r="42" spans="1:23" x14ac:dyDescent="0.3">
      <c r="A42" t="s">
        <v>169</v>
      </c>
      <c r="B42" t="s">
        <v>179</v>
      </c>
      <c r="C42" t="s">
        <v>180</v>
      </c>
      <c r="D42" t="s">
        <v>109</v>
      </c>
      <c r="E42" t="s">
        <v>172</v>
      </c>
      <c r="F42" t="s">
        <v>173</v>
      </c>
      <c r="G42" t="s">
        <v>174</v>
      </c>
      <c r="H42">
        <v>7.17E-2</v>
      </c>
      <c r="I42">
        <v>9.5</v>
      </c>
      <c r="J42">
        <v>0.377</v>
      </c>
      <c r="K42">
        <v>0.216</v>
      </c>
      <c r="L42">
        <v>0.92200000000000004</v>
      </c>
      <c r="M42">
        <f t="shared" si="14"/>
        <v>0.37269411204406877</v>
      </c>
      <c r="N42">
        <f t="shared" si="15"/>
        <v>0.293382000732549</v>
      </c>
      <c r="O42">
        <f t="shared" si="8"/>
        <v>38.209555030253</v>
      </c>
      <c r="P42">
        <f t="shared" si="9"/>
        <v>36.749555030252999</v>
      </c>
      <c r="Q42">
        <f t="shared" si="10"/>
        <v>45.213531101814866</v>
      </c>
      <c r="R42">
        <f t="shared" si="11"/>
        <v>-7.0039760715618655</v>
      </c>
      <c r="S42">
        <v>1.9</v>
      </c>
      <c r="T42" t="s">
        <v>175</v>
      </c>
      <c r="U42" t="s">
        <v>181</v>
      </c>
      <c r="V42">
        <f t="shared" si="12"/>
        <v>34.119667687849933</v>
      </c>
      <c r="W42">
        <f t="shared" si="13"/>
        <v>32.659667687849932</v>
      </c>
    </row>
    <row r="43" spans="1:23" x14ac:dyDescent="0.3">
      <c r="A43" t="s">
        <v>169</v>
      </c>
      <c r="B43" t="s">
        <v>179</v>
      </c>
      <c r="C43" t="s">
        <v>182</v>
      </c>
      <c r="D43" t="s">
        <v>109</v>
      </c>
      <c r="E43" t="s">
        <v>172</v>
      </c>
      <c r="F43" t="s">
        <v>173</v>
      </c>
      <c r="G43" t="s">
        <v>174</v>
      </c>
      <c r="H43">
        <v>7.17E-2</v>
      </c>
      <c r="I43">
        <v>9.5</v>
      </c>
      <c r="J43">
        <v>0.377</v>
      </c>
      <c r="K43">
        <v>0.30299999999999999</v>
      </c>
      <c r="L43">
        <v>1.2070000000000001</v>
      </c>
      <c r="M43">
        <f t="shared" si="14"/>
        <v>0.5133912324744615</v>
      </c>
      <c r="N43">
        <f t="shared" si="15"/>
        <v>0.38200681074398446</v>
      </c>
      <c r="O43">
        <f t="shared" si="8"/>
        <v>36.652389077092863</v>
      </c>
      <c r="P43">
        <f t="shared" si="9"/>
        <v>35.192389077092862</v>
      </c>
      <c r="Q43">
        <f t="shared" si="10"/>
        <v>43.837549502975811</v>
      </c>
      <c r="R43">
        <f t="shared" si="11"/>
        <v>-7.1851604258829482</v>
      </c>
      <c r="S43">
        <v>1.8</v>
      </c>
      <c r="T43" t="s">
        <v>175</v>
      </c>
      <c r="U43" t="s">
        <v>181</v>
      </c>
      <c r="V43">
        <f t="shared" si="12"/>
        <v>33.899832569423118</v>
      </c>
      <c r="W43">
        <f t="shared" si="13"/>
        <v>32.439832569423118</v>
      </c>
    </row>
    <row r="44" spans="1:23" x14ac:dyDescent="0.3">
      <c r="A44" t="s">
        <v>169</v>
      </c>
      <c r="B44" t="s">
        <v>179</v>
      </c>
      <c r="C44" t="s">
        <v>183</v>
      </c>
      <c r="D44" t="s">
        <v>109</v>
      </c>
      <c r="E44" t="s">
        <v>172</v>
      </c>
      <c r="F44" t="s">
        <v>173</v>
      </c>
      <c r="G44" t="s">
        <v>174</v>
      </c>
      <c r="H44">
        <v>7.17E-2</v>
      </c>
      <c r="I44">
        <v>9.5</v>
      </c>
      <c r="J44">
        <v>0.377</v>
      </c>
      <c r="K44">
        <v>0.53500000000000003</v>
      </c>
      <c r="L44">
        <v>2.0710000000000002</v>
      </c>
      <c r="M44">
        <f t="shared" si="14"/>
        <v>0.89949006936436171</v>
      </c>
      <c r="N44">
        <f t="shared" si="15"/>
        <v>0.65345522867172945</v>
      </c>
      <c r="O44">
        <f t="shared" si="8"/>
        <v>35.997391719358554</v>
      </c>
      <c r="P44">
        <f t="shared" si="9"/>
        <v>34.537391719358553</v>
      </c>
      <c r="Q44">
        <f t="shared" si="10"/>
        <v>41.436637798159722</v>
      </c>
      <c r="R44">
        <f t="shared" si="11"/>
        <v>-5.4392460788011689</v>
      </c>
      <c r="S44">
        <v>2.5</v>
      </c>
      <c r="T44" t="s">
        <v>175</v>
      </c>
      <c r="U44" t="s">
        <v>181</v>
      </c>
      <c r="V44">
        <f t="shared" si="12"/>
        <v>35.513067629904178</v>
      </c>
      <c r="W44">
        <f t="shared" si="13"/>
        <v>34.053067629904177</v>
      </c>
    </row>
    <row r="45" spans="1:23" x14ac:dyDescent="0.3">
      <c r="A45" t="s">
        <v>169</v>
      </c>
      <c r="B45" t="s">
        <v>184</v>
      </c>
      <c r="C45" t="s">
        <v>185</v>
      </c>
      <c r="D45" t="s">
        <v>132</v>
      </c>
      <c r="E45" t="s">
        <v>172</v>
      </c>
      <c r="F45" t="s">
        <v>173</v>
      </c>
      <c r="G45" t="s">
        <v>174</v>
      </c>
      <c r="H45">
        <v>7.17E-2</v>
      </c>
      <c r="I45">
        <v>9.5</v>
      </c>
      <c r="J45">
        <v>0.434</v>
      </c>
      <c r="K45">
        <v>0.26100000000000001</v>
      </c>
      <c r="L45">
        <v>1.1299999999999999</v>
      </c>
      <c r="M45">
        <f t="shared" si="14"/>
        <v>0.45198184585197865</v>
      </c>
      <c r="N45">
        <f t="shared" si="15"/>
        <v>0.35984602068154165</v>
      </c>
      <c r="O45">
        <f t="shared" si="8"/>
        <v>38.525102385406299</v>
      </c>
      <c r="P45">
        <f t="shared" si="9"/>
        <v>38.205102385406299</v>
      </c>
      <c r="Q45">
        <f t="shared" si="10"/>
        <v>43.230605893045329</v>
      </c>
      <c r="R45">
        <f t="shared" si="11"/>
        <v>-4.7055035076390297</v>
      </c>
      <c r="S45">
        <v>1.6</v>
      </c>
      <c r="T45" t="s">
        <v>175</v>
      </c>
      <c r="U45" t="s">
        <v>186</v>
      </c>
      <c r="V45">
        <f t="shared" si="12"/>
        <v>35.198334494498916</v>
      </c>
      <c r="W45">
        <f t="shared" si="13"/>
        <v>34.878334494498915</v>
      </c>
    </row>
    <row r="46" spans="1:23" x14ac:dyDescent="0.3">
      <c r="A46" t="s">
        <v>169</v>
      </c>
      <c r="B46" t="s">
        <v>184</v>
      </c>
      <c r="C46" t="s">
        <v>187</v>
      </c>
      <c r="D46" t="s">
        <v>132</v>
      </c>
      <c r="E46" t="s">
        <v>172</v>
      </c>
      <c r="F46" t="s">
        <v>173</v>
      </c>
      <c r="G46" t="s">
        <v>174</v>
      </c>
      <c r="H46">
        <v>7.17E-2</v>
      </c>
      <c r="I46">
        <v>9.5</v>
      </c>
      <c r="J46">
        <v>0.434</v>
      </c>
      <c r="K46">
        <v>0.39300000000000002</v>
      </c>
      <c r="L46">
        <v>1.5780000000000001</v>
      </c>
      <c r="M46">
        <f t="shared" si="14"/>
        <v>0.66730067581224639</v>
      </c>
      <c r="N46">
        <f t="shared" si="15"/>
        <v>0.49980540221816017</v>
      </c>
      <c r="O46">
        <f t="shared" si="8"/>
        <v>36.83305651135673</v>
      </c>
      <c r="P46">
        <f t="shared" si="9"/>
        <v>36.51305651135673</v>
      </c>
      <c r="Q46">
        <f t="shared" si="10"/>
        <v>41.563573550844851</v>
      </c>
      <c r="R46">
        <f t="shared" si="11"/>
        <v>-4.7305170394881202</v>
      </c>
      <c r="S46">
        <v>1.9</v>
      </c>
      <c r="T46" t="s">
        <v>175</v>
      </c>
      <c r="U46" t="s">
        <v>186</v>
      </c>
      <c r="V46">
        <f t="shared" si="12"/>
        <v>35.127758344169209</v>
      </c>
      <c r="W46">
        <f t="shared" si="13"/>
        <v>34.807758344169208</v>
      </c>
    </row>
    <row r="47" spans="1:23" x14ac:dyDescent="0.3">
      <c r="A47" t="s">
        <v>169</v>
      </c>
      <c r="B47" t="s">
        <v>184</v>
      </c>
      <c r="C47" t="s">
        <v>188</v>
      </c>
      <c r="D47" t="s">
        <v>132</v>
      </c>
      <c r="E47" t="s">
        <v>172</v>
      </c>
      <c r="F47" t="s">
        <v>173</v>
      </c>
      <c r="G47" t="s">
        <v>174</v>
      </c>
      <c r="H47">
        <v>7.17E-2</v>
      </c>
      <c r="I47">
        <v>9.5</v>
      </c>
      <c r="J47">
        <v>0.434</v>
      </c>
      <c r="K47">
        <v>0.52800000000000002</v>
      </c>
      <c r="L47">
        <v>1.9339999999999999</v>
      </c>
      <c r="M47">
        <f t="shared" si="14"/>
        <v>0.87424200659749207</v>
      </c>
      <c r="N47">
        <f t="shared" si="15"/>
        <v>0.60574972896685331</v>
      </c>
      <c r="O47">
        <f t="shared" si="8"/>
        <v>34.717532370747215</v>
      </c>
      <c r="P47">
        <f t="shared" si="9"/>
        <v>34.397532370747214</v>
      </c>
      <c r="Q47">
        <f t="shared" si="10"/>
        <v>40.414272329637861</v>
      </c>
      <c r="R47">
        <f t="shared" si="11"/>
        <v>-5.696739958890646</v>
      </c>
      <c r="S47">
        <v>1.7</v>
      </c>
      <c r="T47" t="s">
        <v>175</v>
      </c>
      <c r="U47" t="s">
        <v>186</v>
      </c>
      <c r="V47">
        <f t="shared" si="12"/>
        <v>34.127172559354115</v>
      </c>
      <c r="W47">
        <f t="shared" si="13"/>
        <v>33.807172559354115</v>
      </c>
    </row>
    <row r="48" spans="1:23" x14ac:dyDescent="0.3">
      <c r="A48" t="s">
        <v>169</v>
      </c>
      <c r="B48" t="s">
        <v>189</v>
      </c>
      <c r="C48" t="s">
        <v>190</v>
      </c>
      <c r="D48" t="s">
        <v>191</v>
      </c>
      <c r="E48" t="s">
        <v>172</v>
      </c>
      <c r="F48" t="s">
        <v>173</v>
      </c>
      <c r="G48" t="s">
        <v>174</v>
      </c>
      <c r="H48">
        <v>7.1400000000000005E-2</v>
      </c>
      <c r="I48">
        <v>9.5</v>
      </c>
      <c r="J48">
        <v>0.53200000000000003</v>
      </c>
      <c r="K48">
        <v>0.193</v>
      </c>
      <c r="L48">
        <v>0.56499999999999995</v>
      </c>
      <c r="M48">
        <f t="shared" si="14"/>
        <v>0.29886872511277635</v>
      </c>
      <c r="N48">
        <f t="shared" si="15"/>
        <v>0.16785404012101762</v>
      </c>
      <c r="O48">
        <f t="shared" si="8"/>
        <v>29.31993125587627</v>
      </c>
      <c r="P48">
        <f t="shared" si="9"/>
        <v>30.95993125587627</v>
      </c>
      <c r="Q48">
        <f t="shared" si="10"/>
        <v>43.001496993020105</v>
      </c>
      <c r="R48">
        <f t="shared" si="11"/>
        <v>-13.681565737143835</v>
      </c>
      <c r="S48">
        <v>1.1000000000000001</v>
      </c>
      <c r="T48" t="s">
        <v>175</v>
      </c>
      <c r="U48" t="s">
        <v>192</v>
      </c>
      <c r="V48">
        <f t="shared" si="12"/>
        <v>25.06370039243977</v>
      </c>
      <c r="W48">
        <f t="shared" si="13"/>
        <v>26.703700392439771</v>
      </c>
    </row>
    <row r="49" spans="1:23" x14ac:dyDescent="0.3">
      <c r="A49" t="s">
        <v>169</v>
      </c>
      <c r="B49" t="s">
        <v>189</v>
      </c>
      <c r="C49" t="s">
        <v>193</v>
      </c>
      <c r="D49" t="s">
        <v>191</v>
      </c>
      <c r="E49" t="s">
        <v>172</v>
      </c>
      <c r="F49" t="s">
        <v>173</v>
      </c>
      <c r="G49" t="s">
        <v>174</v>
      </c>
      <c r="H49">
        <v>7.1400000000000005E-2</v>
      </c>
      <c r="I49">
        <v>9.5</v>
      </c>
      <c r="J49">
        <v>0.53100000000000003</v>
      </c>
      <c r="K49">
        <v>0.317</v>
      </c>
      <c r="L49">
        <v>0.88400000000000001</v>
      </c>
      <c r="M49">
        <f t="shared" si="14"/>
        <v>0.48330320426373485</v>
      </c>
      <c r="N49">
        <f t="shared" si="15"/>
        <v>0.25814174607984686</v>
      </c>
      <c r="O49">
        <f t="shared" si="8"/>
        <v>28.107551774361195</v>
      </c>
      <c r="P49">
        <f t="shared" si="9"/>
        <v>29.727551774361196</v>
      </c>
      <c r="Q49">
        <f t="shared" si="10"/>
        <v>40.96849082182041</v>
      </c>
      <c r="R49">
        <f t="shared" si="11"/>
        <v>-12.860939047459215</v>
      </c>
      <c r="S49">
        <v>1.2</v>
      </c>
      <c r="T49" t="s">
        <v>175</v>
      </c>
      <c r="U49" t="s">
        <v>192</v>
      </c>
      <c r="V49">
        <f t="shared" si="12"/>
        <v>25.547912872628604</v>
      </c>
      <c r="W49">
        <f t="shared" si="13"/>
        <v>27.167912872628605</v>
      </c>
    </row>
    <row r="50" spans="1:23" x14ac:dyDescent="0.3">
      <c r="A50" t="s">
        <v>169</v>
      </c>
      <c r="B50" t="s">
        <v>189</v>
      </c>
      <c r="C50" t="s">
        <v>194</v>
      </c>
      <c r="D50" t="s">
        <v>191</v>
      </c>
      <c r="E50" t="s">
        <v>172</v>
      </c>
      <c r="F50" t="s">
        <v>173</v>
      </c>
      <c r="G50" t="s">
        <v>174</v>
      </c>
      <c r="H50">
        <v>7.1400000000000005E-2</v>
      </c>
      <c r="I50">
        <v>9.5</v>
      </c>
      <c r="J50">
        <v>0.53200000000000003</v>
      </c>
      <c r="K50">
        <v>0.48599999999999999</v>
      </c>
      <c r="L50">
        <v>1.409</v>
      </c>
      <c r="M50">
        <f t="shared" si="14"/>
        <v>0.75027626068337205</v>
      </c>
      <c r="N50">
        <f t="shared" si="15"/>
        <v>0.41723500170763089</v>
      </c>
      <c r="O50">
        <f t="shared" si="8"/>
        <v>29.078807529375833</v>
      </c>
      <c r="P50">
        <f t="shared" si="9"/>
        <v>30.718807529375834</v>
      </c>
      <c r="Q50">
        <f t="shared" si="10"/>
        <v>39.087023710251074</v>
      </c>
      <c r="R50">
        <f t="shared" si="11"/>
        <v>-10.008216180875241</v>
      </c>
      <c r="S50">
        <v>1.3</v>
      </c>
      <c r="T50" t="s">
        <v>175</v>
      </c>
      <c r="U50" t="s">
        <v>192</v>
      </c>
      <c r="V50">
        <f t="shared" si="12"/>
        <v>27.996004156060117</v>
      </c>
      <c r="W50">
        <f t="shared" si="13"/>
        <v>29.636004156060118</v>
      </c>
    </row>
    <row r="51" spans="1:23" x14ac:dyDescent="0.3">
      <c r="A51" t="s">
        <v>169</v>
      </c>
      <c r="B51" t="s">
        <v>195</v>
      </c>
      <c r="C51" t="s">
        <v>196</v>
      </c>
      <c r="D51" t="s">
        <v>109</v>
      </c>
      <c r="E51" t="s">
        <v>172</v>
      </c>
      <c r="F51" t="s">
        <v>173</v>
      </c>
      <c r="G51" t="s">
        <v>174</v>
      </c>
      <c r="H51">
        <v>0.1022</v>
      </c>
      <c r="I51">
        <v>15.9</v>
      </c>
      <c r="J51">
        <v>0.377</v>
      </c>
      <c r="K51">
        <v>0.224</v>
      </c>
      <c r="L51">
        <v>1.0489999999999999</v>
      </c>
      <c r="M51">
        <f t="shared" si="14"/>
        <v>0.39559134393555972</v>
      </c>
      <c r="N51">
        <f t="shared" si="15"/>
        <v>0.33484215599775552</v>
      </c>
      <c r="O51">
        <f t="shared" si="8"/>
        <v>40.245727478268662</v>
      </c>
      <c r="P51">
        <f t="shared" si="9"/>
        <v>38.785727478268662</v>
      </c>
      <c r="Q51">
        <f t="shared" si="10"/>
        <v>44.9573190724131</v>
      </c>
      <c r="R51">
        <f t="shared" si="11"/>
        <v>-4.7115915941444371</v>
      </c>
      <c r="S51">
        <v>1</v>
      </c>
      <c r="T51" t="s">
        <v>175</v>
      </c>
      <c r="U51" t="s">
        <v>197</v>
      </c>
      <c r="V51">
        <f t="shared" si="12"/>
        <v>36.319135714840968</v>
      </c>
      <c r="W51">
        <f t="shared" si="13"/>
        <v>34.859135714840967</v>
      </c>
    </row>
    <row r="52" spans="1:23" x14ac:dyDescent="0.3">
      <c r="A52" t="s">
        <v>169</v>
      </c>
      <c r="B52" t="s">
        <v>195</v>
      </c>
      <c r="C52" t="s">
        <v>198</v>
      </c>
      <c r="D52" t="s">
        <v>109</v>
      </c>
      <c r="E52" t="s">
        <v>172</v>
      </c>
      <c r="F52" t="s">
        <v>173</v>
      </c>
      <c r="G52" t="s">
        <v>174</v>
      </c>
      <c r="H52">
        <v>0.1022</v>
      </c>
      <c r="I52">
        <v>15.9</v>
      </c>
      <c r="J52">
        <v>0.38100000000000001</v>
      </c>
      <c r="K52">
        <v>0.24199999999999999</v>
      </c>
      <c r="L52">
        <v>1.087</v>
      </c>
      <c r="M52">
        <f t="shared" si="14"/>
        <v>0.42299679080897779</v>
      </c>
      <c r="N52">
        <f t="shared" si="15"/>
        <v>0.34667340531173912</v>
      </c>
      <c r="O52">
        <f t="shared" si="8"/>
        <v>39.336849792707632</v>
      </c>
      <c r="P52">
        <f t="shared" si="9"/>
        <v>37.956849792707629</v>
      </c>
      <c r="Q52">
        <f t="shared" si="10"/>
        <v>44.588665240462198</v>
      </c>
      <c r="R52">
        <f t="shared" si="11"/>
        <v>-5.2518154477545664</v>
      </c>
      <c r="S52">
        <v>0.8</v>
      </c>
      <c r="T52" t="s">
        <v>175</v>
      </c>
      <c r="U52" t="s">
        <v>197</v>
      </c>
      <c r="V52">
        <f t="shared" si="12"/>
        <v>35.713865695479477</v>
      </c>
      <c r="W52">
        <f t="shared" si="13"/>
        <v>34.333865695479474</v>
      </c>
    </row>
    <row r="53" spans="1:23" x14ac:dyDescent="0.3">
      <c r="A53" t="s">
        <v>169</v>
      </c>
      <c r="B53" t="s">
        <v>195</v>
      </c>
      <c r="C53" t="s">
        <v>199</v>
      </c>
      <c r="D53" t="s">
        <v>109</v>
      </c>
      <c r="E53" t="s">
        <v>172</v>
      </c>
      <c r="F53" t="s">
        <v>173</v>
      </c>
      <c r="G53" t="s">
        <v>174</v>
      </c>
      <c r="H53">
        <v>0.1022</v>
      </c>
      <c r="I53">
        <v>15.9</v>
      </c>
      <c r="J53">
        <v>0.377</v>
      </c>
      <c r="K53">
        <v>0.40100000000000002</v>
      </c>
      <c r="L53">
        <v>1.3380000000000001</v>
      </c>
      <c r="M53">
        <f t="shared" si="14"/>
        <v>0.64633894045473894</v>
      </c>
      <c r="N53">
        <f t="shared" si="15"/>
        <v>0.4119361497885764</v>
      </c>
      <c r="O53">
        <f t="shared" si="8"/>
        <v>32.510896657118501</v>
      </c>
      <c r="P53">
        <f t="shared" si="9"/>
        <v>31.0508966571185</v>
      </c>
      <c r="Q53">
        <f t="shared" si="10"/>
        <v>42.849671865107069</v>
      </c>
      <c r="R53">
        <f t="shared" si="11"/>
        <v>-10.338775207988569</v>
      </c>
      <c r="S53">
        <v>1</v>
      </c>
      <c r="T53" t="s">
        <v>175</v>
      </c>
      <c r="U53" t="s">
        <v>197</v>
      </c>
      <c r="V53">
        <f t="shared" si="12"/>
        <v>30.78629527754088</v>
      </c>
      <c r="W53">
        <f t="shared" si="13"/>
        <v>29.326295277540879</v>
      </c>
    </row>
    <row r="54" spans="1:23" x14ac:dyDescent="0.3">
      <c r="A54" t="s">
        <v>169</v>
      </c>
      <c r="B54" t="s">
        <v>200</v>
      </c>
      <c r="C54" t="s">
        <v>201</v>
      </c>
      <c r="D54" t="s">
        <v>132</v>
      </c>
      <c r="E54" t="s">
        <v>172</v>
      </c>
      <c r="F54" t="s">
        <v>173</v>
      </c>
      <c r="G54" t="s">
        <v>174</v>
      </c>
      <c r="H54">
        <v>0.1022</v>
      </c>
      <c r="I54">
        <v>15.9</v>
      </c>
      <c r="J54">
        <v>0.435</v>
      </c>
      <c r="K54">
        <v>9.9000000000000005E-2</v>
      </c>
      <c r="L54">
        <v>0.36699999999999999</v>
      </c>
      <c r="M54">
        <f t="shared" si="14"/>
        <v>0.16447205169608775</v>
      </c>
      <c r="N54">
        <f t="shared" si="15"/>
        <v>0.11515172730470148</v>
      </c>
      <c r="O54">
        <f t="shared" si="8"/>
        <v>34.996997756189991</v>
      </c>
      <c r="P54">
        <f t="shared" si="9"/>
        <v>34.696997756189994</v>
      </c>
      <c r="Q54">
        <f t="shared" si="10"/>
        <v>47.549798646706883</v>
      </c>
      <c r="R54">
        <f t="shared" si="11"/>
        <v>-12.552800890516892</v>
      </c>
      <c r="S54">
        <v>1.4</v>
      </c>
      <c r="T54" t="s">
        <v>175</v>
      </c>
      <c r="U54" t="s">
        <v>202</v>
      </c>
      <c r="V54">
        <f t="shared" si="12"/>
        <v>28.058904685424142</v>
      </c>
      <c r="W54">
        <f t="shared" si="13"/>
        <v>27.758904685424142</v>
      </c>
    </row>
    <row r="55" spans="1:23" x14ac:dyDescent="0.3">
      <c r="A55" t="s">
        <v>169</v>
      </c>
      <c r="B55" t="s">
        <v>200</v>
      </c>
      <c r="C55" t="s">
        <v>203</v>
      </c>
      <c r="D55" t="s">
        <v>132</v>
      </c>
      <c r="E55" t="s">
        <v>172</v>
      </c>
      <c r="F55" t="s">
        <v>173</v>
      </c>
      <c r="G55" t="s">
        <v>174</v>
      </c>
      <c r="H55">
        <v>0.1022</v>
      </c>
      <c r="I55">
        <v>15.9</v>
      </c>
      <c r="J55">
        <v>0.435</v>
      </c>
      <c r="K55">
        <v>0.16700000000000001</v>
      </c>
      <c r="L55">
        <v>0.66400000000000003</v>
      </c>
      <c r="M55">
        <f t="shared" si="14"/>
        <v>0.28281608762857208</v>
      </c>
      <c r="N55">
        <f t="shared" si="15"/>
        <v>0.21011242085562487</v>
      </c>
      <c r="O55">
        <f t="shared" si="8"/>
        <v>36.609747057537447</v>
      </c>
      <c r="P55">
        <f t="shared" si="9"/>
        <v>36.30974705753745</v>
      </c>
      <c r="Q55">
        <f t="shared" si="10"/>
        <v>45.223854794787549</v>
      </c>
      <c r="R55">
        <f t="shared" si="11"/>
        <v>-8.6141077372501016</v>
      </c>
      <c r="S55">
        <v>2.2000000000000002</v>
      </c>
      <c r="T55" t="s">
        <v>175</v>
      </c>
      <c r="U55" t="s">
        <v>202</v>
      </c>
      <c r="V55">
        <f t="shared" si="12"/>
        <v>31.530130074805925</v>
      </c>
      <c r="W55">
        <f t="shared" si="13"/>
        <v>31.230130074805924</v>
      </c>
    </row>
    <row r="56" spans="1:23" x14ac:dyDescent="0.3">
      <c r="A56" t="s">
        <v>169</v>
      </c>
      <c r="B56" t="s">
        <v>200</v>
      </c>
      <c r="C56" t="s">
        <v>204</v>
      </c>
      <c r="D56" t="s">
        <v>132</v>
      </c>
      <c r="E56" t="s">
        <v>172</v>
      </c>
      <c r="F56" t="s">
        <v>173</v>
      </c>
      <c r="G56" t="s">
        <v>174</v>
      </c>
      <c r="H56">
        <v>0.1022</v>
      </c>
      <c r="I56">
        <v>15.9</v>
      </c>
      <c r="J56">
        <v>0.435</v>
      </c>
      <c r="K56">
        <v>0.183</v>
      </c>
      <c r="L56">
        <v>0.82799999999999996</v>
      </c>
      <c r="M56">
        <f t="shared" si="14"/>
        <v>0.32045208256797331</v>
      </c>
      <c r="N56">
        <f t="shared" si="15"/>
        <v>0.26412784452622534</v>
      </c>
      <c r="O56">
        <f t="shared" si="8"/>
        <v>39.496543504373541</v>
      </c>
      <c r="P56">
        <f t="shared" si="9"/>
        <v>39.196543504373544</v>
      </c>
      <c r="Q56">
        <f t="shared" si="10"/>
        <v>44.686990656402045</v>
      </c>
      <c r="R56">
        <f t="shared" si="11"/>
        <v>-5.1904471520285043</v>
      </c>
      <c r="S56">
        <v>14.6</v>
      </c>
      <c r="T56" t="s">
        <v>175</v>
      </c>
      <c r="U56" t="s">
        <v>202</v>
      </c>
      <c r="V56">
        <f t="shared" si="12"/>
        <v>34.7430177197121</v>
      </c>
      <c r="W56">
        <f t="shared" si="13"/>
        <v>34.443017719712103</v>
      </c>
    </row>
    <row r="57" spans="1:23" x14ac:dyDescent="0.3">
      <c r="A57" t="s">
        <v>169</v>
      </c>
      <c r="B57" t="s">
        <v>205</v>
      </c>
      <c r="C57" t="s">
        <v>206</v>
      </c>
      <c r="D57" t="s">
        <v>191</v>
      </c>
      <c r="E57" t="s">
        <v>172</v>
      </c>
      <c r="F57" t="s">
        <v>173</v>
      </c>
      <c r="G57" t="s">
        <v>174</v>
      </c>
      <c r="H57">
        <v>0.1007</v>
      </c>
      <c r="I57">
        <v>15.9</v>
      </c>
      <c r="J57">
        <v>0.59799999999999998</v>
      </c>
      <c r="K57">
        <v>0.156</v>
      </c>
      <c r="L57">
        <v>0.51200000000000001</v>
      </c>
      <c r="M57">
        <f t="shared" si="14"/>
        <v>0.25021435591881819</v>
      </c>
      <c r="N57">
        <f t="shared" si="15"/>
        <v>0.15704765469723359</v>
      </c>
      <c r="O57">
        <f t="shared" si="8"/>
        <v>32.114537956206426</v>
      </c>
      <c r="P57">
        <f t="shared" si="9"/>
        <v>35.074537956206427</v>
      </c>
      <c r="Q57">
        <f t="shared" si="10"/>
        <v>42.395997896888773</v>
      </c>
      <c r="R57">
        <f t="shared" si="11"/>
        <v>-10.281459940682346</v>
      </c>
      <c r="S57">
        <v>1.4</v>
      </c>
      <c r="T57" t="s">
        <v>175</v>
      </c>
      <c r="U57" t="s">
        <v>207</v>
      </c>
      <c r="V57">
        <f t="shared" si="12"/>
        <v>26.971127085325463</v>
      </c>
      <c r="W57">
        <f t="shared" si="13"/>
        <v>29.931127085325464</v>
      </c>
    </row>
    <row r="58" spans="1:23" x14ac:dyDescent="0.3">
      <c r="A58" t="s">
        <v>169</v>
      </c>
      <c r="B58" t="s">
        <v>205</v>
      </c>
      <c r="C58" t="s">
        <v>208</v>
      </c>
      <c r="D58" t="s">
        <v>191</v>
      </c>
      <c r="E58" t="s">
        <v>172</v>
      </c>
      <c r="F58" t="s">
        <v>173</v>
      </c>
      <c r="G58" t="s">
        <v>174</v>
      </c>
      <c r="H58">
        <v>0.1011</v>
      </c>
      <c r="I58">
        <v>15.9</v>
      </c>
      <c r="J58">
        <v>0.69499999999999995</v>
      </c>
      <c r="K58">
        <v>0.23200000000000001</v>
      </c>
      <c r="L58">
        <v>0.66300000000000003</v>
      </c>
      <c r="M58">
        <f t="shared" si="14"/>
        <v>0.35651460606377777</v>
      </c>
      <c r="N58">
        <f t="shared" si="15"/>
        <v>0.19535073096937841</v>
      </c>
      <c r="O58">
        <f t="shared" si="8"/>
        <v>28.720359168024341</v>
      </c>
      <c r="P58">
        <f t="shared" si="9"/>
        <v>33.620359168024336</v>
      </c>
      <c r="Q58">
        <f t="shared" si="10"/>
        <v>38.867072584841878</v>
      </c>
      <c r="R58">
        <f t="shared" si="11"/>
        <v>-10.146713416817537</v>
      </c>
      <c r="S58">
        <v>1.7</v>
      </c>
      <c r="T58" t="s">
        <v>175</v>
      </c>
      <c r="U58" t="s">
        <v>207</v>
      </c>
      <c r="V58">
        <f t="shared" si="12"/>
        <v>25.103004049775819</v>
      </c>
      <c r="W58">
        <f t="shared" si="13"/>
        <v>30.003004049775818</v>
      </c>
    </row>
    <row r="59" spans="1:23" x14ac:dyDescent="0.3">
      <c r="A59" t="s">
        <v>169</v>
      </c>
      <c r="B59" t="s">
        <v>205</v>
      </c>
      <c r="C59" t="s">
        <v>209</v>
      </c>
      <c r="D59" t="s">
        <v>191</v>
      </c>
      <c r="E59" t="s">
        <v>172</v>
      </c>
      <c r="F59" t="s">
        <v>173</v>
      </c>
      <c r="G59" t="s">
        <v>174</v>
      </c>
      <c r="H59">
        <v>0.1011</v>
      </c>
      <c r="I59">
        <v>15.9</v>
      </c>
      <c r="J59">
        <v>0.70299999999999996</v>
      </c>
      <c r="K59">
        <v>0.35799999999999998</v>
      </c>
      <c r="L59">
        <v>1.0189999999999999</v>
      </c>
      <c r="M59">
        <f t="shared" si="14"/>
        <v>0.54943450348876144</v>
      </c>
      <c r="N59">
        <f t="shared" si="15"/>
        <v>0.29981834113356493</v>
      </c>
      <c r="O59">
        <f t="shared" si="8"/>
        <v>28.620649056848695</v>
      </c>
      <c r="P59">
        <f t="shared" si="9"/>
        <v>33.680649056848694</v>
      </c>
      <c r="Q59">
        <f t="shared" si="10"/>
        <v>36.899824014800082</v>
      </c>
      <c r="R59">
        <f t="shared" si="11"/>
        <v>-8.2791749579513869</v>
      </c>
      <c r="S59">
        <v>1.2</v>
      </c>
      <c r="T59" t="s">
        <v>175</v>
      </c>
      <c r="U59" t="s">
        <v>207</v>
      </c>
      <c r="V59">
        <f t="shared" si="12"/>
        <v>26.465877108018574</v>
      </c>
      <c r="W59">
        <f t="shared" si="13"/>
        <v>31.525877108018573</v>
      </c>
    </row>
    <row r="60" spans="1:23" x14ac:dyDescent="0.3">
      <c r="A60" t="s">
        <v>210</v>
      </c>
      <c r="B60" t="s">
        <v>211</v>
      </c>
      <c r="C60" t="s">
        <v>212</v>
      </c>
      <c r="D60" t="s">
        <v>84</v>
      </c>
      <c r="E60" t="s">
        <v>172</v>
      </c>
      <c r="F60" t="s">
        <v>173</v>
      </c>
      <c r="G60" t="s">
        <v>213</v>
      </c>
      <c r="H60">
        <v>0.152</v>
      </c>
      <c r="J60">
        <v>0.26260311640696599</v>
      </c>
      <c r="K60">
        <v>7.9200000000000007E-2</v>
      </c>
      <c r="L60">
        <v>0.45489999999999992</v>
      </c>
      <c r="M60">
        <f t="shared" si="14"/>
        <v>0.14658035182682977</v>
      </c>
      <c r="N60">
        <f t="shared" si="15"/>
        <v>0.14413426507611773</v>
      </c>
      <c r="O60">
        <f t="shared" si="8"/>
        <v>44.51792193526785</v>
      </c>
      <c r="P60">
        <f t="shared" si="9"/>
        <v>40.769984263407167</v>
      </c>
      <c r="Q60">
        <f t="shared" si="10"/>
        <v>51.468467485566578</v>
      </c>
      <c r="R60">
        <f t="shared" si="11"/>
        <v>-6.9505455502987274</v>
      </c>
      <c r="S60">
        <v>15</v>
      </c>
      <c r="T60" t="s">
        <v>214</v>
      </c>
      <c r="U60" t="s">
        <v>215</v>
      </c>
      <c r="V60">
        <f t="shared" si="12"/>
        <v>36.345738161583142</v>
      </c>
      <c r="W60">
        <f t="shared" si="13"/>
        <v>32.597800489722459</v>
      </c>
    </row>
    <row r="61" spans="1:23" x14ac:dyDescent="0.3">
      <c r="A61" t="s">
        <v>210</v>
      </c>
      <c r="B61" t="s">
        <v>211</v>
      </c>
      <c r="C61" t="s">
        <v>216</v>
      </c>
      <c r="D61" t="s">
        <v>84</v>
      </c>
      <c r="E61" t="s">
        <v>172</v>
      </c>
      <c r="F61" t="s">
        <v>173</v>
      </c>
      <c r="G61" t="s">
        <v>213</v>
      </c>
      <c r="H61">
        <v>0.152</v>
      </c>
      <c r="J61">
        <v>0.26260311640696599</v>
      </c>
      <c r="K61">
        <v>0.1069</v>
      </c>
      <c r="L61">
        <v>1.0005999999999999</v>
      </c>
      <c r="M61">
        <f t="shared" si="14"/>
        <v>0.21642900236181922</v>
      </c>
      <c r="N61">
        <f t="shared" si="15"/>
        <v>0.29306904826743885</v>
      </c>
      <c r="O61">
        <f t="shared" si="8"/>
        <v>53.554447215372328</v>
      </c>
      <c r="P61">
        <f t="shared" si="9"/>
        <v>49.806509543511645</v>
      </c>
      <c r="Q61">
        <f t="shared" si="10"/>
        <v>49.826579538975231</v>
      </c>
      <c r="R61">
        <f t="shared" si="11"/>
        <v>3.7278676763970964</v>
      </c>
      <c r="S61">
        <v>15</v>
      </c>
      <c r="T61" t="s">
        <v>214</v>
      </c>
      <c r="U61" t="s">
        <v>217</v>
      </c>
      <c r="V61">
        <f t="shared" si="12"/>
        <v>47.050419788086529</v>
      </c>
      <c r="W61">
        <f t="shared" si="13"/>
        <v>43.302482116225846</v>
      </c>
    </row>
    <row r="62" spans="1:23" x14ac:dyDescent="0.3">
      <c r="A62" t="s">
        <v>210</v>
      </c>
      <c r="B62" t="s">
        <v>211</v>
      </c>
      <c r="C62" t="s">
        <v>218</v>
      </c>
      <c r="D62" t="s">
        <v>84</v>
      </c>
      <c r="E62" t="s">
        <v>172</v>
      </c>
      <c r="F62" t="s">
        <v>173</v>
      </c>
      <c r="G62" t="s">
        <v>213</v>
      </c>
      <c r="H62">
        <v>0.152</v>
      </c>
      <c r="J62">
        <v>0.26260311640696599</v>
      </c>
      <c r="K62">
        <v>0.41880000000000001</v>
      </c>
      <c r="L62">
        <v>2.4371</v>
      </c>
      <c r="M62">
        <f t="shared" si="14"/>
        <v>0.77727379032894439</v>
      </c>
      <c r="N62">
        <f t="shared" si="15"/>
        <v>0.77136514872536754</v>
      </c>
      <c r="O62">
        <f t="shared" si="8"/>
        <v>44.78139605346626</v>
      </c>
      <c r="P62">
        <f t="shared" si="9"/>
        <v>41.033458381605577</v>
      </c>
      <c r="Q62">
        <f t="shared" si="10"/>
        <v>44.355552888913572</v>
      </c>
      <c r="R62">
        <f t="shared" si="11"/>
        <v>0.42584316455268834</v>
      </c>
      <c r="S62">
        <v>15</v>
      </c>
      <c r="T62" t="s">
        <v>214</v>
      </c>
      <c r="U62" t="s">
        <v>219</v>
      </c>
      <c r="V62">
        <f t="shared" si="12"/>
        <v>43.643667925492636</v>
      </c>
      <c r="W62">
        <f t="shared" si="13"/>
        <v>39.895730253631953</v>
      </c>
    </row>
    <row r="63" spans="1:23" x14ac:dyDescent="0.3">
      <c r="A63" t="s">
        <v>210</v>
      </c>
      <c r="B63" t="s">
        <v>220</v>
      </c>
      <c r="C63" t="s">
        <v>212</v>
      </c>
      <c r="D63" t="s">
        <v>109</v>
      </c>
      <c r="E63" t="s">
        <v>172</v>
      </c>
      <c r="F63" t="s">
        <v>173</v>
      </c>
      <c r="G63" t="s">
        <v>213</v>
      </c>
      <c r="H63">
        <v>0.152</v>
      </c>
      <c r="J63">
        <v>0.3316666666666665</v>
      </c>
      <c r="K63">
        <v>7.1900000000000006E-2</v>
      </c>
      <c r="L63">
        <v>0.62729999999999997</v>
      </c>
      <c r="M63">
        <f t="shared" si="14"/>
        <v>0.14395609617556304</v>
      </c>
      <c r="N63">
        <f t="shared" si="15"/>
        <v>0.18662227846601204</v>
      </c>
      <c r="O63">
        <f t="shared" si="8"/>
        <v>52.35423898767543</v>
      </c>
      <c r="P63">
        <f t="shared" si="9"/>
        <v>49.987572321008763</v>
      </c>
      <c r="Q63">
        <f t="shared" si="10"/>
        <v>50.186635646071259</v>
      </c>
      <c r="R63">
        <f t="shared" si="11"/>
        <v>2.1676033416041705</v>
      </c>
      <c r="S63">
        <v>15</v>
      </c>
      <c r="T63" t="s">
        <v>214</v>
      </c>
      <c r="U63" t="s">
        <v>215</v>
      </c>
      <c r="V63">
        <f t="shared" si="12"/>
        <v>44.052037803352171</v>
      </c>
      <c r="W63">
        <f t="shared" si="13"/>
        <v>41.685371136685504</v>
      </c>
    </row>
    <row r="64" spans="1:23" x14ac:dyDescent="0.3">
      <c r="A64" t="s">
        <v>210</v>
      </c>
      <c r="B64" t="s">
        <v>220</v>
      </c>
      <c r="C64" t="s">
        <v>216</v>
      </c>
      <c r="D64" t="s">
        <v>109</v>
      </c>
      <c r="E64" t="s">
        <v>172</v>
      </c>
      <c r="F64" t="s">
        <v>173</v>
      </c>
      <c r="G64" t="s">
        <v>213</v>
      </c>
      <c r="H64">
        <v>0.152</v>
      </c>
      <c r="J64">
        <v>0.3316666666666665</v>
      </c>
      <c r="K64">
        <v>9.4899999999999998E-2</v>
      </c>
      <c r="L64">
        <v>1.077</v>
      </c>
      <c r="M64">
        <f t="shared" si="14"/>
        <v>0.19753766344752433</v>
      </c>
      <c r="N64">
        <f t="shared" si="15"/>
        <v>0.30044293853217185</v>
      </c>
      <c r="O64">
        <f t="shared" si="8"/>
        <v>56.675555387438628</v>
      </c>
      <c r="P64">
        <f t="shared" si="9"/>
        <v>54.308888720771961</v>
      </c>
      <c r="Q64">
        <f t="shared" si="10"/>
        <v>48.843900060109959</v>
      </c>
      <c r="R64">
        <f t="shared" si="11"/>
        <v>7.8316553273286686</v>
      </c>
      <c r="S64">
        <v>15</v>
      </c>
      <c r="T64" t="s">
        <v>214</v>
      </c>
      <c r="U64" t="s">
        <v>217</v>
      </c>
      <c r="V64">
        <f t="shared" si="12"/>
        <v>49.963077150910806</v>
      </c>
      <c r="W64">
        <f t="shared" si="13"/>
        <v>47.596410484244139</v>
      </c>
    </row>
    <row r="65" spans="1:23" x14ac:dyDescent="0.3">
      <c r="A65" t="s">
        <v>210</v>
      </c>
      <c r="B65" t="s">
        <v>220</v>
      </c>
      <c r="C65" t="s">
        <v>218</v>
      </c>
      <c r="D65" t="s">
        <v>109</v>
      </c>
      <c r="E65" t="s">
        <v>172</v>
      </c>
      <c r="F65" t="s">
        <v>173</v>
      </c>
      <c r="G65" t="s">
        <v>213</v>
      </c>
      <c r="H65">
        <v>0.152</v>
      </c>
      <c r="J65">
        <v>0.3316666666666665</v>
      </c>
      <c r="K65">
        <v>0.311</v>
      </c>
      <c r="L65">
        <v>1.8956</v>
      </c>
      <c r="M65">
        <f t="shared" si="14"/>
        <v>0.58285407333728712</v>
      </c>
      <c r="N65">
        <f t="shared" si="15"/>
        <v>0.59739043130953318</v>
      </c>
      <c r="O65">
        <f t="shared" si="8"/>
        <v>45.705641795470278</v>
      </c>
      <c r="P65">
        <f t="shared" si="9"/>
        <v>43.338975128803611</v>
      </c>
      <c r="Q65">
        <f t="shared" si="10"/>
        <v>44.206002812572791</v>
      </c>
      <c r="R65">
        <f t="shared" si="11"/>
        <v>1.499638982897487</v>
      </c>
      <c r="S65">
        <v>15</v>
      </c>
      <c r="T65" t="s">
        <v>214</v>
      </c>
      <c r="U65" t="s">
        <v>219</v>
      </c>
      <c r="V65">
        <f t="shared" si="12"/>
        <v>43.331455112794636</v>
      </c>
      <c r="W65">
        <f t="shared" si="13"/>
        <v>40.964788446127969</v>
      </c>
    </row>
    <row r="66" spans="1:23" x14ac:dyDescent="0.3">
      <c r="A66" t="s">
        <v>210</v>
      </c>
      <c r="B66" t="s">
        <v>221</v>
      </c>
      <c r="C66" t="s">
        <v>212</v>
      </c>
      <c r="D66" t="s">
        <v>132</v>
      </c>
      <c r="E66" t="s">
        <v>172</v>
      </c>
      <c r="F66" t="s">
        <v>173</v>
      </c>
      <c r="G66" t="s">
        <v>213</v>
      </c>
      <c r="H66">
        <v>0.152</v>
      </c>
      <c r="J66">
        <v>0.40968245705361789</v>
      </c>
      <c r="K66">
        <v>0.1227999999999999</v>
      </c>
      <c r="L66">
        <v>0.84160000000000001</v>
      </c>
      <c r="M66">
        <f t="shared" si="14"/>
        <v>0.23558941742982062</v>
      </c>
      <c r="N66">
        <f t="shared" si="15"/>
        <v>0.26144135205509628</v>
      </c>
      <c r="O66">
        <f t="shared" ref="O66:O97" si="16">DEGREES(ATAN(N66/M66))</f>
        <v>47.9774277279258</v>
      </c>
      <c r="P66">
        <f t="shared" ref="P66:P97" si="17">O66-omega*(e_base-J66)</f>
        <v>47.171076868998156</v>
      </c>
      <c r="Q66">
        <f t="shared" ref="Q66:Q97" si="18">DEGREES(ATAN(TAN(RADIANS(pe0-omega*J66))*(M66/sref)^(m_-1)))</f>
        <v>46.522357077594549</v>
      </c>
      <c r="R66">
        <f t="shared" ref="R66:R97" si="19">O66-Q66</f>
        <v>1.4550706503312512</v>
      </c>
      <c r="S66">
        <v>15</v>
      </c>
      <c r="T66" t="s">
        <v>214</v>
      </c>
      <c r="U66" t="s">
        <v>215</v>
      </c>
      <c r="V66">
        <f t="shared" ref="V66:V97" si="20">DEGREES(ATAN(TAN(RADIANS(O66))*(M66/sref)^(1-m_)))</f>
        <v>41.722187797267409</v>
      </c>
      <c r="W66">
        <f t="shared" ref="W66:W97" si="21">V66-omega*(e_base-J66)</f>
        <v>40.915836938339766</v>
      </c>
    </row>
    <row r="67" spans="1:23" x14ac:dyDescent="0.3">
      <c r="A67" t="s">
        <v>210</v>
      </c>
      <c r="B67" t="s">
        <v>221</v>
      </c>
      <c r="C67" t="s">
        <v>216</v>
      </c>
      <c r="D67" t="s">
        <v>132</v>
      </c>
      <c r="E67" t="s">
        <v>172</v>
      </c>
      <c r="F67" t="s">
        <v>173</v>
      </c>
      <c r="G67" t="s">
        <v>213</v>
      </c>
      <c r="H67">
        <v>0.152</v>
      </c>
      <c r="J67">
        <v>0.40968245705361789</v>
      </c>
      <c r="K67">
        <v>0.13200000000000001</v>
      </c>
      <c r="L67">
        <v>1.1157999999999999</v>
      </c>
      <c r="M67">
        <f t="shared" si="14"/>
        <v>0.26291741942297236</v>
      </c>
      <c r="N67">
        <f t="shared" si="15"/>
        <v>0.33415144249269635</v>
      </c>
      <c r="O67">
        <f t="shared" si="16"/>
        <v>51.803583259766334</v>
      </c>
      <c r="P67">
        <f t="shared" si="17"/>
        <v>50.997232400838691</v>
      </c>
      <c r="Q67">
        <f t="shared" si="18"/>
        <v>46.051224543936407</v>
      </c>
      <c r="R67">
        <f t="shared" si="19"/>
        <v>5.7523587158299279</v>
      </c>
      <c r="S67">
        <v>15</v>
      </c>
      <c r="T67" t="s">
        <v>214</v>
      </c>
      <c r="U67" t="s">
        <v>217</v>
      </c>
      <c r="V67">
        <f t="shared" si="20"/>
        <v>46.072028631208774</v>
      </c>
      <c r="W67">
        <f t="shared" si="21"/>
        <v>45.26567777228113</v>
      </c>
    </row>
    <row r="68" spans="1:23" x14ac:dyDescent="0.3">
      <c r="A68" t="s">
        <v>210</v>
      </c>
      <c r="B68" t="s">
        <v>221</v>
      </c>
      <c r="C68" t="s">
        <v>218</v>
      </c>
      <c r="D68" t="s">
        <v>132</v>
      </c>
      <c r="E68" t="s">
        <v>172</v>
      </c>
      <c r="F68" t="s">
        <v>173</v>
      </c>
      <c r="G68" t="s">
        <v>213</v>
      </c>
      <c r="H68">
        <v>0.152</v>
      </c>
      <c r="J68">
        <v>0.40968245705361789</v>
      </c>
      <c r="K68">
        <v>0.2858</v>
      </c>
      <c r="L68">
        <v>1.9658</v>
      </c>
      <c r="M68">
        <f t="shared" si="14"/>
        <v>0.54868164994120894</v>
      </c>
      <c r="N68">
        <f t="shared" si="15"/>
        <v>0.61035596992690977</v>
      </c>
      <c r="O68">
        <f t="shared" si="16"/>
        <v>48.045931083308759</v>
      </c>
      <c r="P68">
        <f t="shared" si="17"/>
        <v>47.239580224381115</v>
      </c>
      <c r="Q68">
        <f t="shared" si="18"/>
        <v>42.892020234843223</v>
      </c>
      <c r="R68">
        <f t="shared" si="19"/>
        <v>5.1539108484655358</v>
      </c>
      <c r="S68">
        <v>15</v>
      </c>
      <c r="T68" t="s">
        <v>214</v>
      </c>
      <c r="U68" t="s">
        <v>219</v>
      </c>
      <c r="V68">
        <f t="shared" si="20"/>
        <v>45.416840103491772</v>
      </c>
      <c r="W68">
        <f t="shared" si="21"/>
        <v>44.610489244564128</v>
      </c>
    </row>
    <row r="69" spans="1:23" x14ac:dyDescent="0.3">
      <c r="A69" t="s">
        <v>210</v>
      </c>
      <c r="B69" t="s">
        <v>222</v>
      </c>
      <c r="C69" t="s">
        <v>212</v>
      </c>
      <c r="D69" t="s">
        <v>100</v>
      </c>
      <c r="E69" t="s">
        <v>172</v>
      </c>
      <c r="F69" t="s">
        <v>173</v>
      </c>
      <c r="G69" t="s">
        <v>213</v>
      </c>
      <c r="H69">
        <v>0.152</v>
      </c>
      <c r="J69">
        <v>0.32557306590257878</v>
      </c>
      <c r="K69">
        <v>9.8199999999999996E-2</v>
      </c>
      <c r="L69">
        <v>0.68229999999999991</v>
      </c>
      <c r="M69">
        <f t="shared" si="14"/>
        <v>0.18888890988661758</v>
      </c>
      <c r="N69">
        <f t="shared" si="15"/>
        <v>0.21153466356214601</v>
      </c>
      <c r="O69">
        <f t="shared" si="16"/>
        <v>48.236885949614475</v>
      </c>
      <c r="P69">
        <f t="shared" si="17"/>
        <v>45.748347267666048</v>
      </c>
      <c r="Q69">
        <f t="shared" si="18"/>
        <v>49.155809165885444</v>
      </c>
      <c r="R69">
        <f t="shared" si="19"/>
        <v>-0.91892321627096862</v>
      </c>
      <c r="S69">
        <v>15</v>
      </c>
      <c r="T69" t="s">
        <v>214</v>
      </c>
      <c r="U69" t="s">
        <v>215</v>
      </c>
      <c r="V69">
        <f t="shared" si="20"/>
        <v>41.039300475813093</v>
      </c>
      <c r="W69">
        <f t="shared" si="21"/>
        <v>38.550761793864666</v>
      </c>
    </row>
    <row r="70" spans="1:23" x14ac:dyDescent="0.3">
      <c r="A70" t="s">
        <v>210</v>
      </c>
      <c r="B70" t="s">
        <v>222</v>
      </c>
      <c r="C70" t="s">
        <v>216</v>
      </c>
      <c r="D70" t="s">
        <v>100</v>
      </c>
      <c r="E70" t="s">
        <v>172</v>
      </c>
      <c r="F70" t="s">
        <v>173</v>
      </c>
      <c r="G70" t="s">
        <v>213</v>
      </c>
      <c r="H70">
        <v>0.152</v>
      </c>
      <c r="J70">
        <v>0.32557306590257878</v>
      </c>
      <c r="K70">
        <v>0.19839999999999999</v>
      </c>
      <c r="L70">
        <v>1.4123000000000001</v>
      </c>
      <c r="M70">
        <f t="shared" si="14"/>
        <v>0.38337216250655398</v>
      </c>
      <c r="N70">
        <f t="shared" si="15"/>
        <v>0.43626025164384963</v>
      </c>
      <c r="O70">
        <f t="shared" si="16"/>
        <v>48.691983177131952</v>
      </c>
      <c r="P70">
        <f t="shared" si="17"/>
        <v>46.203444495183525</v>
      </c>
      <c r="Q70">
        <f t="shared" si="18"/>
        <v>46.128421042422652</v>
      </c>
      <c r="R70">
        <f t="shared" si="19"/>
        <v>2.5635621347093007</v>
      </c>
      <c r="S70">
        <v>15</v>
      </c>
      <c r="T70" t="s">
        <v>214</v>
      </c>
      <c r="U70" t="s">
        <v>217</v>
      </c>
      <c r="V70">
        <f t="shared" si="20"/>
        <v>44.526843148767021</v>
      </c>
      <c r="W70">
        <f t="shared" si="21"/>
        <v>42.038304466818595</v>
      </c>
    </row>
    <row r="71" spans="1:23" x14ac:dyDescent="0.3">
      <c r="A71" t="s">
        <v>210</v>
      </c>
      <c r="B71" t="s">
        <v>222</v>
      </c>
      <c r="C71" t="s">
        <v>218</v>
      </c>
      <c r="D71" t="s">
        <v>100</v>
      </c>
      <c r="E71" t="s">
        <v>172</v>
      </c>
      <c r="F71" t="s">
        <v>173</v>
      </c>
      <c r="G71" t="s">
        <v>213</v>
      </c>
      <c r="H71">
        <v>0.152</v>
      </c>
      <c r="J71">
        <v>0.32557306590257878</v>
      </c>
      <c r="K71">
        <v>0.68570000000000009</v>
      </c>
      <c r="L71">
        <v>3.7534999999999998</v>
      </c>
      <c r="M71">
        <f t="shared" ref="M71:M102" si="22">(L71+K71)/2-(L71-K71)/2*((SQRT(4*m_*(m_-1)*(L71-K71)^2+(L71+K71)^2)-(L71+K71))/(2*(m_-1)*(L71-K71)))</f>
        <v>1.2557959001986463</v>
      </c>
      <c r="N71">
        <f t="shared" ref="N71:N102" si="23">(L71-K71)/2*SQRT(1-((SQRT(4*m_*(m_-1)*(L71-K71)^2+(L71+K71)^2)-(L71+K71))/(2*(m_-1)*(L71-K71)))^2)</f>
        <v>1.1932857441560683</v>
      </c>
      <c r="O71">
        <f t="shared" si="16"/>
        <v>43.537904741442446</v>
      </c>
      <c r="P71">
        <f t="shared" si="17"/>
        <v>41.04936605949402</v>
      </c>
      <c r="Q71">
        <f t="shared" si="18"/>
        <v>41.04267064885385</v>
      </c>
      <c r="R71">
        <f t="shared" si="19"/>
        <v>2.4952340925885963</v>
      </c>
      <c r="S71">
        <v>15</v>
      </c>
      <c r="T71" t="s">
        <v>214</v>
      </c>
      <c r="U71" t="s">
        <v>219</v>
      </c>
      <c r="V71">
        <f t="shared" si="20"/>
        <v>44.460565651233154</v>
      </c>
      <c r="W71">
        <f t="shared" si="21"/>
        <v>41.972026969284727</v>
      </c>
    </row>
    <row r="72" spans="1:23" x14ac:dyDescent="0.3">
      <c r="A72" t="s">
        <v>210</v>
      </c>
      <c r="B72" t="s">
        <v>223</v>
      </c>
      <c r="C72" t="s">
        <v>212</v>
      </c>
      <c r="D72" t="s">
        <v>132</v>
      </c>
      <c r="E72" t="s">
        <v>172</v>
      </c>
      <c r="F72" t="s">
        <v>173</v>
      </c>
      <c r="G72" t="s">
        <v>213</v>
      </c>
      <c r="H72">
        <v>0.152</v>
      </c>
      <c r="J72">
        <v>0.478973238667395</v>
      </c>
      <c r="K72">
        <v>0.11409999999999999</v>
      </c>
      <c r="L72">
        <v>0.71310000000000007</v>
      </c>
      <c r="M72">
        <f t="shared" si="22"/>
        <v>0.21494196089124706</v>
      </c>
      <c r="N72">
        <f t="shared" si="23"/>
        <v>0.22413217863007803</v>
      </c>
      <c r="O72">
        <f t="shared" si="16"/>
        <v>46.199077254113377</v>
      </c>
      <c r="P72">
        <f t="shared" si="17"/>
        <v>46.778542027461278</v>
      </c>
      <c r="Q72">
        <f t="shared" si="18"/>
        <v>45.506092295015058</v>
      </c>
      <c r="R72">
        <f t="shared" si="19"/>
        <v>0.69298495909831814</v>
      </c>
      <c r="S72">
        <v>15</v>
      </c>
      <c r="T72" t="s">
        <v>214</v>
      </c>
      <c r="U72" t="s">
        <v>215</v>
      </c>
      <c r="V72">
        <f t="shared" si="20"/>
        <v>39.570292336126492</v>
      </c>
      <c r="W72">
        <f t="shared" si="21"/>
        <v>40.149757109474393</v>
      </c>
    </row>
    <row r="73" spans="1:23" x14ac:dyDescent="0.3">
      <c r="A73" t="s">
        <v>210</v>
      </c>
      <c r="B73" t="s">
        <v>223</v>
      </c>
      <c r="C73" t="s">
        <v>216</v>
      </c>
      <c r="D73" t="s">
        <v>132</v>
      </c>
      <c r="E73" t="s">
        <v>172</v>
      </c>
      <c r="F73" t="s">
        <v>173</v>
      </c>
      <c r="G73" t="s">
        <v>213</v>
      </c>
      <c r="H73">
        <v>0.152</v>
      </c>
      <c r="J73">
        <v>0.478973238667395</v>
      </c>
      <c r="K73">
        <v>0.22889999999999999</v>
      </c>
      <c r="L73">
        <v>1.5974999999999999</v>
      </c>
      <c r="M73">
        <f t="shared" si="22"/>
        <v>0.4406637640845732</v>
      </c>
      <c r="N73">
        <f t="shared" si="23"/>
        <v>0.49495049827925214</v>
      </c>
      <c r="O73">
        <f t="shared" si="16"/>
        <v>48.32072457841209</v>
      </c>
      <c r="P73">
        <f t="shared" si="17"/>
        <v>48.900189351759991</v>
      </c>
      <c r="Q73">
        <f t="shared" si="18"/>
        <v>42.424586039252027</v>
      </c>
      <c r="R73">
        <f t="shared" si="19"/>
        <v>5.8961385391600629</v>
      </c>
      <c r="S73">
        <v>15</v>
      </c>
      <c r="T73" t="s">
        <v>214</v>
      </c>
      <c r="U73" t="s">
        <v>217</v>
      </c>
      <c r="V73">
        <f t="shared" si="20"/>
        <v>44.751259379205337</v>
      </c>
      <c r="W73">
        <f t="shared" si="21"/>
        <v>45.330724152553238</v>
      </c>
    </row>
    <row r="74" spans="1:23" x14ac:dyDescent="0.3">
      <c r="A74" t="s">
        <v>210</v>
      </c>
      <c r="B74" t="s">
        <v>223</v>
      </c>
      <c r="C74" t="s">
        <v>218</v>
      </c>
      <c r="D74" t="s">
        <v>132</v>
      </c>
      <c r="E74" t="s">
        <v>172</v>
      </c>
      <c r="F74" t="s">
        <v>173</v>
      </c>
      <c r="G74" t="s">
        <v>213</v>
      </c>
      <c r="H74">
        <v>0.152</v>
      </c>
      <c r="J74">
        <v>0.478973238667395</v>
      </c>
      <c r="K74">
        <v>0.63429999999999997</v>
      </c>
      <c r="L74">
        <v>3.4169999999999998</v>
      </c>
      <c r="M74">
        <f t="shared" si="22"/>
        <v>1.1575219719112426</v>
      </c>
      <c r="N74">
        <f t="shared" si="23"/>
        <v>1.0872941411351054</v>
      </c>
      <c r="O74">
        <f t="shared" si="16"/>
        <v>43.208117650086621</v>
      </c>
      <c r="P74">
        <f t="shared" si="17"/>
        <v>43.787582423434522</v>
      </c>
      <c r="Q74">
        <f t="shared" si="18"/>
        <v>38.332117903637617</v>
      </c>
      <c r="R74">
        <f t="shared" si="19"/>
        <v>4.8759997464490041</v>
      </c>
      <c r="S74">
        <v>15</v>
      </c>
      <c r="T74" t="s">
        <v>214</v>
      </c>
      <c r="U74" t="s">
        <v>219</v>
      </c>
      <c r="V74">
        <f t="shared" si="20"/>
        <v>43.78041166400147</v>
      </c>
      <c r="W74">
        <f t="shared" si="21"/>
        <v>44.359876437349371</v>
      </c>
    </row>
    <row r="75" spans="1:23" x14ac:dyDescent="0.3">
      <c r="A75" t="s">
        <v>169</v>
      </c>
      <c r="B75" t="s">
        <v>224</v>
      </c>
      <c r="C75" t="s">
        <v>225</v>
      </c>
      <c r="D75" t="s">
        <v>84</v>
      </c>
      <c r="E75" t="s">
        <v>172</v>
      </c>
      <c r="F75" t="s">
        <v>226</v>
      </c>
      <c r="G75" t="s">
        <v>227</v>
      </c>
      <c r="H75">
        <v>7.1499999999999994E-2</v>
      </c>
      <c r="I75">
        <v>9.5</v>
      </c>
      <c r="J75">
        <v>0.27800000000000002</v>
      </c>
      <c r="K75">
        <v>0.71499999999999997</v>
      </c>
      <c r="L75">
        <v>3.4910000000000001</v>
      </c>
      <c r="M75">
        <f t="shared" si="22"/>
        <v>1.2754766342731401</v>
      </c>
      <c r="N75">
        <f t="shared" si="23"/>
        <v>1.1143379555485353</v>
      </c>
      <c r="O75">
        <f t="shared" si="16"/>
        <v>41.142540709941287</v>
      </c>
      <c r="P75">
        <f t="shared" si="17"/>
        <v>37.702540709941289</v>
      </c>
      <c r="Q75">
        <f t="shared" si="18"/>
        <v>41.924460045960785</v>
      </c>
      <c r="R75">
        <f t="shared" si="19"/>
        <v>-0.7819193360194987</v>
      </c>
      <c r="S75">
        <v>5.8</v>
      </c>
      <c r="T75" t="s">
        <v>175</v>
      </c>
      <c r="U75" t="s">
        <v>228</v>
      </c>
      <c r="V75">
        <f t="shared" si="20"/>
        <v>42.125752411019462</v>
      </c>
      <c r="W75">
        <f t="shared" si="21"/>
        <v>38.685752411019465</v>
      </c>
    </row>
    <row r="76" spans="1:23" x14ac:dyDescent="0.3">
      <c r="A76" t="s">
        <v>169</v>
      </c>
      <c r="B76" t="s">
        <v>224</v>
      </c>
      <c r="C76" t="s">
        <v>177</v>
      </c>
      <c r="D76" t="s">
        <v>84</v>
      </c>
      <c r="E76" t="s">
        <v>172</v>
      </c>
      <c r="F76" t="s">
        <v>226</v>
      </c>
      <c r="G76" t="s">
        <v>227</v>
      </c>
      <c r="H76">
        <v>7.1400000000000005E-2</v>
      </c>
      <c r="I76">
        <v>9.5</v>
      </c>
      <c r="J76">
        <v>0.27300000000000002</v>
      </c>
      <c r="K76">
        <v>0.82299999999999995</v>
      </c>
      <c r="L76">
        <v>3.7269999999999999</v>
      </c>
      <c r="M76">
        <f t="shared" si="22"/>
        <v>1.441473215334891</v>
      </c>
      <c r="N76">
        <f t="shared" si="23"/>
        <v>1.1889226632737071</v>
      </c>
      <c r="O76">
        <f t="shared" si="16"/>
        <v>39.515707070010436</v>
      </c>
      <c r="P76">
        <f t="shared" si="17"/>
        <v>35.975707070010436</v>
      </c>
      <c r="Q76">
        <f t="shared" si="18"/>
        <v>41.501773458610813</v>
      </c>
      <c r="R76">
        <f t="shared" si="19"/>
        <v>-1.9860663886003778</v>
      </c>
      <c r="S76">
        <v>5.0999999999999996</v>
      </c>
      <c r="T76" t="s">
        <v>175</v>
      </c>
      <c r="U76" t="s">
        <v>228</v>
      </c>
      <c r="V76">
        <f t="shared" si="20"/>
        <v>41.01068337512487</v>
      </c>
      <c r="W76">
        <f t="shared" si="21"/>
        <v>37.470683375124871</v>
      </c>
    </row>
    <row r="77" spans="1:23" x14ac:dyDescent="0.3">
      <c r="A77" t="s">
        <v>169</v>
      </c>
      <c r="B77" t="s">
        <v>224</v>
      </c>
      <c r="C77" t="s">
        <v>229</v>
      </c>
      <c r="D77" t="s">
        <v>84</v>
      </c>
      <c r="E77" t="s">
        <v>172</v>
      </c>
      <c r="F77" t="s">
        <v>226</v>
      </c>
      <c r="G77" t="s">
        <v>227</v>
      </c>
      <c r="H77">
        <v>7.1400000000000005E-2</v>
      </c>
      <c r="I77">
        <v>9.5</v>
      </c>
      <c r="J77">
        <v>0.27300000000000002</v>
      </c>
      <c r="K77">
        <v>1.028</v>
      </c>
      <c r="L77">
        <v>4.617</v>
      </c>
      <c r="M77">
        <f t="shared" si="22"/>
        <v>1.7968133068659569</v>
      </c>
      <c r="N77">
        <f t="shared" si="23"/>
        <v>1.4724799005513629</v>
      </c>
      <c r="O77">
        <f t="shared" si="16"/>
        <v>39.334454478600755</v>
      </c>
      <c r="P77">
        <f t="shared" si="17"/>
        <v>35.794454478600755</v>
      </c>
      <c r="Q77">
        <f t="shared" si="18"/>
        <v>40.564000957298084</v>
      </c>
      <c r="R77">
        <f t="shared" si="19"/>
        <v>-1.2295464786973298</v>
      </c>
      <c r="S77">
        <v>6.3</v>
      </c>
      <c r="T77" t="s">
        <v>175</v>
      </c>
      <c r="U77" t="s">
        <v>228</v>
      </c>
      <c r="V77">
        <f t="shared" si="20"/>
        <v>41.766753743593881</v>
      </c>
      <c r="W77">
        <f t="shared" si="21"/>
        <v>38.226753743593882</v>
      </c>
    </row>
    <row r="78" spans="1:23" x14ac:dyDescent="0.3">
      <c r="A78" t="s">
        <v>169</v>
      </c>
      <c r="B78" t="s">
        <v>230</v>
      </c>
      <c r="C78" t="s">
        <v>231</v>
      </c>
      <c r="D78" t="s">
        <v>109</v>
      </c>
      <c r="E78" t="s">
        <v>172</v>
      </c>
      <c r="F78" t="s">
        <v>226</v>
      </c>
      <c r="G78" t="s">
        <v>227</v>
      </c>
      <c r="H78">
        <v>7.1499999999999994E-2</v>
      </c>
      <c r="I78">
        <v>9.5</v>
      </c>
      <c r="J78">
        <v>0.312</v>
      </c>
      <c r="K78">
        <v>9.5000000000000001E-2</v>
      </c>
      <c r="L78">
        <v>0.52100000000000002</v>
      </c>
      <c r="M78">
        <f t="shared" si="22"/>
        <v>0.17405582349723897</v>
      </c>
      <c r="N78">
        <f t="shared" si="23"/>
        <v>0.16561388100336641</v>
      </c>
      <c r="O78">
        <f t="shared" si="16"/>
        <v>43.576298926683315</v>
      </c>
      <c r="P78">
        <f t="shared" si="17"/>
        <v>40.816298926683316</v>
      </c>
      <c r="Q78">
        <f t="shared" si="18"/>
        <v>49.772532956020214</v>
      </c>
      <c r="R78">
        <f t="shared" si="19"/>
        <v>-6.1962340293368996</v>
      </c>
      <c r="S78">
        <v>1.3</v>
      </c>
      <c r="T78" t="s">
        <v>175</v>
      </c>
      <c r="U78" t="s">
        <v>232</v>
      </c>
      <c r="V78">
        <f t="shared" si="20"/>
        <v>36.151259320051068</v>
      </c>
      <c r="W78">
        <f t="shared" si="21"/>
        <v>33.39125932005107</v>
      </c>
    </row>
    <row r="79" spans="1:23" x14ac:dyDescent="0.3">
      <c r="A79" t="s">
        <v>169</v>
      </c>
      <c r="B79" t="s">
        <v>230</v>
      </c>
      <c r="C79" t="s">
        <v>182</v>
      </c>
      <c r="D79" t="s">
        <v>109</v>
      </c>
      <c r="E79" t="s">
        <v>172</v>
      </c>
      <c r="F79" t="s">
        <v>226</v>
      </c>
      <c r="G79" t="s">
        <v>227</v>
      </c>
      <c r="H79">
        <v>7.1499999999999994E-2</v>
      </c>
      <c r="I79">
        <v>9.5</v>
      </c>
      <c r="J79">
        <v>0.312</v>
      </c>
      <c r="K79">
        <v>0.26900000000000002</v>
      </c>
      <c r="L79">
        <v>1.0289999999999999</v>
      </c>
      <c r="M79">
        <f t="shared" si="22"/>
        <v>0.45079883638056273</v>
      </c>
      <c r="N79">
        <f t="shared" si="23"/>
        <v>0.32421643810871309</v>
      </c>
      <c r="O79">
        <f t="shared" si="16"/>
        <v>35.723848767554472</v>
      </c>
      <c r="P79">
        <f t="shared" si="17"/>
        <v>32.963848767554474</v>
      </c>
      <c r="Q79">
        <f t="shared" si="18"/>
        <v>45.705297885052666</v>
      </c>
      <c r="R79">
        <f t="shared" si="19"/>
        <v>-9.9814491174981939</v>
      </c>
      <c r="S79">
        <v>1</v>
      </c>
      <c r="T79" t="s">
        <v>175</v>
      </c>
      <c r="U79" t="s">
        <v>232</v>
      </c>
      <c r="V79">
        <f t="shared" si="20"/>
        <v>32.495272046905711</v>
      </c>
      <c r="W79">
        <f t="shared" si="21"/>
        <v>29.73527204690571</v>
      </c>
    </row>
    <row r="80" spans="1:23" x14ac:dyDescent="0.3">
      <c r="A80" t="s">
        <v>169</v>
      </c>
      <c r="B80" t="s">
        <v>230</v>
      </c>
      <c r="C80" t="s">
        <v>233</v>
      </c>
      <c r="D80" t="s">
        <v>109</v>
      </c>
      <c r="E80" t="s">
        <v>172</v>
      </c>
      <c r="F80" t="s">
        <v>226</v>
      </c>
      <c r="G80" t="s">
        <v>227</v>
      </c>
      <c r="H80">
        <v>7.1499999999999994E-2</v>
      </c>
      <c r="I80">
        <v>9.5</v>
      </c>
      <c r="J80">
        <v>0.311</v>
      </c>
      <c r="K80">
        <v>0.40100000000000002</v>
      </c>
      <c r="L80">
        <v>1.899</v>
      </c>
      <c r="M80">
        <f t="shared" si="22"/>
        <v>0.71010721834541646</v>
      </c>
      <c r="N80">
        <f t="shared" si="23"/>
        <v>0.60621393966832615</v>
      </c>
      <c r="O80">
        <f t="shared" si="16"/>
        <v>40.487171398662454</v>
      </c>
      <c r="P80">
        <f t="shared" si="17"/>
        <v>37.707171398662453</v>
      </c>
      <c r="Q80">
        <f t="shared" si="18"/>
        <v>43.773219716345039</v>
      </c>
      <c r="R80">
        <f t="shared" si="19"/>
        <v>-3.2860483176825852</v>
      </c>
      <c r="S80">
        <v>15.2</v>
      </c>
      <c r="T80" t="s">
        <v>175</v>
      </c>
      <c r="U80" t="s">
        <v>232</v>
      </c>
      <c r="V80">
        <f t="shared" si="20"/>
        <v>38.986447952105422</v>
      </c>
      <c r="W80">
        <f t="shared" si="21"/>
        <v>36.206447952105421</v>
      </c>
    </row>
    <row r="81" spans="1:23" x14ac:dyDescent="0.3">
      <c r="A81" t="s">
        <v>169</v>
      </c>
      <c r="B81" t="s">
        <v>234</v>
      </c>
      <c r="C81" t="s">
        <v>235</v>
      </c>
      <c r="D81" t="s">
        <v>132</v>
      </c>
      <c r="E81" t="s">
        <v>172</v>
      </c>
      <c r="F81" t="s">
        <v>226</v>
      </c>
      <c r="G81" t="s">
        <v>227</v>
      </c>
      <c r="H81">
        <v>7.1499999999999994E-2</v>
      </c>
      <c r="I81">
        <v>9.5</v>
      </c>
      <c r="J81">
        <v>0.35799999999999998</v>
      </c>
      <c r="K81">
        <v>0.16900000000000001</v>
      </c>
      <c r="L81">
        <v>0.752</v>
      </c>
      <c r="M81">
        <f t="shared" si="22"/>
        <v>0.29470253554152215</v>
      </c>
      <c r="N81">
        <f t="shared" si="23"/>
        <v>0.23975706617144729</v>
      </c>
      <c r="O81">
        <f t="shared" si="16"/>
        <v>39.130290893528318</v>
      </c>
      <c r="P81">
        <f t="shared" si="17"/>
        <v>37.290290893528315</v>
      </c>
      <c r="Q81">
        <f t="shared" si="18"/>
        <v>46.605148884794978</v>
      </c>
      <c r="R81">
        <f t="shared" si="19"/>
        <v>-7.47485799126666</v>
      </c>
      <c r="S81">
        <v>1</v>
      </c>
      <c r="T81" t="s">
        <v>175</v>
      </c>
      <c r="U81" t="s">
        <v>236</v>
      </c>
      <c r="V81">
        <f t="shared" si="20"/>
        <v>34.059122550178941</v>
      </c>
      <c r="W81">
        <f t="shared" si="21"/>
        <v>32.219122550178938</v>
      </c>
    </row>
    <row r="82" spans="1:23" x14ac:dyDescent="0.3">
      <c r="A82" t="s">
        <v>169</v>
      </c>
      <c r="B82" t="s">
        <v>234</v>
      </c>
      <c r="C82" t="s">
        <v>237</v>
      </c>
      <c r="D82" t="s">
        <v>132</v>
      </c>
      <c r="E82" t="s">
        <v>172</v>
      </c>
      <c r="F82" t="s">
        <v>226</v>
      </c>
      <c r="G82" t="s">
        <v>227</v>
      </c>
      <c r="H82">
        <v>7.1499999999999994E-2</v>
      </c>
      <c r="I82">
        <v>9.5</v>
      </c>
      <c r="J82">
        <v>0.35799999999999998</v>
      </c>
      <c r="K82">
        <v>0.38400000000000001</v>
      </c>
      <c r="L82">
        <v>1.4990000000000001</v>
      </c>
      <c r="M82">
        <f t="shared" si="22"/>
        <v>0.6470901351243612</v>
      </c>
      <c r="N82">
        <f t="shared" si="23"/>
        <v>0.47342273019354303</v>
      </c>
      <c r="O82">
        <f t="shared" si="16"/>
        <v>36.189870675214571</v>
      </c>
      <c r="P82">
        <f t="shared" si="17"/>
        <v>34.349870675214568</v>
      </c>
      <c r="Q82">
        <f t="shared" si="18"/>
        <v>43.227304875829404</v>
      </c>
      <c r="R82">
        <f t="shared" si="19"/>
        <v>-7.0374342006148325</v>
      </c>
      <c r="S82">
        <v>1.6</v>
      </c>
      <c r="T82" t="s">
        <v>175</v>
      </c>
      <c r="U82" t="s">
        <v>236</v>
      </c>
      <c r="V82">
        <f t="shared" si="20"/>
        <v>34.374065994362375</v>
      </c>
      <c r="W82">
        <f t="shared" si="21"/>
        <v>32.534065994362372</v>
      </c>
    </row>
    <row r="83" spans="1:23" x14ac:dyDescent="0.3">
      <c r="A83" t="s">
        <v>169</v>
      </c>
      <c r="B83" t="s">
        <v>234</v>
      </c>
      <c r="C83" t="s">
        <v>238</v>
      </c>
      <c r="D83" t="s">
        <v>132</v>
      </c>
      <c r="E83" t="s">
        <v>172</v>
      </c>
      <c r="F83" t="s">
        <v>226</v>
      </c>
      <c r="G83" t="s">
        <v>227</v>
      </c>
      <c r="H83">
        <v>7.1499999999999994E-2</v>
      </c>
      <c r="I83">
        <v>9.5</v>
      </c>
      <c r="J83">
        <v>0.35799999999999998</v>
      </c>
      <c r="K83">
        <v>0.495</v>
      </c>
      <c r="L83">
        <v>1.8979999999999999</v>
      </c>
      <c r="M83">
        <f t="shared" si="22"/>
        <v>0.83007546743886618</v>
      </c>
      <c r="N83">
        <f t="shared" si="23"/>
        <v>0.59819337336462919</v>
      </c>
      <c r="O83">
        <f t="shared" si="16"/>
        <v>35.7783837266037</v>
      </c>
      <c r="P83">
        <f t="shared" si="17"/>
        <v>33.938383726603696</v>
      </c>
      <c r="Q83">
        <f t="shared" si="18"/>
        <v>42.160700304924902</v>
      </c>
      <c r="R83">
        <f t="shared" si="19"/>
        <v>-6.3823165783212019</v>
      </c>
      <c r="S83">
        <v>1.5</v>
      </c>
      <c r="T83" t="s">
        <v>175</v>
      </c>
      <c r="U83" t="s">
        <v>236</v>
      </c>
      <c r="V83">
        <f t="shared" si="20"/>
        <v>34.970466525438646</v>
      </c>
      <c r="W83">
        <f t="shared" si="21"/>
        <v>33.130466525438642</v>
      </c>
    </row>
    <row r="84" spans="1:23" x14ac:dyDescent="0.3">
      <c r="A84" t="s">
        <v>169</v>
      </c>
      <c r="B84" t="s">
        <v>239</v>
      </c>
      <c r="C84" t="s">
        <v>240</v>
      </c>
      <c r="D84" t="s">
        <v>191</v>
      </c>
      <c r="E84" t="s">
        <v>172</v>
      </c>
      <c r="F84" t="s">
        <v>226</v>
      </c>
      <c r="G84" t="s">
        <v>227</v>
      </c>
      <c r="H84">
        <v>7.1499999999999994E-2</v>
      </c>
      <c r="I84">
        <v>9.5</v>
      </c>
      <c r="J84">
        <v>0.41699999999999998</v>
      </c>
      <c r="K84">
        <v>0.191</v>
      </c>
      <c r="L84">
        <v>0.79300000000000004</v>
      </c>
      <c r="M84">
        <f t="shared" si="22"/>
        <v>0.32719298172589395</v>
      </c>
      <c r="N84">
        <f t="shared" si="23"/>
        <v>0.25187228257114458</v>
      </c>
      <c r="O84">
        <f t="shared" si="16"/>
        <v>37.588980372007562</v>
      </c>
      <c r="P84">
        <f t="shared" si="17"/>
        <v>36.928980372007558</v>
      </c>
      <c r="Q84">
        <f t="shared" si="18"/>
        <v>44.963196403271944</v>
      </c>
      <c r="R84">
        <f t="shared" si="19"/>
        <v>-7.3742160312643819</v>
      </c>
      <c r="S84">
        <v>0.9</v>
      </c>
      <c r="T84" t="s">
        <v>175</v>
      </c>
      <c r="U84" t="s">
        <v>241</v>
      </c>
      <c r="V84">
        <f t="shared" si="20"/>
        <v>33.014356821772914</v>
      </c>
      <c r="W84">
        <f t="shared" si="21"/>
        <v>32.35435682177291</v>
      </c>
    </row>
    <row r="85" spans="1:23" x14ac:dyDescent="0.3">
      <c r="A85" t="s">
        <v>169</v>
      </c>
      <c r="B85" t="s">
        <v>239</v>
      </c>
      <c r="C85" t="s">
        <v>242</v>
      </c>
      <c r="D85" t="s">
        <v>191</v>
      </c>
      <c r="E85" t="s">
        <v>172</v>
      </c>
      <c r="F85" t="s">
        <v>226</v>
      </c>
      <c r="G85" t="s">
        <v>227</v>
      </c>
      <c r="H85">
        <v>7.1499999999999994E-2</v>
      </c>
      <c r="I85">
        <v>9.5</v>
      </c>
      <c r="J85">
        <v>0.41599999999999998</v>
      </c>
      <c r="K85">
        <v>0.309</v>
      </c>
      <c r="L85">
        <v>1.1679999999999999</v>
      </c>
      <c r="M85">
        <f t="shared" si="22"/>
        <v>0.51613486754240701</v>
      </c>
      <c r="N85">
        <f t="shared" si="23"/>
        <v>0.36745611692706542</v>
      </c>
      <c r="O85">
        <f t="shared" si="16"/>
        <v>35.44851543746978</v>
      </c>
      <c r="P85">
        <f t="shared" si="17"/>
        <v>34.76851543746978</v>
      </c>
      <c r="Q85">
        <f t="shared" si="18"/>
        <v>43.026317466512026</v>
      </c>
      <c r="R85">
        <f t="shared" si="19"/>
        <v>-7.5778020290422461</v>
      </c>
      <c r="S85">
        <v>1</v>
      </c>
      <c r="T85" t="s">
        <v>175</v>
      </c>
      <c r="U85" t="s">
        <v>241</v>
      </c>
      <c r="V85">
        <f t="shared" si="20"/>
        <v>32.759287495235419</v>
      </c>
      <c r="W85">
        <f t="shared" si="21"/>
        <v>32.07928749523542</v>
      </c>
    </row>
    <row r="86" spans="1:23" x14ac:dyDescent="0.3">
      <c r="A86" t="s">
        <v>169</v>
      </c>
      <c r="B86" t="s">
        <v>239</v>
      </c>
      <c r="C86" t="s">
        <v>243</v>
      </c>
      <c r="D86" t="s">
        <v>191</v>
      </c>
      <c r="E86" t="s">
        <v>172</v>
      </c>
      <c r="F86" t="s">
        <v>226</v>
      </c>
      <c r="G86" t="s">
        <v>227</v>
      </c>
      <c r="H86">
        <v>7.1499999999999994E-2</v>
      </c>
      <c r="I86">
        <v>9.5</v>
      </c>
      <c r="J86">
        <v>0.41599999999999998</v>
      </c>
      <c r="K86">
        <v>0.505</v>
      </c>
      <c r="L86">
        <v>2.0179999999999998</v>
      </c>
      <c r="M86">
        <f t="shared" si="22"/>
        <v>0.85637310095131092</v>
      </c>
      <c r="N86">
        <f t="shared" si="23"/>
        <v>0.63887748877792949</v>
      </c>
      <c r="O86">
        <f t="shared" si="16"/>
        <v>36.723933910507938</v>
      </c>
      <c r="P86">
        <f t="shared" si="17"/>
        <v>36.043933910507938</v>
      </c>
      <c r="Q86">
        <f t="shared" si="18"/>
        <v>40.863376977111656</v>
      </c>
      <c r="R86">
        <f t="shared" si="19"/>
        <v>-4.1394430666037181</v>
      </c>
      <c r="S86">
        <v>1.5</v>
      </c>
      <c r="T86" t="s">
        <v>175</v>
      </c>
      <c r="U86" t="s">
        <v>241</v>
      </c>
      <c r="V86">
        <f t="shared" si="20"/>
        <v>36.034609492531615</v>
      </c>
      <c r="W86">
        <f t="shared" si="21"/>
        <v>35.354609492531615</v>
      </c>
    </row>
    <row r="87" spans="1:23" x14ac:dyDescent="0.3">
      <c r="A87" t="s">
        <v>169</v>
      </c>
      <c r="B87" t="s">
        <v>244</v>
      </c>
      <c r="C87" t="s">
        <v>245</v>
      </c>
      <c r="D87" t="s">
        <v>84</v>
      </c>
      <c r="E87" t="s">
        <v>172</v>
      </c>
      <c r="F87" t="s">
        <v>226</v>
      </c>
      <c r="G87" t="s">
        <v>227</v>
      </c>
      <c r="H87">
        <v>0.10059999999999999</v>
      </c>
      <c r="I87">
        <v>15.9</v>
      </c>
      <c r="J87">
        <v>0.505</v>
      </c>
      <c r="K87">
        <v>0.127</v>
      </c>
      <c r="L87">
        <v>0.42399999999999999</v>
      </c>
      <c r="M87">
        <f t="shared" si="22"/>
        <v>0.20473575595149374</v>
      </c>
      <c r="N87">
        <f t="shared" si="23"/>
        <v>0.1305552441085514</v>
      </c>
      <c r="O87">
        <f t="shared" si="16"/>
        <v>32.524713196619778</v>
      </c>
      <c r="P87">
        <f t="shared" si="17"/>
        <v>33.62471319661978</v>
      </c>
      <c r="Q87">
        <f t="shared" si="18"/>
        <v>45.181487524768961</v>
      </c>
      <c r="R87">
        <f t="shared" si="19"/>
        <v>-12.656774328149183</v>
      </c>
      <c r="S87">
        <v>1.2</v>
      </c>
      <c r="T87" t="s">
        <v>175</v>
      </c>
      <c r="U87" t="s">
        <v>246</v>
      </c>
      <c r="V87">
        <f t="shared" si="20"/>
        <v>26.642611700408278</v>
      </c>
      <c r="W87">
        <f t="shared" si="21"/>
        <v>27.742611700408279</v>
      </c>
    </row>
    <row r="88" spans="1:23" x14ac:dyDescent="0.3">
      <c r="A88" t="s">
        <v>169</v>
      </c>
      <c r="B88" t="s">
        <v>244</v>
      </c>
      <c r="C88" t="s">
        <v>247</v>
      </c>
      <c r="D88" t="s">
        <v>84</v>
      </c>
      <c r="E88" t="s">
        <v>172</v>
      </c>
      <c r="F88" t="s">
        <v>226</v>
      </c>
      <c r="G88" t="s">
        <v>227</v>
      </c>
      <c r="H88">
        <v>0.1004</v>
      </c>
      <c r="I88">
        <v>15.9</v>
      </c>
      <c r="J88">
        <v>0.50600000000000001</v>
      </c>
      <c r="K88">
        <v>0.254</v>
      </c>
      <c r="L88">
        <v>0.59899999999999998</v>
      </c>
      <c r="M88">
        <f t="shared" si="22"/>
        <v>0.36590546996353812</v>
      </c>
      <c r="N88">
        <f t="shared" si="23"/>
        <v>0.16150712965581523</v>
      </c>
      <c r="O88">
        <f t="shared" si="16"/>
        <v>23.816198736290168</v>
      </c>
      <c r="P88">
        <f t="shared" si="17"/>
        <v>24.936198736290169</v>
      </c>
      <c r="Q88">
        <f t="shared" si="18"/>
        <v>42.668337386262792</v>
      </c>
      <c r="R88">
        <f t="shared" si="19"/>
        <v>-18.852138649972623</v>
      </c>
      <c r="S88">
        <v>0.5</v>
      </c>
      <c r="T88" t="s">
        <v>175</v>
      </c>
      <c r="U88" t="s">
        <v>246</v>
      </c>
      <c r="V88">
        <f t="shared" si="20"/>
        <v>20.750041875558466</v>
      </c>
      <c r="W88">
        <f t="shared" si="21"/>
        <v>21.870041875558467</v>
      </c>
    </row>
    <row r="89" spans="1:23" x14ac:dyDescent="0.3">
      <c r="A89" t="s">
        <v>169</v>
      </c>
      <c r="B89" t="s">
        <v>244</v>
      </c>
      <c r="C89" t="s">
        <v>248</v>
      </c>
      <c r="D89" t="s">
        <v>84</v>
      </c>
      <c r="E89" t="s">
        <v>172</v>
      </c>
      <c r="F89" t="s">
        <v>226</v>
      </c>
      <c r="G89" t="s">
        <v>227</v>
      </c>
      <c r="H89">
        <v>0.10059999999999999</v>
      </c>
      <c r="I89">
        <v>15.9</v>
      </c>
      <c r="J89">
        <v>0.59499999999999997</v>
      </c>
      <c r="K89">
        <v>0.34799999999999998</v>
      </c>
      <c r="L89">
        <v>0.81699999999999995</v>
      </c>
      <c r="M89">
        <f t="shared" si="22"/>
        <v>0.50052632621623872</v>
      </c>
      <c r="N89">
        <f t="shared" si="23"/>
        <v>0.21970563671966511</v>
      </c>
      <c r="O89">
        <f t="shared" si="16"/>
        <v>23.699034536177788</v>
      </c>
      <c r="P89">
        <f t="shared" si="17"/>
        <v>26.599034536177786</v>
      </c>
      <c r="Q89">
        <f t="shared" si="18"/>
        <v>39.509622493464455</v>
      </c>
      <c r="R89">
        <f t="shared" si="19"/>
        <v>-15.810587957286668</v>
      </c>
      <c r="S89">
        <v>0.5</v>
      </c>
      <c r="T89" t="s">
        <v>175</v>
      </c>
      <c r="U89" t="s">
        <v>246</v>
      </c>
      <c r="V89">
        <f t="shared" si="20"/>
        <v>21.549052767823447</v>
      </c>
      <c r="W89">
        <f t="shared" si="21"/>
        <v>24.449052767823446</v>
      </c>
    </row>
    <row r="90" spans="1:23" x14ac:dyDescent="0.3">
      <c r="A90" t="s">
        <v>169</v>
      </c>
      <c r="B90" t="s">
        <v>249</v>
      </c>
      <c r="C90" t="s">
        <v>180</v>
      </c>
      <c r="D90" t="s">
        <v>109</v>
      </c>
      <c r="E90" t="s">
        <v>172</v>
      </c>
      <c r="F90" t="s">
        <v>226</v>
      </c>
      <c r="G90" t="s">
        <v>227</v>
      </c>
      <c r="H90">
        <v>0.10059999999999999</v>
      </c>
      <c r="I90">
        <v>15.9</v>
      </c>
      <c r="J90">
        <v>0.502</v>
      </c>
      <c r="K90">
        <v>0.17299999999999999</v>
      </c>
      <c r="L90">
        <v>0.41699999999999998</v>
      </c>
      <c r="M90">
        <f t="shared" si="22"/>
        <v>0.2511355473528647</v>
      </c>
      <c r="N90">
        <f t="shared" si="23"/>
        <v>0.11384159957575803</v>
      </c>
      <c r="O90">
        <f t="shared" si="16"/>
        <v>24.385138062761051</v>
      </c>
      <c r="P90">
        <f t="shared" si="17"/>
        <v>25.42513806276105</v>
      </c>
      <c r="Q90">
        <f t="shared" si="18"/>
        <v>44.365371569185506</v>
      </c>
      <c r="R90">
        <f t="shared" si="19"/>
        <v>-19.980233506424455</v>
      </c>
      <c r="S90">
        <v>0.9</v>
      </c>
      <c r="T90" t="s">
        <v>175</v>
      </c>
      <c r="U90" t="s">
        <v>250</v>
      </c>
      <c r="V90">
        <f t="shared" si="20"/>
        <v>20.190354593783244</v>
      </c>
      <c r="W90">
        <f t="shared" si="21"/>
        <v>21.230354593783243</v>
      </c>
    </row>
    <row r="91" spans="1:23" x14ac:dyDescent="0.3">
      <c r="A91" t="s">
        <v>169</v>
      </c>
      <c r="B91" t="s">
        <v>249</v>
      </c>
      <c r="C91" t="s">
        <v>251</v>
      </c>
      <c r="D91" t="s">
        <v>109</v>
      </c>
      <c r="E91" t="s">
        <v>172</v>
      </c>
      <c r="F91" t="s">
        <v>226</v>
      </c>
      <c r="G91" t="s">
        <v>227</v>
      </c>
      <c r="H91">
        <v>0.10059999999999999</v>
      </c>
      <c r="I91">
        <v>15.9</v>
      </c>
      <c r="J91">
        <v>0.501</v>
      </c>
      <c r="K91">
        <v>0.214</v>
      </c>
      <c r="L91">
        <v>0.54900000000000004</v>
      </c>
      <c r="M91">
        <f t="shared" si="22"/>
        <v>0.3173724401304775</v>
      </c>
      <c r="N91">
        <f t="shared" si="23"/>
        <v>0.15473818554313223</v>
      </c>
      <c r="O91">
        <f t="shared" si="16"/>
        <v>25.992022614002437</v>
      </c>
      <c r="P91">
        <f t="shared" si="17"/>
        <v>27.012022614002436</v>
      </c>
      <c r="Q91">
        <f t="shared" si="18"/>
        <v>43.380820157396556</v>
      </c>
      <c r="R91">
        <f t="shared" si="19"/>
        <v>-17.388797543394119</v>
      </c>
      <c r="S91">
        <v>1.3</v>
      </c>
      <c r="T91" t="s">
        <v>175</v>
      </c>
      <c r="U91" t="s">
        <v>250</v>
      </c>
      <c r="V91">
        <f t="shared" si="20"/>
        <v>22.276889556048072</v>
      </c>
      <c r="W91">
        <f t="shared" si="21"/>
        <v>23.296889556048072</v>
      </c>
    </row>
    <row r="92" spans="1:23" x14ac:dyDescent="0.3">
      <c r="A92" t="s">
        <v>169</v>
      </c>
      <c r="B92" t="s">
        <v>249</v>
      </c>
      <c r="C92" t="s">
        <v>252</v>
      </c>
      <c r="D92" t="s">
        <v>109</v>
      </c>
      <c r="E92" t="s">
        <v>172</v>
      </c>
      <c r="F92" t="s">
        <v>226</v>
      </c>
      <c r="G92" t="s">
        <v>227</v>
      </c>
      <c r="H92">
        <v>0.10050000000000001</v>
      </c>
      <c r="I92">
        <v>15.9</v>
      </c>
      <c r="J92">
        <v>0.503</v>
      </c>
      <c r="K92">
        <v>0.45900000000000002</v>
      </c>
      <c r="L92">
        <v>1.0489999999999999</v>
      </c>
      <c r="M92">
        <f t="shared" si="22"/>
        <v>0.6539015863911799</v>
      </c>
      <c r="N92">
        <f t="shared" si="23"/>
        <v>0.27749830196416975</v>
      </c>
      <c r="O92">
        <f t="shared" si="16"/>
        <v>22.995066016442664</v>
      </c>
      <c r="P92">
        <f t="shared" si="17"/>
        <v>24.055066016442662</v>
      </c>
      <c r="Q92">
        <f t="shared" si="18"/>
        <v>40.254384452781572</v>
      </c>
      <c r="R92">
        <f t="shared" si="19"/>
        <v>-17.259318436338908</v>
      </c>
      <c r="S92">
        <v>1</v>
      </c>
      <c r="T92" t="s">
        <v>175</v>
      </c>
      <c r="U92" t="s">
        <v>250</v>
      </c>
      <c r="V92">
        <f t="shared" si="20"/>
        <v>21.673122734461028</v>
      </c>
      <c r="W92">
        <f t="shared" si="21"/>
        <v>22.733122734461027</v>
      </c>
    </row>
    <row r="93" spans="1:23" x14ac:dyDescent="0.3">
      <c r="A93" t="s">
        <v>169</v>
      </c>
      <c r="B93" t="s">
        <v>253</v>
      </c>
      <c r="C93" t="s">
        <v>254</v>
      </c>
      <c r="D93" t="s">
        <v>132</v>
      </c>
      <c r="E93" t="s">
        <v>172</v>
      </c>
      <c r="F93" t="s">
        <v>226</v>
      </c>
      <c r="G93" t="s">
        <v>227</v>
      </c>
      <c r="H93">
        <v>0.1004</v>
      </c>
      <c r="I93">
        <v>15.9</v>
      </c>
      <c r="J93">
        <v>0.49199999999999999</v>
      </c>
      <c r="K93">
        <v>0.185</v>
      </c>
      <c r="L93">
        <v>0.43</v>
      </c>
      <c r="M93">
        <f t="shared" si="22"/>
        <v>0.26514417941253443</v>
      </c>
      <c r="N93">
        <f t="shared" si="23"/>
        <v>0.11494448426245787</v>
      </c>
      <c r="O93">
        <f t="shared" si="16"/>
        <v>23.437547348762021</v>
      </c>
      <c r="P93">
        <f t="shared" si="17"/>
        <v>24.27754734876202</v>
      </c>
      <c r="Q93">
        <f t="shared" si="18"/>
        <v>44.337334646097588</v>
      </c>
      <c r="R93">
        <f t="shared" si="19"/>
        <v>-20.899787297335568</v>
      </c>
      <c r="S93">
        <v>0.6</v>
      </c>
      <c r="T93" t="s">
        <v>175</v>
      </c>
      <c r="U93" t="s">
        <v>255</v>
      </c>
      <c r="V93">
        <f t="shared" si="20"/>
        <v>19.522354150651658</v>
      </c>
      <c r="W93">
        <f t="shared" si="21"/>
        <v>20.362354150651658</v>
      </c>
    </row>
    <row r="94" spans="1:23" x14ac:dyDescent="0.3">
      <c r="A94" t="s">
        <v>169</v>
      </c>
      <c r="B94" t="s">
        <v>253</v>
      </c>
      <c r="C94" t="s">
        <v>256</v>
      </c>
      <c r="D94" t="s">
        <v>132</v>
      </c>
      <c r="E94" t="s">
        <v>172</v>
      </c>
      <c r="F94" t="s">
        <v>226</v>
      </c>
      <c r="G94" t="s">
        <v>227</v>
      </c>
      <c r="H94">
        <v>0.10059999999999999</v>
      </c>
      <c r="I94">
        <v>15.9</v>
      </c>
      <c r="J94">
        <v>0.498</v>
      </c>
      <c r="K94">
        <v>0.254</v>
      </c>
      <c r="L94">
        <v>0.55100000000000005</v>
      </c>
      <c r="M94">
        <f t="shared" si="22"/>
        <v>0.35509246289141549</v>
      </c>
      <c r="N94">
        <f t="shared" si="23"/>
        <v>0.1407294405065912</v>
      </c>
      <c r="O94">
        <f t="shared" si="16"/>
        <v>21.619301056872001</v>
      </c>
      <c r="P94">
        <f t="shared" si="17"/>
        <v>22.579301056872001</v>
      </c>
      <c r="Q94">
        <f t="shared" si="18"/>
        <v>42.960686530849465</v>
      </c>
      <c r="R94">
        <f t="shared" si="19"/>
        <v>-21.341385473977464</v>
      </c>
      <c r="S94">
        <v>0.6</v>
      </c>
      <c r="T94" t="s">
        <v>175</v>
      </c>
      <c r="U94" t="s">
        <v>255</v>
      </c>
      <c r="V94">
        <f t="shared" si="20"/>
        <v>18.708759767505502</v>
      </c>
      <c r="W94">
        <f t="shared" si="21"/>
        <v>19.668759767505502</v>
      </c>
    </row>
    <row r="95" spans="1:23" x14ac:dyDescent="0.3">
      <c r="A95" t="s">
        <v>169</v>
      </c>
      <c r="B95" t="s">
        <v>253</v>
      </c>
      <c r="C95" t="s">
        <v>257</v>
      </c>
      <c r="D95" t="s">
        <v>132</v>
      </c>
      <c r="E95" t="s">
        <v>172</v>
      </c>
      <c r="F95" t="s">
        <v>226</v>
      </c>
      <c r="G95" t="s">
        <v>227</v>
      </c>
      <c r="H95">
        <v>0.1004</v>
      </c>
      <c r="I95">
        <v>15.9</v>
      </c>
      <c r="J95">
        <v>0.49199999999999999</v>
      </c>
      <c r="K95">
        <v>0.32800000000000001</v>
      </c>
      <c r="L95">
        <v>0.77700000000000002</v>
      </c>
      <c r="M95">
        <f t="shared" si="22"/>
        <v>0.47325629461261859</v>
      </c>
      <c r="N95">
        <f t="shared" si="23"/>
        <v>0.21004924459868429</v>
      </c>
      <c r="O95">
        <f t="shared" si="16"/>
        <v>23.933479018597172</v>
      </c>
      <c r="P95">
        <f t="shared" si="17"/>
        <v>24.773479018597172</v>
      </c>
      <c r="Q95">
        <f t="shared" si="18"/>
        <v>41.853987428427772</v>
      </c>
      <c r="R95">
        <f t="shared" si="19"/>
        <v>-17.9205084098306</v>
      </c>
      <c r="S95">
        <v>0.6</v>
      </c>
      <c r="T95" t="s">
        <v>175</v>
      </c>
      <c r="U95" t="s">
        <v>255</v>
      </c>
      <c r="V95">
        <f t="shared" si="20"/>
        <v>21.601424346826889</v>
      </c>
      <c r="W95">
        <f t="shared" si="21"/>
        <v>22.441424346826889</v>
      </c>
    </row>
    <row r="96" spans="1:23" x14ac:dyDescent="0.3">
      <c r="A96" t="s">
        <v>169</v>
      </c>
      <c r="B96" t="s">
        <v>258</v>
      </c>
      <c r="C96" t="s">
        <v>259</v>
      </c>
      <c r="D96" t="s">
        <v>191</v>
      </c>
      <c r="E96" t="s">
        <v>172</v>
      </c>
      <c r="F96" t="s">
        <v>226</v>
      </c>
      <c r="G96" t="s">
        <v>227</v>
      </c>
      <c r="H96">
        <v>0.1004</v>
      </c>
      <c r="I96">
        <v>15.9</v>
      </c>
      <c r="J96">
        <v>0.53900000000000003</v>
      </c>
      <c r="K96">
        <v>0.13600000000000001</v>
      </c>
      <c r="L96">
        <v>0.38</v>
      </c>
      <c r="M96">
        <f t="shared" si="22"/>
        <v>0.20747966826433217</v>
      </c>
      <c r="N96">
        <f t="shared" si="23"/>
        <v>0.11104817009441477</v>
      </c>
      <c r="O96">
        <f t="shared" si="16"/>
        <v>28.156774001647936</v>
      </c>
      <c r="P96">
        <f t="shared" si="17"/>
        <v>29.936774001647937</v>
      </c>
      <c r="Q96">
        <f t="shared" si="18"/>
        <v>44.423668066089419</v>
      </c>
      <c r="R96">
        <f t="shared" si="19"/>
        <v>-16.266894064441484</v>
      </c>
      <c r="S96">
        <v>1.2</v>
      </c>
      <c r="T96" t="s">
        <v>175</v>
      </c>
      <c r="U96" t="s">
        <v>260</v>
      </c>
      <c r="V96">
        <f t="shared" si="20"/>
        <v>22.87635780853865</v>
      </c>
      <c r="W96">
        <f t="shared" si="21"/>
        <v>24.656357808538651</v>
      </c>
    </row>
    <row r="97" spans="1:23" x14ac:dyDescent="0.3">
      <c r="A97" t="s">
        <v>169</v>
      </c>
      <c r="B97" t="s">
        <v>258</v>
      </c>
      <c r="C97" t="s">
        <v>261</v>
      </c>
      <c r="D97" t="s">
        <v>191</v>
      </c>
      <c r="E97" t="s">
        <v>172</v>
      </c>
      <c r="F97" t="s">
        <v>226</v>
      </c>
      <c r="G97" t="s">
        <v>227</v>
      </c>
      <c r="H97">
        <v>0.1002</v>
      </c>
      <c r="I97">
        <v>15.9</v>
      </c>
      <c r="J97">
        <v>0.53400000000000003</v>
      </c>
      <c r="K97">
        <v>0.20499999999999999</v>
      </c>
      <c r="L97">
        <v>0.58699999999999997</v>
      </c>
      <c r="M97">
        <f t="shared" si="22"/>
        <v>0.31522327824058127</v>
      </c>
      <c r="N97">
        <f t="shared" si="23"/>
        <v>0.17307836728430695</v>
      </c>
      <c r="O97">
        <f t="shared" si="16"/>
        <v>28.769689333849353</v>
      </c>
      <c r="P97">
        <f t="shared" si="17"/>
        <v>30.449689333849353</v>
      </c>
      <c r="Q97">
        <f t="shared" si="18"/>
        <v>42.732013216052678</v>
      </c>
      <c r="R97">
        <f t="shared" si="19"/>
        <v>-13.962323882203325</v>
      </c>
      <c r="S97">
        <v>1.2</v>
      </c>
      <c r="T97" t="s">
        <v>175</v>
      </c>
      <c r="U97" t="s">
        <v>260</v>
      </c>
      <c r="V97">
        <f t="shared" si="20"/>
        <v>24.743427723696488</v>
      </c>
      <c r="W97">
        <f t="shared" si="21"/>
        <v>26.423427723696488</v>
      </c>
    </row>
    <row r="98" spans="1:23" x14ac:dyDescent="0.3">
      <c r="A98" t="s">
        <v>169</v>
      </c>
      <c r="B98" t="s">
        <v>258</v>
      </c>
      <c r="C98" t="s">
        <v>262</v>
      </c>
      <c r="D98" t="s">
        <v>191</v>
      </c>
      <c r="E98" t="s">
        <v>172</v>
      </c>
      <c r="F98" t="s">
        <v>226</v>
      </c>
      <c r="G98" t="s">
        <v>227</v>
      </c>
      <c r="H98">
        <v>0.1003</v>
      </c>
      <c r="I98">
        <v>15.9</v>
      </c>
      <c r="J98">
        <v>0.53800000000000003</v>
      </c>
      <c r="K98">
        <v>0.307</v>
      </c>
      <c r="L98">
        <v>0.81699999999999995</v>
      </c>
      <c r="M98">
        <f t="shared" si="22"/>
        <v>0.46092589651363725</v>
      </c>
      <c r="N98">
        <f t="shared" si="23"/>
        <v>0.23411327515633976</v>
      </c>
      <c r="O98">
        <f t="shared" ref="O98:O129" si="24">DEGREES(ATAN(N98/M98))</f>
        <v>26.926905614075849</v>
      </c>
      <c r="P98">
        <f t="shared" ref="P98:P129" si="25">O98-omega*(e_base-J98)</f>
        <v>28.686905614075851</v>
      </c>
      <c r="Q98">
        <f t="shared" ref="Q98:Q121" si="26">DEGREES(ATAN(TAN(RADIANS(pe0-omega*J98))*(M98/sref)^(m_-1)))</f>
        <v>41.027064266803364</v>
      </c>
      <c r="R98">
        <f t="shared" ref="R98:R129" si="27">O98-Q98</f>
        <v>-14.100158652727515</v>
      </c>
      <c r="S98">
        <v>1.2</v>
      </c>
      <c r="T98" t="s">
        <v>175</v>
      </c>
      <c r="U98" t="s">
        <v>260</v>
      </c>
      <c r="V98">
        <f t="shared" ref="V98:V121" si="28">DEGREES(ATAN(TAN(RADIANS(O98))*(M98/sref)^(1-m_)))</f>
        <v>24.291281395712719</v>
      </c>
      <c r="W98">
        <f t="shared" ref="W98:W129" si="29">V98-omega*(e_base-J98)</f>
        <v>26.051281395712721</v>
      </c>
    </row>
    <row r="99" spans="1:23" x14ac:dyDescent="0.3">
      <c r="A99" t="s">
        <v>169</v>
      </c>
      <c r="B99" t="s">
        <v>263</v>
      </c>
      <c r="C99" t="s">
        <v>264</v>
      </c>
      <c r="D99" t="s">
        <v>84</v>
      </c>
      <c r="E99" t="s">
        <v>172</v>
      </c>
      <c r="F99" t="s">
        <v>226</v>
      </c>
      <c r="G99" t="s">
        <v>227</v>
      </c>
      <c r="H99">
        <v>0.1512</v>
      </c>
      <c r="I99">
        <v>25.4</v>
      </c>
      <c r="J99">
        <v>0.35499999999999998</v>
      </c>
      <c r="K99">
        <v>0.21029999999999999</v>
      </c>
      <c r="L99">
        <v>0.94532000000000005</v>
      </c>
      <c r="M99">
        <f t="shared" si="22"/>
        <v>0.36765661600591026</v>
      </c>
      <c r="N99">
        <f t="shared" si="23"/>
        <v>0.30149486777693685</v>
      </c>
      <c r="O99">
        <f t="shared" si="24"/>
        <v>39.353284780310688</v>
      </c>
      <c r="P99">
        <f t="shared" si="25"/>
        <v>37.453284780310689</v>
      </c>
      <c r="Q99">
        <f t="shared" si="26"/>
        <v>45.715944269481447</v>
      </c>
      <c r="R99">
        <f t="shared" si="27"/>
        <v>-6.3626594891707597</v>
      </c>
      <c r="S99">
        <v>1.5</v>
      </c>
      <c r="T99" t="s">
        <v>214</v>
      </c>
      <c r="U99" t="s">
        <v>265</v>
      </c>
      <c r="V99">
        <f t="shared" si="28"/>
        <v>35.160439687431378</v>
      </c>
      <c r="W99">
        <f t="shared" si="29"/>
        <v>33.260439687431379</v>
      </c>
    </row>
    <row r="100" spans="1:23" x14ac:dyDescent="0.3">
      <c r="A100" t="s">
        <v>169</v>
      </c>
      <c r="B100" t="s">
        <v>263</v>
      </c>
      <c r="C100" t="s">
        <v>266</v>
      </c>
      <c r="D100" t="s">
        <v>84</v>
      </c>
      <c r="E100" t="s">
        <v>172</v>
      </c>
      <c r="F100" t="s">
        <v>226</v>
      </c>
      <c r="G100" t="s">
        <v>227</v>
      </c>
      <c r="H100">
        <v>0.1512</v>
      </c>
      <c r="I100">
        <v>25.4</v>
      </c>
      <c r="J100">
        <v>0.35699999999999998</v>
      </c>
      <c r="K100">
        <v>0.20705000000000001</v>
      </c>
      <c r="L100">
        <v>0.85509000000000002</v>
      </c>
      <c r="M100">
        <f t="shared" si="22"/>
        <v>0.35419432023280117</v>
      </c>
      <c r="N100">
        <f t="shared" si="23"/>
        <v>0.27148472205059954</v>
      </c>
      <c r="O100">
        <f t="shared" si="24"/>
        <v>37.469632469711556</v>
      </c>
      <c r="P100">
        <f t="shared" si="25"/>
        <v>35.609632469711556</v>
      </c>
      <c r="Q100">
        <f t="shared" si="26"/>
        <v>45.835874251719389</v>
      </c>
      <c r="R100">
        <f t="shared" si="27"/>
        <v>-8.3662417820078332</v>
      </c>
      <c r="S100">
        <v>1</v>
      </c>
      <c r="T100" t="s">
        <v>214</v>
      </c>
      <c r="U100" t="s">
        <v>267</v>
      </c>
      <c r="V100">
        <f t="shared" si="28"/>
        <v>33.213148714084724</v>
      </c>
      <c r="W100">
        <f t="shared" si="29"/>
        <v>31.353148714084725</v>
      </c>
    </row>
    <row r="101" spans="1:23" x14ac:dyDescent="0.3">
      <c r="A101" t="s">
        <v>169</v>
      </c>
      <c r="B101" t="s">
        <v>263</v>
      </c>
      <c r="C101" t="s">
        <v>268</v>
      </c>
      <c r="D101" t="s">
        <v>84</v>
      </c>
      <c r="E101" t="s">
        <v>172</v>
      </c>
      <c r="F101" t="s">
        <v>226</v>
      </c>
      <c r="G101" t="s">
        <v>227</v>
      </c>
      <c r="H101">
        <v>0.15129999999999999</v>
      </c>
      <c r="I101">
        <v>25.4</v>
      </c>
      <c r="J101">
        <v>0.35699999999999998</v>
      </c>
      <c r="K101">
        <v>6.3799999999999996E-2</v>
      </c>
      <c r="L101">
        <v>0.34625</v>
      </c>
      <c r="M101">
        <f t="shared" si="22"/>
        <v>0.11662052094193841</v>
      </c>
      <c r="N101">
        <f t="shared" si="23"/>
        <v>0.11013241442678329</v>
      </c>
      <c r="O101">
        <f t="shared" si="24"/>
        <v>43.361036781476308</v>
      </c>
      <c r="P101">
        <f t="shared" si="25"/>
        <v>41.501036781476309</v>
      </c>
      <c r="Q101">
        <f t="shared" si="26"/>
        <v>50.574309937155355</v>
      </c>
      <c r="R101">
        <f t="shared" si="27"/>
        <v>-7.2132731556790475</v>
      </c>
      <c r="S101">
        <v>1</v>
      </c>
      <c r="T101" t="s">
        <v>214</v>
      </c>
      <c r="U101" t="s">
        <v>269</v>
      </c>
      <c r="V101">
        <f t="shared" si="28"/>
        <v>34.326582295865961</v>
      </c>
      <c r="W101">
        <f t="shared" si="29"/>
        <v>32.466582295865962</v>
      </c>
    </row>
    <row r="102" spans="1:23" x14ac:dyDescent="0.3">
      <c r="A102" t="s">
        <v>169</v>
      </c>
      <c r="B102" t="s">
        <v>270</v>
      </c>
      <c r="C102" t="s">
        <v>264</v>
      </c>
      <c r="D102" t="s">
        <v>109</v>
      </c>
      <c r="E102" t="s">
        <v>172</v>
      </c>
      <c r="F102" t="s">
        <v>226</v>
      </c>
      <c r="G102" t="s">
        <v>227</v>
      </c>
      <c r="H102">
        <v>0.15140000000000001</v>
      </c>
      <c r="I102">
        <v>25.4</v>
      </c>
      <c r="J102">
        <v>0.312</v>
      </c>
      <c r="K102">
        <v>0.1543199999999999</v>
      </c>
      <c r="L102">
        <v>0.70484999999999998</v>
      </c>
      <c r="M102">
        <f t="shared" si="22"/>
        <v>0.27086428855135891</v>
      </c>
      <c r="N102">
        <f t="shared" si="23"/>
        <v>0.22489676738947861</v>
      </c>
      <c r="O102">
        <f t="shared" si="24"/>
        <v>39.702617309269733</v>
      </c>
      <c r="P102">
        <f t="shared" si="25"/>
        <v>36.942617309269735</v>
      </c>
      <c r="Q102">
        <f t="shared" si="26"/>
        <v>47.88945697119096</v>
      </c>
      <c r="R102">
        <f t="shared" si="27"/>
        <v>-8.1868396619212263</v>
      </c>
      <c r="S102">
        <v>1.25</v>
      </c>
      <c r="T102" t="s">
        <v>214</v>
      </c>
      <c r="U102" t="s">
        <v>271</v>
      </c>
      <c r="V102">
        <f t="shared" si="28"/>
        <v>34.26442022414804</v>
      </c>
      <c r="W102">
        <f t="shared" si="29"/>
        <v>31.504420224148038</v>
      </c>
    </row>
    <row r="103" spans="1:23" x14ac:dyDescent="0.3">
      <c r="A103" t="s">
        <v>169</v>
      </c>
      <c r="B103" t="s">
        <v>270</v>
      </c>
      <c r="C103" t="s">
        <v>266</v>
      </c>
      <c r="D103" t="s">
        <v>109</v>
      </c>
      <c r="E103" t="s">
        <v>172</v>
      </c>
      <c r="F103" t="s">
        <v>226</v>
      </c>
      <c r="G103" t="s">
        <v>227</v>
      </c>
      <c r="H103">
        <v>0.15140000000000001</v>
      </c>
      <c r="I103">
        <v>25.4</v>
      </c>
      <c r="J103">
        <v>0.31</v>
      </c>
      <c r="K103">
        <v>0.11258</v>
      </c>
      <c r="L103">
        <v>0.54867999999999995</v>
      </c>
      <c r="M103">
        <f t="shared" ref="M103:M134" si="30">(L103+K103)/2-(L103-K103)/2*((SQRT(4*m_*(m_-1)*(L103-K103)^2+(L103+K103)^2)-(L103+K103))/(2*(m_-1)*(L103-K103)))</f>
        <v>0.2007430403534676</v>
      </c>
      <c r="N103">
        <f t="shared" ref="N103:N121" si="31">(L103-K103)/2*SQRT(1-((SQRT(4*m_*(m_-1)*(L103-K103)^2+(L103+K103)^2)-(L103+K103))/(2*(m_-1)*(L103-K103)))^2)</f>
        <v>0.17514331335731906</v>
      </c>
      <c r="O103">
        <f t="shared" si="24"/>
        <v>41.103889263011062</v>
      </c>
      <c r="P103">
        <f t="shared" si="25"/>
        <v>38.303889263011065</v>
      </c>
      <c r="Q103">
        <f t="shared" si="26"/>
        <v>49.206755846972236</v>
      </c>
      <c r="R103">
        <f t="shared" si="27"/>
        <v>-8.1028665839611733</v>
      </c>
      <c r="S103">
        <v>1</v>
      </c>
      <c r="T103" t="s">
        <v>214</v>
      </c>
      <c r="U103" t="s">
        <v>272</v>
      </c>
      <c r="V103">
        <f t="shared" si="28"/>
        <v>34.387598328410562</v>
      </c>
      <c r="W103">
        <f t="shared" si="29"/>
        <v>31.587598328410561</v>
      </c>
    </row>
    <row r="104" spans="1:23" x14ac:dyDescent="0.3">
      <c r="A104" t="s">
        <v>169</v>
      </c>
      <c r="B104" t="s">
        <v>270</v>
      </c>
      <c r="C104" t="s">
        <v>268</v>
      </c>
      <c r="D104" t="s">
        <v>109</v>
      </c>
      <c r="E104" t="s">
        <v>172</v>
      </c>
      <c r="F104" t="s">
        <v>226</v>
      </c>
      <c r="G104" t="s">
        <v>227</v>
      </c>
      <c r="H104">
        <v>0.15140000000000001</v>
      </c>
      <c r="I104">
        <v>25.4</v>
      </c>
      <c r="J104">
        <v>0.31</v>
      </c>
      <c r="K104">
        <v>4.9689999999999998E-2</v>
      </c>
      <c r="L104">
        <v>0.23776</v>
      </c>
      <c r="M104">
        <f t="shared" si="30"/>
        <v>8.8213242675701783E-2</v>
      </c>
      <c r="N104">
        <f t="shared" si="31"/>
        <v>7.5901423068136381E-2</v>
      </c>
      <c r="O104">
        <f t="shared" si="24"/>
        <v>40.709728905379393</v>
      </c>
      <c r="P104">
        <f t="shared" si="25"/>
        <v>37.909728905379396</v>
      </c>
      <c r="Q104">
        <f t="shared" si="26"/>
        <v>52.66236734014916</v>
      </c>
      <c r="R104">
        <f t="shared" si="27"/>
        <v>-11.952638434769767</v>
      </c>
      <c r="S104">
        <v>0.5</v>
      </c>
      <c r="T104" t="s">
        <v>214</v>
      </c>
      <c r="U104" t="s">
        <v>273</v>
      </c>
      <c r="V104">
        <f t="shared" si="28"/>
        <v>30.821552204801268</v>
      </c>
      <c r="W104">
        <f t="shared" si="29"/>
        <v>28.021552204801267</v>
      </c>
    </row>
    <row r="105" spans="1:23" x14ac:dyDescent="0.3">
      <c r="A105" t="s">
        <v>169</v>
      </c>
      <c r="B105" t="s">
        <v>274</v>
      </c>
      <c r="C105" t="s">
        <v>264</v>
      </c>
      <c r="D105" t="s">
        <v>132</v>
      </c>
      <c r="E105" t="s">
        <v>172</v>
      </c>
      <c r="F105" t="s">
        <v>226</v>
      </c>
      <c r="G105" t="s">
        <v>227</v>
      </c>
      <c r="H105">
        <v>0.1512</v>
      </c>
      <c r="I105">
        <v>25.4</v>
      </c>
      <c r="J105">
        <v>0.35299999999999998</v>
      </c>
      <c r="K105">
        <v>9.2939999999999995E-2</v>
      </c>
      <c r="L105">
        <v>0.39249000000000001</v>
      </c>
      <c r="M105">
        <f t="shared" si="30"/>
        <v>0.1599184789073303</v>
      </c>
      <c r="N105">
        <f t="shared" si="31"/>
        <v>0.12480900095726709</v>
      </c>
      <c r="O105">
        <f t="shared" si="24"/>
        <v>37.970396616148079</v>
      </c>
      <c r="P105">
        <f t="shared" si="25"/>
        <v>36.030396616148082</v>
      </c>
      <c r="Q105">
        <f t="shared" si="26"/>
        <v>49.317245536735818</v>
      </c>
      <c r="R105">
        <f t="shared" si="27"/>
        <v>-11.346848920587739</v>
      </c>
      <c r="S105">
        <v>1.75</v>
      </c>
      <c r="T105" t="s">
        <v>214</v>
      </c>
      <c r="U105" t="s">
        <v>275</v>
      </c>
      <c r="V105">
        <f t="shared" si="28"/>
        <v>30.612170953181046</v>
      </c>
      <c r="W105">
        <f t="shared" si="29"/>
        <v>28.672170953181045</v>
      </c>
    </row>
    <row r="106" spans="1:23" x14ac:dyDescent="0.3">
      <c r="A106" t="s">
        <v>169</v>
      </c>
      <c r="B106" t="s">
        <v>274</v>
      </c>
      <c r="C106" t="s">
        <v>266</v>
      </c>
      <c r="D106" t="s">
        <v>132</v>
      </c>
      <c r="E106" t="s">
        <v>172</v>
      </c>
      <c r="F106" t="s">
        <v>226</v>
      </c>
      <c r="G106" t="s">
        <v>227</v>
      </c>
      <c r="H106">
        <v>0.1512</v>
      </c>
      <c r="I106">
        <v>25.4</v>
      </c>
      <c r="J106">
        <v>0.35399999999999998</v>
      </c>
      <c r="K106">
        <v>3.4049999999999997E-2</v>
      </c>
      <c r="L106">
        <v>0.1296699999999999</v>
      </c>
      <c r="M106">
        <f t="shared" si="30"/>
        <v>5.6992069642837775E-2</v>
      </c>
      <c r="N106">
        <f t="shared" si="31"/>
        <v>4.0833590826075128E-2</v>
      </c>
      <c r="O106">
        <f t="shared" si="24"/>
        <v>35.620782694190986</v>
      </c>
      <c r="P106">
        <f t="shared" si="25"/>
        <v>33.700782694190984</v>
      </c>
      <c r="Q106">
        <f t="shared" si="26"/>
        <v>53.614319819675998</v>
      </c>
      <c r="R106">
        <f t="shared" si="27"/>
        <v>-17.993537125485012</v>
      </c>
      <c r="S106">
        <v>1.25</v>
      </c>
      <c r="T106" t="s">
        <v>214</v>
      </c>
      <c r="U106" t="s">
        <v>276</v>
      </c>
      <c r="V106">
        <f t="shared" si="28"/>
        <v>24.952601231421617</v>
      </c>
      <c r="W106">
        <f t="shared" si="29"/>
        <v>23.032601231421616</v>
      </c>
    </row>
    <row r="107" spans="1:23" x14ac:dyDescent="0.3">
      <c r="A107" t="s">
        <v>169</v>
      </c>
      <c r="B107" t="s">
        <v>274</v>
      </c>
      <c r="C107" t="s">
        <v>268</v>
      </c>
      <c r="D107" t="s">
        <v>132</v>
      </c>
      <c r="E107" t="s">
        <v>172</v>
      </c>
      <c r="F107" t="s">
        <v>226</v>
      </c>
      <c r="G107" t="s">
        <v>227</v>
      </c>
      <c r="H107">
        <v>0.15129999999999999</v>
      </c>
      <c r="I107">
        <v>25.4</v>
      </c>
      <c r="J107">
        <v>0.35499999999999998</v>
      </c>
      <c r="K107">
        <v>3.4729999999999997E-2</v>
      </c>
      <c r="L107">
        <v>8.0459999999999907E-2</v>
      </c>
      <c r="M107">
        <f t="shared" si="30"/>
        <v>4.9717669654377822E-2</v>
      </c>
      <c r="N107">
        <f t="shared" si="31"/>
        <v>2.1465225170632117E-2</v>
      </c>
      <c r="O107">
        <f t="shared" si="24"/>
        <v>23.351904347843259</v>
      </c>
      <c r="P107">
        <f t="shared" si="25"/>
        <v>21.451904347843257</v>
      </c>
      <c r="Q107">
        <f t="shared" si="26"/>
        <v>54.153908536235441</v>
      </c>
      <c r="R107">
        <f t="shared" si="27"/>
        <v>-30.802004188392182</v>
      </c>
      <c r="S107">
        <v>0.75</v>
      </c>
      <c r="T107" t="s">
        <v>214</v>
      </c>
      <c r="U107" t="s">
        <v>277</v>
      </c>
      <c r="V107">
        <f t="shared" si="28"/>
        <v>15.360310995214665</v>
      </c>
      <c r="W107">
        <f t="shared" si="29"/>
        <v>13.460310995214664</v>
      </c>
    </row>
    <row r="108" spans="1:23" x14ac:dyDescent="0.3">
      <c r="A108" t="s">
        <v>169</v>
      </c>
      <c r="B108" t="s">
        <v>278</v>
      </c>
      <c r="C108" t="s">
        <v>264</v>
      </c>
      <c r="D108" t="s">
        <v>191</v>
      </c>
      <c r="E108" t="s">
        <v>172</v>
      </c>
      <c r="F108" t="s">
        <v>226</v>
      </c>
      <c r="G108" t="s">
        <v>227</v>
      </c>
      <c r="H108">
        <v>0.1515</v>
      </c>
      <c r="I108">
        <v>25.4</v>
      </c>
      <c r="J108">
        <v>0.41899999999999998</v>
      </c>
      <c r="K108">
        <v>0.21820999999999999</v>
      </c>
      <c r="L108">
        <v>1.0956900000000001</v>
      </c>
      <c r="M108">
        <f t="shared" si="30"/>
        <v>0.39184458632469238</v>
      </c>
      <c r="N108">
        <f t="shared" si="31"/>
        <v>0.34958819665435503</v>
      </c>
      <c r="O108">
        <f t="shared" si="24"/>
        <v>41.738077236356624</v>
      </c>
      <c r="P108">
        <f t="shared" si="25"/>
        <v>41.118077236356626</v>
      </c>
      <c r="Q108">
        <f t="shared" si="26"/>
        <v>44.147885050741145</v>
      </c>
      <c r="R108">
        <f t="shared" si="27"/>
        <v>-2.4098078143845214</v>
      </c>
      <c r="S108">
        <v>1.25</v>
      </c>
      <c r="T108" t="s">
        <v>214</v>
      </c>
      <c r="U108" t="s">
        <v>279</v>
      </c>
      <c r="V108">
        <f t="shared" si="28"/>
        <v>37.728863291806086</v>
      </c>
      <c r="W108">
        <f t="shared" si="29"/>
        <v>37.108863291806088</v>
      </c>
    </row>
    <row r="109" spans="1:23" x14ac:dyDescent="0.3">
      <c r="A109" t="s">
        <v>169</v>
      </c>
      <c r="B109" t="s">
        <v>278</v>
      </c>
      <c r="C109" t="s">
        <v>266</v>
      </c>
      <c r="D109" t="s">
        <v>191</v>
      </c>
      <c r="E109" t="s">
        <v>172</v>
      </c>
      <c r="F109" t="s">
        <v>226</v>
      </c>
      <c r="G109" t="s">
        <v>227</v>
      </c>
      <c r="H109">
        <v>0.1515</v>
      </c>
      <c r="I109">
        <v>25.4</v>
      </c>
      <c r="J109">
        <v>0.41799999999999998</v>
      </c>
      <c r="K109">
        <v>0.13197999999999999</v>
      </c>
      <c r="L109">
        <v>0.61809999999999998</v>
      </c>
      <c r="M109">
        <f t="shared" si="30"/>
        <v>0.2330840399743476</v>
      </c>
      <c r="N109">
        <f t="shared" si="31"/>
        <v>0.19729842628159855</v>
      </c>
      <c r="O109">
        <f t="shared" si="24"/>
        <v>40.246881263392346</v>
      </c>
      <c r="P109">
        <f t="shared" si="25"/>
        <v>39.606881263392346</v>
      </c>
      <c r="Q109">
        <f t="shared" si="26"/>
        <v>46.399739872675468</v>
      </c>
      <c r="R109">
        <f t="shared" si="27"/>
        <v>-6.1528586092831219</v>
      </c>
      <c r="S109">
        <v>1</v>
      </c>
      <c r="T109" t="s">
        <v>214</v>
      </c>
      <c r="U109" t="s">
        <v>280</v>
      </c>
      <c r="V109">
        <f t="shared" si="28"/>
        <v>34.178146198723269</v>
      </c>
      <c r="W109">
        <f t="shared" si="29"/>
        <v>33.538146198723268</v>
      </c>
    </row>
    <row r="110" spans="1:23" x14ac:dyDescent="0.3">
      <c r="A110" t="s">
        <v>169</v>
      </c>
      <c r="B110" t="s">
        <v>278</v>
      </c>
      <c r="C110" t="s">
        <v>268</v>
      </c>
      <c r="D110" t="s">
        <v>191</v>
      </c>
      <c r="E110" t="s">
        <v>172</v>
      </c>
      <c r="F110" t="s">
        <v>226</v>
      </c>
      <c r="G110" t="s">
        <v>227</v>
      </c>
      <c r="H110">
        <v>0.1515</v>
      </c>
      <c r="I110">
        <v>25.4</v>
      </c>
      <c r="J110">
        <v>0.43099999999999999</v>
      </c>
      <c r="K110">
        <v>0.11328000000000001</v>
      </c>
      <c r="L110">
        <v>0.54798999999999998</v>
      </c>
      <c r="M110">
        <f t="shared" si="30"/>
        <v>0.20163174029203809</v>
      </c>
      <c r="N110">
        <f t="shared" si="31"/>
        <v>0.1749324298399817</v>
      </c>
      <c r="O110">
        <f t="shared" si="24"/>
        <v>40.944377643408252</v>
      </c>
      <c r="P110">
        <f t="shared" si="25"/>
        <v>40.56437764340825</v>
      </c>
      <c r="Q110">
        <f t="shared" si="26"/>
        <v>46.758051961449787</v>
      </c>
      <c r="R110">
        <f t="shared" si="27"/>
        <v>-5.8136743180415351</v>
      </c>
      <c r="S110">
        <v>1</v>
      </c>
      <c r="T110" t="s">
        <v>214</v>
      </c>
      <c r="U110" t="s">
        <v>281</v>
      </c>
      <c r="V110">
        <f t="shared" si="28"/>
        <v>34.255276650263546</v>
      </c>
      <c r="W110">
        <f t="shared" si="29"/>
        <v>33.875276650263544</v>
      </c>
    </row>
    <row r="111" spans="1:23" x14ac:dyDescent="0.3">
      <c r="A111" t="s">
        <v>106</v>
      </c>
      <c r="B111" t="s">
        <v>282</v>
      </c>
      <c r="C111" t="s">
        <v>283</v>
      </c>
      <c r="D111" t="s">
        <v>109</v>
      </c>
      <c r="E111" t="s">
        <v>284</v>
      </c>
      <c r="F111" t="s">
        <v>226</v>
      </c>
      <c r="G111" t="s">
        <v>285</v>
      </c>
      <c r="H111">
        <v>0.14649999999999999</v>
      </c>
      <c r="I111">
        <v>25.4</v>
      </c>
      <c r="J111">
        <v>0.23899999999999999</v>
      </c>
      <c r="K111">
        <v>0.35</v>
      </c>
      <c r="L111">
        <v>1.7704</v>
      </c>
      <c r="M111">
        <f t="shared" si="30"/>
        <v>0.62958198959350375</v>
      </c>
      <c r="N111">
        <f t="shared" si="31"/>
        <v>0.56475850512723624</v>
      </c>
      <c r="O111">
        <f t="shared" si="24"/>
        <v>41.893288414472138</v>
      </c>
      <c r="P111">
        <f t="shared" si="25"/>
        <v>37.67328841447214</v>
      </c>
      <c r="Q111">
        <f t="shared" si="26"/>
        <v>45.733747514475979</v>
      </c>
      <c r="R111">
        <f t="shared" si="27"/>
        <v>-3.8404591000038408</v>
      </c>
      <c r="S111">
        <v>20</v>
      </c>
      <c r="T111" t="s">
        <v>87</v>
      </c>
      <c r="U111" t="s">
        <v>286</v>
      </c>
      <c r="V111">
        <f t="shared" si="28"/>
        <v>39.870996860219961</v>
      </c>
      <c r="W111">
        <f t="shared" si="29"/>
        <v>35.650996860219962</v>
      </c>
    </row>
    <row r="112" spans="1:23" x14ac:dyDescent="0.3">
      <c r="A112" t="s">
        <v>106</v>
      </c>
      <c r="B112" t="s">
        <v>282</v>
      </c>
      <c r="C112" t="s">
        <v>287</v>
      </c>
      <c r="D112" t="s">
        <v>109</v>
      </c>
      <c r="E112" t="s">
        <v>284</v>
      </c>
      <c r="F112" t="s">
        <v>226</v>
      </c>
      <c r="G112" t="s">
        <v>285</v>
      </c>
      <c r="H112">
        <v>0.1</v>
      </c>
      <c r="I112">
        <v>25.4</v>
      </c>
      <c r="J112">
        <v>0.23899999999999999</v>
      </c>
      <c r="K112">
        <v>0.35</v>
      </c>
      <c r="L112">
        <v>1.63</v>
      </c>
      <c r="M112">
        <f t="shared" si="30"/>
        <v>0.61727404479548753</v>
      </c>
      <c r="N112">
        <f t="shared" si="31"/>
        <v>0.52026470408522196</v>
      </c>
      <c r="O112">
        <f t="shared" si="24"/>
        <v>40.125607906938328</v>
      </c>
      <c r="P112">
        <f t="shared" si="25"/>
        <v>35.905607906938329</v>
      </c>
      <c r="Q112">
        <f t="shared" si="26"/>
        <v>45.818555677733848</v>
      </c>
      <c r="R112">
        <f t="shared" si="27"/>
        <v>-5.6929477707955201</v>
      </c>
      <c r="S112">
        <v>1.68</v>
      </c>
      <c r="T112" t="s">
        <v>87</v>
      </c>
      <c r="U112" t="s">
        <v>288</v>
      </c>
      <c r="V112">
        <f t="shared" si="28"/>
        <v>38.042686196083167</v>
      </c>
      <c r="W112">
        <f t="shared" si="29"/>
        <v>33.822686196083168</v>
      </c>
    </row>
    <row r="113" spans="1:23" x14ac:dyDescent="0.3">
      <c r="A113" t="s">
        <v>106</v>
      </c>
      <c r="B113" t="s">
        <v>282</v>
      </c>
      <c r="C113" t="s">
        <v>289</v>
      </c>
      <c r="D113" t="s">
        <v>109</v>
      </c>
      <c r="E113" t="s">
        <v>284</v>
      </c>
      <c r="F113" t="s">
        <v>226</v>
      </c>
      <c r="G113" t="s">
        <v>285</v>
      </c>
      <c r="H113">
        <v>0.1</v>
      </c>
      <c r="I113">
        <v>25.4</v>
      </c>
      <c r="J113">
        <v>0.23899999999999999</v>
      </c>
      <c r="K113">
        <v>0.35</v>
      </c>
      <c r="L113">
        <v>1.5605</v>
      </c>
      <c r="M113">
        <f t="shared" si="30"/>
        <v>0.61063632167694049</v>
      </c>
      <c r="N113">
        <f t="shared" si="31"/>
        <v>0.49756303642116645</v>
      </c>
      <c r="O113">
        <f t="shared" si="24"/>
        <v>39.17408174634857</v>
      </c>
      <c r="P113">
        <f t="shared" si="25"/>
        <v>34.954081746348571</v>
      </c>
      <c r="Q113">
        <f t="shared" si="26"/>
        <v>45.8649946961187</v>
      </c>
      <c r="R113">
        <f t="shared" si="27"/>
        <v>-6.6909129497701301</v>
      </c>
      <c r="S113">
        <v>7.37</v>
      </c>
      <c r="T113" t="s">
        <v>87</v>
      </c>
      <c r="U113" t="s">
        <v>290</v>
      </c>
      <c r="V113">
        <f t="shared" si="28"/>
        <v>37.061972540002557</v>
      </c>
      <c r="W113">
        <f t="shared" si="29"/>
        <v>32.841972540002558</v>
      </c>
    </row>
    <row r="114" spans="1:23" x14ac:dyDescent="0.3">
      <c r="A114" t="s">
        <v>106</v>
      </c>
      <c r="B114" t="s">
        <v>291</v>
      </c>
      <c r="C114" t="s">
        <v>292</v>
      </c>
      <c r="D114" t="s">
        <v>84</v>
      </c>
      <c r="E114" t="s">
        <v>284</v>
      </c>
      <c r="F114" t="s">
        <v>226</v>
      </c>
      <c r="G114" t="s">
        <v>285</v>
      </c>
      <c r="H114">
        <v>0.1</v>
      </c>
      <c r="I114">
        <v>25.4</v>
      </c>
      <c r="J114">
        <v>0.20499999999999999</v>
      </c>
      <c r="K114">
        <v>0.35</v>
      </c>
      <c r="L114">
        <v>1.5952999999999999</v>
      </c>
      <c r="M114">
        <f t="shared" si="30"/>
        <v>0.61400853123683785</v>
      </c>
      <c r="N114">
        <f t="shared" si="31"/>
        <v>0.50898852578756792</v>
      </c>
      <c r="O114">
        <f t="shared" si="24"/>
        <v>39.657373967043604</v>
      </c>
      <c r="P114">
        <f t="shared" si="25"/>
        <v>34.757373967043605</v>
      </c>
      <c r="Q114">
        <f t="shared" si="26"/>
        <v>46.521150768230875</v>
      </c>
      <c r="R114">
        <f t="shared" si="27"/>
        <v>-6.8637768011872708</v>
      </c>
      <c r="S114">
        <v>4.8899999999999997</v>
      </c>
      <c r="T114" t="s">
        <v>87</v>
      </c>
      <c r="U114" t="s">
        <v>293</v>
      </c>
      <c r="V114">
        <f t="shared" si="28"/>
        <v>37.559773679814768</v>
      </c>
      <c r="W114">
        <f t="shared" si="29"/>
        <v>32.659773679814769</v>
      </c>
    </row>
    <row r="115" spans="1:23" x14ac:dyDescent="0.3">
      <c r="A115" t="s">
        <v>106</v>
      </c>
      <c r="B115" t="s">
        <v>291</v>
      </c>
      <c r="C115" t="s">
        <v>294</v>
      </c>
      <c r="D115" t="s">
        <v>84</v>
      </c>
      <c r="E115" t="s">
        <v>284</v>
      </c>
      <c r="F115" t="s">
        <v>226</v>
      </c>
      <c r="G115" t="s">
        <v>285</v>
      </c>
      <c r="H115">
        <v>0.14649999999999999</v>
      </c>
      <c r="I115">
        <v>25.4</v>
      </c>
      <c r="J115">
        <v>0.20499999999999999</v>
      </c>
      <c r="K115">
        <v>0.35</v>
      </c>
      <c r="L115">
        <v>1.9258999999999999</v>
      </c>
      <c r="M115">
        <f t="shared" si="30"/>
        <v>0.64173301654221004</v>
      </c>
      <c r="N115">
        <f t="shared" si="31"/>
        <v>0.61207344970032085</v>
      </c>
      <c r="O115">
        <f t="shared" si="24"/>
        <v>43.644885656417749</v>
      </c>
      <c r="P115">
        <f t="shared" si="25"/>
        <v>38.74488565641775</v>
      </c>
      <c r="Q115">
        <f t="shared" si="26"/>
        <v>46.331607500607866</v>
      </c>
      <c r="R115">
        <f t="shared" si="27"/>
        <v>-2.6867218441901173</v>
      </c>
      <c r="T115" t="s">
        <v>87</v>
      </c>
      <c r="U115" t="s">
        <v>295</v>
      </c>
      <c r="V115">
        <f t="shared" si="28"/>
        <v>41.690107950792012</v>
      </c>
      <c r="W115">
        <f t="shared" si="29"/>
        <v>36.790107950792013</v>
      </c>
    </row>
    <row r="116" spans="1:23" x14ac:dyDescent="0.3">
      <c r="A116" t="s">
        <v>106</v>
      </c>
      <c r="B116" t="s">
        <v>291</v>
      </c>
      <c r="C116" t="s">
        <v>296</v>
      </c>
      <c r="D116" t="s">
        <v>84</v>
      </c>
      <c r="E116" t="s">
        <v>284</v>
      </c>
      <c r="F116" t="s">
        <v>226</v>
      </c>
      <c r="G116" t="s">
        <v>285</v>
      </c>
      <c r="H116">
        <v>0.14649999999999999</v>
      </c>
      <c r="I116">
        <v>25.4</v>
      </c>
      <c r="J116">
        <v>0.20499999999999999</v>
      </c>
      <c r="K116">
        <v>0.35</v>
      </c>
      <c r="L116">
        <v>1.9005000000000001</v>
      </c>
      <c r="M116">
        <f t="shared" si="30"/>
        <v>0.63984356682501797</v>
      </c>
      <c r="N116">
        <f t="shared" si="31"/>
        <v>0.60447759026480186</v>
      </c>
      <c r="O116">
        <f t="shared" si="24"/>
        <v>43.371983129807916</v>
      </c>
      <c r="P116">
        <f t="shared" si="25"/>
        <v>38.471983129807917</v>
      </c>
      <c r="Q116">
        <f t="shared" si="26"/>
        <v>46.344264512117334</v>
      </c>
      <c r="R116">
        <f t="shared" si="27"/>
        <v>-2.9722813823094185</v>
      </c>
      <c r="T116" t="s">
        <v>87</v>
      </c>
      <c r="U116" t="s">
        <v>297</v>
      </c>
      <c r="V116">
        <f t="shared" si="28"/>
        <v>41.406237632454548</v>
      </c>
      <c r="W116">
        <f t="shared" si="29"/>
        <v>36.50623763245455</v>
      </c>
    </row>
    <row r="117" spans="1:23" x14ac:dyDescent="0.3">
      <c r="A117" t="s">
        <v>106</v>
      </c>
      <c r="B117" t="s">
        <v>298</v>
      </c>
      <c r="C117" t="s">
        <v>299</v>
      </c>
      <c r="D117" t="s">
        <v>84</v>
      </c>
      <c r="E117" t="s">
        <v>85</v>
      </c>
      <c r="F117" t="s">
        <v>226</v>
      </c>
      <c r="G117" t="s">
        <v>300</v>
      </c>
      <c r="H117">
        <v>1</v>
      </c>
      <c r="I117">
        <v>177.8</v>
      </c>
      <c r="J117">
        <v>0.31219629629629631</v>
      </c>
      <c r="K117">
        <v>0.49030000000000001</v>
      </c>
      <c r="L117">
        <v>2.2711999999999999</v>
      </c>
      <c r="M117">
        <f t="shared" si="30"/>
        <v>0.86357733521236113</v>
      </c>
      <c r="N117">
        <f t="shared" si="31"/>
        <v>0.72486801370763532</v>
      </c>
      <c r="O117">
        <f t="shared" si="24"/>
        <v>40.009365861992819</v>
      </c>
      <c r="P117">
        <f t="shared" si="25"/>
        <v>37.253291787918748</v>
      </c>
      <c r="Q117">
        <f t="shared" si="26"/>
        <v>42.90984486545743</v>
      </c>
      <c r="R117">
        <f t="shared" si="27"/>
        <v>-2.9004790034646106</v>
      </c>
      <c r="S117">
        <v>17.27</v>
      </c>
      <c r="T117" t="s">
        <v>87</v>
      </c>
      <c r="U117" t="s">
        <v>301</v>
      </c>
      <c r="V117">
        <f t="shared" si="28"/>
        <v>39.335427815608604</v>
      </c>
      <c r="W117">
        <f t="shared" si="29"/>
        <v>36.579353741534533</v>
      </c>
    </row>
    <row r="118" spans="1:23" x14ac:dyDescent="0.3">
      <c r="A118" t="s">
        <v>106</v>
      </c>
      <c r="B118" t="s">
        <v>298</v>
      </c>
      <c r="C118" t="s">
        <v>302</v>
      </c>
      <c r="D118" t="s">
        <v>84</v>
      </c>
      <c r="E118" t="s">
        <v>117</v>
      </c>
      <c r="F118" t="s">
        <v>226</v>
      </c>
      <c r="G118" t="s">
        <v>300</v>
      </c>
      <c r="H118">
        <v>1</v>
      </c>
      <c r="I118">
        <v>177.8</v>
      </c>
      <c r="J118">
        <v>0.31219629629629631</v>
      </c>
      <c r="K118">
        <v>0.49030000000000001</v>
      </c>
      <c r="L118">
        <v>2.1928000000000001</v>
      </c>
      <c r="M118">
        <f t="shared" si="30"/>
        <v>0.8560779364979787</v>
      </c>
      <c r="N118">
        <f t="shared" si="31"/>
        <v>0.69924490563685149</v>
      </c>
      <c r="O118">
        <f t="shared" si="24"/>
        <v>39.241967661627619</v>
      </c>
      <c r="P118">
        <f t="shared" si="25"/>
        <v>36.485893587553548</v>
      </c>
      <c r="Q118">
        <f t="shared" si="26"/>
        <v>42.947227106793612</v>
      </c>
      <c r="R118">
        <f t="shared" si="27"/>
        <v>-3.7052594451659928</v>
      </c>
      <c r="S118">
        <v>18.260000000000002</v>
      </c>
      <c r="T118" t="s">
        <v>87</v>
      </c>
      <c r="U118" t="s">
        <v>303</v>
      </c>
      <c r="V118">
        <f t="shared" si="28"/>
        <v>38.53512329494049</v>
      </c>
      <c r="W118">
        <f t="shared" si="29"/>
        <v>35.779049220866419</v>
      </c>
    </row>
    <row r="119" spans="1:23" x14ac:dyDescent="0.3">
      <c r="A119" t="s">
        <v>106</v>
      </c>
      <c r="B119" t="s">
        <v>298</v>
      </c>
      <c r="C119" t="s">
        <v>304</v>
      </c>
      <c r="D119" t="s">
        <v>84</v>
      </c>
      <c r="E119" t="s">
        <v>117</v>
      </c>
      <c r="F119" t="s">
        <v>226</v>
      </c>
      <c r="G119" t="s">
        <v>300</v>
      </c>
      <c r="H119">
        <v>1</v>
      </c>
      <c r="I119">
        <v>177.8</v>
      </c>
      <c r="J119">
        <v>0.31219629629629631</v>
      </c>
      <c r="K119">
        <v>0.98070000000000002</v>
      </c>
      <c r="L119">
        <v>3.8972000000000002</v>
      </c>
      <c r="M119">
        <f t="shared" si="30"/>
        <v>1.6605833688704599</v>
      </c>
      <c r="N119">
        <f t="shared" si="31"/>
        <v>1.2331416990938429</v>
      </c>
      <c r="O119">
        <f t="shared" si="24"/>
        <v>36.597412571470919</v>
      </c>
      <c r="P119">
        <f t="shared" si="25"/>
        <v>33.841338497396848</v>
      </c>
      <c r="Q119">
        <f t="shared" si="26"/>
        <v>40.122057226065394</v>
      </c>
      <c r="R119">
        <f t="shared" si="27"/>
        <v>-3.524644654594475</v>
      </c>
      <c r="S119">
        <v>18</v>
      </c>
      <c r="T119" t="s">
        <v>87</v>
      </c>
      <c r="U119" t="s">
        <v>305</v>
      </c>
      <c r="V119">
        <f t="shared" si="28"/>
        <v>38.650798736423177</v>
      </c>
      <c r="W119">
        <f t="shared" si="29"/>
        <v>35.894724662349105</v>
      </c>
    </row>
    <row r="120" spans="1:23" x14ac:dyDescent="0.3">
      <c r="A120" t="s">
        <v>106</v>
      </c>
      <c r="B120" t="s">
        <v>298</v>
      </c>
      <c r="C120" t="s">
        <v>306</v>
      </c>
      <c r="D120" t="s">
        <v>84</v>
      </c>
      <c r="E120" t="s">
        <v>85</v>
      </c>
      <c r="F120" t="s">
        <v>226</v>
      </c>
      <c r="G120" t="s">
        <v>300</v>
      </c>
      <c r="H120">
        <v>1</v>
      </c>
      <c r="I120">
        <v>177.8</v>
      </c>
      <c r="J120">
        <v>0.31219629629629631</v>
      </c>
      <c r="K120">
        <v>1.9613</v>
      </c>
      <c r="L120">
        <v>7.7786</v>
      </c>
      <c r="M120">
        <f t="shared" si="30"/>
        <v>3.3192324716848014</v>
      </c>
      <c r="N120">
        <f t="shared" si="31"/>
        <v>2.4607966128625907</v>
      </c>
      <c r="O120">
        <f t="shared" si="24"/>
        <v>36.552320502935075</v>
      </c>
      <c r="P120">
        <f t="shared" si="25"/>
        <v>33.796246428861004</v>
      </c>
      <c r="Q120">
        <f t="shared" si="26"/>
        <v>37.219682789473438</v>
      </c>
      <c r="R120">
        <f t="shared" si="27"/>
        <v>-0.66736228653836349</v>
      </c>
      <c r="S120">
        <v>19.59</v>
      </c>
      <c r="T120" t="s">
        <v>87</v>
      </c>
      <c r="U120" t="s">
        <v>307</v>
      </c>
      <c r="V120">
        <f t="shared" si="28"/>
        <v>41.535610216910307</v>
      </c>
      <c r="W120">
        <f t="shared" si="29"/>
        <v>38.779536142836236</v>
      </c>
    </row>
    <row r="121" spans="1:23" x14ac:dyDescent="0.3">
      <c r="A121" t="s">
        <v>106</v>
      </c>
      <c r="B121" t="s">
        <v>298</v>
      </c>
      <c r="C121" t="s">
        <v>308</v>
      </c>
      <c r="D121" t="s">
        <v>84</v>
      </c>
      <c r="E121" t="s">
        <v>117</v>
      </c>
      <c r="F121" t="s">
        <v>226</v>
      </c>
      <c r="G121" t="s">
        <v>300</v>
      </c>
      <c r="H121">
        <v>1</v>
      </c>
      <c r="I121">
        <v>177.8</v>
      </c>
      <c r="J121">
        <v>0.31219629629629631</v>
      </c>
      <c r="K121">
        <v>1.9613</v>
      </c>
      <c r="L121">
        <v>8.2904999999999998</v>
      </c>
      <c r="M121">
        <f t="shared" si="30"/>
        <v>3.3755654561525059</v>
      </c>
      <c r="N121">
        <f t="shared" si="31"/>
        <v>2.6364791189414314</v>
      </c>
      <c r="O121">
        <f t="shared" si="24"/>
        <v>37.991549605192922</v>
      </c>
      <c r="P121">
        <f t="shared" si="25"/>
        <v>35.235475531118851</v>
      </c>
      <c r="Q121">
        <f t="shared" si="26"/>
        <v>37.150038621306834</v>
      </c>
      <c r="R121">
        <f t="shared" si="27"/>
        <v>0.84151098388608858</v>
      </c>
      <c r="S121">
        <v>17.78</v>
      </c>
      <c r="T121" t="s">
        <v>87</v>
      </c>
      <c r="U121" t="s">
        <v>309</v>
      </c>
      <c r="V121">
        <f t="shared" si="28"/>
        <v>43.094274144814442</v>
      </c>
      <c r="W121">
        <f t="shared" si="29"/>
        <v>40.338200070740371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9" customWidth="1"/>
    <col min="2" max="2" width="30" customWidth="1"/>
    <col min="3" max="20" width="11" customWidth="1"/>
  </cols>
  <sheetData>
    <row r="1" spans="1:20" ht="43.2" x14ac:dyDescent="0.3">
      <c r="A1" s="1" t="s">
        <v>70</v>
      </c>
      <c r="B1" s="1" t="s">
        <v>310</v>
      </c>
      <c r="C1" s="1" t="s">
        <v>311</v>
      </c>
      <c r="D1" s="1" t="s">
        <v>312</v>
      </c>
      <c r="E1" s="1" t="s">
        <v>313</v>
      </c>
      <c r="F1" s="1" t="s">
        <v>314</v>
      </c>
      <c r="G1" s="1" t="s">
        <v>315</v>
      </c>
      <c r="H1" s="1" t="s">
        <v>316</v>
      </c>
      <c r="I1" s="1" t="s">
        <v>317</v>
      </c>
      <c r="J1" s="1" t="s">
        <v>318</v>
      </c>
      <c r="K1" s="1" t="s">
        <v>319</v>
      </c>
      <c r="L1" s="1" t="s">
        <v>320</v>
      </c>
      <c r="M1" s="1" t="s">
        <v>321</v>
      </c>
      <c r="N1" s="1" t="s">
        <v>322</v>
      </c>
      <c r="O1" s="1" t="s">
        <v>323</v>
      </c>
      <c r="P1" s="1" t="s">
        <v>324</v>
      </c>
      <c r="Q1" s="1" t="s">
        <v>325</v>
      </c>
      <c r="R1" s="1" t="s">
        <v>326</v>
      </c>
      <c r="S1" s="1" t="s">
        <v>327</v>
      </c>
      <c r="T1" s="1" t="s">
        <v>328</v>
      </c>
    </row>
    <row r="2" spans="1:20" x14ac:dyDescent="0.3">
      <c r="A2">
        <v>0.01</v>
      </c>
      <c r="B2" t="s">
        <v>329</v>
      </c>
      <c r="C2">
        <f t="shared" ref="C2:C30" si="0">TAN(RADIANS(pe0-omega*e_base))*sref^(1-m_)*A2^m_</f>
        <v>1.6462277125683621E-2</v>
      </c>
      <c r="D2">
        <f t="shared" ref="D2:D30" si="1">DEGREES(ATAN(C2/A2))</f>
        <v>58.723437914155284</v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MIN(DEGREES(ATAN(TAN(RADIANS(Parametros!$E$12-omega*e_base))*(A2/sref)^(Parametros!$B$12-1))),DEGREES(ATAN(TAN(RADIANS(Parametros!$E$13-omega*e_base))*(A2/sref)^(Parametros!$B$13-1))),DEGREES(ATAN(TAN(RADIANS(Parametros!$E$14-omega*e_base))*(A2/sref)^(Parametros!$B$14-1))))</f>
        <v>55.444181003730328</v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MAX(DEGREES(ATAN(TAN(RADIANS(Parametros!$F$12-omega*e_base))*(A2/sref)^(Parametros!$B$12-1))),DEGREES(ATAN(TAN(RADIANS(Parametros!$F$13-omega*e_base))*(A2/sref)^(Parametros!$B$13-1))),DEGREES(ATAN(TAN(RADIANS(Parametros!$F$14-omega*e_base))*(A2/sref)^(Parametros!$B$14-1))))</f>
        <v>62.405854196240561</v>
      </c>
      <c r="G2">
        <f t="shared" ref="G2:G30" si="2">A2*TAN(RADIANS(E2))</f>
        <v>1.4519766160591118E-2</v>
      </c>
      <c r="H2">
        <f t="shared" ref="H2:H30" si="3">A2*TAN(RADIANS(F2))</f>
        <v>1.9132996928169454E-2</v>
      </c>
      <c r="I2">
        <f t="shared" ref="I2:I30" si="4">TAN(RADIANS(pe0-omega*0.55))*sref^(1-m_)*A2^m_</f>
        <v>1.5323517974842644E-2</v>
      </c>
      <c r="J2">
        <f t="shared" ref="J2:J30" si="5">TAN(RADIANS(pe0-omega*0.65))*sref^(1-m_)*A2^m_</f>
        <v>1.4244132072771826E-2</v>
      </c>
      <c r="K2">
        <f t="shared" ref="K2:K30" si="6">IF(MAX(A2,sv_piso)&lt;=1,e_base-cc_bajo*LOG10(MAX(A2,sv_piso)/sv_piso),e_base-cc_bajo*LOG10(1/sv_piso)-cc_alto*LOG10(A2))</f>
        <v>0.45</v>
      </c>
      <c r="L2">
        <f t="shared" ref="L2:L30" si="7">TAN(RADIANS(pe0-omega*K2))*sref^(1-m_)*A2^m_</f>
        <v>1.6462277125683621E-2</v>
      </c>
      <c r="M2">
        <v>0.44940000000000002</v>
      </c>
      <c r="N2">
        <f t="shared" ref="N2:N28" si="8">TAN(RADIANS(pe0-omega*M2))*sref^(1-m_)*A2^m_</f>
        <v>1.6469304516245158E-2</v>
      </c>
      <c r="O2">
        <f t="shared" ref="O2:O30" si="9">DEGREES(ATAN(TAN(RADIANS(33))*(A2/sref)^(0.9-1)))</f>
        <v>45.862569739207331</v>
      </c>
      <c r="P2">
        <f t="shared" ref="P2:P30" si="10">DEGREES(ATAN(1.446*(A2*1000)^0.898/(A2*1000)))</f>
        <v>48.825604102820051</v>
      </c>
      <c r="Q2">
        <f t="shared" ref="Q2:Q30" si="11">A2*TAN(RADIANS(O2))</f>
        <v>1.0305719242281804E-2</v>
      </c>
      <c r="R2">
        <f t="shared" ref="R2:R30" si="12">A2*TAN(RADIANS(P2))</f>
        <v>1.1433212960877473E-2</v>
      </c>
      <c r="S2">
        <f t="shared" ref="S2:S30" si="13">A2*TAN(RADIANS(37))</f>
        <v>7.5355405010279425E-3</v>
      </c>
    </row>
    <row r="3" spans="1:20" x14ac:dyDescent="0.3">
      <c r="A3">
        <v>0.02</v>
      </c>
      <c r="B3" t="s">
        <v>329</v>
      </c>
      <c r="C3">
        <f t="shared" si="0"/>
        <v>2.9673269750300092E-2</v>
      </c>
      <c r="D3">
        <f t="shared" si="1"/>
        <v>56.019742860723511</v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MIN(DEGREES(ATAN(TAN(RADIANS(Parametros!$E$12-omega*e_base))*(A3/sref)^(Parametros!$B$12-1))),DEGREES(ATAN(TAN(RADIANS(Parametros!$E$13-omega*e_base))*(A3/sref)^(Parametros!$B$13-1))),DEGREES(ATAN(TAN(RADIANS(Parametros!$E$14-omega*e_base))*(A3/sref)^(Parametros!$B$14-1))))</f>
        <v>52.843378163970819</v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MAX(DEGREES(ATAN(TAN(RADIANS(Parametros!$F$12-omega*e_base))*(A3/sref)^(Parametros!$B$12-1))),DEGREES(ATAN(TAN(RADIANS(Parametros!$F$13-omega*e_base))*(A3/sref)^(Parametros!$B$13-1))),DEGREES(ATAN(TAN(RADIANS(Parametros!$F$14-omega*e_base))*(A3/sref)^(Parametros!$B$14-1))))</f>
        <v>59.612984805291738</v>
      </c>
      <c r="G3">
        <f t="shared" si="2"/>
        <v>2.6390491485389928E-2</v>
      </c>
      <c r="H3">
        <f t="shared" si="3"/>
        <v>3.4106881960083893E-2</v>
      </c>
      <c r="I3">
        <f t="shared" si="4"/>
        <v>2.7620655327304601E-2</v>
      </c>
      <c r="J3">
        <f t="shared" si="5"/>
        <v>2.5675061240150735E-2</v>
      </c>
      <c r="K3">
        <f t="shared" si="6"/>
        <v>0.45</v>
      </c>
      <c r="L3">
        <f t="shared" si="7"/>
        <v>2.9673269750300092E-2</v>
      </c>
      <c r="M3">
        <v>0.44879999999999998</v>
      </c>
      <c r="N3">
        <f t="shared" si="8"/>
        <v>2.969860787814568E-2</v>
      </c>
      <c r="O3">
        <f t="shared" si="9"/>
        <v>43.877267212230912</v>
      </c>
      <c r="P3">
        <f t="shared" si="10"/>
        <v>46.81038415485947</v>
      </c>
      <c r="Q3">
        <f t="shared" si="11"/>
        <v>1.9231152109129269E-2</v>
      </c>
      <c r="R3">
        <f t="shared" si="12"/>
        <v>2.1305573505001743E-2</v>
      </c>
      <c r="S3">
        <f t="shared" si="13"/>
        <v>1.5071081002055885E-2</v>
      </c>
    </row>
    <row r="4" spans="1:20" x14ac:dyDescent="0.3">
      <c r="A4">
        <v>0.03</v>
      </c>
      <c r="B4" t="s">
        <v>329</v>
      </c>
      <c r="C4">
        <f t="shared" si="0"/>
        <v>4.1883500813431063E-2</v>
      </c>
      <c r="D4">
        <f t="shared" si="1"/>
        <v>54.387016011873364</v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MIN(DEGREES(ATAN(TAN(RADIANS(Parametros!$E$12-omega*e_base))*(A4/sref)^(Parametros!$B$12-1))),DEGREES(ATAN(TAN(RADIANS(Parametros!$E$13-omega*e_base))*(A4/sref)^(Parametros!$B$13-1))),DEGREES(ATAN(TAN(RADIANS(Parametros!$E$14-omega*e_base))*(A4/sref)^(Parametros!$B$14-1))))</f>
        <v>51.289139790634579</v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MAX(DEGREES(ATAN(TAN(RADIANS(Parametros!$F$12-omega*e_base))*(A4/sref)^(Parametros!$B$12-1))),DEGREES(ATAN(TAN(RADIANS(Parametros!$F$13-omega*e_base))*(A4/sref)^(Parametros!$B$13-1))),DEGREES(ATAN(TAN(RADIANS(Parametros!$F$14-omega*e_base))*(A4/sref)^(Parametros!$B$14-1))))</f>
        <v>57.90328662373971</v>
      </c>
      <c r="G4">
        <f t="shared" si="2"/>
        <v>3.7431578663754607E-2</v>
      </c>
      <c r="H4">
        <f t="shared" si="3"/>
        <v>4.7830192440011791E-2</v>
      </c>
      <c r="I4">
        <f t="shared" si="4"/>
        <v>3.8986257652207736E-2</v>
      </c>
      <c r="J4">
        <f t="shared" si="5"/>
        <v>3.6240072542927979E-2</v>
      </c>
      <c r="K4">
        <f t="shared" si="6"/>
        <v>0.45</v>
      </c>
      <c r="L4">
        <f t="shared" si="7"/>
        <v>4.1883500813431063E-2</v>
      </c>
      <c r="M4">
        <v>0.44819999999999999</v>
      </c>
      <c r="N4">
        <f t="shared" si="8"/>
        <v>4.1937156816487464E-2</v>
      </c>
      <c r="O4">
        <f t="shared" si="9"/>
        <v>42.717825411783039</v>
      </c>
      <c r="P4">
        <f t="shared" si="10"/>
        <v>45.626736916477995</v>
      </c>
      <c r="Q4">
        <f t="shared" si="11"/>
        <v>2.7700489019598339E-2</v>
      </c>
      <c r="R4">
        <f t="shared" si="12"/>
        <v>3.066360273177704E-2</v>
      </c>
      <c r="S4">
        <f t="shared" si="13"/>
        <v>2.2606621503083825E-2</v>
      </c>
    </row>
    <row r="5" spans="1:20" x14ac:dyDescent="0.3">
      <c r="A5">
        <v>0.05</v>
      </c>
      <c r="B5" t="s">
        <v>329</v>
      </c>
      <c r="C5">
        <f t="shared" si="0"/>
        <v>6.4656830570325216E-2</v>
      </c>
      <c r="D5">
        <f t="shared" si="1"/>
        <v>52.284734730040981</v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MIN(DEGREES(ATAN(TAN(RADIANS(Parametros!$E$12-omega*e_base))*(A5/sref)^(Parametros!$B$12-1))),DEGREES(ATAN(TAN(RADIANS(Parametros!$E$13-omega*e_base))*(A5/sref)^(Parametros!$B$13-1))),DEGREES(ATAN(TAN(RADIANS(Parametros!$E$14-omega*e_base))*(A5/sref)^(Parametros!$B$14-1))))</f>
        <v>49.304482839245971</v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MAX(DEGREES(ATAN(TAN(RADIANS(Parametros!$F$12-omega*e_base))*(A5/sref)^(Parametros!$B$12-1))),DEGREES(ATAN(TAN(RADIANS(Parametros!$F$13-omega*e_base))*(A5/sref)^(Parametros!$B$13-1))),DEGREES(ATAN(TAN(RADIANS(Parametros!$F$14-omega*e_base))*(A5/sref)^(Parametros!$B$14-1))))</f>
        <v>55.677656485772445</v>
      </c>
      <c r="G5">
        <f t="shared" si="2"/>
        <v>5.8139563370934247E-2</v>
      </c>
      <c r="H5">
        <f t="shared" si="3"/>
        <v>7.3235893659288884E-2</v>
      </c>
      <c r="I5">
        <f t="shared" si="4"/>
        <v>6.0184268426327486E-2</v>
      </c>
      <c r="J5">
        <f t="shared" si="5"/>
        <v>5.5944899178842988E-2</v>
      </c>
      <c r="K5">
        <f t="shared" si="6"/>
        <v>0.45</v>
      </c>
      <c r="L5">
        <f t="shared" si="7"/>
        <v>6.4656830570325216E-2</v>
      </c>
      <c r="M5">
        <v>0.44700000000000001</v>
      </c>
      <c r="N5">
        <f t="shared" si="8"/>
        <v>6.4794928927843234E-2</v>
      </c>
      <c r="O5">
        <f t="shared" si="9"/>
        <v>41.26264666398535</v>
      </c>
      <c r="P5">
        <f t="shared" si="10"/>
        <v>44.13424295959296</v>
      </c>
      <c r="Q5">
        <f t="shared" si="11"/>
        <v>4.386835110622575E-2</v>
      </c>
      <c r="R5">
        <f t="shared" si="12"/>
        <v>4.8511349584141668E-2</v>
      </c>
      <c r="S5">
        <f t="shared" si="13"/>
        <v>3.7677702505139715E-2</v>
      </c>
    </row>
    <row r="6" spans="1:20" x14ac:dyDescent="0.3">
      <c r="A6">
        <v>7.0000000000000007E-2</v>
      </c>
      <c r="B6" t="s">
        <v>329</v>
      </c>
      <c r="C6">
        <f t="shared" si="0"/>
        <v>8.6064339939760301E-2</v>
      </c>
      <c r="D6">
        <f t="shared" si="1"/>
        <v>50.876990521694694</v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MIN(DEGREES(ATAN(TAN(RADIANS(Parametros!$E$12-omega*e_base))*(A6/sref)^(Parametros!$B$12-1))),DEGREES(ATAN(TAN(RADIANS(Parametros!$E$13-omega*e_base))*(A6/sref)^(Parametros!$B$13-1))),DEGREES(ATAN(TAN(RADIANS(Parametros!$E$14-omega*e_base))*(A6/sref)^(Parametros!$B$14-1))))</f>
        <v>47.985142497053452</v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MAX(DEGREES(ATAN(TAN(RADIANS(Parametros!$F$12-omega*e_base))*(A6/sref)^(Parametros!$B$12-1))),DEGREES(ATAN(TAN(RADIANS(Parametros!$F$13-omega*e_base))*(A6/sref)^(Parametros!$B$13-1))),DEGREES(ATAN(TAN(RADIANS(Parametros!$F$14-omega*e_base))*(A6/sref)^(Parametros!$B$14-1))))</f>
        <v>54.172839774017447</v>
      </c>
      <c r="G6">
        <f t="shared" si="2"/>
        <v>7.7702346244154022E-2</v>
      </c>
      <c r="H6">
        <f t="shared" si="3"/>
        <v>9.6960482313453042E-2</v>
      </c>
      <c r="I6">
        <f t="shared" si="4"/>
        <v>8.0110937872765242E-2</v>
      </c>
      <c r="J6">
        <f t="shared" si="5"/>
        <v>7.4467937545849641E-2</v>
      </c>
      <c r="K6">
        <f t="shared" si="6"/>
        <v>0.43907789638866956</v>
      </c>
      <c r="L6">
        <f t="shared" si="7"/>
        <v>8.6735112488202037E-2</v>
      </c>
      <c r="M6">
        <v>0.44579999999999997</v>
      </c>
      <c r="N6">
        <f t="shared" si="8"/>
        <v>8.6321779621842371E-2</v>
      </c>
      <c r="O6">
        <f t="shared" si="9"/>
        <v>40.309180639840392</v>
      </c>
      <c r="P6">
        <f t="shared" si="10"/>
        <v>43.152193337508713</v>
      </c>
      <c r="Q6">
        <f t="shared" si="11"/>
        <v>5.9383602823785513E-2</v>
      </c>
      <c r="R6">
        <f t="shared" si="12"/>
        <v>6.5624549169946381E-2</v>
      </c>
      <c r="S6">
        <f t="shared" si="13"/>
        <v>5.2748783507195598E-2</v>
      </c>
    </row>
    <row r="7" spans="1:20" x14ac:dyDescent="0.3">
      <c r="A7">
        <v>0.1</v>
      </c>
      <c r="B7" t="s">
        <v>329</v>
      </c>
      <c r="C7">
        <f t="shared" si="0"/>
        <v>0.11654399692491138</v>
      </c>
      <c r="D7">
        <f t="shared" si="1"/>
        <v>49.368919714780567</v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MIN(DEGREES(ATAN(TAN(RADIANS(Parametros!$E$12-omega*e_base))*(A7/sref)^(Parametros!$B$12-1))),DEGREES(ATAN(TAN(RADIANS(Parametros!$E$13-omega*e_base))*(A7/sref)^(Parametros!$B$13-1))),DEGREES(ATAN(TAN(RADIANS(Parametros!$E$14-omega*e_base))*(A7/sref)^(Parametros!$B$14-1))))</f>
        <v>46.579676279986373</v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MAX(DEGREES(ATAN(TAN(RADIANS(Parametros!$F$12-omega*e_base))*(A7/sref)^(Parametros!$B$12-1))),DEGREES(ATAN(TAN(RADIANS(Parametros!$F$13-omega*e_base))*(A7/sref)^(Parametros!$B$13-1))),DEGREES(ATAN(TAN(RADIANS(Parametros!$F$14-omega*e_base))*(A7/sref)^(Parametros!$B$14-1))))</f>
        <v>52.548634887957874</v>
      </c>
      <c r="G7">
        <f t="shared" si="2"/>
        <v>0.105671925782754</v>
      </c>
      <c r="H7">
        <f t="shared" si="3"/>
        <v>0.13055184138983722</v>
      </c>
      <c r="I7">
        <f t="shared" si="4"/>
        <v>0.10848219952224408</v>
      </c>
      <c r="J7">
        <f t="shared" si="5"/>
        <v>0.10084073253129704</v>
      </c>
      <c r="K7">
        <f t="shared" si="6"/>
        <v>0.42750000000000005</v>
      </c>
      <c r="L7">
        <f t="shared" si="7"/>
        <v>0.11842148577628968</v>
      </c>
      <c r="M7">
        <v>0.44400000000000001</v>
      </c>
      <c r="N7">
        <f t="shared" si="8"/>
        <v>0.11704227235863714</v>
      </c>
      <c r="O7">
        <f t="shared" si="9"/>
        <v>39.304180852807264</v>
      </c>
      <c r="P7">
        <f t="shared" si="10"/>
        <v>42.113572430950413</v>
      </c>
      <c r="Q7">
        <f t="shared" si="11"/>
        <v>8.1861237732857653E-2</v>
      </c>
      <c r="R7">
        <f t="shared" si="12"/>
        <v>9.0399971375364208E-2</v>
      </c>
      <c r="S7">
        <f t="shared" si="13"/>
        <v>7.535540501027943E-2</v>
      </c>
    </row>
    <row r="8" spans="1:20" x14ac:dyDescent="0.3">
      <c r="A8">
        <v>0.15</v>
      </c>
      <c r="B8" t="s">
        <v>329</v>
      </c>
      <c r="C8">
        <f t="shared" si="0"/>
        <v>0.16450059703837214</v>
      </c>
      <c r="D8">
        <f t="shared" si="1"/>
        <v>47.639852001677987</v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MIN(DEGREES(ATAN(TAN(RADIANS(Parametros!$E$12-omega*e_base))*(A8/sref)^(Parametros!$B$12-1))),DEGREES(ATAN(TAN(RADIANS(Parametros!$E$13-omega*e_base))*(A8/sref)^(Parametros!$B$13-1))),DEGREES(ATAN(TAN(RADIANS(Parametros!$E$14-omega*e_base))*(A8/sref)^(Parametros!$B$14-1))))</f>
        <v>44.977508082211116</v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MAX(DEGREES(ATAN(TAN(RADIANS(Parametros!$F$12-omega*e_base))*(A8/sref)^(Parametros!$B$12-1))),DEGREES(ATAN(TAN(RADIANS(Parametros!$F$13-omega*e_base))*(A8/sref)^(Parametros!$B$13-1))),DEGREES(ATAN(TAN(RADIANS(Parametros!$F$14-omega*e_base))*(A8/sref)^(Parametros!$B$14-1))))</f>
        <v>50.671901517716194</v>
      </c>
      <c r="G8">
        <f t="shared" si="2"/>
        <v>0.14988227880020297</v>
      </c>
      <c r="H8">
        <f t="shared" si="3"/>
        <v>0.18308093083330487</v>
      </c>
      <c r="I8">
        <f t="shared" si="4"/>
        <v>0.15312145679148659</v>
      </c>
      <c r="J8">
        <f t="shared" si="5"/>
        <v>0.14233560839579701</v>
      </c>
      <c r="K8">
        <f t="shared" si="6"/>
        <v>0.41433834373377404</v>
      </c>
      <c r="L8">
        <f t="shared" si="7"/>
        <v>0.16871702328727781</v>
      </c>
      <c r="M8">
        <v>0.441</v>
      </c>
      <c r="N8">
        <f t="shared" si="8"/>
        <v>0.16555647668622087</v>
      </c>
      <c r="O8">
        <f t="shared" si="9"/>
        <v>38.170336025373274</v>
      </c>
      <c r="P8">
        <f t="shared" si="10"/>
        <v>40.937557018035015</v>
      </c>
      <c r="Q8">
        <f t="shared" si="11"/>
        <v>0.11791266087866348</v>
      </c>
      <c r="R8">
        <f t="shared" si="12"/>
        <v>0.13010627517571521</v>
      </c>
      <c r="S8">
        <f t="shared" si="13"/>
        <v>0.11303310751541912</v>
      </c>
    </row>
    <row r="9" spans="1:20" x14ac:dyDescent="0.3">
      <c r="A9">
        <v>0.2</v>
      </c>
      <c r="B9" t="s">
        <v>329</v>
      </c>
      <c r="C9">
        <f t="shared" si="0"/>
        <v>0.2100706622861831</v>
      </c>
      <c r="D9">
        <f t="shared" si="1"/>
        <v>46.406807511220535</v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MIN(DEGREES(ATAN(TAN(RADIANS(Parametros!$E$12-omega*e_base))*(A9/sref)^(Parametros!$B$12-1))),DEGREES(ATAN(TAN(RADIANS(Parametros!$E$13-omega*e_base))*(A9/sref)^(Parametros!$B$13-1))),DEGREES(ATAN(TAN(RADIANS(Parametros!$E$14-omega*e_base))*(A9/sref)^(Parametros!$B$14-1))))</f>
        <v>43.840499951088837</v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MAX(DEGREES(ATAN(TAN(RADIANS(Parametros!$F$12-omega*e_base))*(A9/sref)^(Parametros!$B$12-1))),DEGREES(ATAN(TAN(RADIANS(Parametros!$F$13-omega*e_base))*(A9/sref)^(Parametros!$B$13-1))),DEGREES(ATAN(TAN(RADIANS(Parametros!$F$14-omega*e_base))*(A9/sref)^(Parametros!$B$14-1))))</f>
        <v>49.32471727967237</v>
      </c>
      <c r="G9">
        <f t="shared" si="2"/>
        <v>0.192064667348678</v>
      </c>
      <c r="H9">
        <f t="shared" si="3"/>
        <v>0.23272445297887712</v>
      </c>
      <c r="I9">
        <f t="shared" si="4"/>
        <v>0.19553926500892571</v>
      </c>
      <c r="J9">
        <f t="shared" si="5"/>
        <v>0.18176551368769286</v>
      </c>
      <c r="K9">
        <f t="shared" si="6"/>
        <v>0.40500000000000003</v>
      </c>
      <c r="L9">
        <f t="shared" si="7"/>
        <v>0.21688378793597951</v>
      </c>
      <c r="M9">
        <v>0.438</v>
      </c>
      <c r="N9">
        <f t="shared" si="8"/>
        <v>0.21187006279954454</v>
      </c>
      <c r="O9">
        <f t="shared" si="9"/>
        <v>37.372314516984503</v>
      </c>
      <c r="P9">
        <f t="shared" si="10"/>
        <v>40.107203219988016</v>
      </c>
      <c r="Q9">
        <f t="shared" si="11"/>
        <v>0.15275847106558793</v>
      </c>
      <c r="R9">
        <f t="shared" si="12"/>
        <v>0.168458616276842</v>
      </c>
      <c r="S9">
        <f t="shared" si="13"/>
        <v>0.15071081002055886</v>
      </c>
    </row>
    <row r="10" spans="1:20" x14ac:dyDescent="0.3">
      <c r="A10">
        <v>0.3</v>
      </c>
      <c r="B10" t="s">
        <v>329</v>
      </c>
      <c r="C10">
        <f t="shared" si="0"/>
        <v>0.29651247836118128</v>
      </c>
      <c r="D10">
        <f t="shared" si="1"/>
        <v>44.665022943488822</v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MIN(DEGREES(ATAN(TAN(RADIANS(Parametros!$E$12-omega*e_base))*(A10/sref)^(Parametros!$B$12-1))),DEGREES(ATAN(TAN(RADIANS(Parametros!$E$13-omega*e_base))*(A10/sref)^(Parametros!$B$13-1))),DEGREES(ATAN(TAN(RADIANS(Parametros!$E$14-omega*e_base))*(A10/sref)^(Parametros!$B$14-1))))</f>
        <v>42.241486572927634</v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MAX(DEGREES(ATAN(TAN(RADIANS(Parametros!$F$12-omega*e_base))*(A10/sref)^(Parametros!$B$12-1))),DEGREES(ATAN(TAN(RADIANS(Parametros!$F$13-omega*e_base))*(A10/sref)^(Parametros!$B$13-1))),DEGREES(ATAN(TAN(RADIANS(Parametros!$F$14-omega*e_base))*(A10/sref)^(Parametros!$B$14-1))))</f>
        <v>47.410179927419684</v>
      </c>
      <c r="G10">
        <f t="shared" si="2"/>
        <v>0.27241947003412076</v>
      </c>
      <c r="H10">
        <f t="shared" si="3"/>
        <v>0.32636391050062413</v>
      </c>
      <c r="I10">
        <f t="shared" si="4"/>
        <v>0.27600156753794303</v>
      </c>
      <c r="J10">
        <f t="shared" si="5"/>
        <v>0.25656006582541202</v>
      </c>
      <c r="K10">
        <f t="shared" si="6"/>
        <v>0.39183834373377407</v>
      </c>
      <c r="L10">
        <f t="shared" si="7"/>
        <v>0.30899034960548388</v>
      </c>
      <c r="M10">
        <v>0.432</v>
      </c>
      <c r="N10">
        <f t="shared" si="8"/>
        <v>0.30032886288096655</v>
      </c>
      <c r="O10">
        <f t="shared" si="9"/>
        <v>36.257911831099328</v>
      </c>
      <c r="P10">
        <f t="shared" si="10"/>
        <v>38.944052096003013</v>
      </c>
      <c r="Q10">
        <f t="shared" si="11"/>
        <v>0.22003280543936893</v>
      </c>
      <c r="R10">
        <f t="shared" si="12"/>
        <v>0.24245055337493157</v>
      </c>
      <c r="S10">
        <f t="shared" si="13"/>
        <v>0.22606621503083824</v>
      </c>
    </row>
    <row r="11" spans="1:20" x14ac:dyDescent="0.3">
      <c r="A11">
        <v>0.5</v>
      </c>
      <c r="B11" t="s">
        <v>329</v>
      </c>
      <c r="C11">
        <f t="shared" si="0"/>
        <v>0.45773530633901194</v>
      </c>
      <c r="D11">
        <f t="shared" si="1"/>
        <v>42.473186568435885</v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MIN(DEGREES(ATAN(TAN(RADIANS(Parametros!$E$12-omega*e_base))*(A11/sref)^(Parametros!$B$12-1))),DEGREES(ATAN(TAN(RADIANS(Parametros!$E$13-omega*e_base))*(A11/sref)^(Parametros!$B$13-1))),DEGREES(ATAN(TAN(RADIANS(Parametros!$E$14-omega*e_base))*(A11/sref)^(Parametros!$B$14-1))))</f>
        <v>40.23976905852993</v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MAX(DEGREES(ATAN(TAN(RADIANS(Parametros!$F$12-omega*e_base))*(A11/sref)^(Parametros!$B$12-1))),DEGREES(ATAN(TAN(RADIANS(Parametros!$F$13-omega*e_base))*(A11/sref)^(Parametros!$B$13-1))),DEGREES(ATAN(TAN(RADIANS(Parametros!$F$14-omega*e_base))*(A11/sref)^(Parametros!$B$14-1))))</f>
        <v>44.983771557350771</v>
      </c>
      <c r="G11">
        <f t="shared" si="2"/>
        <v>0.4231280006595482</v>
      </c>
      <c r="H11">
        <f t="shared" si="3"/>
        <v>0.49971684043777326</v>
      </c>
      <c r="I11">
        <f t="shared" si="4"/>
        <v>0.42607199118661915</v>
      </c>
      <c r="J11">
        <f t="shared" si="5"/>
        <v>0.39605955531457515</v>
      </c>
      <c r="K11">
        <f t="shared" si="6"/>
        <v>0.37525661786503445</v>
      </c>
      <c r="L11">
        <f t="shared" si="7"/>
        <v>0.48261232099699874</v>
      </c>
      <c r="M11">
        <v>0.42009999999999997</v>
      </c>
      <c r="N11">
        <f t="shared" si="8"/>
        <v>0.46755568551423637</v>
      </c>
      <c r="O11">
        <f t="shared" si="9"/>
        <v>34.873311480200165</v>
      </c>
      <c r="P11">
        <f t="shared" si="10"/>
        <v>37.493174858423387</v>
      </c>
      <c r="Q11">
        <f t="shared" si="11"/>
        <v>0.34845869894473275</v>
      </c>
      <c r="R11">
        <f t="shared" si="12"/>
        <v>0.38356887331609019</v>
      </c>
      <c r="S11">
        <f t="shared" si="13"/>
        <v>0.3767770250513971</v>
      </c>
    </row>
    <row r="12" spans="1:20" x14ac:dyDescent="0.3">
      <c r="A12">
        <v>0.7</v>
      </c>
      <c r="B12" t="s">
        <v>329</v>
      </c>
      <c r="C12">
        <f t="shared" si="0"/>
        <v>0.60928886646156688</v>
      </c>
      <c r="D12">
        <f t="shared" si="1"/>
        <v>41.036724093786944</v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MIN(DEGREES(ATAN(TAN(RADIANS(Parametros!$E$12-omega*e_base))*(A12/sref)^(Parametros!$B$12-1))),DEGREES(ATAN(TAN(RADIANS(Parametros!$E$13-omega*e_base))*(A12/sref)^(Parametros!$B$13-1))),DEGREES(ATAN(TAN(RADIANS(Parametros!$E$14-omega*e_base))*(A12/sref)^(Parametros!$B$14-1))))</f>
        <v>38.899026404333114</v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MAX(DEGREES(ATAN(TAN(RADIANS(Parametros!$F$12-omega*e_base))*(A12/sref)^(Parametros!$B$12-1))),DEGREES(ATAN(TAN(RADIANS(Parametros!$F$13-omega*e_base))*(A12/sref)^(Parametros!$B$13-1))),DEGREES(ATAN(TAN(RADIANS(Parametros!$F$14-omega*e_base))*(A12/sref)^(Parametros!$B$14-1))))</f>
        <v>43.384517983412465</v>
      </c>
      <c r="G12">
        <f t="shared" si="2"/>
        <v>0.56480915679965604</v>
      </c>
      <c r="H12">
        <f t="shared" si="3"/>
        <v>0.66159888885107965</v>
      </c>
      <c r="I12">
        <f t="shared" si="4"/>
        <v>0.56714200750083721</v>
      </c>
      <c r="J12">
        <f t="shared" si="5"/>
        <v>0.52719262457365512</v>
      </c>
      <c r="K12">
        <f t="shared" si="6"/>
        <v>0.364334514253704</v>
      </c>
      <c r="L12">
        <f t="shared" si="7"/>
        <v>0.64736632012926576</v>
      </c>
      <c r="M12">
        <v>0.4083</v>
      </c>
      <c r="N12">
        <f t="shared" si="8"/>
        <v>0.62758273175342538</v>
      </c>
      <c r="O12">
        <f t="shared" si="9"/>
        <v>33.974382176565491</v>
      </c>
      <c r="P12">
        <f t="shared" si="10"/>
        <v>36.547917755206917</v>
      </c>
      <c r="Q12">
        <f t="shared" si="11"/>
        <v>0.471700724025854</v>
      </c>
      <c r="R12">
        <f t="shared" si="12"/>
        <v>0.51887928500800262</v>
      </c>
      <c r="S12">
        <f t="shared" si="13"/>
        <v>0.52748783507195585</v>
      </c>
    </row>
    <row r="13" spans="1:20" x14ac:dyDescent="0.3">
      <c r="A13">
        <v>1</v>
      </c>
      <c r="B13" t="s">
        <v>329</v>
      </c>
      <c r="C13">
        <f t="shared" si="0"/>
        <v>0.82506831318268914</v>
      </c>
      <c r="D13">
        <f t="shared" si="1"/>
        <v>39.524960122521513</v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MIN(DEGREES(ATAN(TAN(RADIANS(Parametros!$E$12-omega*e_base))*(A13/sref)^(Parametros!$B$12-1))),DEGREES(ATAN(TAN(RADIANS(Parametros!$E$13-omega*e_base))*(A13/sref)^(Parametros!$B$13-1))),DEGREES(ATAN(TAN(RADIANS(Parametros!$E$14-omega*e_base))*(A13/sref)^(Parametros!$B$14-1))))</f>
        <v>37.410065270115922</v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MAX(DEGREES(ATAN(TAN(RADIANS(Parametros!$F$12-omega*e_base))*(A13/sref)^(Parametros!$B$12-1))),DEGREES(ATAN(TAN(RADIANS(Parametros!$F$13-omega*e_base))*(A13/sref)^(Parametros!$B$13-1))),DEGREES(ATAN(TAN(RADIANS(Parametros!$F$14-omega*e_base))*(A13/sref)^(Parametros!$B$14-1))))</f>
        <v>41.694832546375565</v>
      </c>
      <c r="G13">
        <f t="shared" si="2"/>
        <v>0.76483612933410461</v>
      </c>
      <c r="H13">
        <f t="shared" si="3"/>
        <v>0.89080572971731875</v>
      </c>
      <c r="I13">
        <f t="shared" si="4"/>
        <v>0.76799515832491616</v>
      </c>
      <c r="J13">
        <f t="shared" si="5"/>
        <v>0.71389771489740106</v>
      </c>
      <c r="K13">
        <f t="shared" si="6"/>
        <v>0.35275661786503443</v>
      </c>
      <c r="L13">
        <f t="shared" si="7"/>
        <v>0.8838053457086259</v>
      </c>
      <c r="M13">
        <v>0.39340000000000003</v>
      </c>
      <c r="N13">
        <f t="shared" si="8"/>
        <v>0.85884100187997281</v>
      </c>
      <c r="O13">
        <f t="shared" si="9"/>
        <v>33.033812119294964</v>
      </c>
      <c r="P13">
        <f t="shared" si="10"/>
        <v>35.556170320309292</v>
      </c>
      <c r="Q13">
        <f t="shared" si="11"/>
        <v>0.65024692460685563</v>
      </c>
      <c r="R13">
        <f t="shared" si="12"/>
        <v>0.71477325338296405</v>
      </c>
      <c r="S13">
        <f t="shared" si="13"/>
        <v>0.75355405010279419</v>
      </c>
    </row>
    <row r="14" spans="1:20" x14ac:dyDescent="0.3">
      <c r="A14">
        <v>1.5</v>
      </c>
      <c r="B14" t="s">
        <v>329</v>
      </c>
      <c r="C14">
        <f t="shared" si="0"/>
        <v>1.1645750420198935</v>
      </c>
      <c r="D14">
        <f t="shared" si="1"/>
        <v>37.825169784041414</v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MIN(DEGREES(ATAN(TAN(RADIANS(Parametros!$E$12-omega*e_base))*(A14/sref)^(Parametros!$B$12-1))),DEGREES(ATAN(TAN(RADIANS(Parametros!$E$13-omega*e_base))*(A14/sref)^(Parametros!$B$13-1))),DEGREES(ATAN(TAN(RADIANS(Parametros!$E$14-omega*e_base))*(A14/sref)^(Parametros!$B$14-1))))</f>
        <v>35.613214513112482</v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MAX(DEGREES(ATAN(TAN(RADIANS(Parametros!$F$12-omega*e_base))*(A14/sref)^(Parametros!$B$12-1))),DEGREES(ATAN(TAN(RADIANS(Parametros!$F$13-omega*e_base))*(A14/sref)^(Parametros!$B$13-1))),DEGREES(ATAN(TAN(RADIANS(Parametros!$F$14-omega*e_base))*(A14/sref)^(Parametros!$B$14-1))))</f>
        <v>39.898240771267858</v>
      </c>
      <c r="G14">
        <f t="shared" si="2"/>
        <v>1.0744178873169845</v>
      </c>
      <c r="H14">
        <f t="shared" si="3"/>
        <v>1.2541164206382991</v>
      </c>
      <c r="I14">
        <f t="shared" si="4"/>
        <v>1.0840168983429082</v>
      </c>
      <c r="J14">
        <f t="shared" si="5"/>
        <v>1.0076589393155599</v>
      </c>
      <c r="K14">
        <f t="shared" si="6"/>
        <v>0.33258338270825538</v>
      </c>
      <c r="L14">
        <f t="shared" si="7"/>
        <v>1.2653001498887702</v>
      </c>
      <c r="M14">
        <v>0.37069999999999997</v>
      </c>
      <c r="N14">
        <f t="shared" si="8"/>
        <v>1.2318179193622725</v>
      </c>
      <c r="O14">
        <f t="shared" si="9"/>
        <v>31.98102826250555</v>
      </c>
      <c r="P14">
        <f t="shared" si="10"/>
        <v>34.442914390896803</v>
      </c>
      <c r="Q14">
        <f t="shared" si="11"/>
        <v>0.93661355767391596</v>
      </c>
      <c r="R14">
        <f t="shared" si="12"/>
        <v>1.0287225115010219</v>
      </c>
      <c r="S14">
        <f t="shared" si="13"/>
        <v>1.1303310751541913</v>
      </c>
    </row>
    <row r="15" spans="1:20" x14ac:dyDescent="0.3">
      <c r="A15">
        <v>2</v>
      </c>
      <c r="B15" t="s">
        <v>329</v>
      </c>
      <c r="C15">
        <f t="shared" si="0"/>
        <v>1.4871863978828719</v>
      </c>
      <c r="D15">
        <f t="shared" si="1"/>
        <v>36.634241362260084</v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MIN(DEGREES(ATAN(TAN(RADIANS(Parametros!$E$12-omega*e_base))*(A15/sref)^(Parametros!$B$12-1))),DEGREES(ATAN(TAN(RADIANS(Parametros!$E$13-omega*e_base))*(A15/sref)^(Parametros!$B$13-1))),DEGREES(ATAN(TAN(RADIANS(Parametros!$E$14-omega*e_base))*(A15/sref)^(Parametros!$B$14-1))))</f>
        <v>34.328249002223387</v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MAX(DEGREES(ATAN(TAN(RADIANS(Parametros!$F$12-omega*e_base))*(A15/sref)^(Parametros!$B$12-1))),DEGREES(ATAN(TAN(RADIANS(Parametros!$F$13-omega*e_base))*(A15/sref)^(Parametros!$B$13-1))),DEGREES(ATAN(TAN(RADIANS(Parametros!$F$14-omega*e_base))*(A15/sref)^(Parametros!$B$14-1))))</f>
        <v>38.78311200697469</v>
      </c>
      <c r="G15">
        <f t="shared" si="2"/>
        <v>1.3657529157104311</v>
      </c>
      <c r="H15">
        <f t="shared" si="3"/>
        <v>1.6070709297628016</v>
      </c>
      <c r="I15">
        <f t="shared" si="4"/>
        <v>1.384311983446417</v>
      </c>
      <c r="J15">
        <f t="shared" si="5"/>
        <v>1.2868012916161946</v>
      </c>
      <c r="K15">
        <f t="shared" si="6"/>
        <v>0.31827024458143249</v>
      </c>
      <c r="L15">
        <f t="shared" si="7"/>
        <v>1.6321335409059159</v>
      </c>
      <c r="M15">
        <v>0.3493</v>
      </c>
      <c r="N15">
        <f t="shared" si="8"/>
        <v>1.5969387081683564</v>
      </c>
      <c r="O15">
        <f t="shared" si="9"/>
        <v>31.245265134450754</v>
      </c>
      <c r="P15">
        <f t="shared" si="10"/>
        <v>33.662945911106483</v>
      </c>
      <c r="Q15">
        <f t="shared" si="11"/>
        <v>1.2134036666070867</v>
      </c>
      <c r="R15">
        <f t="shared" si="12"/>
        <v>1.331966275925224</v>
      </c>
      <c r="S15">
        <f t="shared" si="13"/>
        <v>1.5071081002055884</v>
      </c>
    </row>
    <row r="16" spans="1:20" x14ac:dyDescent="0.3">
      <c r="A16">
        <v>3</v>
      </c>
      <c r="B16" t="s">
        <v>329</v>
      </c>
      <c r="C16">
        <f t="shared" si="0"/>
        <v>2.0991475907309121</v>
      </c>
      <c r="D16">
        <f t="shared" si="1"/>
        <v>34.981092687766171</v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MIN(DEGREES(ATAN(TAN(RADIANS(Parametros!$E$12-omega*e_base))*(A16/sref)^(Parametros!$B$12-1))),DEGREES(ATAN(TAN(RADIANS(Parametros!$E$13-omega*e_base))*(A16/sref)^(Parametros!$B$13-1))),DEGREES(ATAN(TAN(RADIANS(Parametros!$E$14-omega*e_base))*(A16/sref)^(Parametros!$B$14-1))))</f>
        <v>32.555244731304185</v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MAX(DEGREES(ATAN(TAN(RADIANS(Parametros!$F$12-omega*e_base))*(A16/sref)^(Parametros!$B$12-1))),DEGREES(ATAN(TAN(RADIANS(Parametros!$F$13-omega*e_base))*(A16/sref)^(Parametros!$B$13-1))),DEGREES(ATAN(TAN(RADIANS(Parametros!$F$14-omega*e_base))*(A16/sref)^(Parametros!$B$14-1))))</f>
        <v>37.227897962412371</v>
      </c>
      <c r="G16">
        <f t="shared" si="2"/>
        <v>1.9152798798901549</v>
      </c>
      <c r="H16">
        <f t="shared" si="3"/>
        <v>2.2794271171096665</v>
      </c>
      <c r="I16">
        <f t="shared" si="4"/>
        <v>1.953941462219007</v>
      </c>
      <c r="J16">
        <f t="shared" si="5"/>
        <v>1.8163061704241741</v>
      </c>
      <c r="K16">
        <f t="shared" si="6"/>
        <v>0.29809700942465345</v>
      </c>
      <c r="L16">
        <f t="shared" si="7"/>
        <v>2.336559575034959</v>
      </c>
      <c r="M16">
        <v>0.30909999999999999</v>
      </c>
      <c r="N16">
        <f t="shared" si="8"/>
        <v>2.3186062322924825</v>
      </c>
      <c r="O16">
        <f t="shared" si="9"/>
        <v>30.224831068232501</v>
      </c>
      <c r="P16">
        <f t="shared" si="10"/>
        <v>32.578641639058816</v>
      </c>
      <c r="Q16">
        <f t="shared" si="11"/>
        <v>1.7477826992608518</v>
      </c>
      <c r="R16">
        <f t="shared" si="12"/>
        <v>1.9170047090028919</v>
      </c>
      <c r="S16">
        <f t="shared" si="13"/>
        <v>2.2606621503083826</v>
      </c>
    </row>
    <row r="17" spans="1:20" x14ac:dyDescent="0.3">
      <c r="A17">
        <v>4</v>
      </c>
      <c r="B17" t="s">
        <v>329</v>
      </c>
      <c r="C17">
        <f t="shared" si="0"/>
        <v>2.6806548581609451</v>
      </c>
      <c r="D17">
        <f t="shared" si="1"/>
        <v>33.828558709171361</v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MIN(DEGREES(ATAN(TAN(RADIANS(Parametros!$E$12-omega*e_base))*(A17/sref)^(Parametros!$B$12-1))),DEGREES(ATAN(TAN(RADIANS(Parametros!$E$13-omega*e_base))*(A17/sref)^(Parametros!$B$13-1))),DEGREES(ATAN(TAN(RADIANS(Parametros!$E$14-omega*e_base))*(A17/sref)^(Parametros!$B$14-1))))</f>
        <v>31.326991414614177</v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MAX(DEGREES(ATAN(TAN(RADIANS(Parametros!$F$12-omega*e_base))*(A17/sref)^(Parametros!$B$12-1))),DEGREES(ATAN(TAN(RADIANS(Parametros!$F$13-omega*e_base))*(A17/sref)^(Parametros!$B$13-1))),DEGREES(ATAN(TAN(RADIANS(Parametros!$F$14-omega*e_base))*(A17/sref)^(Parametros!$B$14-1))))</f>
        <v>36.138243520450949</v>
      </c>
      <c r="G17">
        <f t="shared" si="2"/>
        <v>2.4346198171491973</v>
      </c>
      <c r="H17">
        <f t="shared" si="3"/>
        <v>2.9209417850980213</v>
      </c>
      <c r="I17">
        <f t="shared" si="4"/>
        <v>2.4952236309575984</v>
      </c>
      <c r="J17">
        <f t="shared" si="5"/>
        <v>2.3194605187146182</v>
      </c>
      <c r="K17">
        <f t="shared" si="6"/>
        <v>0.28378387129783056</v>
      </c>
      <c r="L17">
        <f t="shared" si="7"/>
        <v>3.0139017622144877</v>
      </c>
      <c r="M17">
        <v>0.27210000000000001</v>
      </c>
      <c r="N17">
        <f t="shared" si="8"/>
        <v>3.0386524096972178</v>
      </c>
      <c r="O17">
        <f t="shared" si="9"/>
        <v>29.513021215221062</v>
      </c>
      <c r="P17">
        <f t="shared" si="10"/>
        <v>31.820570173082562</v>
      </c>
      <c r="Q17">
        <f t="shared" si="11"/>
        <v>2.2642913059922822</v>
      </c>
      <c r="R17">
        <f t="shared" si="12"/>
        <v>2.4820936595000966</v>
      </c>
      <c r="S17">
        <f t="shared" si="13"/>
        <v>3.0142162004111768</v>
      </c>
    </row>
    <row r="18" spans="1:20" x14ac:dyDescent="0.3">
      <c r="A18">
        <v>4.5999999999999996</v>
      </c>
      <c r="B18" t="s">
        <v>329</v>
      </c>
      <c r="C18">
        <f t="shared" si="0"/>
        <v>3.0187980810234536</v>
      </c>
      <c r="D18">
        <f t="shared" si="1"/>
        <v>33.275306584381838</v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MIN(DEGREES(ATAN(TAN(RADIANS(Parametros!$E$12-omega*e_base))*(A18/sref)^(Parametros!$B$12-1))),DEGREES(ATAN(TAN(RADIANS(Parametros!$E$13-omega*e_base))*(A18/sref)^(Parametros!$B$13-1))),DEGREES(ATAN(TAN(RADIANS(Parametros!$E$14-omega*e_base))*(A18/sref)^(Parametros!$B$14-1))))</f>
        <v>30.739797558931674</v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MAX(DEGREES(ATAN(TAN(RADIANS(Parametros!$F$12-omega*e_base))*(A18/sref)^(Parametros!$B$12-1))),DEGREES(ATAN(TAN(RADIANS(Parametros!$F$13-omega*e_base))*(A18/sref)^(Parametros!$B$13-1))),DEGREES(ATAN(TAN(RADIANS(Parametros!$F$14-omega*e_base))*(A18/sref)^(Parametros!$B$14-1))))</f>
        <v>35.613504130731897</v>
      </c>
      <c r="G18">
        <f t="shared" si="2"/>
        <v>2.7356035055534744</v>
      </c>
      <c r="H18">
        <f t="shared" si="3"/>
        <v>3.2949167027771566</v>
      </c>
      <c r="I18">
        <f t="shared" si="4"/>
        <v>2.8099761839638222</v>
      </c>
      <c r="J18">
        <f t="shared" si="5"/>
        <v>2.6120419574301494</v>
      </c>
      <c r="K18">
        <f t="shared" si="6"/>
        <v>0.27683025069492001</v>
      </c>
      <c r="L18">
        <f t="shared" si="7"/>
        <v>3.4106443267817532</v>
      </c>
      <c r="M18">
        <v>0.25409999999999999</v>
      </c>
      <c r="N18">
        <f t="shared" si="8"/>
        <v>3.4653126103605567</v>
      </c>
      <c r="O18">
        <f t="shared" si="9"/>
        <v>29.170967427874672</v>
      </c>
      <c r="P18">
        <f t="shared" si="10"/>
        <v>31.455800079104083</v>
      </c>
      <c r="Q18">
        <f t="shared" si="11"/>
        <v>2.567795038376143</v>
      </c>
      <c r="R18">
        <f t="shared" si="12"/>
        <v>2.8140047475786871</v>
      </c>
      <c r="S18">
        <f t="shared" si="13"/>
        <v>3.466348630472853</v>
      </c>
    </row>
    <row r="19" spans="1:20" x14ac:dyDescent="0.3">
      <c r="A19">
        <v>5</v>
      </c>
      <c r="B19" t="s">
        <v>330</v>
      </c>
      <c r="C19">
        <f t="shared" si="0"/>
        <v>3.240517804864854</v>
      </c>
      <c r="D19">
        <f t="shared" si="1"/>
        <v>32.947416147431795</v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MIN(DEGREES(ATAN(TAN(RADIANS(Parametros!$E$12-omega*e_base))*(A19/sref)^(Parametros!$B$12-1))),DEGREES(ATAN(TAN(RADIANS(Parametros!$E$13-omega*e_base))*(A19/sref)^(Parametros!$B$13-1))),DEGREES(ATAN(TAN(RADIANS(Parametros!$E$14-omega*e_base))*(A19/sref)^(Parametros!$B$14-1))))</f>
        <v>30.392548936016127</v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MAX(DEGREES(ATAN(TAN(RADIANS(Parametros!$F$12-omega*e_base))*(A19/sref)^(Parametros!$B$12-1))),DEGREES(ATAN(TAN(RADIANS(Parametros!$F$13-omega*e_base))*(A19/sref)^(Parametros!$B$13-1))),DEGREES(ATAN(TAN(RADIANS(Parametros!$F$14-omega*e_base))*(A19/sref)^(Parametros!$B$14-1))))</f>
        <v>35.301982432015187</v>
      </c>
      <c r="G19">
        <f t="shared" si="2"/>
        <v>2.932608598372938</v>
      </c>
      <c r="H19">
        <f t="shared" si="3"/>
        <v>3.5404570700874212</v>
      </c>
      <c r="I19">
        <f t="shared" si="4"/>
        <v>3.0163587000472254</v>
      </c>
      <c r="J19">
        <f t="shared" si="5"/>
        <v>2.8038869255000969</v>
      </c>
      <c r="K19">
        <f t="shared" si="6"/>
        <v>0.27268173884706615</v>
      </c>
      <c r="L19">
        <f t="shared" si="7"/>
        <v>3.6717891489447201</v>
      </c>
      <c r="M19">
        <v>0.24329999999999999</v>
      </c>
      <c r="N19">
        <f t="shared" si="8"/>
        <v>3.748019068163654</v>
      </c>
      <c r="O19">
        <f t="shared" si="9"/>
        <v>28.968087710776153</v>
      </c>
      <c r="P19">
        <f t="shared" si="10"/>
        <v>31.239300499943187</v>
      </c>
      <c r="Q19">
        <f t="shared" si="11"/>
        <v>2.7679058320708947</v>
      </c>
      <c r="R19">
        <f t="shared" si="12"/>
        <v>3.0327971049700504</v>
      </c>
      <c r="S19">
        <f t="shared" si="13"/>
        <v>3.767770250513971</v>
      </c>
      <c r="T19">
        <v>33</v>
      </c>
    </row>
    <row r="20" spans="1:20" x14ac:dyDescent="0.3">
      <c r="A20">
        <v>6</v>
      </c>
      <c r="B20" t="s">
        <v>330</v>
      </c>
      <c r="C20">
        <f t="shared" si="0"/>
        <v>3.7837154744692878</v>
      </c>
      <c r="D20">
        <f t="shared" si="1"/>
        <v>32.236319848551815</v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MIN(DEGREES(ATAN(TAN(RADIANS(Parametros!$E$12-omega*e_base))*(A20/sref)^(Parametros!$B$12-1))),DEGREES(ATAN(TAN(RADIANS(Parametros!$E$13-omega*e_base))*(A20/sref)^(Parametros!$B$13-1))),DEGREES(ATAN(TAN(RADIANS(Parametros!$E$14-omega*e_base))*(A20/sref)^(Parametros!$B$14-1))))</f>
        <v>29.641449647034978</v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MAX(DEGREES(ATAN(TAN(RADIANS(Parametros!$F$12-omega*e_base))*(A20/sref)^(Parametros!$B$12-1))),DEGREES(ATAN(TAN(RADIANS(Parametros!$F$13-omega*e_base))*(A20/sref)^(Parametros!$B$13-1))),DEGREES(ATAN(TAN(RADIANS(Parametros!$F$14-omega*e_base))*(A20/sref)^(Parametros!$B$14-1))))</f>
        <v>34.624994547142705</v>
      </c>
      <c r="G20">
        <f t="shared" si="2"/>
        <v>3.4142181190527703</v>
      </c>
      <c r="H20">
        <f t="shared" si="3"/>
        <v>4.142986964137207</v>
      </c>
      <c r="I20">
        <f t="shared" si="4"/>
        <v>3.5219812934787234</v>
      </c>
      <c r="J20">
        <f t="shared" si="5"/>
        <v>3.2738935526753838</v>
      </c>
      <c r="K20">
        <f t="shared" si="6"/>
        <v>0.26361063614105151</v>
      </c>
      <c r="L20">
        <f t="shared" si="7"/>
        <v>4.3145759696505728</v>
      </c>
      <c r="M20">
        <v>0.21759999999999999</v>
      </c>
      <c r="N20">
        <f t="shared" si="8"/>
        <v>4.4555797174478409</v>
      </c>
      <c r="O20">
        <f t="shared" si="9"/>
        <v>28.527602548333089</v>
      </c>
      <c r="P20">
        <f t="shared" si="10"/>
        <v>30.768874775634856</v>
      </c>
      <c r="Q20">
        <f t="shared" si="11"/>
        <v>3.2614778408952585</v>
      </c>
      <c r="R20">
        <f t="shared" si="12"/>
        <v>3.5723015810912542</v>
      </c>
      <c r="S20">
        <f t="shared" si="13"/>
        <v>4.5213243006167652</v>
      </c>
      <c r="T20">
        <v>33</v>
      </c>
    </row>
    <row r="21" spans="1:20" x14ac:dyDescent="0.3">
      <c r="A21">
        <v>7</v>
      </c>
      <c r="B21" t="s">
        <v>330</v>
      </c>
      <c r="C21">
        <f t="shared" si="0"/>
        <v>4.3134348448365625</v>
      </c>
      <c r="D21">
        <f t="shared" si="1"/>
        <v>31.64158228980239</v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MIN(DEGREES(ATAN(TAN(RADIANS(Parametros!$E$12-omega*e_base))*(A21/sref)^(Parametros!$B$12-1))),DEGREES(ATAN(TAN(RADIANS(Parametros!$E$13-omega*e_base))*(A21/sref)^(Parametros!$B$13-1))),DEGREES(ATAN(TAN(RADIANS(Parametros!$E$14-omega*e_base))*(A21/sref)^(Parametros!$B$14-1))))</f>
        <v>29.015379308789061</v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MAX(DEGREES(ATAN(TAN(RADIANS(Parametros!$F$12-omega*e_base))*(A21/sref)^(Parametros!$B$12-1))),DEGREES(ATAN(TAN(RADIANS(Parametros!$F$13-omega*e_base))*(A21/sref)^(Parametros!$B$13-1))),DEGREES(ATAN(TAN(RADIANS(Parametros!$F$14-omega*e_base))*(A21/sref)^(Parametros!$B$14-1))))</f>
        <v>34.057283290825502</v>
      </c>
      <c r="G21">
        <f t="shared" si="2"/>
        <v>3.8826199821862142</v>
      </c>
      <c r="H21">
        <f t="shared" si="3"/>
        <v>4.7317490048442252</v>
      </c>
      <c r="I21">
        <f t="shared" si="4"/>
        <v>4.0150579335737486</v>
      </c>
      <c r="J21">
        <f t="shared" si="5"/>
        <v>3.7322379612532863</v>
      </c>
      <c r="K21">
        <f t="shared" si="6"/>
        <v>0.25594112808339869</v>
      </c>
      <c r="L21">
        <f t="shared" si="7"/>
        <v>4.9450703109258498</v>
      </c>
      <c r="M21">
        <v>0.1991</v>
      </c>
      <c r="N21">
        <f t="shared" si="8"/>
        <v>5.1454076703142837</v>
      </c>
      <c r="O21">
        <f t="shared" si="9"/>
        <v>28.158565652304539</v>
      </c>
      <c r="P21">
        <f t="shared" si="10"/>
        <v>30.374370168131389</v>
      </c>
      <c r="Q21">
        <f t="shared" si="11"/>
        <v>3.7468520343362224</v>
      </c>
      <c r="R21">
        <f t="shared" si="12"/>
        <v>4.1026676116765763</v>
      </c>
      <c r="S21">
        <f t="shared" si="13"/>
        <v>5.2748783507195594</v>
      </c>
      <c r="T21">
        <v>33</v>
      </c>
    </row>
    <row r="22" spans="1:20" x14ac:dyDescent="0.3">
      <c r="A22">
        <v>7.86</v>
      </c>
      <c r="B22" t="s">
        <v>330</v>
      </c>
      <c r="C22">
        <f t="shared" si="0"/>
        <v>4.7599136306498373</v>
      </c>
      <c r="D22">
        <f t="shared" si="1"/>
        <v>31.198551584568516</v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MIN(DEGREES(ATAN(TAN(RADIANS(Parametros!$E$12-omega*e_base))*(A22/sref)^(Parametros!$B$12-1))),DEGREES(ATAN(TAN(RADIANS(Parametros!$E$13-omega*e_base))*(A22/sref)^(Parametros!$B$13-1))),DEGREES(ATAN(TAN(RADIANS(Parametros!$E$14-omega*e_base))*(A22/sref)^(Parametros!$B$14-1))))</f>
        <v>28.550293346862958</v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MAX(DEGREES(ATAN(TAN(RADIANS(Parametros!$F$12-omega*e_base))*(A22/sref)^(Parametros!$B$12-1))),DEGREES(ATAN(TAN(RADIANS(Parametros!$F$13-omega*e_base))*(A22/sref)^(Parametros!$B$13-1))),DEGREES(ATAN(TAN(RADIANS(Parametros!$F$14-omega*e_base))*(A22/sref)^(Parametros!$B$14-1))))</f>
        <v>33.633471459160234</v>
      </c>
      <c r="G22">
        <f t="shared" si="2"/>
        <v>4.2765693924041992</v>
      </c>
      <c r="H22">
        <f t="shared" si="3"/>
        <v>5.2287926935174207</v>
      </c>
      <c r="I22">
        <f t="shared" si="4"/>
        <v>4.4306520611395923</v>
      </c>
      <c r="J22">
        <f t="shared" si="5"/>
        <v>4.1185577118115493</v>
      </c>
      <c r="K22">
        <f t="shared" si="6"/>
        <v>0.25017588965169946</v>
      </c>
      <c r="L22">
        <f t="shared" si="7"/>
        <v>5.4789708561243513</v>
      </c>
      <c r="M22">
        <v>0.18410000000000001</v>
      </c>
      <c r="N22">
        <f t="shared" si="8"/>
        <v>5.7377804158621561</v>
      </c>
      <c r="O22">
        <f t="shared" si="9"/>
        <v>27.883223717631829</v>
      </c>
      <c r="P22">
        <f t="shared" si="10"/>
        <v>30.079802593929827</v>
      </c>
      <c r="Q22">
        <f t="shared" si="11"/>
        <v>4.1587096321532293</v>
      </c>
      <c r="R22">
        <f t="shared" si="12"/>
        <v>4.5525816054087596</v>
      </c>
      <c r="S22">
        <f t="shared" si="13"/>
        <v>5.9229348338079628</v>
      </c>
      <c r="T22">
        <v>33</v>
      </c>
    </row>
    <row r="23" spans="1:20" x14ac:dyDescent="0.3">
      <c r="A23">
        <v>8</v>
      </c>
      <c r="B23" t="s">
        <v>331</v>
      </c>
      <c r="C23">
        <f t="shared" si="0"/>
        <v>4.8318828620350409</v>
      </c>
      <c r="D23">
        <f t="shared" si="1"/>
        <v>31.131361494139746</v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MIN(DEGREES(ATAN(TAN(RADIANS(Parametros!$E$12-omega*e_base))*(A23/sref)^(Parametros!$B$12-1))),DEGREES(ATAN(TAN(RADIANS(Parametros!$E$13-omega*e_base))*(A23/sref)^(Parametros!$B$13-1))),DEGREES(ATAN(TAN(RADIANS(Parametros!$E$14-omega*e_base))*(A23/sref)^(Parametros!$B$14-1))))</f>
        <v>28.479855450996784</v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MAX(DEGREES(ATAN(TAN(RADIANS(Parametros!$F$12-omega*e_base))*(A23/sref)^(Parametros!$B$12-1))),DEGREES(ATAN(TAN(RADIANS(Parametros!$F$13-omega*e_base))*(A23/sref)^(Parametros!$B$13-1))),DEGREES(ATAN(TAN(RADIANS(Parametros!$F$14-omega*e_base))*(A23/sref)^(Parametros!$B$14-1))))</f>
        <v>33.569126806244732</v>
      </c>
      <c r="G23">
        <f t="shared" si="2"/>
        <v>4.3400043930876882</v>
      </c>
      <c r="H23">
        <f t="shared" si="3"/>
        <v>5.3089759474343152</v>
      </c>
      <c r="I23">
        <f t="shared" si="4"/>
        <v>4.497642903436021</v>
      </c>
      <c r="J23">
        <f t="shared" si="5"/>
        <v>4.1808297309982114</v>
      </c>
      <c r="K23">
        <f t="shared" si="6"/>
        <v>0.24929749801422862</v>
      </c>
      <c r="L23">
        <f t="shared" si="7"/>
        <v>5.5652287020880014</v>
      </c>
      <c r="M23">
        <v>0.1817</v>
      </c>
      <c r="N23">
        <f t="shared" si="8"/>
        <v>5.8343023496234308</v>
      </c>
      <c r="O23">
        <f t="shared" si="9"/>
        <v>27.841429343128844</v>
      </c>
      <c r="P23">
        <f t="shared" si="10"/>
        <v>30.035073401454891</v>
      </c>
      <c r="Q23">
        <f t="shared" si="11"/>
        <v>4.2253169818815275</v>
      </c>
      <c r="R23">
        <f t="shared" si="12"/>
        <v>4.6253340237545482</v>
      </c>
      <c r="S23">
        <f t="shared" si="13"/>
        <v>6.0284324008223535</v>
      </c>
      <c r="T23">
        <v>33</v>
      </c>
    </row>
    <row r="24" spans="1:20" x14ac:dyDescent="0.3">
      <c r="A24">
        <v>9</v>
      </c>
      <c r="B24" t="s">
        <v>331</v>
      </c>
      <c r="C24">
        <f t="shared" si="0"/>
        <v>5.3406736597042359</v>
      </c>
      <c r="D24">
        <f t="shared" si="1"/>
        <v>30.685240507457301</v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MIN(DEGREES(ATAN(TAN(RADIANS(Parametros!$E$12-omega*e_base))*(A24/sref)^(Parametros!$B$12-1))),DEGREES(ATAN(TAN(RADIANS(Parametros!$E$13-omega*e_base))*(A24/sref)^(Parametros!$B$13-1))),DEGREES(ATAN(TAN(RADIANS(Parametros!$E$14-omega*e_base))*(A24/sref)^(Parametros!$B$14-1))))</f>
        <v>28.012825955117087</v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MAX(DEGREES(ATAN(TAN(RADIANS(Parametros!$F$12-omega*e_base))*(A24/sref)^(Parametros!$B$12-1))),DEGREES(ATAN(TAN(RADIANS(Parametros!$F$13-omega*e_base))*(A24/sref)^(Parametros!$B$13-1))),DEGREES(ATAN(TAN(RADIANS(Parametros!$F$14-omega*e_base))*(A24/sref)^(Parametros!$B$14-1))))</f>
        <v>33.141428830317707</v>
      </c>
      <c r="G24">
        <f t="shared" si="2"/>
        <v>4.7879694736559708</v>
      </c>
      <c r="H24">
        <f t="shared" si="3"/>
        <v>5.8763036882759447</v>
      </c>
      <c r="I24">
        <f t="shared" si="4"/>
        <v>4.9712386808606874</v>
      </c>
      <c r="J24">
        <f t="shared" si="5"/>
        <v>4.6210655054345491</v>
      </c>
      <c r="K24">
        <f t="shared" si="6"/>
        <v>0.24343740098427244</v>
      </c>
      <c r="L24">
        <f t="shared" si="7"/>
        <v>6.1764895676578</v>
      </c>
      <c r="M24">
        <v>0.16489999999999999</v>
      </c>
      <c r="N24">
        <f t="shared" si="8"/>
        <v>6.5247259726201623</v>
      </c>
      <c r="O24">
        <f t="shared" si="9"/>
        <v>27.563668829385282</v>
      </c>
      <c r="P24">
        <f t="shared" si="10"/>
        <v>29.737698750251695</v>
      </c>
      <c r="Q24">
        <f t="shared" si="11"/>
        <v>4.697822086098248</v>
      </c>
      <c r="R24">
        <f t="shared" si="12"/>
        <v>5.1413606160362493</v>
      </c>
      <c r="S24">
        <f t="shared" si="13"/>
        <v>6.7819864509251477</v>
      </c>
      <c r="T24">
        <v>33</v>
      </c>
    </row>
    <row r="25" spans="1:20" x14ac:dyDescent="0.3">
      <c r="A25">
        <v>10</v>
      </c>
      <c r="B25" t="s">
        <v>331</v>
      </c>
      <c r="C25">
        <f t="shared" si="0"/>
        <v>5.8410363414661646</v>
      </c>
      <c r="D25">
        <f t="shared" si="1"/>
        <v>30.289355853727038</v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MIN(DEGREES(ATAN(TAN(RADIANS(Parametros!$E$12-omega*e_base))*(A25/sref)^(Parametros!$B$12-1))),DEGREES(ATAN(TAN(RADIANS(Parametros!$E$13-omega*e_base))*(A25/sref)^(Parametros!$B$13-1))),DEGREES(ATAN(TAN(RADIANS(Parametros!$E$14-omega*e_base))*(A25/sref)^(Parametros!$B$14-1))))</f>
        <v>27.599351967258766</v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MAX(DEGREES(ATAN(TAN(RADIANS(Parametros!$F$12-omega*e_base))*(A25/sref)^(Parametros!$B$12-1))),DEGREES(ATAN(TAN(RADIANS(Parametros!$F$13-omega*e_base))*(A25/sref)^(Parametros!$B$13-1))),DEGREES(ATAN(TAN(RADIANS(Parametros!$F$14-omega*e_base))*(A25/sref)^(Parametros!$B$14-1))))</f>
        <v>32.761199206658382</v>
      </c>
      <c r="G25">
        <f t="shared" si="2"/>
        <v>5.2277296481750106</v>
      </c>
      <c r="H25">
        <f t="shared" si="3"/>
        <v>6.4349798150417854</v>
      </c>
      <c r="I25">
        <f t="shared" si="4"/>
        <v>5.4369893476355298</v>
      </c>
      <c r="J25">
        <f t="shared" si="5"/>
        <v>5.0540087774308429</v>
      </c>
      <c r="K25">
        <f t="shared" si="6"/>
        <v>0.23819536556346421</v>
      </c>
      <c r="L25">
        <f t="shared" si="7"/>
        <v>6.7799531547340424</v>
      </c>
      <c r="M25">
        <v>0.14960000000000001</v>
      </c>
      <c r="N25">
        <f t="shared" si="8"/>
        <v>7.2126580816772936</v>
      </c>
      <c r="O25">
        <f t="shared" si="9"/>
        <v>27.316782831696422</v>
      </c>
      <c r="P25">
        <f t="shared" si="10"/>
        <v>29.473220310816686</v>
      </c>
      <c r="Q25">
        <f t="shared" si="11"/>
        <v>5.1650949175785668</v>
      </c>
      <c r="R25">
        <f t="shared" si="12"/>
        <v>5.651559353158139</v>
      </c>
      <c r="S25">
        <f t="shared" si="13"/>
        <v>7.5355405010279419</v>
      </c>
      <c r="T25">
        <v>33</v>
      </c>
    </row>
    <row r="26" spans="1:20" x14ac:dyDescent="0.3">
      <c r="A26">
        <v>11</v>
      </c>
      <c r="B26" t="s">
        <v>331</v>
      </c>
      <c r="C26">
        <f t="shared" si="0"/>
        <v>6.3339362900630594</v>
      </c>
      <c r="D26">
        <f t="shared" si="1"/>
        <v>29.93387050233035</v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MIN(DEGREES(ATAN(TAN(RADIANS(Parametros!$E$12-omega*e_base))*(A26/sref)^(Parametros!$B$12-1))),DEGREES(ATAN(TAN(RADIANS(Parametros!$E$13-omega*e_base))*(A26/sref)^(Parametros!$B$13-1))),DEGREES(ATAN(TAN(RADIANS(Parametros!$E$14-omega*e_base))*(A26/sref)^(Parametros!$B$14-1))))</f>
        <v>27.228855729163424</v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MAX(DEGREES(ATAN(TAN(RADIANS(Parametros!$F$12-omega*e_base))*(A26/sref)^(Parametros!$B$12-1))),DEGREES(ATAN(TAN(RADIANS(Parametros!$F$13-omega*e_base))*(A26/sref)^(Parametros!$B$13-1))),DEGREES(ATAN(TAN(RADIANS(Parametros!$F$14-omega*e_base))*(A26/sref)^(Parametros!$B$14-1))))</f>
        <v>32.419205532662907</v>
      </c>
      <c r="G26">
        <f t="shared" si="2"/>
        <v>5.6602370450944033</v>
      </c>
      <c r="H26">
        <f t="shared" si="3"/>
        <v>6.9859855592837716</v>
      </c>
      <c r="I26">
        <f t="shared" si="4"/>
        <v>5.8957935072581238</v>
      </c>
      <c r="J26">
        <f t="shared" si="5"/>
        <v>5.4804948530128721</v>
      </c>
      <c r="K26">
        <f t="shared" si="6"/>
        <v>0.23345336771561334</v>
      </c>
      <c r="L26">
        <f t="shared" si="7"/>
        <v>7.3764870791874584</v>
      </c>
      <c r="M26">
        <v>0.13919999999999999</v>
      </c>
      <c r="N26">
        <f t="shared" si="8"/>
        <v>7.8783090150552226</v>
      </c>
      <c r="O26">
        <f t="shared" si="9"/>
        <v>27.094740075187069</v>
      </c>
      <c r="P26">
        <f t="shared" si="10"/>
        <v>29.235229601132769</v>
      </c>
      <c r="Q26">
        <f t="shared" si="11"/>
        <v>5.6277101769822231</v>
      </c>
      <c r="R26">
        <f t="shared" si="12"/>
        <v>6.156571452769291</v>
      </c>
      <c r="S26">
        <f t="shared" si="13"/>
        <v>8.2890945511307361</v>
      </c>
      <c r="T26">
        <v>30</v>
      </c>
    </row>
    <row r="27" spans="1:20" x14ac:dyDescent="0.3">
      <c r="A27">
        <v>12</v>
      </c>
      <c r="B27" t="s">
        <v>331</v>
      </c>
      <c r="C27">
        <f t="shared" si="0"/>
        <v>6.8201506435064072</v>
      </c>
      <c r="D27">
        <f t="shared" si="1"/>
        <v>29.611556558471808</v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MIN(DEGREES(ATAN(TAN(RADIANS(Parametros!$E$12-omega*e_base))*(A27/sref)^(Parametros!$B$12-1))),DEGREES(ATAN(TAN(RADIANS(Parametros!$E$13-omega*e_base))*(A27/sref)^(Parametros!$B$13-1))),DEGREES(ATAN(TAN(RADIANS(Parametros!$E$14-omega*e_base))*(A27/sref)^(Parametros!$B$14-1))))</f>
        <v>26.893580018866807</v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MAX(DEGREES(ATAN(TAN(RADIANS(Parametros!$F$12-omega*e_base))*(A27/sref)^(Parametros!$B$12-1))),DEGREES(ATAN(TAN(RADIANS(Parametros!$F$13-omega*e_base))*(A27/sref)^(Parametros!$B$13-1))),DEGREES(ATAN(TAN(RADIANS(Parametros!$F$14-omega*e_base))*(A27/sref)^(Parametros!$B$14-1))))</f>
        <v>32.108654067476138</v>
      </c>
      <c r="G27">
        <f t="shared" si="2"/>
        <v>6.0862568895866982</v>
      </c>
      <c r="H27">
        <f t="shared" si="3"/>
        <v>7.5301117794787658</v>
      </c>
      <c r="I27">
        <f t="shared" si="4"/>
        <v>6.3483745401087814</v>
      </c>
      <c r="J27">
        <f t="shared" si="5"/>
        <v>5.901196157774609</v>
      </c>
      <c r="K27">
        <f t="shared" si="6"/>
        <v>0.22912426285744958</v>
      </c>
      <c r="L27">
        <f t="shared" si="7"/>
        <v>7.9667922675243918</v>
      </c>
      <c r="M27">
        <v>0.1295</v>
      </c>
      <c r="N27">
        <f t="shared" si="8"/>
        <v>8.5407376762294813</v>
      </c>
      <c r="O27">
        <f t="shared" si="9"/>
        <v>26.893108961986318</v>
      </c>
      <c r="P27">
        <f t="shared" si="10"/>
        <v>29.01901461672696</v>
      </c>
      <c r="Q27">
        <f t="shared" si="11"/>
        <v>6.0861328534430204</v>
      </c>
      <c r="R27">
        <f t="shared" si="12"/>
        <v>6.6569156175441737</v>
      </c>
      <c r="S27">
        <f t="shared" si="13"/>
        <v>9.0426486012335303</v>
      </c>
      <c r="T27">
        <v>30</v>
      </c>
    </row>
    <row r="28" spans="1:20" x14ac:dyDescent="0.3">
      <c r="A28">
        <v>13</v>
      </c>
      <c r="B28" t="s">
        <v>331</v>
      </c>
      <c r="C28">
        <f t="shared" si="0"/>
        <v>7.300317655243985</v>
      </c>
      <c r="D28">
        <f t="shared" si="1"/>
        <v>29.316950355047766</v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MIN(DEGREES(ATAN(TAN(RADIANS(Parametros!$E$12-omega*e_base))*(A28/sref)^(Parametros!$B$12-1))),DEGREES(ATAN(TAN(RADIANS(Parametros!$E$13-omega*e_base))*(A28/sref)^(Parametros!$B$13-1))),DEGREES(ATAN(TAN(RADIANS(Parametros!$E$14-omega*e_base))*(A28/sref)^(Parametros!$B$14-1))))</f>
        <v>26.587671409505656</v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MAX(DEGREES(ATAN(TAN(RADIANS(Parametros!$F$12-omega*e_base))*(A28/sref)^(Parametros!$B$12-1))),DEGREES(ATAN(TAN(RADIANS(Parametros!$F$13-omega*e_base))*(A28/sref)^(Parametros!$B$13-1))),DEGREES(ATAN(TAN(RADIANS(Parametros!$F$14-omega*e_base))*(A28/sref)^(Parametros!$B$14-1))))</f>
        <v>31.824402287410049</v>
      </c>
      <c r="G28">
        <f t="shared" si="2"/>
        <v>6.5064167269055826</v>
      </c>
      <c r="H28">
        <f t="shared" si="3"/>
        <v>8.0680087148690234</v>
      </c>
      <c r="I28">
        <f t="shared" si="4"/>
        <v>6.7953265491846038</v>
      </c>
      <c r="J28">
        <f t="shared" si="5"/>
        <v>6.3166649462028817</v>
      </c>
      <c r="K28">
        <f t="shared" si="6"/>
        <v>0.22514187243175401</v>
      </c>
      <c r="L28">
        <f t="shared" si="7"/>
        <v>8.5514462413180823</v>
      </c>
      <c r="M28">
        <v>0.1221</v>
      </c>
      <c r="N28">
        <f t="shared" si="8"/>
        <v>9.1894191848709283</v>
      </c>
      <c r="O28">
        <f t="shared" si="9"/>
        <v>26.708539166351187</v>
      </c>
      <c r="P28">
        <f t="shared" si="10"/>
        <v>28.821010850428006</v>
      </c>
      <c r="Q28">
        <f t="shared" si="11"/>
        <v>6.5407465968666241</v>
      </c>
      <c r="R28">
        <f t="shared" si="12"/>
        <v>7.1530197362601324</v>
      </c>
      <c r="S28">
        <f t="shared" si="13"/>
        <v>9.7962026513363245</v>
      </c>
      <c r="T28">
        <v>30</v>
      </c>
    </row>
    <row r="29" spans="1:20" x14ac:dyDescent="0.3">
      <c r="A29">
        <v>14</v>
      </c>
      <c r="B29" t="s">
        <v>331</v>
      </c>
      <c r="C29">
        <f t="shared" si="0"/>
        <v>7.7749702987012528</v>
      </c>
      <c r="D29">
        <f t="shared" si="1"/>
        <v>29.045823437290593</v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MIN(DEGREES(ATAN(TAN(RADIANS(Parametros!$E$12-omega*e_base))*(A29/sref)^(Parametros!$B$12-1))),DEGREES(ATAN(TAN(RADIANS(Parametros!$E$13-omega*e_base))*(A29/sref)^(Parametros!$B$13-1))),DEGREES(ATAN(TAN(RADIANS(Parametros!$E$14-omega*e_base))*(A29/sref)^(Parametros!$B$14-1))))</f>
        <v>26.30660722235314</v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MAX(DEGREES(ATAN(TAN(RADIANS(Parametros!$F$12-omega*e_base))*(A29/sref)^(Parametros!$B$12-1))),DEGREES(ATAN(TAN(RADIANS(Parametros!$F$13-omega*e_base))*(A29/sref)^(Parametros!$B$13-1))),DEGREES(ATAN(TAN(RADIANS(Parametros!$F$14-omega*e_base))*(A29/sref)^(Parametros!$B$14-1))))</f>
        <v>31.562465221966317</v>
      </c>
      <c r="G29">
        <f t="shared" si="2"/>
        <v>6.9212398834037687</v>
      </c>
      <c r="H29">
        <f t="shared" si="3"/>
        <v>8.6002198962589862</v>
      </c>
      <c r="I29">
        <f t="shared" si="4"/>
        <v>7.2371456400852487</v>
      </c>
      <c r="J29">
        <f t="shared" si="5"/>
        <v>6.7273623783064522</v>
      </c>
      <c r="K29">
        <f t="shared" si="6"/>
        <v>0.22145475479979676</v>
      </c>
      <c r="L29">
        <f t="shared" si="7"/>
        <v>9.1309326836063232</v>
      </c>
      <c r="O29">
        <f t="shared" si="9"/>
        <v>26.538437248205462</v>
      </c>
      <c r="P29">
        <f t="shared" si="10"/>
        <v>28.638457536754313</v>
      </c>
      <c r="Q29">
        <f t="shared" si="11"/>
        <v>6.9918731248849939</v>
      </c>
      <c r="R29">
        <f t="shared" si="12"/>
        <v>7.6452425635966517</v>
      </c>
      <c r="S29">
        <f t="shared" si="13"/>
        <v>10.549756701439119</v>
      </c>
      <c r="T29">
        <v>30</v>
      </c>
    </row>
    <row r="30" spans="1:20" x14ac:dyDescent="0.3">
      <c r="A30">
        <v>15</v>
      </c>
      <c r="B30" t="s">
        <v>331</v>
      </c>
      <c r="C30">
        <f t="shared" si="0"/>
        <v>8.2445599159696386</v>
      </c>
      <c r="D30">
        <f t="shared" si="1"/>
        <v>28.794837679589438</v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MIN(DEGREES(ATAN(TAN(RADIANS(Parametros!$E$12-omega*e_base))*(A30/sref)^(Parametros!$B$12-1))),DEGREES(ATAN(TAN(RADIANS(Parametros!$E$13-omega*e_base))*(A30/sref)^(Parametros!$B$13-1))),DEGREES(ATAN(TAN(RADIANS(Parametros!$E$14-omega*e_base))*(A30/sref)^(Parametros!$B$14-1))))</f>
        <v>26.046822508529907</v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MAX(DEGREES(ATAN(TAN(RADIANS(Parametros!$F$12-omega*e_base))*(A30/sref)^(Parametros!$B$12-1))),DEGREES(ATAN(TAN(RADIANS(Parametros!$F$13-omega*e_base))*(A30/sref)^(Parametros!$B$13-1))),DEGREES(ATAN(TAN(RADIANS(Parametros!$F$14-omega*e_base))*(A30/sref)^(Parametros!$B$14-1))))</f>
        <v>31.319693237230645</v>
      </c>
      <c r="G30">
        <f t="shared" si="2"/>
        <v>7.3311689819432262</v>
      </c>
      <c r="H30">
        <f t="shared" si="3"/>
        <v>9.1272060347856279</v>
      </c>
      <c r="I30">
        <f t="shared" si="4"/>
        <v>7.6742519338303046</v>
      </c>
      <c r="J30">
        <f t="shared" si="5"/>
        <v>7.1336789818544251</v>
      </c>
      <c r="K30">
        <f t="shared" si="6"/>
        <v>0.21802213040668517</v>
      </c>
      <c r="L30">
        <f t="shared" si="7"/>
        <v>9.7056623089480709</v>
      </c>
      <c r="O30">
        <f t="shared" si="9"/>
        <v>26.380755269082954</v>
      </c>
      <c r="P30">
        <f t="shared" si="10"/>
        <v>28.469173507227122</v>
      </c>
      <c r="Q30">
        <f t="shared" si="11"/>
        <v>7.4397859388595071</v>
      </c>
      <c r="R30">
        <f t="shared" si="12"/>
        <v>8.1338890398616215</v>
      </c>
      <c r="S30">
        <f t="shared" si="13"/>
        <v>11.303310751541913</v>
      </c>
      <c r="T30">
        <v>30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12" customWidth="1"/>
    <col min="3" max="3" width="8" customWidth="1"/>
    <col min="4" max="4" width="9" customWidth="1"/>
    <col min="5" max="5" width="12" customWidth="1"/>
    <col min="6" max="6" width="3" customWidth="1"/>
    <col min="7" max="7" width="6" customWidth="1"/>
    <col min="8" max="12" width="12" customWidth="1"/>
    <col min="13" max="13" width="3" customWidth="1"/>
    <col min="14" max="14" width="14" customWidth="1"/>
  </cols>
  <sheetData>
    <row r="1" spans="1:14" ht="43.2" x14ac:dyDescent="0.3">
      <c r="A1" s="1" t="s">
        <v>332</v>
      </c>
      <c r="B1" s="1" t="s">
        <v>61</v>
      </c>
      <c r="C1" s="1" t="s">
        <v>333</v>
      </c>
      <c r="D1" s="1" t="s">
        <v>334</v>
      </c>
      <c r="E1" s="1" t="s">
        <v>335</v>
      </c>
      <c r="F1" s="1"/>
      <c r="G1" s="1" t="s">
        <v>336</v>
      </c>
      <c r="H1" s="1" t="s">
        <v>337</v>
      </c>
      <c r="I1" s="1" t="s">
        <v>338</v>
      </c>
      <c r="J1" s="1" t="s">
        <v>339</v>
      </c>
      <c r="K1" s="1" t="s">
        <v>340</v>
      </c>
      <c r="L1" s="1" t="s">
        <v>341</v>
      </c>
      <c r="M1" s="1"/>
      <c r="N1" s="1" t="s">
        <v>342</v>
      </c>
    </row>
    <row r="2" spans="1:14" x14ac:dyDescent="0.3">
      <c r="A2" t="s">
        <v>343</v>
      </c>
      <c r="B2" t="s">
        <v>84</v>
      </c>
      <c r="C2">
        <f>COUNTIFS(Ensayos!$A$2:$A$500,"G2012",Ensayos!$B$2:$B$500,"G2012-MN-C",Ensayos!$F$2:$F$500,"Ajuste de la curva propuesta")</f>
        <v>5</v>
      </c>
      <c r="D2">
        <f>AVERAGEIFS(Ensayos!$J$2:$J$500,Ensayos!$A$2:$A$500,"G2012",Ensayos!$B$2:$B$500,"G2012-MN-C",Ensayos!$F$2:$F$500,"Ajuste de la curva propuesta")</f>
        <v>0.31196844660194167</v>
      </c>
      <c r="E2">
        <f>AVERAGEIFS(Ensayos!$V$2:$V$500,Ensayos!$A$2:$A$500,"G2012",Ensayos!$B$2:$B$500,"G2012-MN-C",Ensayos!$F$2:$F$500,"Ajuste de la curva propuesta")</f>
        <v>40.230246841739401</v>
      </c>
      <c r="G2">
        <v>0</v>
      </c>
      <c r="H2">
        <f t="shared" ref="H2:H18" si="0">pe0-omega*G2</f>
        <v>48.470477338834783</v>
      </c>
      <c r="I2">
        <v>46</v>
      </c>
      <c r="J2">
        <v>41</v>
      </c>
      <c r="K2">
        <v>36</v>
      </c>
      <c r="L2">
        <v>33</v>
      </c>
      <c r="N2">
        <f t="shared" ref="N2:N14" si="1">E2+omega*D2</f>
        <v>46.469615773778237</v>
      </c>
    </row>
    <row r="3" spans="1:14" x14ac:dyDescent="0.3">
      <c r="A3" t="s">
        <v>344</v>
      </c>
      <c r="B3" t="s">
        <v>100</v>
      </c>
      <c r="C3">
        <f>COUNTIFS(Ensayos!$A$2:$A$500,"G2021",Ensayos!$B$2:$B$500,"G21-DESM-COMP",Ensayos!$F$2:$F$500,"Ajuste de la curva propuesta")</f>
        <v>3</v>
      </c>
      <c r="D3">
        <f>AVERAGEIFS(Ensayos!$J$2:$J$500,Ensayos!$A$2:$A$500,"G2021",Ensayos!$B$2:$B$500,"G21-DESM-COMP",Ensayos!$F$2:$F$500,"Ajuste de la curva propuesta")</f>
        <v>0.32270402115445451</v>
      </c>
      <c r="E3">
        <f>AVERAGEIFS(Ensayos!$V$2:$V$500,Ensayos!$A$2:$A$500,"G2021",Ensayos!$B$2:$B$500,"G21-DESM-COMP",Ensayos!$F$2:$F$500,"Ajuste de la curva propuesta")</f>
        <v>37.544230167901944</v>
      </c>
      <c r="G3">
        <v>0.05</v>
      </c>
      <c r="H3">
        <f t="shared" si="0"/>
        <v>47.470477338834783</v>
      </c>
      <c r="I3">
        <v>46</v>
      </c>
      <c r="J3">
        <v>41</v>
      </c>
      <c r="K3">
        <v>36</v>
      </c>
      <c r="L3">
        <v>33</v>
      </c>
      <c r="N3">
        <f t="shared" si="1"/>
        <v>43.998310590991032</v>
      </c>
    </row>
    <row r="4" spans="1:14" x14ac:dyDescent="0.3">
      <c r="A4" t="s">
        <v>345</v>
      </c>
      <c r="B4" t="s">
        <v>109</v>
      </c>
      <c r="C4">
        <f>COUNTIFS(Ensayos!$A$2:$A$500,"W2022",Ensayos!$B$2:$B$500,"HF-1.0m-IDIEM-mono",Ensayos!$F$2:$F$500,"Ajuste de la curva propuesta")</f>
        <v>3</v>
      </c>
      <c r="D4">
        <f>AVERAGEIFS(Ensayos!$J$2:$J$500,Ensayos!$A$2:$A$500,"W2022",Ensayos!$B$2:$B$500,"HF-1.0m-IDIEM-mono",Ensayos!$F$2:$F$500,"Ajuste de la curva propuesta")</f>
        <v>0.33173131067961159</v>
      </c>
      <c r="E4">
        <f>AVERAGEIFS(Ensayos!$V$2:$V$500,Ensayos!$A$2:$A$500,"W2022",Ensayos!$B$2:$B$500,"HF-1.0m-IDIEM-mono",Ensayos!$F$2:$F$500,"Ajuste de la curva propuesta")</f>
        <v>48.254234336063867</v>
      </c>
      <c r="G4">
        <v>0.1</v>
      </c>
      <c r="H4">
        <f t="shared" si="0"/>
        <v>46.470477338834783</v>
      </c>
      <c r="I4">
        <v>46</v>
      </c>
      <c r="J4">
        <v>41</v>
      </c>
      <c r="K4">
        <v>36</v>
      </c>
      <c r="L4">
        <v>33</v>
      </c>
      <c r="N4">
        <f t="shared" si="1"/>
        <v>54.888860549656101</v>
      </c>
    </row>
    <row r="5" spans="1:14" x14ac:dyDescent="0.3">
      <c r="A5" t="s">
        <v>346</v>
      </c>
      <c r="B5" t="s">
        <v>109</v>
      </c>
      <c r="C5">
        <f>COUNTIFS(Ensayos!$A$2:$A$500,"W2022",Ensayos!$B$2:$B$500,"HF-1.0m-IDIEM-cd",Ensayos!$F$2:$F$500,"Ajuste de la curva propuesta")</f>
        <v>3</v>
      </c>
      <c r="D5">
        <f>AVERAGEIFS(Ensayos!$J$2:$J$500,Ensayos!$A$2:$A$500,"W2022",Ensayos!$B$2:$B$500,"HF-1.0m-IDIEM-cd",Ensayos!$F$2:$F$500,"Ajuste de la curva propuesta")</f>
        <v>0.35743023255813949</v>
      </c>
      <c r="E5">
        <f>AVERAGEIFS(Ensayos!$V$2:$V$500,Ensayos!$A$2:$A$500,"W2022",Ensayos!$B$2:$B$500,"HF-1.0m-IDIEM-cd",Ensayos!$F$2:$F$500,"Ajuste de la curva propuesta")</f>
        <v>48.9772611716445</v>
      </c>
      <c r="G5">
        <v>0.15</v>
      </c>
      <c r="H5">
        <f t="shared" si="0"/>
        <v>45.470477338834783</v>
      </c>
      <c r="I5">
        <v>46</v>
      </c>
      <c r="J5">
        <v>41</v>
      </c>
      <c r="K5">
        <v>36</v>
      </c>
      <c r="L5">
        <v>33</v>
      </c>
      <c r="N5">
        <f t="shared" si="1"/>
        <v>56.125865822807292</v>
      </c>
    </row>
    <row r="6" spans="1:14" x14ac:dyDescent="0.3">
      <c r="A6" t="s">
        <v>347</v>
      </c>
      <c r="B6" t="s">
        <v>109</v>
      </c>
      <c r="C6">
        <f>COUNTIFS(Ensayos!$A$2:$A$500,"W2022",Ensayos!$B$2:$B$500,"HF-0.15m-Golder",Ensayos!$F$2:$F$500,"Ajuste de la curva propuesta")</f>
        <v>1</v>
      </c>
      <c r="D6">
        <f>AVERAGEIFS(Ensayos!$J$2:$J$500,Ensayos!$A$2:$A$500,"W2022",Ensayos!$B$2:$B$500,"HF-0.15m-Golder",Ensayos!$F$2:$F$500,"Ajuste de la curva propuesta")</f>
        <v>0.33302551020408178</v>
      </c>
      <c r="E6">
        <f>AVERAGEIFS(Ensayos!$V$2:$V$500,Ensayos!$A$2:$A$500,"W2022",Ensayos!$B$2:$B$500,"HF-0.15m-Golder",Ensayos!$F$2:$F$500,"Ajuste de la curva propuesta")</f>
        <v>44.846282240813238</v>
      </c>
      <c r="G6">
        <v>0.2</v>
      </c>
      <c r="H6">
        <f t="shared" si="0"/>
        <v>44.470477338834783</v>
      </c>
      <c r="I6">
        <v>46</v>
      </c>
      <c r="J6">
        <v>41</v>
      </c>
      <c r="K6">
        <v>36</v>
      </c>
      <c r="L6">
        <v>33</v>
      </c>
      <c r="N6">
        <f t="shared" si="1"/>
        <v>51.50679244489487</v>
      </c>
    </row>
    <row r="7" spans="1:14" x14ac:dyDescent="0.3">
      <c r="A7" t="s">
        <v>348</v>
      </c>
      <c r="B7" t="s">
        <v>84</v>
      </c>
      <c r="C7">
        <f>COUNTIFS(Ensayos!$A$2:$A$500,"W2022",Ensayos!$B$2:$B$500,"MN-0.15m-Golder",Ensayos!$F$2:$F$500,"Ajuste de la curva propuesta")</f>
        <v>1</v>
      </c>
      <c r="D7">
        <f>AVERAGEIFS(Ensayos!$J$2:$J$500,Ensayos!$A$2:$A$500,"W2022",Ensayos!$B$2:$B$500,"MN-0.15m-Golder",Ensayos!$F$2:$F$500,"Ajuste de la curva propuesta")</f>
        <v>0.32678203240058901</v>
      </c>
      <c r="E7">
        <f>AVERAGEIFS(Ensayos!$V$2:$V$500,Ensayos!$A$2:$A$500,"W2022",Ensayos!$B$2:$B$500,"MN-0.15m-Golder",Ensayos!$F$2:$F$500,"Ajuste de la curva propuesta")</f>
        <v>43.533822348253835</v>
      </c>
      <c r="G7">
        <v>0.25</v>
      </c>
      <c r="H7">
        <f t="shared" si="0"/>
        <v>43.470477338834783</v>
      </c>
      <c r="I7">
        <v>46</v>
      </c>
      <c r="J7">
        <v>41</v>
      </c>
      <c r="K7">
        <v>36</v>
      </c>
      <c r="L7">
        <v>33</v>
      </c>
      <c r="N7">
        <f t="shared" si="1"/>
        <v>50.069462996265614</v>
      </c>
    </row>
    <row r="8" spans="1:14" x14ac:dyDescent="0.3">
      <c r="A8" t="s">
        <v>349</v>
      </c>
      <c r="B8" t="s">
        <v>132</v>
      </c>
      <c r="C8">
        <f>COUNTIFS(Ensayos!$A$2:$A$500,"W2024",Ensayos!$B$2:$B$500,"WSP24_C4_MON",Ensayos!$F$2:$F$500,"Ajuste de la curva propuesta")</f>
        <v>3</v>
      </c>
      <c r="D8">
        <f>AVERAGEIFS(Ensayos!$J$2:$J$500,Ensayos!$A$2:$A$500,"W2024",Ensayos!$B$2:$B$500,"WSP24_C4_MON",Ensayos!$F$2:$F$500,"Ajuste de la curva propuesta")</f>
        <v>0.35400000000000009</v>
      </c>
      <c r="E8">
        <f>AVERAGEIFS(Ensayos!$V$2:$V$500,Ensayos!$A$2:$A$500,"W2024",Ensayos!$B$2:$B$500,"WSP24_C4_MON",Ensayos!$F$2:$F$500,"Ajuste de la curva propuesta")</f>
        <v>41.40806468833663</v>
      </c>
      <c r="G8">
        <v>0.3</v>
      </c>
      <c r="H8">
        <f t="shared" si="0"/>
        <v>42.470477338834783</v>
      </c>
      <c r="I8">
        <v>46</v>
      </c>
      <c r="J8">
        <v>41</v>
      </c>
      <c r="K8">
        <v>36</v>
      </c>
      <c r="L8">
        <v>33</v>
      </c>
      <c r="N8">
        <f t="shared" si="1"/>
        <v>48.488064688336635</v>
      </c>
    </row>
    <row r="9" spans="1:14" x14ac:dyDescent="0.3">
      <c r="A9" t="s">
        <v>350</v>
      </c>
      <c r="B9" t="s">
        <v>132</v>
      </c>
      <c r="C9">
        <f>COUNTIFS(Ensayos!$A$2:$A$500,"I2025",Ensayos!$B$2:$B$500,"Codisposal 1 (100% Intrusivo)",Ensayos!$F$2:$F$500,"Ajuste de la curva propuesta")</f>
        <v>3</v>
      </c>
      <c r="D9">
        <f>AVERAGEIFS(Ensayos!$J$2:$J$500,Ensayos!$A$2:$A$500,"I2025",Ensayos!$B$2:$B$500,"Codisposal 1 (100% Intrusivo)",Ensayos!$F$2:$F$500,"Ajuste de la curva propuesta")</f>
        <v>0.28958640776699052</v>
      </c>
      <c r="E9">
        <f>AVERAGEIFS(Ensayos!$V$2:$V$500,Ensayos!$A$2:$A$500,"I2025",Ensayos!$B$2:$B$500,"Codisposal 1 (100% Intrusivo)",Ensayos!$F$2:$F$500,"Ajuste de la curva propuesta")</f>
        <v>41.402903987756851</v>
      </c>
      <c r="G9">
        <v>0.35</v>
      </c>
      <c r="H9">
        <f t="shared" si="0"/>
        <v>41.470477338834783</v>
      </c>
      <c r="I9">
        <v>46</v>
      </c>
      <c r="J9">
        <v>41</v>
      </c>
      <c r="K9">
        <v>36</v>
      </c>
      <c r="L9">
        <v>33</v>
      </c>
      <c r="N9">
        <f t="shared" si="1"/>
        <v>47.194632143096662</v>
      </c>
    </row>
    <row r="10" spans="1:14" x14ac:dyDescent="0.3">
      <c r="A10" t="s">
        <v>351</v>
      </c>
      <c r="B10" t="s">
        <v>109</v>
      </c>
      <c r="C10">
        <f>COUNTIFS(Ensayos!$A$2:$A$500,"A2024DS",Ensayos!$B$2:$B$500,"Ruma 02",Ensayos!$F$2:$F$500,"Ajuste de la curva propuesta")</f>
        <v>3</v>
      </c>
      <c r="D10">
        <f>AVERAGEIFS(Ensayos!$J$2:$J$500,Ensayos!$A$2:$A$500,"A2024DS",Ensayos!$B$2:$B$500,"Ruma 02",Ensayos!$F$2:$F$500,"Ajuste de la curva propuesta")</f>
        <v>0.3316666666666665</v>
      </c>
      <c r="E10">
        <f>AVERAGEIFS(Ensayos!$V$2:$V$500,Ensayos!$A$2:$A$500,"A2024DS",Ensayos!$B$2:$B$500,"Ruma 02",Ensayos!$F$2:$F$500,"Ajuste de la curva propuesta")</f>
        <v>37.370259092071876</v>
      </c>
      <c r="G10">
        <v>0.4</v>
      </c>
      <c r="H10">
        <f t="shared" si="0"/>
        <v>40.470477338834783</v>
      </c>
      <c r="I10">
        <v>46</v>
      </c>
      <c r="J10">
        <v>41</v>
      </c>
      <c r="K10">
        <v>36</v>
      </c>
      <c r="L10">
        <v>33</v>
      </c>
      <c r="N10">
        <f t="shared" si="1"/>
        <v>44.003592425405209</v>
      </c>
    </row>
    <row r="11" spans="1:14" x14ac:dyDescent="0.3">
      <c r="A11" t="s">
        <v>352</v>
      </c>
      <c r="B11" t="s">
        <v>132</v>
      </c>
      <c r="C11">
        <f>COUNTIFS(Ensayos!$A$2:$A$500,"A2024DS",Ensayos!$B$2:$B$500,"Ruma 03 / Fase 10 A",Ensayos!$F$2:$F$500,"Ajuste de la curva propuesta")</f>
        <v>3</v>
      </c>
      <c r="D11">
        <f>AVERAGEIFS(Ensayos!$J$2:$J$500,Ensayos!$A$2:$A$500,"A2024DS",Ensayos!$B$2:$B$500,"Ruma 03 / Fase 10 A",Ensayos!$F$2:$F$500,"Ajuste de la curva propuesta")</f>
        <v>0.40968245705361789</v>
      </c>
      <c r="E11">
        <f>AVERAGEIFS(Ensayos!$V$2:$V$500,Ensayos!$A$2:$A$500,"A2024DS",Ensayos!$B$2:$B$500,"Ruma 03 / Fase 10 A",Ensayos!$F$2:$F$500,"Ajuste de la curva propuesta")</f>
        <v>35.695459861850878</v>
      </c>
      <c r="G11">
        <v>0.45</v>
      </c>
      <c r="H11">
        <f t="shared" si="0"/>
        <v>39.470477338834783</v>
      </c>
      <c r="I11">
        <v>46</v>
      </c>
      <c r="J11">
        <v>41</v>
      </c>
      <c r="K11">
        <v>36</v>
      </c>
      <c r="L11">
        <v>33</v>
      </c>
      <c r="N11">
        <f t="shared" si="1"/>
        <v>43.889109002923234</v>
      </c>
    </row>
    <row r="12" spans="1:14" x14ac:dyDescent="0.3">
      <c r="A12" t="s">
        <v>353</v>
      </c>
      <c r="B12" t="s">
        <v>84</v>
      </c>
      <c r="C12">
        <f>COUNTIFS(Ensayos!$A$2:$A$500,"A2024DS",Ensayos!$B$2:$B$500,"Ruma 01",Ensayos!$F$2:$F$500,"Ajuste de la curva propuesta")</f>
        <v>3</v>
      </c>
      <c r="D12">
        <f>AVERAGEIFS(Ensayos!$J$2:$J$500,Ensayos!$A$2:$A$500,"A2024DS",Ensayos!$B$2:$B$500,"Ruma 01",Ensayos!$F$2:$F$500,"Ajuste de la curva propuesta")</f>
        <v>0.26202473660100778</v>
      </c>
      <c r="E12">
        <f>AVERAGEIFS(Ensayos!$V$2:$V$500,Ensayos!$A$2:$A$500,"A2024DS",Ensayos!$B$2:$B$500,"Ruma 01",Ensayos!$F$2:$F$500,"Ajuste de la curva propuesta")</f>
        <v>35.774430304602866</v>
      </c>
      <c r="G12">
        <v>0.5</v>
      </c>
      <c r="H12">
        <f t="shared" si="0"/>
        <v>38.470477338834783</v>
      </c>
      <c r="I12">
        <v>46</v>
      </c>
      <c r="J12">
        <v>41</v>
      </c>
      <c r="K12">
        <v>36</v>
      </c>
      <c r="L12">
        <v>33</v>
      </c>
      <c r="N12">
        <f t="shared" si="1"/>
        <v>41.014925036623019</v>
      </c>
    </row>
    <row r="13" spans="1:14" x14ac:dyDescent="0.3">
      <c r="A13" t="s">
        <v>354</v>
      </c>
      <c r="B13" t="s">
        <v>100</v>
      </c>
      <c r="C13">
        <f>COUNTIFS(Ensayos!$A$2:$A$500,"A2024DS",Ensayos!$B$2:$B$500,"Pila 01 (Mármol + Hornfels)",Ensayos!$F$2:$F$500,"Ajuste de la curva propuesta")</f>
        <v>3</v>
      </c>
      <c r="D13">
        <f>AVERAGEIFS(Ensayos!$J$2:$J$500,Ensayos!$A$2:$A$500,"A2024DS",Ensayos!$B$2:$B$500,"Pila 01 (Mármol + Hornfels)",Ensayos!$F$2:$F$500,"Ajuste de la curva propuesta")</f>
        <v>0.32557306590257878</v>
      </c>
      <c r="E13">
        <f>AVERAGEIFS(Ensayos!$V$2:$V$500,Ensayos!$A$2:$A$500,"A2024DS",Ensayos!$B$2:$B$500,"Pila 01 (Mármol + Hornfels)",Ensayos!$F$2:$F$500,"Ajuste de la curva propuesta")</f>
        <v>44.008392886228926</v>
      </c>
      <c r="G13">
        <v>0.55000000000000004</v>
      </c>
      <c r="H13">
        <f t="shared" si="0"/>
        <v>37.470477338834783</v>
      </c>
      <c r="I13">
        <v>46</v>
      </c>
      <c r="J13">
        <v>41</v>
      </c>
      <c r="K13">
        <v>36</v>
      </c>
      <c r="L13">
        <v>33</v>
      </c>
      <c r="N13">
        <f t="shared" si="1"/>
        <v>50.519854204280499</v>
      </c>
    </row>
    <row r="14" spans="1:14" x14ac:dyDescent="0.3">
      <c r="A14" t="s">
        <v>355</v>
      </c>
      <c r="B14" t="s">
        <v>132</v>
      </c>
      <c r="C14">
        <f>COUNTIFS(Ensayos!$A$2:$A$500,"A2024DS",Ensayos!$B$2:$B$500,"Pila 02 (Intrusivo)",Ensayos!$F$2:$F$500,"Ajuste de la curva propuesta")</f>
        <v>3</v>
      </c>
      <c r="D14">
        <f>AVERAGEIFS(Ensayos!$J$2:$J$500,Ensayos!$A$2:$A$500,"A2024DS",Ensayos!$B$2:$B$500,"Pila 02 (Intrusivo)",Ensayos!$F$2:$F$500,"Ajuste de la curva propuesta")</f>
        <v>0.478973238667395</v>
      </c>
      <c r="E14">
        <f>AVERAGEIFS(Ensayos!$V$2:$V$500,Ensayos!$A$2:$A$500,"A2024DS",Ensayos!$B$2:$B$500,"Pila 02 (Intrusivo)",Ensayos!$F$2:$F$500,"Ajuste de la curva propuesta")</f>
        <v>43.29381379993557</v>
      </c>
      <c r="G14">
        <v>0.6</v>
      </c>
      <c r="H14">
        <f t="shared" si="0"/>
        <v>36.470477338834783</v>
      </c>
      <c r="I14">
        <v>46</v>
      </c>
      <c r="J14">
        <v>41</v>
      </c>
      <c r="K14">
        <v>36</v>
      </c>
      <c r="L14">
        <v>33</v>
      </c>
      <c r="N14">
        <f t="shared" si="1"/>
        <v>52.873278573283471</v>
      </c>
    </row>
    <row r="15" spans="1:14" x14ac:dyDescent="0.3">
      <c r="G15">
        <v>0.65</v>
      </c>
      <c r="H15">
        <f t="shared" si="0"/>
        <v>35.470477338834783</v>
      </c>
      <c r="I15">
        <v>46</v>
      </c>
      <c r="J15">
        <v>41</v>
      </c>
      <c r="K15">
        <v>36</v>
      </c>
      <c r="L15">
        <v>33</v>
      </c>
      <c r="M15" t="s">
        <v>356</v>
      </c>
      <c r="N15" s="4">
        <f>AVERAGE(N2:N14)</f>
        <v>48.541720327103228</v>
      </c>
    </row>
    <row r="16" spans="1:14" x14ac:dyDescent="0.3">
      <c r="A16" t="s">
        <v>357</v>
      </c>
      <c r="G16">
        <v>0.7</v>
      </c>
      <c r="H16">
        <f t="shared" si="0"/>
        <v>34.470477338834783</v>
      </c>
      <c r="I16">
        <v>46</v>
      </c>
      <c r="J16">
        <v>41</v>
      </c>
      <c r="K16">
        <v>36</v>
      </c>
      <c r="L16">
        <v>33</v>
      </c>
    </row>
    <row r="17" spans="7:14" x14ac:dyDescent="0.3">
      <c r="G17">
        <v>0.75</v>
      </c>
      <c r="H17">
        <f t="shared" si="0"/>
        <v>33.470477338834783</v>
      </c>
      <c r="I17">
        <v>46</v>
      </c>
      <c r="J17">
        <v>41</v>
      </c>
      <c r="K17">
        <v>36</v>
      </c>
      <c r="L17">
        <v>33</v>
      </c>
      <c r="M17" t="s">
        <v>21</v>
      </c>
      <c r="N17" t="s">
        <v>358</v>
      </c>
    </row>
    <row r="18" spans="7:14" x14ac:dyDescent="0.3">
      <c r="G18">
        <v>0.8</v>
      </c>
      <c r="H18">
        <f t="shared" si="0"/>
        <v>32.470477338834783</v>
      </c>
      <c r="I18">
        <v>46</v>
      </c>
      <c r="J18">
        <v>41</v>
      </c>
      <c r="K18">
        <v>36</v>
      </c>
      <c r="L18">
        <v>33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8" customWidth="1"/>
    <col min="3" max="3" width="10" customWidth="1"/>
    <col min="4" max="9" width="12" customWidth="1"/>
  </cols>
  <sheetData>
    <row r="1" spans="1:9" ht="28.8" x14ac:dyDescent="0.3">
      <c r="A1" s="1" t="s">
        <v>39</v>
      </c>
      <c r="B1" s="1" t="s">
        <v>40</v>
      </c>
      <c r="C1" s="1" t="s">
        <v>41</v>
      </c>
      <c r="D1" s="1" t="s">
        <v>359</v>
      </c>
      <c r="E1" s="1" t="s">
        <v>360</v>
      </c>
      <c r="F1" s="1" t="s">
        <v>361</v>
      </c>
      <c r="G1" s="1" t="s">
        <v>362</v>
      </c>
      <c r="H1" s="1" t="s">
        <v>363</v>
      </c>
      <c r="I1" s="1" t="s">
        <v>364</v>
      </c>
    </row>
    <row r="2" spans="1:9" x14ac:dyDescent="0.3">
      <c r="A2" t="s">
        <v>44</v>
      </c>
      <c r="B2">
        <f>Parametros!B12</f>
        <v>0.86199999999999999</v>
      </c>
      <c r="C2">
        <f>Parametros!C12</f>
        <v>48.430521574199773</v>
      </c>
      <c r="D2">
        <f>DEGREES(ATAN(TAN(RADIANS(C2-omega*e_base))*(1/sref)^(B2-1)))</f>
        <v>39.480631343523221</v>
      </c>
      <c r="E2">
        <f>DEGREES(ATAN(TAN(RADIANS(C2-omega*e_base))*(2/sref)^(B2-1)))</f>
        <v>36.819372250983911</v>
      </c>
      <c r="F2">
        <f>DEGREES(ATAN(TAN(RADIANS(C2-omega*e_base))*(3/sref)^(B2-1)))</f>
        <v>35.294097567709308</v>
      </c>
      <c r="G2">
        <f>DEGREES(ATAN(TAN(RADIANS(C2-omega*e_base))*(4.6/sref)^(B2-1)))</f>
        <v>33.716621252349199</v>
      </c>
      <c r="H2">
        <f>DEGREES(ATAN(TAN(RADIANS(C2-omega*e_base))*(8/sref)^(B2-1)))</f>
        <v>31.727301897326509</v>
      </c>
      <c r="I2">
        <f>DEGREES(ATAN(TAN(RADIANS(C2-omega*e_base))*(15/sref)^(B2-1)))</f>
        <v>29.548803417528696</v>
      </c>
    </row>
    <row r="3" spans="1:9" x14ac:dyDescent="0.3">
      <c r="A3" t="s">
        <v>46</v>
      </c>
      <c r="B3">
        <f>Parametros!B13</f>
        <v>0.85</v>
      </c>
      <c r="C3">
        <f>Parametros!C13</f>
        <v>48.470477338834783</v>
      </c>
      <c r="D3">
        <f>DEGREES(ATAN(TAN(RADIANS(C3-omega*e_base))*(1/sref)^(B3-1)))</f>
        <v>39.524960122521513</v>
      </c>
      <c r="E3">
        <f>DEGREES(ATAN(TAN(RADIANS(C3-omega*e_base))*(2/sref)^(B3-1)))</f>
        <v>36.634241362260084</v>
      </c>
      <c r="F3">
        <f>DEGREES(ATAN(TAN(RADIANS(C3-omega*e_base))*(3/sref)^(B3-1)))</f>
        <v>34.981092687766171</v>
      </c>
      <c r="G3">
        <f>DEGREES(ATAN(TAN(RADIANS(C3-omega*e_base))*(4.6/sref)^(B3-1)))</f>
        <v>33.275306584381838</v>
      </c>
      <c r="H3">
        <f>DEGREES(ATAN(TAN(RADIANS(C3-omega*e_base))*(8/sref)^(B3-1)))</f>
        <v>31.131361494139757</v>
      </c>
      <c r="I3">
        <f>DEGREES(ATAN(TAN(RADIANS(C3-omega*e_base))*(15/sref)^(B3-1)))</f>
        <v>28.794837679589431</v>
      </c>
    </row>
    <row r="4" spans="1:9" x14ac:dyDescent="0.3">
      <c r="A4" t="s">
        <v>47</v>
      </c>
      <c r="B4">
        <f>Parametros!B14</f>
        <v>0.83399999999999996</v>
      </c>
      <c r="C4">
        <f>Parametros!C14</f>
        <v>48.525144134710089</v>
      </c>
      <c r="D4">
        <f>DEGREES(ATAN(TAN(RADIANS(C4-omega*e_base))*(1/sref)^(B4-1)))</f>
        <v>39.585461859392424</v>
      </c>
      <c r="E4">
        <f>DEGREES(ATAN(TAN(RADIANS(C4-omega*e_base))*(2/sref)^(B4-1)))</f>
        <v>36.389297947632933</v>
      </c>
      <c r="F4">
        <f>DEGREES(ATAN(TAN(RADIANS(C4-omega*e_base))*(3/sref)^(B4-1)))</f>
        <v>34.567000002856773</v>
      </c>
      <c r="G4">
        <f>DEGREES(ATAN(TAN(RADIANS(C4-omega*e_base))*(4.6/sref)^(B4-1)))</f>
        <v>32.6927316820708</v>
      </c>
      <c r="H4">
        <f>DEGREES(ATAN(TAN(RADIANS(C4-omega*e_base))*(8/sref)^(B4-1)))</f>
        <v>30.348057290853141</v>
      </c>
      <c r="I4">
        <f>DEGREES(ATAN(TAN(RADIANS(C4-omega*e_base))*(15/sref)^(B4-1)))</f>
        <v>27.810030190226268</v>
      </c>
    </row>
    <row r="5" spans="1:9" x14ac:dyDescent="0.3">
      <c r="A5" t="s">
        <v>48</v>
      </c>
      <c r="B5">
        <f>Parametros!B15</f>
        <v>1</v>
      </c>
      <c r="C5">
        <f>Parametros!C15</f>
        <v>48.028927499686112</v>
      </c>
      <c r="D5">
        <f>DEGREES(ATAN(TAN(RADIANS(C5-omega*e_base))*(1/sref)^(B5-1)))</f>
        <v>39.028927499686112</v>
      </c>
      <c r="E5">
        <f>DEGREES(ATAN(TAN(RADIANS(C5-omega*e_base))*(2/sref)^(B5-1)))</f>
        <v>39.028927499686112</v>
      </c>
      <c r="F5">
        <f>DEGREES(ATAN(TAN(RADIANS(C5-omega*e_base))*(3/sref)^(B5-1)))</f>
        <v>39.028927499686112</v>
      </c>
      <c r="G5">
        <f>DEGREES(ATAN(TAN(RADIANS(C5-omega*e_base))*(4.6/sref)^(B5-1)))</f>
        <v>39.028927499686112</v>
      </c>
      <c r="H5">
        <f>DEGREES(ATAN(TAN(RADIANS(C5-omega*e_base))*(8/sref)^(B5-1)))</f>
        <v>39.028927499686112</v>
      </c>
      <c r="I5">
        <f>DEGREES(ATAN(TAN(RADIANS(C5-omega*e_base))*(15/sref)^(B5-1)))</f>
        <v>39.028927499686112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68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40" customWidth="1"/>
    <col min="2" max="2" width="8" customWidth="1"/>
    <col min="3" max="4" width="10" customWidth="1"/>
    <col min="5" max="5" width="12" customWidth="1"/>
    <col min="6" max="6" width="14" customWidth="1"/>
    <col min="7" max="7" width="10" customWidth="1"/>
  </cols>
  <sheetData>
    <row r="1" spans="1:12" ht="28.8" x14ac:dyDescent="0.3">
      <c r="A1" s="1" t="s">
        <v>59</v>
      </c>
      <c r="B1" s="1" t="s">
        <v>336</v>
      </c>
      <c r="C1" s="1" t="s">
        <v>70</v>
      </c>
      <c r="D1" s="1" t="s">
        <v>71</v>
      </c>
      <c r="E1" s="1" t="s">
        <v>365</v>
      </c>
      <c r="F1" s="1" t="s">
        <v>366</v>
      </c>
      <c r="G1" s="1" t="s">
        <v>367</v>
      </c>
      <c r="I1" s="5" t="s">
        <v>368</v>
      </c>
      <c r="J1" s="5" t="s">
        <v>333</v>
      </c>
      <c r="K1" s="5" t="s">
        <v>369</v>
      </c>
      <c r="L1" s="5" t="s">
        <v>370</v>
      </c>
    </row>
    <row r="2" spans="1:12" x14ac:dyDescent="0.3">
      <c r="A2" t="s">
        <v>371</v>
      </c>
      <c r="B2">
        <v>0.30199999999999999</v>
      </c>
      <c r="C2">
        <v>0.17318322808892289</v>
      </c>
      <c r="D2">
        <v>0.2029030363785003</v>
      </c>
      <c r="E2">
        <f t="shared" ref="E2:E65" si="0">DEGREES(ATAN(D2/C2))</f>
        <v>49.518346954805246</v>
      </c>
      <c r="F2">
        <f t="shared" ref="F2:F65" si="1">DEGREES(ATAN(TAN(RADIANS(pe0-omega*B2))*(C2/sref)^(m_-1)))</f>
        <v>49.991778817517371</v>
      </c>
      <c r="G2">
        <f t="shared" ref="G2:G65" si="2">E2-F2</f>
        <v>-0.47343186271212545</v>
      </c>
      <c r="I2" t="s">
        <v>372</v>
      </c>
      <c r="J2">
        <f>COUNTIFS(C2:C687,"&gt;2",C2:C687,"&lt;=4.6")</f>
        <v>92</v>
      </c>
      <c r="K2">
        <f>COUNTIFS(C2:C687,"&gt;2",C2:C687,"&lt;=4.6",G2:G687,"&lt;0")</f>
        <v>18</v>
      </c>
      <c r="L2">
        <f t="array" ref="L2">MEDIAN(IF((C2:C687&gt;2)*(C2:C687&lt;=4.6),G2:G687))</f>
        <v>1.7841992235421493</v>
      </c>
    </row>
    <row r="3" spans="1:12" x14ac:dyDescent="0.3">
      <c r="A3" t="s">
        <v>371</v>
      </c>
      <c r="B3">
        <v>0.30199999999999999</v>
      </c>
      <c r="C3">
        <v>0.32850567848258871</v>
      </c>
      <c r="D3">
        <v>0.3445431907678837</v>
      </c>
      <c r="E3">
        <f t="shared" si="0"/>
        <v>46.36499437289099</v>
      </c>
      <c r="F3">
        <f t="shared" si="1"/>
        <v>47.263798435071557</v>
      </c>
      <c r="G3">
        <f t="shared" si="2"/>
        <v>-0.89880406218056663</v>
      </c>
      <c r="I3" t="s">
        <v>373</v>
      </c>
      <c r="J3">
        <f>COUNTIFS(C2:C687,"&gt;4.6",C2:C687,"&lt;=7.9")</f>
        <v>26</v>
      </c>
      <c r="K3">
        <f>COUNTIFS(C2:C687,"&gt;4.6",C2:C687,"&lt;=7.9",G2:G687,"&lt;0")</f>
        <v>1</v>
      </c>
      <c r="L3">
        <f t="array" ref="L3">MEDIAN(IF((C2:C687&gt;4.6)*(C2:C687&lt;=7.9),G2:G687))</f>
        <v>5.102145902511328</v>
      </c>
    </row>
    <row r="4" spans="1:12" x14ac:dyDescent="0.3">
      <c r="A4" t="s">
        <v>371</v>
      </c>
      <c r="B4">
        <v>0.30199999999999999</v>
      </c>
      <c r="C4">
        <v>0.64217495674832825</v>
      </c>
      <c r="D4">
        <v>0.62000778058193484</v>
      </c>
      <c r="E4">
        <f t="shared" si="0"/>
        <v>43.993842142470342</v>
      </c>
      <c r="F4">
        <f t="shared" si="1"/>
        <v>44.385774493417507</v>
      </c>
      <c r="G4">
        <f t="shared" si="2"/>
        <v>-0.39193235094716528</v>
      </c>
      <c r="I4" t="s">
        <v>374</v>
      </c>
      <c r="J4">
        <f>COUNTIFS(C2:C687,"&gt;3",C2:C687,"&lt;=7.9")</f>
        <v>66</v>
      </c>
      <c r="K4">
        <f>COUNTIFS(C2:C687,"&gt;3",C2:C687,"&lt;=7.9",G2:G687,"&lt;0")</f>
        <v>6</v>
      </c>
      <c r="L4">
        <f t="array" ref="L4">MEDIAN(IF((C2:C687&gt;3)*(C2:C687&lt;=7.9),G2:G687))</f>
        <v>3.781861272653007</v>
      </c>
    </row>
    <row r="5" spans="1:12" x14ac:dyDescent="0.3">
      <c r="A5" t="s">
        <v>371</v>
      </c>
      <c r="B5">
        <v>0.30199999999999999</v>
      </c>
      <c r="C5">
        <v>1.2328425419332301</v>
      </c>
      <c r="D5">
        <v>1.071381795297508</v>
      </c>
      <c r="E5">
        <f t="shared" si="0"/>
        <v>40.991743206805687</v>
      </c>
      <c r="F5">
        <f t="shared" si="1"/>
        <v>41.591104487590165</v>
      </c>
      <c r="G5">
        <f t="shared" si="2"/>
        <v>-0.59936128078447837</v>
      </c>
    </row>
    <row r="6" spans="1:12" x14ac:dyDescent="0.3">
      <c r="A6" t="s">
        <v>375</v>
      </c>
      <c r="B6">
        <v>0.40400000000000003</v>
      </c>
      <c r="C6">
        <v>0.1599789510442817</v>
      </c>
      <c r="D6">
        <v>0.16108213718994621</v>
      </c>
      <c r="E6">
        <f t="shared" si="0"/>
        <v>45.196871136760684</v>
      </c>
      <c r="F6">
        <f t="shared" si="1"/>
        <v>48.294181713672678</v>
      </c>
      <c r="G6">
        <f t="shared" si="2"/>
        <v>-3.097310576911994</v>
      </c>
    </row>
    <row r="7" spans="1:12" x14ac:dyDescent="0.3">
      <c r="A7" t="s">
        <v>375</v>
      </c>
      <c r="B7">
        <v>0.40400000000000003</v>
      </c>
      <c r="C7">
        <v>0.34682406843232172</v>
      </c>
      <c r="D7">
        <v>0.36954430892620471</v>
      </c>
      <c r="E7">
        <f t="shared" si="0"/>
        <v>46.816576095753533</v>
      </c>
      <c r="F7">
        <f t="shared" si="1"/>
        <v>44.97641047135285</v>
      </c>
      <c r="G7">
        <f t="shared" si="2"/>
        <v>1.840165624400683</v>
      </c>
    </row>
    <row r="8" spans="1:12" x14ac:dyDescent="0.3">
      <c r="A8" t="s">
        <v>375</v>
      </c>
      <c r="B8">
        <v>0.40400000000000003</v>
      </c>
      <c r="C8">
        <v>0.62520393415269182</v>
      </c>
      <c r="D8">
        <v>0.56369056355636937</v>
      </c>
      <c r="E8">
        <f t="shared" si="0"/>
        <v>42.038158938241637</v>
      </c>
      <c r="F8">
        <f t="shared" si="1"/>
        <v>42.447634492072311</v>
      </c>
      <c r="G8">
        <f t="shared" si="2"/>
        <v>-0.40947555383067424</v>
      </c>
    </row>
    <row r="9" spans="1:12" x14ac:dyDescent="0.3">
      <c r="A9" t="s">
        <v>375</v>
      </c>
      <c r="B9">
        <v>0.40400000000000003</v>
      </c>
      <c r="C9">
        <v>1.1953281415743371</v>
      </c>
      <c r="D9">
        <v>0.95794955751552047</v>
      </c>
      <c r="E9">
        <f t="shared" si="0"/>
        <v>38.709082400825025</v>
      </c>
      <c r="F9">
        <f t="shared" si="1"/>
        <v>39.689924746622843</v>
      </c>
      <c r="G9">
        <f t="shared" si="2"/>
        <v>-0.98084234579781793</v>
      </c>
    </row>
    <row r="10" spans="1:12" x14ac:dyDescent="0.3">
      <c r="A10" t="s">
        <v>376</v>
      </c>
      <c r="B10">
        <v>0.29299999999999998</v>
      </c>
      <c r="C10">
        <v>0.16051051288901511</v>
      </c>
      <c r="D10">
        <v>0.1733531299344607</v>
      </c>
      <c r="E10">
        <f t="shared" si="0"/>
        <v>47.202890795622885</v>
      </c>
      <c r="F10">
        <f t="shared" si="1"/>
        <v>50.490529776441733</v>
      </c>
      <c r="G10">
        <f t="shared" si="2"/>
        <v>-3.2876389808188478</v>
      </c>
    </row>
    <row r="11" spans="1:12" x14ac:dyDescent="0.3">
      <c r="A11" t="s">
        <v>376</v>
      </c>
      <c r="B11">
        <v>0.29299999999999998</v>
      </c>
      <c r="C11">
        <v>0.3278159179173934</v>
      </c>
      <c r="D11">
        <v>0.34666473072239062</v>
      </c>
      <c r="E11">
        <f t="shared" si="0"/>
        <v>46.600752255433768</v>
      </c>
      <c r="F11">
        <f t="shared" si="1"/>
        <v>47.452864505989766</v>
      </c>
      <c r="G11">
        <f t="shared" si="2"/>
        <v>-0.85211225055599726</v>
      </c>
    </row>
    <row r="12" spans="1:12" x14ac:dyDescent="0.3">
      <c r="A12" t="s">
        <v>376</v>
      </c>
      <c r="B12">
        <v>0.29299999999999998</v>
      </c>
      <c r="C12">
        <v>0.62307490054691428</v>
      </c>
      <c r="D12">
        <v>0.59463446076517512</v>
      </c>
      <c r="E12">
        <f t="shared" si="0"/>
        <v>43.662060897629921</v>
      </c>
      <c r="F12">
        <f t="shared" si="1"/>
        <v>44.696159107367606</v>
      </c>
      <c r="G12">
        <f t="shared" si="2"/>
        <v>-1.0340982097376852</v>
      </c>
    </row>
    <row r="13" spans="1:12" x14ac:dyDescent="0.3">
      <c r="A13" t="s">
        <v>376</v>
      </c>
      <c r="B13">
        <v>0.29299999999999998</v>
      </c>
      <c r="C13">
        <v>1.2238170440374889</v>
      </c>
      <c r="D13">
        <v>1.0892862306213309</v>
      </c>
      <c r="E13">
        <f t="shared" si="0"/>
        <v>41.671409198816676</v>
      </c>
      <c r="F13">
        <f t="shared" si="1"/>
        <v>41.801945921154243</v>
      </c>
      <c r="G13">
        <f t="shared" si="2"/>
        <v>-0.13053672233756686</v>
      </c>
    </row>
    <row r="14" spans="1:12" x14ac:dyDescent="0.3">
      <c r="A14" t="s">
        <v>377</v>
      </c>
      <c r="B14">
        <v>0.36899999999999999</v>
      </c>
      <c r="C14">
        <v>0.1430941398500995</v>
      </c>
      <c r="D14">
        <v>0.12234233204895251</v>
      </c>
      <c r="E14">
        <f t="shared" si="0"/>
        <v>40.529712142105097</v>
      </c>
      <c r="F14">
        <f t="shared" si="1"/>
        <v>49.470345654381923</v>
      </c>
      <c r="G14">
        <f t="shared" si="2"/>
        <v>-8.9406335122768255</v>
      </c>
    </row>
    <row r="15" spans="1:12" x14ac:dyDescent="0.3">
      <c r="A15" t="s">
        <v>377</v>
      </c>
      <c r="B15">
        <v>0.36899999999999999</v>
      </c>
      <c r="C15">
        <v>0.4300279402941915</v>
      </c>
      <c r="D15">
        <v>0.35787645557401732</v>
      </c>
      <c r="E15">
        <f t="shared" si="0"/>
        <v>39.767794367438206</v>
      </c>
      <c r="F15">
        <f t="shared" si="1"/>
        <v>44.760206884057027</v>
      </c>
      <c r="G15">
        <f t="shared" si="2"/>
        <v>-4.9924125166188205</v>
      </c>
    </row>
    <row r="16" spans="1:12" x14ac:dyDescent="0.3">
      <c r="A16" t="s">
        <v>377</v>
      </c>
      <c r="B16">
        <v>0.36899999999999999</v>
      </c>
      <c r="C16">
        <v>0.86322400026098756</v>
      </c>
      <c r="D16">
        <v>0.70926140637877944</v>
      </c>
      <c r="E16">
        <f t="shared" si="0"/>
        <v>39.40797401871842</v>
      </c>
      <c r="F16">
        <f t="shared" si="1"/>
        <v>41.772671529341153</v>
      </c>
      <c r="G16">
        <f t="shared" si="2"/>
        <v>-2.364697510622733</v>
      </c>
    </row>
    <row r="17" spans="1:7" x14ac:dyDescent="0.3">
      <c r="A17" t="s">
        <v>378</v>
      </c>
      <c r="B17">
        <v>0.52</v>
      </c>
      <c r="C17">
        <v>0.31735880247640202</v>
      </c>
      <c r="D17">
        <v>0.29823083747649248</v>
      </c>
      <c r="E17">
        <f t="shared" si="0"/>
        <v>43.22024432784773</v>
      </c>
      <c r="F17">
        <f t="shared" si="1"/>
        <v>42.991023984641529</v>
      </c>
      <c r="G17">
        <f t="shared" si="2"/>
        <v>0.22922034320620099</v>
      </c>
    </row>
    <row r="18" spans="1:7" x14ac:dyDescent="0.3">
      <c r="A18" t="s">
        <v>378</v>
      </c>
      <c r="B18">
        <v>0.52</v>
      </c>
      <c r="C18">
        <v>0.4616336140511984</v>
      </c>
      <c r="D18">
        <v>0.40240007260649607</v>
      </c>
      <c r="E18">
        <f t="shared" si="0"/>
        <v>41.078242997910806</v>
      </c>
      <c r="F18">
        <f t="shared" si="1"/>
        <v>41.3886579725934</v>
      </c>
      <c r="G18">
        <f t="shared" si="2"/>
        <v>-0.31041497468259394</v>
      </c>
    </row>
    <row r="19" spans="1:7" x14ac:dyDescent="0.3">
      <c r="A19" t="s">
        <v>379</v>
      </c>
      <c r="B19">
        <v>0.40600000000000003</v>
      </c>
      <c r="C19">
        <v>0.13707420191894309</v>
      </c>
      <c r="D19">
        <v>0.12665527299006649</v>
      </c>
      <c r="E19">
        <f t="shared" si="0"/>
        <v>42.737642408607478</v>
      </c>
      <c r="F19">
        <f t="shared" si="1"/>
        <v>48.912715746324587</v>
      </c>
      <c r="G19">
        <f t="shared" si="2"/>
        <v>-6.1750733377171088</v>
      </c>
    </row>
    <row r="20" spans="1:7" x14ac:dyDescent="0.3">
      <c r="A20" t="s">
        <v>379</v>
      </c>
      <c r="B20">
        <v>0.40600000000000003</v>
      </c>
      <c r="C20">
        <v>0.3071023912661287</v>
      </c>
      <c r="D20">
        <v>0.33590099572903659</v>
      </c>
      <c r="E20">
        <f t="shared" si="0"/>
        <v>47.564428993961812</v>
      </c>
      <c r="F20">
        <f t="shared" si="1"/>
        <v>45.458556897204957</v>
      </c>
      <c r="G20">
        <f t="shared" si="2"/>
        <v>2.1058720967568547</v>
      </c>
    </row>
    <row r="21" spans="1:7" x14ac:dyDescent="0.3">
      <c r="A21" t="s">
        <v>379</v>
      </c>
      <c r="B21">
        <v>0.40600000000000003</v>
      </c>
      <c r="C21">
        <v>0.44104498725856389</v>
      </c>
      <c r="D21">
        <v>0.45540884537901272</v>
      </c>
      <c r="E21">
        <f t="shared" si="0"/>
        <v>45.917970338824297</v>
      </c>
      <c r="F21">
        <f t="shared" si="1"/>
        <v>43.903411484579905</v>
      </c>
      <c r="G21">
        <f t="shared" si="2"/>
        <v>2.0145588542443917</v>
      </c>
    </row>
    <row r="22" spans="1:7" x14ac:dyDescent="0.3">
      <c r="A22" t="s">
        <v>380</v>
      </c>
      <c r="B22">
        <v>0.46800000000000003</v>
      </c>
      <c r="C22">
        <v>0.14822697508145971</v>
      </c>
      <c r="D22">
        <v>0.12678791196848099</v>
      </c>
      <c r="E22">
        <f t="shared" si="0"/>
        <v>40.542464775956972</v>
      </c>
      <c r="F22">
        <f t="shared" si="1"/>
        <v>47.32486328268773</v>
      </c>
      <c r="G22">
        <f t="shared" si="2"/>
        <v>-6.7823985067307575</v>
      </c>
    </row>
    <row r="23" spans="1:7" x14ac:dyDescent="0.3">
      <c r="A23" t="s">
        <v>380</v>
      </c>
      <c r="B23">
        <v>0.46800000000000003</v>
      </c>
      <c r="C23">
        <v>0.29685239193759511</v>
      </c>
      <c r="D23">
        <v>0.2412042712775001</v>
      </c>
      <c r="E23">
        <f t="shared" si="0"/>
        <v>39.095219439546177</v>
      </c>
      <c r="F23">
        <f t="shared" si="1"/>
        <v>44.3431246621642</v>
      </c>
      <c r="G23">
        <f t="shared" si="2"/>
        <v>-5.2479052226180229</v>
      </c>
    </row>
    <row r="24" spans="1:7" x14ac:dyDescent="0.3">
      <c r="A24" t="s">
        <v>380</v>
      </c>
      <c r="B24">
        <v>0.46800000000000003</v>
      </c>
      <c r="C24">
        <v>0.58658606109054934</v>
      </c>
      <c r="D24">
        <v>0.44849811589998761</v>
      </c>
      <c r="E24">
        <f t="shared" si="0"/>
        <v>37.401184025337045</v>
      </c>
      <c r="F24">
        <f t="shared" si="1"/>
        <v>41.425632705864878</v>
      </c>
      <c r="G24">
        <f t="shared" si="2"/>
        <v>-4.0244486805278328</v>
      </c>
    </row>
    <row r="25" spans="1:7" x14ac:dyDescent="0.3">
      <c r="A25" t="s">
        <v>380</v>
      </c>
      <c r="B25">
        <v>0.46800000000000003</v>
      </c>
      <c r="C25">
        <v>1.142177397157959</v>
      </c>
      <c r="D25">
        <v>0.80621122052976635</v>
      </c>
      <c r="E25">
        <f t="shared" si="0"/>
        <v>35.216533344465255</v>
      </c>
      <c r="F25">
        <f t="shared" si="1"/>
        <v>38.606541683731038</v>
      </c>
      <c r="G25">
        <f t="shared" si="2"/>
        <v>-3.3900083392657834</v>
      </c>
    </row>
    <row r="26" spans="1:7" x14ac:dyDescent="0.3">
      <c r="A26" t="s">
        <v>381</v>
      </c>
      <c r="B26">
        <v>0.49</v>
      </c>
      <c r="C26">
        <v>0.15997780577687959</v>
      </c>
      <c r="D26">
        <v>0.1444399886161678</v>
      </c>
      <c r="E26">
        <f t="shared" si="0"/>
        <v>42.078096364725425</v>
      </c>
      <c r="F26">
        <f t="shared" si="1"/>
        <v>46.54862698583851</v>
      </c>
      <c r="G26">
        <f t="shared" si="2"/>
        <v>-4.4705306211130846</v>
      </c>
    </row>
    <row r="27" spans="1:7" x14ac:dyDescent="0.3">
      <c r="A27" t="s">
        <v>381</v>
      </c>
      <c r="B27">
        <v>0.49</v>
      </c>
      <c r="C27">
        <v>0.27864196406076341</v>
      </c>
      <c r="D27">
        <v>0.20760095429703199</v>
      </c>
      <c r="E27">
        <f t="shared" si="0"/>
        <v>36.687788829103759</v>
      </c>
      <c r="F27">
        <f t="shared" si="1"/>
        <v>44.165024778927439</v>
      </c>
      <c r="G27">
        <f t="shared" si="2"/>
        <v>-7.4772359498236796</v>
      </c>
    </row>
    <row r="28" spans="1:7" x14ac:dyDescent="0.3">
      <c r="A28" t="s">
        <v>381</v>
      </c>
      <c r="B28">
        <v>0.49</v>
      </c>
      <c r="C28">
        <v>0.56041746381537483</v>
      </c>
      <c r="D28">
        <v>0.41949579734778508</v>
      </c>
      <c r="E28">
        <f t="shared" si="0"/>
        <v>36.816382499974196</v>
      </c>
      <c r="F28">
        <f t="shared" si="1"/>
        <v>41.173658760009907</v>
      </c>
      <c r="G28">
        <f t="shared" si="2"/>
        <v>-4.3572762600357109</v>
      </c>
    </row>
    <row r="29" spans="1:7" x14ac:dyDescent="0.3">
      <c r="A29" t="s">
        <v>381</v>
      </c>
      <c r="B29">
        <v>0.49</v>
      </c>
      <c r="C29">
        <v>1.121646641351685</v>
      </c>
      <c r="D29">
        <v>0.82626189108918102</v>
      </c>
      <c r="E29">
        <f t="shared" si="0"/>
        <v>36.3772470379674</v>
      </c>
      <c r="F29">
        <f t="shared" si="1"/>
        <v>38.244046076651045</v>
      </c>
      <c r="G29">
        <f t="shared" si="2"/>
        <v>-1.8667990386836451</v>
      </c>
    </row>
    <row r="30" spans="1:7" x14ac:dyDescent="0.3">
      <c r="A30" t="s">
        <v>382</v>
      </c>
      <c r="B30">
        <v>0.41799999999999998</v>
      </c>
      <c r="C30">
        <v>0.1694256347217161</v>
      </c>
      <c r="D30">
        <v>0.17109767286867181</v>
      </c>
      <c r="E30">
        <f t="shared" si="0"/>
        <v>45.281331576899539</v>
      </c>
      <c r="F30">
        <f t="shared" si="1"/>
        <v>47.766723144850054</v>
      </c>
      <c r="G30">
        <f t="shared" si="2"/>
        <v>-2.485391567950515</v>
      </c>
    </row>
    <row r="31" spans="1:7" x14ac:dyDescent="0.3">
      <c r="A31" t="s">
        <v>382</v>
      </c>
      <c r="B31">
        <v>0.41799999999999998</v>
      </c>
      <c r="C31">
        <v>0.31256458619145761</v>
      </c>
      <c r="D31">
        <v>0.28348358198669599</v>
      </c>
      <c r="E31">
        <f t="shared" si="0"/>
        <v>42.206771749076211</v>
      </c>
      <c r="F31">
        <f t="shared" si="1"/>
        <v>45.139451187951678</v>
      </c>
      <c r="G31">
        <f t="shared" si="2"/>
        <v>-2.9326794388754678</v>
      </c>
    </row>
    <row r="32" spans="1:7" x14ac:dyDescent="0.3">
      <c r="A32" t="s">
        <v>382</v>
      </c>
      <c r="B32">
        <v>0.41799999999999998</v>
      </c>
      <c r="C32">
        <v>0.615234540769934</v>
      </c>
      <c r="D32">
        <v>0.53015933347528343</v>
      </c>
      <c r="E32">
        <f t="shared" si="0"/>
        <v>40.752102392307613</v>
      </c>
      <c r="F32">
        <f t="shared" si="1"/>
        <v>42.233740388542323</v>
      </c>
      <c r="G32">
        <f t="shared" si="2"/>
        <v>-1.4816379962347099</v>
      </c>
    </row>
    <row r="33" spans="1:7" x14ac:dyDescent="0.3">
      <c r="A33" t="s">
        <v>382</v>
      </c>
      <c r="B33">
        <v>0.41799999999999998</v>
      </c>
      <c r="C33">
        <v>0.89451013775301014</v>
      </c>
      <c r="D33">
        <v>0.71899472956874044</v>
      </c>
      <c r="E33">
        <f t="shared" si="0"/>
        <v>38.791833749974458</v>
      </c>
      <c r="F33">
        <f t="shared" si="1"/>
        <v>40.638065507199457</v>
      </c>
      <c r="G33">
        <f t="shared" si="2"/>
        <v>-1.8462317572249987</v>
      </c>
    </row>
    <row r="34" spans="1:7" x14ac:dyDescent="0.3">
      <c r="A34" t="s">
        <v>383</v>
      </c>
      <c r="B34">
        <v>0.42199999999999999</v>
      </c>
      <c r="C34">
        <v>0.16274836496282749</v>
      </c>
      <c r="D34">
        <v>0.16451691361324811</v>
      </c>
      <c r="E34">
        <f t="shared" si="0"/>
        <v>45.309624618877976</v>
      </c>
      <c r="F34">
        <f t="shared" si="1"/>
        <v>47.857867839567824</v>
      </c>
      <c r="G34">
        <f t="shared" si="2"/>
        <v>-2.548243220689848</v>
      </c>
    </row>
    <row r="35" spans="1:7" x14ac:dyDescent="0.3">
      <c r="A35" t="s">
        <v>383</v>
      </c>
      <c r="B35">
        <v>0.42199999999999999</v>
      </c>
      <c r="C35">
        <v>0.31284193337828758</v>
      </c>
      <c r="D35">
        <v>0.28982808987674141</v>
      </c>
      <c r="E35">
        <f t="shared" si="0"/>
        <v>42.813138726467081</v>
      </c>
      <c r="F35">
        <f t="shared" si="1"/>
        <v>45.054441207456293</v>
      </c>
      <c r="G35">
        <f t="shared" si="2"/>
        <v>-2.2413024809892121</v>
      </c>
    </row>
    <row r="36" spans="1:7" x14ac:dyDescent="0.3">
      <c r="A36" t="s">
        <v>383</v>
      </c>
      <c r="B36">
        <v>0.42199999999999999</v>
      </c>
      <c r="C36">
        <v>0.61001144639968807</v>
      </c>
      <c r="D36">
        <v>0.52403764260841013</v>
      </c>
      <c r="E36">
        <f t="shared" si="0"/>
        <v>40.664622001864693</v>
      </c>
      <c r="F36">
        <f t="shared" si="1"/>
        <v>42.189389239955034</v>
      </c>
      <c r="G36">
        <f t="shared" si="2"/>
        <v>-1.524767238090341</v>
      </c>
    </row>
    <row r="37" spans="1:7" x14ac:dyDescent="0.3">
      <c r="A37" t="s">
        <v>383</v>
      </c>
      <c r="B37">
        <v>0.42199999999999999</v>
      </c>
      <c r="C37">
        <v>1.173812827836743</v>
      </c>
      <c r="D37">
        <v>0.91511872797008598</v>
      </c>
      <c r="E37">
        <f t="shared" si="0"/>
        <v>37.94041151852484</v>
      </c>
      <c r="F37">
        <f t="shared" si="1"/>
        <v>39.408065201187554</v>
      </c>
      <c r="G37">
        <f t="shared" si="2"/>
        <v>-1.4676536826627142</v>
      </c>
    </row>
    <row r="38" spans="1:7" x14ac:dyDescent="0.3">
      <c r="A38" t="s">
        <v>384</v>
      </c>
      <c r="B38">
        <v>0.41799999999999998</v>
      </c>
      <c r="C38">
        <v>0.16564074812527591</v>
      </c>
      <c r="D38">
        <v>0.1675622638007076</v>
      </c>
      <c r="E38">
        <f t="shared" si="0"/>
        <v>45.330409732557754</v>
      </c>
      <c r="F38">
        <f t="shared" si="1"/>
        <v>47.863340265137786</v>
      </c>
      <c r="G38">
        <f t="shared" si="2"/>
        <v>-2.532930532580032</v>
      </c>
    </row>
    <row r="39" spans="1:7" x14ac:dyDescent="0.3">
      <c r="A39" t="s">
        <v>384</v>
      </c>
      <c r="B39">
        <v>0.41799999999999998</v>
      </c>
      <c r="C39">
        <v>0.31858476580036532</v>
      </c>
      <c r="D39">
        <v>0.30049756151600993</v>
      </c>
      <c r="E39">
        <f t="shared" si="0"/>
        <v>43.326513757811654</v>
      </c>
      <c r="F39">
        <f t="shared" si="1"/>
        <v>45.057472368971347</v>
      </c>
      <c r="G39">
        <f t="shared" si="2"/>
        <v>-1.7309586111596929</v>
      </c>
    </row>
    <row r="40" spans="1:7" x14ac:dyDescent="0.3">
      <c r="A40" t="s">
        <v>384</v>
      </c>
      <c r="B40">
        <v>0.41799999999999998</v>
      </c>
      <c r="C40">
        <v>0.60070847546057526</v>
      </c>
      <c r="D40">
        <v>0.50896191392210588</v>
      </c>
      <c r="E40">
        <f t="shared" si="0"/>
        <v>40.273585974249407</v>
      </c>
      <c r="F40">
        <f t="shared" si="1"/>
        <v>42.335955618432173</v>
      </c>
      <c r="G40">
        <f t="shared" si="2"/>
        <v>-2.0623696441827661</v>
      </c>
    </row>
    <row r="41" spans="1:7" x14ac:dyDescent="0.3">
      <c r="A41" t="s">
        <v>384</v>
      </c>
      <c r="B41">
        <v>0.41799999999999998</v>
      </c>
      <c r="C41">
        <v>1.173890515947988</v>
      </c>
      <c r="D41">
        <v>0.91746078170872891</v>
      </c>
      <c r="E41">
        <f t="shared" si="0"/>
        <v>38.009606256211143</v>
      </c>
      <c r="F41">
        <f t="shared" si="1"/>
        <v>39.487465040759837</v>
      </c>
      <c r="G41">
        <f t="shared" si="2"/>
        <v>-1.4778587845486939</v>
      </c>
    </row>
    <row r="42" spans="1:7" x14ac:dyDescent="0.3">
      <c r="A42" t="s">
        <v>385</v>
      </c>
      <c r="B42">
        <v>0.36499999999999999</v>
      </c>
      <c r="C42">
        <v>0.16926818860864029</v>
      </c>
      <c r="D42">
        <v>0.1850784941621606</v>
      </c>
      <c r="E42">
        <f t="shared" si="0"/>
        <v>47.554739231870315</v>
      </c>
      <c r="F42">
        <f t="shared" si="1"/>
        <v>48.835972001470488</v>
      </c>
      <c r="G42">
        <f t="shared" si="2"/>
        <v>-1.2812327696001731</v>
      </c>
    </row>
    <row r="43" spans="1:7" x14ac:dyDescent="0.3">
      <c r="A43" t="s">
        <v>385</v>
      </c>
      <c r="B43">
        <v>0.36499999999999999</v>
      </c>
      <c r="C43">
        <v>0.32111524266437053</v>
      </c>
      <c r="D43">
        <v>0.31635086999907902</v>
      </c>
      <c r="E43">
        <f t="shared" si="0"/>
        <v>44.57178372672545</v>
      </c>
      <c r="F43">
        <f t="shared" si="1"/>
        <v>46.095665184028185</v>
      </c>
      <c r="G43">
        <f t="shared" si="2"/>
        <v>-1.5238814573027355</v>
      </c>
    </row>
    <row r="44" spans="1:7" x14ac:dyDescent="0.3">
      <c r="A44" t="s">
        <v>385</v>
      </c>
      <c r="B44">
        <v>0.36499999999999999</v>
      </c>
      <c r="C44">
        <v>0.62077998297124115</v>
      </c>
      <c r="D44">
        <v>0.55836454576108019</v>
      </c>
      <c r="E44">
        <f t="shared" si="0"/>
        <v>41.970000988640891</v>
      </c>
      <c r="F44">
        <f t="shared" si="1"/>
        <v>43.26439209328489</v>
      </c>
      <c r="G44">
        <f t="shared" si="2"/>
        <v>-1.2943911046439993</v>
      </c>
    </row>
    <row r="45" spans="1:7" x14ac:dyDescent="0.3">
      <c r="A45" t="s">
        <v>385</v>
      </c>
      <c r="B45">
        <v>0.36499999999999999</v>
      </c>
      <c r="C45">
        <v>1.2121829825657831</v>
      </c>
      <c r="D45">
        <v>1.003344438884749</v>
      </c>
      <c r="E45">
        <f t="shared" si="0"/>
        <v>39.615134993010344</v>
      </c>
      <c r="F45">
        <f t="shared" si="1"/>
        <v>40.407446481240115</v>
      </c>
      <c r="G45">
        <f t="shared" si="2"/>
        <v>-0.79231148822977104</v>
      </c>
    </row>
    <row r="46" spans="1:7" x14ac:dyDescent="0.3">
      <c r="A46" t="s">
        <v>386</v>
      </c>
      <c r="B46">
        <v>0.317</v>
      </c>
      <c r="C46">
        <v>0.1719958252824175</v>
      </c>
      <c r="D46">
        <v>0.19755334326937121</v>
      </c>
      <c r="E46">
        <f t="shared" si="0"/>
        <v>48.956198834504661</v>
      </c>
      <c r="F46">
        <f t="shared" si="1"/>
        <v>49.723884269779042</v>
      </c>
      <c r="G46">
        <f t="shared" si="2"/>
        <v>-0.76768543527438027</v>
      </c>
    </row>
    <row r="47" spans="1:7" x14ac:dyDescent="0.3">
      <c r="A47" t="s">
        <v>386</v>
      </c>
      <c r="B47">
        <v>0.317</v>
      </c>
      <c r="C47">
        <v>0.32958730027043032</v>
      </c>
      <c r="D47">
        <v>0.34767184957946012</v>
      </c>
      <c r="E47">
        <f t="shared" si="0"/>
        <v>46.529580196204172</v>
      </c>
      <c r="F47">
        <f t="shared" si="1"/>
        <v>46.949168823748224</v>
      </c>
      <c r="G47">
        <f t="shared" si="2"/>
        <v>-0.41958862754405146</v>
      </c>
    </row>
    <row r="48" spans="1:7" x14ac:dyDescent="0.3">
      <c r="A48" t="s">
        <v>386</v>
      </c>
      <c r="B48">
        <v>0.317</v>
      </c>
      <c r="C48">
        <v>0.62544925108380955</v>
      </c>
      <c r="D48">
        <v>0.59291724076673324</v>
      </c>
      <c r="E48">
        <f t="shared" si="0"/>
        <v>43.470489694065876</v>
      </c>
      <c r="F48">
        <f t="shared" si="1"/>
        <v>44.197879237622374</v>
      </c>
      <c r="G48">
        <f t="shared" si="2"/>
        <v>-0.7273895435564981</v>
      </c>
    </row>
    <row r="49" spans="1:7" x14ac:dyDescent="0.3">
      <c r="A49" t="s">
        <v>386</v>
      </c>
      <c r="B49">
        <v>0.317</v>
      </c>
      <c r="C49">
        <v>1.218886574778633</v>
      </c>
      <c r="D49">
        <v>1.0544725899430341</v>
      </c>
      <c r="E49">
        <f t="shared" si="0"/>
        <v>40.863454036018837</v>
      </c>
      <c r="F49">
        <f t="shared" si="1"/>
        <v>41.340587761158623</v>
      </c>
      <c r="G49">
        <f t="shared" si="2"/>
        <v>-0.47713372513978669</v>
      </c>
    </row>
    <row r="50" spans="1:7" x14ac:dyDescent="0.3">
      <c r="A50" t="s">
        <v>387</v>
      </c>
      <c r="B50">
        <v>0.29799999999999999</v>
      </c>
      <c r="C50">
        <v>0.15410770822004799</v>
      </c>
      <c r="D50">
        <v>0.15198770094267339</v>
      </c>
      <c r="E50">
        <f t="shared" si="0"/>
        <v>44.603177559269618</v>
      </c>
      <c r="F50">
        <f t="shared" si="1"/>
        <v>50.563710934566281</v>
      </c>
      <c r="G50">
        <f t="shared" si="2"/>
        <v>-5.9605333752966629</v>
      </c>
    </row>
    <row r="51" spans="1:7" x14ac:dyDescent="0.3">
      <c r="A51" t="s">
        <v>387</v>
      </c>
      <c r="B51">
        <v>0.29799999999999999</v>
      </c>
      <c r="C51">
        <v>0.3214272767167155</v>
      </c>
      <c r="D51">
        <v>0.31906413653614812</v>
      </c>
      <c r="E51">
        <f t="shared" si="0"/>
        <v>44.788603966331124</v>
      </c>
      <c r="F51">
        <f t="shared" si="1"/>
        <v>47.437130728076923</v>
      </c>
      <c r="G51">
        <f t="shared" si="2"/>
        <v>-2.6485267617457993</v>
      </c>
    </row>
    <row r="52" spans="1:7" x14ac:dyDescent="0.3">
      <c r="A52" t="s">
        <v>387</v>
      </c>
      <c r="B52">
        <v>0.29799999999999999</v>
      </c>
      <c r="C52">
        <v>0.60726060795179881</v>
      </c>
      <c r="D52">
        <v>0.53526344978980189</v>
      </c>
      <c r="E52">
        <f t="shared" si="0"/>
        <v>41.394223874979929</v>
      </c>
      <c r="F52">
        <f t="shared" si="1"/>
        <v>44.706269837854308</v>
      </c>
      <c r="G52">
        <f t="shared" si="2"/>
        <v>-3.3120459628743788</v>
      </c>
    </row>
    <row r="53" spans="1:7" x14ac:dyDescent="0.3">
      <c r="A53" t="s">
        <v>387</v>
      </c>
      <c r="B53">
        <v>0.29799999999999999</v>
      </c>
      <c r="C53">
        <v>1.200467898391637</v>
      </c>
      <c r="D53">
        <v>0.99118486868418954</v>
      </c>
      <c r="E53">
        <f t="shared" si="0"/>
        <v>39.545310380739473</v>
      </c>
      <c r="F53">
        <f t="shared" si="1"/>
        <v>41.78447020703922</v>
      </c>
      <c r="G53">
        <f t="shared" si="2"/>
        <v>-2.2391598262997476</v>
      </c>
    </row>
    <row r="54" spans="1:7" x14ac:dyDescent="0.3">
      <c r="A54" t="s">
        <v>388</v>
      </c>
      <c r="B54">
        <v>0.4</v>
      </c>
      <c r="C54">
        <v>0.16780000872167089</v>
      </c>
      <c r="D54">
        <v>0.17891425489804641</v>
      </c>
      <c r="E54">
        <f t="shared" si="0"/>
        <v>46.836040446834637</v>
      </c>
      <c r="F54">
        <f t="shared" si="1"/>
        <v>48.170892362378318</v>
      </c>
      <c r="G54">
        <f t="shared" si="2"/>
        <v>-1.3348519155436804</v>
      </c>
    </row>
    <row r="55" spans="1:7" x14ac:dyDescent="0.3">
      <c r="A55" t="s">
        <v>388</v>
      </c>
      <c r="B55">
        <v>0.4</v>
      </c>
      <c r="C55">
        <v>0.30023165456708051</v>
      </c>
      <c r="D55">
        <v>0.26465182234178491</v>
      </c>
      <c r="E55">
        <f t="shared" si="0"/>
        <v>41.395920828012919</v>
      </c>
      <c r="F55">
        <f t="shared" si="1"/>
        <v>45.677301788159433</v>
      </c>
      <c r="G55">
        <f t="shared" si="2"/>
        <v>-4.2813809601465138</v>
      </c>
    </row>
    <row r="56" spans="1:7" x14ac:dyDescent="0.3">
      <c r="A56" t="s">
        <v>388</v>
      </c>
      <c r="B56">
        <v>0.4</v>
      </c>
      <c r="C56">
        <v>0.62669651769395263</v>
      </c>
      <c r="D56">
        <v>0.55826782777884509</v>
      </c>
      <c r="E56">
        <f t="shared" si="0"/>
        <v>41.694984401128259</v>
      </c>
      <c r="F56">
        <f t="shared" si="1"/>
        <v>42.518143376384437</v>
      </c>
      <c r="G56">
        <f t="shared" si="2"/>
        <v>-0.82315897525617743</v>
      </c>
    </row>
    <row r="57" spans="1:7" x14ac:dyDescent="0.3">
      <c r="A57" t="s">
        <v>388</v>
      </c>
      <c r="B57">
        <v>0.4</v>
      </c>
      <c r="C57">
        <v>1.179128583196418</v>
      </c>
      <c r="D57">
        <v>0.92369408471708936</v>
      </c>
      <c r="E57">
        <f t="shared" si="0"/>
        <v>38.07408761264702</v>
      </c>
      <c r="F57">
        <f t="shared" si="1"/>
        <v>39.827257520771582</v>
      </c>
      <c r="G57">
        <f t="shared" si="2"/>
        <v>-1.753169908124562</v>
      </c>
    </row>
    <row r="58" spans="1:7" x14ac:dyDescent="0.3">
      <c r="A58" t="s">
        <v>389</v>
      </c>
      <c r="B58">
        <v>0.31</v>
      </c>
      <c r="C58">
        <v>0.17070130462858021</v>
      </c>
      <c r="D58">
        <v>0.19323646627670099</v>
      </c>
      <c r="E58">
        <f t="shared" si="0"/>
        <v>48.543252089334786</v>
      </c>
      <c r="F58">
        <f t="shared" si="1"/>
        <v>49.894586303969241</v>
      </c>
      <c r="G58">
        <f t="shared" si="2"/>
        <v>-1.3513342146344556</v>
      </c>
    </row>
    <row r="59" spans="1:7" x14ac:dyDescent="0.3">
      <c r="A59" t="s">
        <v>389</v>
      </c>
      <c r="B59">
        <v>0.31</v>
      </c>
      <c r="C59">
        <v>0.31035474914973221</v>
      </c>
      <c r="D59">
        <v>0.30020773642534682</v>
      </c>
      <c r="E59">
        <f t="shared" si="0"/>
        <v>44.047882073517009</v>
      </c>
      <c r="F59">
        <f t="shared" si="1"/>
        <v>47.347084900715871</v>
      </c>
      <c r="G59">
        <f t="shared" si="2"/>
        <v>-3.2992028271988616</v>
      </c>
    </row>
    <row r="60" spans="1:7" x14ac:dyDescent="0.3">
      <c r="A60" t="s">
        <v>389</v>
      </c>
      <c r="B60">
        <v>0.31</v>
      </c>
      <c r="C60">
        <v>0.60690611986944354</v>
      </c>
      <c r="D60">
        <v>0.54299288148465108</v>
      </c>
      <c r="E60">
        <f t="shared" si="0"/>
        <v>41.818681638413395</v>
      </c>
      <c r="F60">
        <f t="shared" si="1"/>
        <v>44.467804669402092</v>
      </c>
      <c r="G60">
        <f t="shared" si="2"/>
        <v>-2.6491230309886973</v>
      </c>
    </row>
    <row r="61" spans="1:7" x14ac:dyDescent="0.3">
      <c r="A61" t="s">
        <v>389</v>
      </c>
      <c r="B61">
        <v>0.31</v>
      </c>
      <c r="C61">
        <v>1.213718517700457</v>
      </c>
      <c r="D61">
        <v>1.0314000703519319</v>
      </c>
      <c r="E61">
        <f t="shared" si="0"/>
        <v>40.357391906085674</v>
      </c>
      <c r="F61">
        <f t="shared" si="1"/>
        <v>41.498277817964166</v>
      </c>
      <c r="G61">
        <f t="shared" si="2"/>
        <v>-1.1408859118784918</v>
      </c>
    </row>
    <row r="62" spans="1:7" x14ac:dyDescent="0.3">
      <c r="A62" t="s">
        <v>390</v>
      </c>
      <c r="B62">
        <v>0.40699999999999997</v>
      </c>
      <c r="C62">
        <v>0.16575148256032321</v>
      </c>
      <c r="D62">
        <v>0.17399782872543801</v>
      </c>
      <c r="E62">
        <f t="shared" si="0"/>
        <v>46.390401880600983</v>
      </c>
      <c r="F62">
        <f t="shared" si="1"/>
        <v>48.082381498122146</v>
      </c>
      <c r="G62">
        <f t="shared" si="2"/>
        <v>-1.691979617521163</v>
      </c>
    </row>
    <row r="63" spans="1:7" x14ac:dyDescent="0.3">
      <c r="A63" t="s">
        <v>390</v>
      </c>
      <c r="B63">
        <v>0.40699999999999997</v>
      </c>
      <c r="C63">
        <v>0.31982588703391451</v>
      </c>
      <c r="D63">
        <v>0.30674572472998768</v>
      </c>
      <c r="E63">
        <f t="shared" si="0"/>
        <v>43.804080424368138</v>
      </c>
      <c r="F63">
        <f t="shared" si="1"/>
        <v>45.263858814126557</v>
      </c>
      <c r="G63">
        <f t="shared" si="2"/>
        <v>-1.4597783897584193</v>
      </c>
    </row>
    <row r="64" spans="1:7" x14ac:dyDescent="0.3">
      <c r="A64" t="s">
        <v>390</v>
      </c>
      <c r="B64">
        <v>0.40699999999999997</v>
      </c>
      <c r="C64">
        <v>0.61357268373540608</v>
      </c>
      <c r="D64">
        <v>0.53429384771758826</v>
      </c>
      <c r="E64">
        <f t="shared" si="0"/>
        <v>41.049069610020325</v>
      </c>
      <c r="F64">
        <f t="shared" si="1"/>
        <v>42.467458126683361</v>
      </c>
      <c r="G64">
        <f t="shared" si="2"/>
        <v>-1.4183885166630361</v>
      </c>
    </row>
    <row r="65" spans="1:7" x14ac:dyDescent="0.3">
      <c r="A65" t="s">
        <v>390</v>
      </c>
      <c r="B65">
        <v>0.40699999999999997</v>
      </c>
      <c r="C65">
        <v>1.182802679261763</v>
      </c>
      <c r="D65">
        <v>0.93929093909376937</v>
      </c>
      <c r="E65">
        <f t="shared" si="0"/>
        <v>38.453901078084165</v>
      </c>
      <c r="F65">
        <f t="shared" si="1"/>
        <v>39.67466237578035</v>
      </c>
      <c r="G65">
        <f t="shared" si="2"/>
        <v>-1.2207612976961855</v>
      </c>
    </row>
    <row r="66" spans="1:7" x14ac:dyDescent="0.3">
      <c r="A66" t="s">
        <v>391</v>
      </c>
      <c r="B66">
        <v>0.33100000000000002</v>
      </c>
      <c r="C66">
        <v>0.17890637537038589</v>
      </c>
      <c r="D66">
        <v>0.1473641610387256</v>
      </c>
      <c r="E66">
        <f t="shared" ref="E66:E129" si="3">DEGREES(ATAN(D66/C66))</f>
        <v>39.47808876239101</v>
      </c>
      <c r="F66">
        <f t="shared" ref="F66:F129" si="4">DEGREES(ATAN(TAN(RADIANS(pe0-omega*B66))*(C66/sref)^(m_-1)))</f>
        <v>49.27861273539817</v>
      </c>
      <c r="G66">
        <f t="shared" ref="G66:G129" si="5">E66-F66</f>
        <v>-9.8005239730071594</v>
      </c>
    </row>
    <row r="67" spans="1:7" x14ac:dyDescent="0.3">
      <c r="A67" t="s">
        <v>391</v>
      </c>
      <c r="B67">
        <v>0.317</v>
      </c>
      <c r="C67">
        <v>0.2970783167647893</v>
      </c>
      <c r="D67">
        <v>0.28057491958190828</v>
      </c>
      <c r="E67">
        <f t="shared" si="3"/>
        <v>43.363520181465177</v>
      </c>
      <c r="F67">
        <f t="shared" si="4"/>
        <v>47.394125810537318</v>
      </c>
      <c r="G67">
        <f t="shared" si="5"/>
        <v>-4.0306056290721415</v>
      </c>
    </row>
    <row r="68" spans="1:7" x14ac:dyDescent="0.3">
      <c r="A68" t="s">
        <v>391</v>
      </c>
      <c r="B68">
        <v>0.29099999999999998</v>
      </c>
      <c r="C68">
        <v>0.51448781118168085</v>
      </c>
      <c r="D68">
        <v>0.50091712435844538</v>
      </c>
      <c r="E68">
        <f t="shared" si="3"/>
        <v>44.234298787185779</v>
      </c>
      <c r="F68">
        <f t="shared" si="4"/>
        <v>45.55914372731057</v>
      </c>
      <c r="G68">
        <f t="shared" si="5"/>
        <v>-1.324844940124791</v>
      </c>
    </row>
    <row r="69" spans="1:7" x14ac:dyDescent="0.3">
      <c r="A69" t="s">
        <v>391</v>
      </c>
      <c r="B69">
        <v>0.28999999999999998</v>
      </c>
      <c r="C69">
        <v>0.77167144558610612</v>
      </c>
      <c r="D69">
        <v>0.7983738034205009</v>
      </c>
      <c r="E69">
        <f t="shared" si="3"/>
        <v>45.974357218063602</v>
      </c>
      <c r="F69">
        <f t="shared" si="4"/>
        <v>43.837542902349888</v>
      </c>
      <c r="G69">
        <f t="shared" si="5"/>
        <v>2.1368143157137141</v>
      </c>
    </row>
    <row r="70" spans="1:7" x14ac:dyDescent="0.3">
      <c r="A70" t="s">
        <v>391</v>
      </c>
      <c r="B70">
        <v>0.26400000000000001</v>
      </c>
      <c r="C70">
        <v>1.308450443155569</v>
      </c>
      <c r="D70">
        <v>1.2641343415586239</v>
      </c>
      <c r="E70">
        <f t="shared" si="3"/>
        <v>44.013103673786063</v>
      </c>
      <c r="F70">
        <f t="shared" si="4"/>
        <v>42.094500094658869</v>
      </c>
      <c r="G70">
        <f t="shared" si="5"/>
        <v>1.9186035791271934</v>
      </c>
    </row>
    <row r="71" spans="1:7" x14ac:dyDescent="0.3">
      <c r="A71" t="s">
        <v>392</v>
      </c>
      <c r="B71">
        <v>0.32600000000000001</v>
      </c>
      <c r="C71">
        <v>0.26610723876990489</v>
      </c>
      <c r="D71">
        <v>0.25817985336581661</v>
      </c>
      <c r="E71">
        <f t="shared" si="3"/>
        <v>44.13373584111811</v>
      </c>
      <c r="F71">
        <f t="shared" si="4"/>
        <v>47.685116765784137</v>
      </c>
      <c r="G71">
        <f t="shared" si="5"/>
        <v>-3.5513809246660273</v>
      </c>
    </row>
    <row r="72" spans="1:7" x14ac:dyDescent="0.3">
      <c r="A72" t="s">
        <v>392</v>
      </c>
      <c r="B72">
        <v>0.29699999999999999</v>
      </c>
      <c r="C72">
        <v>0.48563407823801003</v>
      </c>
      <c r="D72">
        <v>0.39265785857888541</v>
      </c>
      <c r="E72">
        <f t="shared" si="3"/>
        <v>38.957159195623362</v>
      </c>
      <c r="F72">
        <f t="shared" si="4"/>
        <v>45.686705836556705</v>
      </c>
      <c r="G72">
        <f t="shared" si="5"/>
        <v>-6.7295466409333429</v>
      </c>
    </row>
    <row r="73" spans="1:7" x14ac:dyDescent="0.3">
      <c r="A73" t="s">
        <v>392</v>
      </c>
      <c r="B73">
        <v>0.29899999999999999</v>
      </c>
      <c r="C73">
        <v>0.90655675862438267</v>
      </c>
      <c r="D73">
        <v>0.62089781457389837</v>
      </c>
      <c r="E73">
        <f t="shared" si="3"/>
        <v>34.407118308434114</v>
      </c>
      <c r="F73">
        <f t="shared" si="4"/>
        <v>42.966036760031969</v>
      </c>
      <c r="G73">
        <f t="shared" si="5"/>
        <v>-8.5589184515978545</v>
      </c>
    </row>
    <row r="74" spans="1:7" x14ac:dyDescent="0.3">
      <c r="A74" t="s">
        <v>392</v>
      </c>
      <c r="B74">
        <v>0.28100000000000003</v>
      </c>
      <c r="C74">
        <v>1.4670009300393669</v>
      </c>
      <c r="D74">
        <v>1.0156484362266529</v>
      </c>
      <c r="E74">
        <f t="shared" si="3"/>
        <v>34.696009155644767</v>
      </c>
      <c r="F74">
        <f t="shared" si="4"/>
        <v>41.267796222425545</v>
      </c>
      <c r="G74">
        <f t="shared" si="5"/>
        <v>-6.5717870667807787</v>
      </c>
    </row>
    <row r="75" spans="1:7" x14ac:dyDescent="0.3">
      <c r="A75" t="s">
        <v>393</v>
      </c>
      <c r="B75">
        <v>0.313</v>
      </c>
      <c r="C75">
        <v>0.57547973965812649</v>
      </c>
      <c r="D75">
        <v>0.39919512318889078</v>
      </c>
      <c r="E75">
        <f t="shared" si="3"/>
        <v>34.748025358150784</v>
      </c>
      <c r="F75">
        <f t="shared" si="4"/>
        <v>44.635986049891862</v>
      </c>
      <c r="G75">
        <f t="shared" si="5"/>
        <v>-9.8879606917410783</v>
      </c>
    </row>
    <row r="76" spans="1:7" x14ac:dyDescent="0.3">
      <c r="A76" t="s">
        <v>393</v>
      </c>
      <c r="B76">
        <v>0.253</v>
      </c>
      <c r="C76">
        <v>1.52062132607843</v>
      </c>
      <c r="D76">
        <v>1.007258054471547</v>
      </c>
      <c r="E76">
        <f t="shared" si="3"/>
        <v>33.520451572353608</v>
      </c>
      <c r="F76">
        <f t="shared" si="4"/>
        <v>41.671646336715504</v>
      </c>
      <c r="G76">
        <f t="shared" si="5"/>
        <v>-8.1511947643618967</v>
      </c>
    </row>
    <row r="77" spans="1:7" x14ac:dyDescent="0.3">
      <c r="A77" t="s">
        <v>394</v>
      </c>
      <c r="B77">
        <v>0.36299999999999999</v>
      </c>
      <c r="C77">
        <v>0.13598565772070631</v>
      </c>
      <c r="D77">
        <v>0.13301142197022281</v>
      </c>
      <c r="E77">
        <f t="shared" si="3"/>
        <v>44.366520216049459</v>
      </c>
      <c r="F77">
        <f t="shared" si="4"/>
        <v>49.805944075536857</v>
      </c>
      <c r="G77">
        <f t="shared" si="5"/>
        <v>-5.4394238594873983</v>
      </c>
    </row>
    <row r="78" spans="1:7" x14ac:dyDescent="0.3">
      <c r="A78" t="s">
        <v>394</v>
      </c>
      <c r="B78">
        <v>0.32400000000000001</v>
      </c>
      <c r="C78">
        <v>0.53612885623744655</v>
      </c>
      <c r="D78">
        <v>0.37487449457535682</v>
      </c>
      <c r="E78">
        <f t="shared" si="3"/>
        <v>34.962193141694932</v>
      </c>
      <c r="F78">
        <f t="shared" si="4"/>
        <v>44.719215831192329</v>
      </c>
      <c r="G78">
        <f t="shared" si="5"/>
        <v>-9.757022689497397</v>
      </c>
    </row>
    <row r="79" spans="1:7" x14ac:dyDescent="0.3">
      <c r="A79" t="s">
        <v>395</v>
      </c>
      <c r="B79">
        <v>0.25800000000000001</v>
      </c>
      <c r="C79">
        <v>1.491488836729443</v>
      </c>
      <c r="D79">
        <v>1.331979761408234</v>
      </c>
      <c r="E79">
        <f t="shared" si="3"/>
        <v>41.766568402538887</v>
      </c>
      <c r="F79">
        <f t="shared" si="4"/>
        <v>41.654723229151379</v>
      </c>
      <c r="G79">
        <f t="shared" si="5"/>
        <v>0.11184517338750766</v>
      </c>
    </row>
    <row r="80" spans="1:7" x14ac:dyDescent="0.3">
      <c r="A80" t="s">
        <v>395</v>
      </c>
      <c r="B80">
        <v>0.23100000000000001</v>
      </c>
      <c r="C80">
        <v>2.4883399839387339</v>
      </c>
      <c r="D80">
        <v>2.282473494105612</v>
      </c>
      <c r="E80">
        <f t="shared" si="3"/>
        <v>42.529149236000116</v>
      </c>
      <c r="F80">
        <f t="shared" si="4"/>
        <v>40.013661388621308</v>
      </c>
      <c r="G80">
        <f t="shared" si="5"/>
        <v>2.5154878473788074</v>
      </c>
    </row>
    <row r="81" spans="1:7" x14ac:dyDescent="0.3">
      <c r="A81" t="s">
        <v>395</v>
      </c>
      <c r="B81">
        <v>0.23300000000000001</v>
      </c>
      <c r="C81">
        <v>3.560772054351121</v>
      </c>
      <c r="D81">
        <v>3.0014801503806612</v>
      </c>
      <c r="E81">
        <f t="shared" si="3"/>
        <v>40.12853055973639</v>
      </c>
      <c r="F81">
        <f t="shared" si="4"/>
        <v>38.465718595648625</v>
      </c>
      <c r="G81">
        <f t="shared" si="5"/>
        <v>1.6628119640877657</v>
      </c>
    </row>
    <row r="82" spans="1:7" x14ac:dyDescent="0.3">
      <c r="A82" t="s">
        <v>396</v>
      </c>
      <c r="B82">
        <v>0.26300000000000001</v>
      </c>
      <c r="C82">
        <v>1.529056584653798</v>
      </c>
      <c r="D82">
        <v>1.334674543204972</v>
      </c>
      <c r="E82">
        <f t="shared" si="3"/>
        <v>41.116879371981099</v>
      </c>
      <c r="F82">
        <f t="shared" si="4"/>
        <v>41.449140005666663</v>
      </c>
      <c r="G82">
        <f t="shared" si="5"/>
        <v>-0.33226063368556424</v>
      </c>
    </row>
    <row r="83" spans="1:7" x14ac:dyDescent="0.3">
      <c r="A83" t="s">
        <v>396</v>
      </c>
      <c r="B83">
        <v>0.23899999999999999</v>
      </c>
      <c r="C83">
        <v>2.4669076566270651</v>
      </c>
      <c r="D83">
        <v>2.104101781684721</v>
      </c>
      <c r="E83">
        <f t="shared" si="3"/>
        <v>40.461886840532458</v>
      </c>
      <c r="F83">
        <f t="shared" si="4"/>
        <v>39.892589573925413</v>
      </c>
      <c r="G83">
        <f t="shared" si="5"/>
        <v>0.56929726660704461</v>
      </c>
    </row>
    <row r="84" spans="1:7" x14ac:dyDescent="0.3">
      <c r="A84" t="s">
        <v>396</v>
      </c>
      <c r="B84">
        <v>0.23400000000000001</v>
      </c>
      <c r="C84">
        <v>3.5935579828117028</v>
      </c>
      <c r="D84">
        <v>2.8672162180356588</v>
      </c>
      <c r="E84">
        <f t="shared" si="3"/>
        <v>38.585551142672259</v>
      </c>
      <c r="F84">
        <f t="shared" si="4"/>
        <v>38.407867761972334</v>
      </c>
      <c r="G84">
        <f t="shared" si="5"/>
        <v>0.17768338069992495</v>
      </c>
    </row>
    <row r="85" spans="1:7" x14ac:dyDescent="0.3">
      <c r="A85" t="s">
        <v>396</v>
      </c>
      <c r="B85">
        <v>0.219</v>
      </c>
      <c r="C85">
        <v>6.2184487831904587</v>
      </c>
      <c r="D85">
        <v>4.3825072408095904</v>
      </c>
      <c r="E85">
        <f t="shared" si="3"/>
        <v>35.174608648550986</v>
      </c>
      <c r="F85">
        <f t="shared" si="4"/>
        <v>36.423688945331982</v>
      </c>
      <c r="G85">
        <f t="shared" si="5"/>
        <v>-1.2490802967809955</v>
      </c>
    </row>
    <row r="86" spans="1:7" x14ac:dyDescent="0.3">
      <c r="A86" t="s">
        <v>397</v>
      </c>
      <c r="B86">
        <v>0.7</v>
      </c>
      <c r="C86">
        <v>0.13561426484117259</v>
      </c>
      <c r="D86">
        <v>0.14273678081270599</v>
      </c>
      <c r="E86">
        <f t="shared" si="3"/>
        <v>46.465778840084745</v>
      </c>
      <c r="F86">
        <f t="shared" si="4"/>
        <v>42.868056966047249</v>
      </c>
      <c r="G86">
        <f t="shared" si="5"/>
        <v>3.5977218740374965</v>
      </c>
    </row>
    <row r="87" spans="1:7" x14ac:dyDescent="0.3">
      <c r="A87" t="s">
        <v>397</v>
      </c>
      <c r="B87">
        <v>0.6</v>
      </c>
      <c r="C87">
        <v>0.1245992273030038</v>
      </c>
      <c r="D87">
        <v>0.12974071810332419</v>
      </c>
      <c r="E87">
        <f t="shared" si="3"/>
        <v>46.158078434659586</v>
      </c>
      <c r="F87">
        <f t="shared" si="4"/>
        <v>45.34662748957993</v>
      </c>
      <c r="G87">
        <f t="shared" si="5"/>
        <v>0.81145094507965609</v>
      </c>
    </row>
    <row r="88" spans="1:7" x14ac:dyDescent="0.3">
      <c r="A88" t="s">
        <v>397</v>
      </c>
      <c r="B88">
        <v>0.62</v>
      </c>
      <c r="C88">
        <v>0.1244393424801139</v>
      </c>
      <c r="D88">
        <v>0.12937421889964251</v>
      </c>
      <c r="E88">
        <f t="shared" si="3"/>
        <v>46.113856836689763</v>
      </c>
      <c r="F88">
        <f t="shared" si="4"/>
        <v>44.932832330368029</v>
      </c>
      <c r="G88">
        <f t="shared" si="5"/>
        <v>1.1810245063217337</v>
      </c>
    </row>
    <row r="89" spans="1:7" x14ac:dyDescent="0.3">
      <c r="A89" t="s">
        <v>398</v>
      </c>
      <c r="B89">
        <v>0.55000000000000004</v>
      </c>
      <c r="C89">
        <v>0.35534593779690099</v>
      </c>
      <c r="D89">
        <v>0.35982887757806248</v>
      </c>
      <c r="E89">
        <f t="shared" si="3"/>
        <v>45.35914319094347</v>
      </c>
      <c r="F89">
        <f t="shared" si="4"/>
        <v>41.890028914200151</v>
      </c>
      <c r="G89">
        <f t="shared" si="5"/>
        <v>3.4691142767433192</v>
      </c>
    </row>
    <row r="90" spans="1:7" x14ac:dyDescent="0.3">
      <c r="A90" t="s">
        <v>398</v>
      </c>
      <c r="B90">
        <v>0.55000000000000004</v>
      </c>
      <c r="C90">
        <v>0.85853138669096984</v>
      </c>
      <c r="D90">
        <v>0.74482116350395378</v>
      </c>
      <c r="E90">
        <f t="shared" si="3"/>
        <v>40.943358980676216</v>
      </c>
      <c r="F90">
        <f t="shared" si="4"/>
        <v>38.159175372412157</v>
      </c>
      <c r="G90">
        <f t="shared" si="5"/>
        <v>2.7841836082640583</v>
      </c>
    </row>
    <row r="91" spans="1:7" x14ac:dyDescent="0.3">
      <c r="A91" t="s">
        <v>398</v>
      </c>
      <c r="B91">
        <v>0.62</v>
      </c>
      <c r="C91">
        <v>1.74623177845652</v>
      </c>
      <c r="D91">
        <v>1.43193251964039</v>
      </c>
      <c r="E91">
        <f t="shared" si="3"/>
        <v>39.352193295622364</v>
      </c>
      <c r="F91">
        <f t="shared" si="4"/>
        <v>33.87306393794519</v>
      </c>
      <c r="G91">
        <f t="shared" si="5"/>
        <v>5.4791293576771736</v>
      </c>
    </row>
    <row r="92" spans="1:7" x14ac:dyDescent="0.3">
      <c r="A92" t="s">
        <v>398</v>
      </c>
      <c r="B92">
        <v>0.51</v>
      </c>
      <c r="C92">
        <v>2.9077728225801258</v>
      </c>
      <c r="D92">
        <v>2.254862386027376</v>
      </c>
      <c r="E92">
        <f t="shared" si="3"/>
        <v>37.792157485997514</v>
      </c>
      <c r="F92">
        <f t="shared" si="4"/>
        <v>33.960301260215005</v>
      </c>
      <c r="G92">
        <f t="shared" si="5"/>
        <v>3.8318562257825093</v>
      </c>
    </row>
    <row r="93" spans="1:7" x14ac:dyDescent="0.3">
      <c r="A93" t="s">
        <v>399</v>
      </c>
      <c r="B93">
        <v>0.61</v>
      </c>
      <c r="C93">
        <v>0.16771505809358339</v>
      </c>
      <c r="D93">
        <v>0.1732187559072535</v>
      </c>
      <c r="E93">
        <f t="shared" si="3"/>
        <v>45.924845983868842</v>
      </c>
      <c r="F93">
        <f t="shared" si="4"/>
        <v>43.860537574883296</v>
      </c>
      <c r="G93">
        <f t="shared" si="5"/>
        <v>2.0643084089855464</v>
      </c>
    </row>
    <row r="94" spans="1:7" x14ac:dyDescent="0.3">
      <c r="A94" t="s">
        <v>399</v>
      </c>
      <c r="B94">
        <v>0.62</v>
      </c>
      <c r="C94">
        <v>0.34987055991649901</v>
      </c>
      <c r="D94">
        <v>0.34113199415610029</v>
      </c>
      <c r="E94">
        <f t="shared" si="3"/>
        <v>44.275463967796327</v>
      </c>
      <c r="F94">
        <f t="shared" si="4"/>
        <v>40.509147604032961</v>
      </c>
      <c r="G94">
        <f t="shared" si="5"/>
        <v>3.7663163637633659</v>
      </c>
    </row>
    <row r="95" spans="1:7" x14ac:dyDescent="0.3">
      <c r="A95" t="s">
        <v>399</v>
      </c>
      <c r="B95">
        <v>0.73</v>
      </c>
      <c r="C95">
        <v>0.86819150840000725</v>
      </c>
      <c r="D95">
        <v>0.74861745330451723</v>
      </c>
      <c r="E95">
        <f t="shared" si="3"/>
        <v>40.770286558692725</v>
      </c>
      <c r="F95">
        <f t="shared" si="4"/>
        <v>34.486609025386961</v>
      </c>
      <c r="G95">
        <f t="shared" si="5"/>
        <v>6.2836775333057631</v>
      </c>
    </row>
    <row r="96" spans="1:7" x14ac:dyDescent="0.3">
      <c r="A96" t="s">
        <v>400</v>
      </c>
      <c r="B96">
        <v>0.45</v>
      </c>
      <c r="C96">
        <v>4.2785253301497272</v>
      </c>
      <c r="D96">
        <v>3.2180640550862241</v>
      </c>
      <c r="E96">
        <f t="shared" si="3"/>
        <v>36.948409227103809</v>
      </c>
      <c r="F96">
        <f t="shared" si="4"/>
        <v>33.561530735595525</v>
      </c>
      <c r="G96">
        <f t="shared" si="5"/>
        <v>3.3868784915082841</v>
      </c>
    </row>
    <row r="97" spans="1:7" x14ac:dyDescent="0.3">
      <c r="A97" t="s">
        <v>400</v>
      </c>
      <c r="B97">
        <v>0.51</v>
      </c>
      <c r="C97">
        <v>0.35487898552969271</v>
      </c>
      <c r="D97">
        <v>0.36032521724314981</v>
      </c>
      <c r="E97">
        <f t="shared" si="3"/>
        <v>45.43629505933005</v>
      </c>
      <c r="F97">
        <f t="shared" si="4"/>
        <v>42.717431966641684</v>
      </c>
      <c r="G97">
        <f t="shared" si="5"/>
        <v>2.7188630926883661</v>
      </c>
    </row>
    <row r="98" spans="1:7" x14ac:dyDescent="0.3">
      <c r="A98" t="s">
        <v>400</v>
      </c>
      <c r="B98">
        <v>0.5</v>
      </c>
      <c r="C98">
        <v>0.88494929987281379</v>
      </c>
      <c r="D98">
        <v>0.80056974241394718</v>
      </c>
      <c r="E98">
        <f t="shared" si="3"/>
        <v>42.134081715119244</v>
      </c>
      <c r="F98">
        <f t="shared" si="4"/>
        <v>39.037445331208026</v>
      </c>
      <c r="G98">
        <f t="shared" si="5"/>
        <v>3.0966363839112176</v>
      </c>
    </row>
    <row r="99" spans="1:7" x14ac:dyDescent="0.3">
      <c r="A99" t="s">
        <v>400</v>
      </c>
      <c r="B99">
        <v>0.4</v>
      </c>
      <c r="C99">
        <v>1.7422953326939961</v>
      </c>
      <c r="D99">
        <v>1.4237226736465121</v>
      </c>
      <c r="E99">
        <f t="shared" si="3"/>
        <v>39.254095336816206</v>
      </c>
      <c r="F99">
        <f t="shared" si="4"/>
        <v>38.18634244261154</v>
      </c>
      <c r="G99">
        <f t="shared" si="5"/>
        <v>1.0677528942046663</v>
      </c>
    </row>
    <row r="100" spans="1:7" x14ac:dyDescent="0.3">
      <c r="A100" t="s">
        <v>400</v>
      </c>
      <c r="B100">
        <v>0.4</v>
      </c>
      <c r="C100">
        <v>2.901577127435341</v>
      </c>
      <c r="D100">
        <v>2.2371780610572918</v>
      </c>
      <c r="E100">
        <f t="shared" si="3"/>
        <v>37.63299226051199</v>
      </c>
      <c r="F100">
        <f t="shared" si="4"/>
        <v>36.077260563689372</v>
      </c>
      <c r="G100">
        <f t="shared" si="5"/>
        <v>1.5557316968226189</v>
      </c>
    </row>
    <row r="101" spans="1:7" x14ac:dyDescent="0.3">
      <c r="A101" t="s">
        <v>400</v>
      </c>
      <c r="B101">
        <v>0.46</v>
      </c>
      <c r="C101">
        <v>4.2094351603141833</v>
      </c>
      <c r="D101">
        <v>3.090396321371176</v>
      </c>
      <c r="E101">
        <f t="shared" si="3"/>
        <v>36.284603259303225</v>
      </c>
      <c r="F101">
        <f t="shared" si="4"/>
        <v>33.438213599934848</v>
      </c>
      <c r="G101">
        <f t="shared" si="5"/>
        <v>2.8463896593683771</v>
      </c>
    </row>
    <row r="102" spans="1:7" x14ac:dyDescent="0.3">
      <c r="A102" t="s">
        <v>401</v>
      </c>
      <c r="B102">
        <v>0.55000000000000004</v>
      </c>
      <c r="C102">
        <v>1.7080401648944259</v>
      </c>
      <c r="D102">
        <v>1.291031030676679</v>
      </c>
      <c r="E102">
        <f t="shared" si="3"/>
        <v>37.084000780218098</v>
      </c>
      <c r="F102">
        <f t="shared" si="4"/>
        <v>35.326528482178553</v>
      </c>
      <c r="G102">
        <f t="shared" si="5"/>
        <v>1.757472298039545</v>
      </c>
    </row>
    <row r="103" spans="1:7" x14ac:dyDescent="0.3">
      <c r="A103" t="s">
        <v>401</v>
      </c>
      <c r="B103">
        <v>0.51</v>
      </c>
      <c r="C103">
        <v>2.8064178709275032</v>
      </c>
      <c r="D103">
        <v>1.960913550395246</v>
      </c>
      <c r="E103">
        <f t="shared" si="3"/>
        <v>34.942951905713286</v>
      </c>
      <c r="F103">
        <f t="shared" si="4"/>
        <v>34.101719230745537</v>
      </c>
      <c r="G103">
        <f t="shared" si="5"/>
        <v>0.84123267496774901</v>
      </c>
    </row>
    <row r="104" spans="1:7" x14ac:dyDescent="0.3">
      <c r="A104" t="s">
        <v>401</v>
      </c>
      <c r="B104">
        <v>0.5</v>
      </c>
      <c r="C104">
        <v>4.165609626986039</v>
      </c>
      <c r="D104">
        <v>2.8733356859999639</v>
      </c>
      <c r="E104">
        <f t="shared" si="3"/>
        <v>34.59696259989002</v>
      </c>
      <c r="F104">
        <f t="shared" si="4"/>
        <v>32.730483903208295</v>
      </c>
      <c r="G104">
        <f t="shared" si="5"/>
        <v>1.8664786966817246</v>
      </c>
    </row>
    <row r="105" spans="1:7" x14ac:dyDescent="0.3">
      <c r="A105" t="s">
        <v>402</v>
      </c>
      <c r="B105">
        <v>0.42</v>
      </c>
      <c r="C105">
        <v>0.37771992507159052</v>
      </c>
      <c r="D105">
        <v>0.41721886976357969</v>
      </c>
      <c r="E105">
        <f t="shared" si="3"/>
        <v>47.844575104125973</v>
      </c>
      <c r="F105">
        <f t="shared" si="4"/>
        <v>44.285294522181623</v>
      </c>
      <c r="G105">
        <f t="shared" si="5"/>
        <v>3.5592805819443498</v>
      </c>
    </row>
    <row r="106" spans="1:7" x14ac:dyDescent="0.3">
      <c r="A106" t="s">
        <v>402</v>
      </c>
      <c r="B106">
        <v>0.44</v>
      </c>
      <c r="C106">
        <v>1.720499148191996</v>
      </c>
      <c r="D106">
        <v>1.3922975623368921</v>
      </c>
      <c r="E106">
        <f t="shared" si="3"/>
        <v>38.981185935660143</v>
      </c>
      <c r="F106">
        <f t="shared" si="4"/>
        <v>37.452127839562586</v>
      </c>
      <c r="G106">
        <f t="shared" si="5"/>
        <v>1.5290580960975575</v>
      </c>
    </row>
    <row r="107" spans="1:7" x14ac:dyDescent="0.3">
      <c r="A107" t="s">
        <v>402</v>
      </c>
      <c r="B107">
        <v>0.4</v>
      </c>
      <c r="C107">
        <v>4.2462730468062828</v>
      </c>
      <c r="D107">
        <v>3.176377194816602</v>
      </c>
      <c r="E107">
        <f t="shared" si="3"/>
        <v>36.797915825051639</v>
      </c>
      <c r="F107">
        <f t="shared" si="4"/>
        <v>34.533979707670937</v>
      </c>
      <c r="G107">
        <f t="shared" si="5"/>
        <v>2.2639361173807018</v>
      </c>
    </row>
    <row r="108" spans="1:7" x14ac:dyDescent="0.3">
      <c r="A108" t="s">
        <v>402</v>
      </c>
      <c r="B108">
        <v>0.43</v>
      </c>
      <c r="C108">
        <v>4.2804046157913804</v>
      </c>
      <c r="D108">
        <v>3.239804590193919</v>
      </c>
      <c r="E108">
        <f t="shared" si="3"/>
        <v>37.121792467247744</v>
      </c>
      <c r="F108">
        <f t="shared" si="4"/>
        <v>33.935820130607219</v>
      </c>
      <c r="G108">
        <f t="shared" si="5"/>
        <v>3.1859723366405248</v>
      </c>
    </row>
    <row r="109" spans="1:7" x14ac:dyDescent="0.3">
      <c r="A109" t="s">
        <v>402</v>
      </c>
      <c r="B109">
        <v>0.42</v>
      </c>
      <c r="C109">
        <v>4.3089224398776116</v>
      </c>
      <c r="D109">
        <v>3.2927998481736478</v>
      </c>
      <c r="E109">
        <f t="shared" si="3"/>
        <v>37.386402059306462</v>
      </c>
      <c r="F109">
        <f t="shared" si="4"/>
        <v>34.097733400413219</v>
      </c>
      <c r="G109">
        <f t="shared" si="5"/>
        <v>3.2886686588932434</v>
      </c>
    </row>
    <row r="110" spans="1:7" x14ac:dyDescent="0.3">
      <c r="A110" t="s">
        <v>403</v>
      </c>
      <c r="B110">
        <v>0.35</v>
      </c>
      <c r="C110">
        <v>0.15189269940735289</v>
      </c>
      <c r="D110">
        <v>0.1747873255390143</v>
      </c>
      <c r="E110">
        <f t="shared" si="3"/>
        <v>49.008889556803879</v>
      </c>
      <c r="F110">
        <f t="shared" si="4"/>
        <v>49.595570007951444</v>
      </c>
      <c r="G110">
        <f t="shared" si="5"/>
        <v>-0.58668045114756495</v>
      </c>
    </row>
    <row r="111" spans="1:7" x14ac:dyDescent="0.3">
      <c r="A111" t="s">
        <v>403</v>
      </c>
      <c r="B111">
        <v>0.32</v>
      </c>
      <c r="C111">
        <v>0.92487006183654552</v>
      </c>
      <c r="D111">
        <v>0.93085577393548835</v>
      </c>
      <c r="E111">
        <f t="shared" si="3"/>
        <v>45.184809008240677</v>
      </c>
      <c r="F111">
        <f t="shared" si="4"/>
        <v>42.45981552449247</v>
      </c>
      <c r="G111">
        <f t="shared" si="5"/>
        <v>2.7249934837482073</v>
      </c>
    </row>
    <row r="112" spans="1:7" x14ac:dyDescent="0.3">
      <c r="A112" t="s">
        <v>403</v>
      </c>
      <c r="B112">
        <v>0.38</v>
      </c>
      <c r="C112">
        <v>2.8989443335083291</v>
      </c>
      <c r="D112">
        <v>2.3502013853814701</v>
      </c>
      <c r="E112">
        <f t="shared" si="3"/>
        <v>39.032006588224462</v>
      </c>
      <c r="F112">
        <f t="shared" si="4"/>
        <v>36.466960479249067</v>
      </c>
      <c r="G112">
        <f t="shared" si="5"/>
        <v>2.5650461089753946</v>
      </c>
    </row>
    <row r="113" spans="1:7" x14ac:dyDescent="0.3">
      <c r="A113" t="s">
        <v>403</v>
      </c>
      <c r="B113">
        <v>0.33</v>
      </c>
      <c r="C113">
        <v>4.3307891639355738</v>
      </c>
      <c r="D113">
        <v>3.4879587591109491</v>
      </c>
      <c r="E113">
        <f t="shared" si="3"/>
        <v>38.847496651344166</v>
      </c>
      <c r="F113">
        <f t="shared" si="4"/>
        <v>35.784325996657024</v>
      </c>
      <c r="G113">
        <f t="shared" si="5"/>
        <v>3.0631706546871413</v>
      </c>
    </row>
    <row r="114" spans="1:7" x14ac:dyDescent="0.3">
      <c r="A114" t="s">
        <v>403</v>
      </c>
      <c r="B114">
        <v>0.33</v>
      </c>
      <c r="C114">
        <v>4.3943749738512006</v>
      </c>
      <c r="D114">
        <v>3.61159908825854</v>
      </c>
      <c r="E114">
        <f t="shared" si="3"/>
        <v>39.415713700286268</v>
      </c>
      <c r="F114">
        <f t="shared" si="4"/>
        <v>35.724925766412611</v>
      </c>
      <c r="G114">
        <f t="shared" si="5"/>
        <v>3.6907879338736578</v>
      </c>
    </row>
    <row r="115" spans="1:7" x14ac:dyDescent="0.3">
      <c r="A115" t="s">
        <v>404</v>
      </c>
      <c r="B115">
        <v>0.31</v>
      </c>
      <c r="C115">
        <v>0.18533428698355051</v>
      </c>
      <c r="D115">
        <v>0.188069308229142</v>
      </c>
      <c r="E115">
        <f t="shared" si="3"/>
        <v>45.419659515799083</v>
      </c>
      <c r="F115">
        <f t="shared" si="4"/>
        <v>49.545949613075976</v>
      </c>
      <c r="G115">
        <f t="shared" si="5"/>
        <v>-4.1262900972768932</v>
      </c>
    </row>
    <row r="116" spans="1:7" x14ac:dyDescent="0.3">
      <c r="A116" t="s">
        <v>404</v>
      </c>
      <c r="B116">
        <v>0.31</v>
      </c>
      <c r="C116">
        <v>0.3683262699175433</v>
      </c>
      <c r="D116">
        <v>0.35217413989416851</v>
      </c>
      <c r="E116">
        <f t="shared" si="3"/>
        <v>43.71576215326094</v>
      </c>
      <c r="F116">
        <f t="shared" si="4"/>
        <v>46.612955971427155</v>
      </c>
      <c r="G116">
        <f t="shared" si="5"/>
        <v>-2.8971938181662154</v>
      </c>
    </row>
    <row r="117" spans="1:7" x14ac:dyDescent="0.3">
      <c r="A117" t="s">
        <v>404</v>
      </c>
      <c r="B117">
        <v>0.31</v>
      </c>
      <c r="C117">
        <v>0.74894574291213489</v>
      </c>
      <c r="D117">
        <v>0.69675565029131759</v>
      </c>
      <c r="E117">
        <f t="shared" si="3"/>
        <v>42.932509389068983</v>
      </c>
      <c r="F117">
        <f t="shared" si="4"/>
        <v>43.56470976011402</v>
      </c>
      <c r="G117">
        <f t="shared" si="5"/>
        <v>-0.63220037104503746</v>
      </c>
    </row>
    <row r="118" spans="1:7" x14ac:dyDescent="0.3">
      <c r="A118" t="s">
        <v>404</v>
      </c>
      <c r="B118">
        <v>0.31</v>
      </c>
      <c r="C118">
        <v>1.192458377182428</v>
      </c>
      <c r="D118">
        <v>1.010249632664509</v>
      </c>
      <c r="E118">
        <f t="shared" si="3"/>
        <v>40.2712400687723</v>
      </c>
      <c r="F118">
        <f t="shared" si="4"/>
        <v>41.573662127109429</v>
      </c>
      <c r="G118">
        <f t="shared" si="5"/>
        <v>-1.3024220583371289</v>
      </c>
    </row>
    <row r="119" spans="1:7" x14ac:dyDescent="0.3">
      <c r="A119" t="s">
        <v>405</v>
      </c>
      <c r="B119">
        <v>0.31</v>
      </c>
      <c r="C119">
        <v>0.19133319259008691</v>
      </c>
      <c r="D119">
        <v>0.19395308102484049</v>
      </c>
      <c r="E119">
        <f t="shared" si="3"/>
        <v>45.389596637305694</v>
      </c>
      <c r="F119">
        <f t="shared" si="4"/>
        <v>49.410731179811137</v>
      </c>
      <c r="G119">
        <f t="shared" si="5"/>
        <v>-4.0211345425054432</v>
      </c>
    </row>
    <row r="120" spans="1:7" x14ac:dyDescent="0.3">
      <c r="A120" t="s">
        <v>405</v>
      </c>
      <c r="B120">
        <v>0.31</v>
      </c>
      <c r="C120">
        <v>0.37492252330754777</v>
      </c>
      <c r="D120">
        <v>0.3502288718182166</v>
      </c>
      <c r="E120">
        <f t="shared" si="3"/>
        <v>43.049654857110404</v>
      </c>
      <c r="F120">
        <f t="shared" si="4"/>
        <v>46.536795133416334</v>
      </c>
      <c r="G120">
        <f t="shared" si="5"/>
        <v>-3.4871402763059294</v>
      </c>
    </row>
    <row r="121" spans="1:7" x14ac:dyDescent="0.3">
      <c r="A121" t="s">
        <v>405</v>
      </c>
      <c r="B121">
        <v>0.31</v>
      </c>
      <c r="C121">
        <v>0.72843966623887213</v>
      </c>
      <c r="D121">
        <v>0.62097254435800453</v>
      </c>
      <c r="E121">
        <f t="shared" si="3"/>
        <v>40.446577445169389</v>
      </c>
      <c r="F121">
        <f t="shared" si="4"/>
        <v>43.683869431006592</v>
      </c>
      <c r="G121">
        <f t="shared" si="5"/>
        <v>-3.2372919858372029</v>
      </c>
    </row>
    <row r="122" spans="1:7" x14ac:dyDescent="0.3">
      <c r="A122" t="s">
        <v>405</v>
      </c>
      <c r="B122">
        <v>0.31</v>
      </c>
      <c r="C122">
        <v>1.172917931255657</v>
      </c>
      <c r="D122">
        <v>0.9161502284648011</v>
      </c>
      <c r="E122">
        <f t="shared" si="3"/>
        <v>37.992910662178318</v>
      </c>
      <c r="F122">
        <f t="shared" si="4"/>
        <v>41.644165215402573</v>
      </c>
      <c r="G122">
        <f t="shared" si="5"/>
        <v>-3.6512545532242555</v>
      </c>
    </row>
    <row r="123" spans="1:7" x14ac:dyDescent="0.3">
      <c r="A123" t="s">
        <v>406</v>
      </c>
      <c r="B123">
        <v>0.5</v>
      </c>
      <c r="C123">
        <v>0.21417171333388779</v>
      </c>
      <c r="D123">
        <v>0.2522500810571715</v>
      </c>
      <c r="E123">
        <f t="shared" si="3"/>
        <v>49.667239000997434</v>
      </c>
      <c r="F123">
        <f t="shared" si="4"/>
        <v>45.090563032674169</v>
      </c>
      <c r="G123">
        <f t="shared" si="5"/>
        <v>4.576675968323265</v>
      </c>
    </row>
    <row r="124" spans="1:7" x14ac:dyDescent="0.3">
      <c r="A124" t="s">
        <v>406</v>
      </c>
      <c r="B124">
        <v>0.5</v>
      </c>
      <c r="C124">
        <v>0.39863451188167981</v>
      </c>
      <c r="D124">
        <v>0.44077001203961652</v>
      </c>
      <c r="E124">
        <f t="shared" si="3"/>
        <v>47.873658194870409</v>
      </c>
      <c r="F124">
        <f t="shared" si="4"/>
        <v>42.424342373011278</v>
      </c>
      <c r="G124">
        <f t="shared" si="5"/>
        <v>5.4493158218591304</v>
      </c>
    </row>
    <row r="125" spans="1:7" x14ac:dyDescent="0.3">
      <c r="A125" t="s">
        <v>406</v>
      </c>
      <c r="B125">
        <v>0.5</v>
      </c>
      <c r="C125">
        <v>0.76152280623679935</v>
      </c>
      <c r="D125">
        <v>0.75179132270297122</v>
      </c>
      <c r="E125">
        <f t="shared" si="3"/>
        <v>44.631560137600104</v>
      </c>
      <c r="F125">
        <f t="shared" si="4"/>
        <v>39.670416844165231</v>
      </c>
      <c r="G125">
        <f t="shared" si="5"/>
        <v>4.9611432934348727</v>
      </c>
    </row>
    <row r="126" spans="1:7" x14ac:dyDescent="0.3">
      <c r="A126" t="s">
        <v>407</v>
      </c>
      <c r="B126">
        <v>0.5</v>
      </c>
      <c r="C126">
        <v>0.2021329483333929</v>
      </c>
      <c r="D126">
        <v>0.2430574004858807</v>
      </c>
      <c r="E126">
        <f t="shared" si="3"/>
        <v>50.252195825309542</v>
      </c>
      <c r="F126">
        <f t="shared" si="4"/>
        <v>45.339157856599996</v>
      </c>
      <c r="G126">
        <f t="shared" si="5"/>
        <v>4.9130379687095456</v>
      </c>
    </row>
    <row r="127" spans="1:7" x14ac:dyDescent="0.3">
      <c r="A127" t="s">
        <v>407</v>
      </c>
      <c r="B127">
        <v>0.5</v>
      </c>
      <c r="C127">
        <v>0.37690800031550759</v>
      </c>
      <c r="D127">
        <v>0.39513352215715192</v>
      </c>
      <c r="E127">
        <f t="shared" si="3"/>
        <v>46.352325663899798</v>
      </c>
      <c r="F127">
        <f t="shared" si="4"/>
        <v>42.664288158356413</v>
      </c>
      <c r="G127">
        <f t="shared" si="5"/>
        <v>3.6880375055433845</v>
      </c>
    </row>
    <row r="128" spans="1:7" x14ac:dyDescent="0.3">
      <c r="A128" t="s">
        <v>407</v>
      </c>
      <c r="B128">
        <v>0.5</v>
      </c>
      <c r="C128">
        <v>0.76290208252345348</v>
      </c>
      <c r="D128">
        <v>0.76679595780977139</v>
      </c>
      <c r="E128">
        <f t="shared" si="3"/>
        <v>45.145847175127933</v>
      </c>
      <c r="F128">
        <f t="shared" si="4"/>
        <v>39.662775159258082</v>
      </c>
      <c r="G128">
        <f t="shared" si="5"/>
        <v>5.4830720158698512</v>
      </c>
    </row>
    <row r="129" spans="1:7" x14ac:dyDescent="0.3">
      <c r="A129" t="s">
        <v>408</v>
      </c>
      <c r="B129">
        <v>0.5</v>
      </c>
      <c r="C129">
        <v>0.19738006439447919</v>
      </c>
      <c r="D129">
        <v>0.23711365822998859</v>
      </c>
      <c r="E129">
        <f t="shared" si="3"/>
        <v>50.225053096140748</v>
      </c>
      <c r="F129">
        <f t="shared" si="4"/>
        <v>45.441397688897332</v>
      </c>
      <c r="G129">
        <f t="shared" si="5"/>
        <v>4.7836554072434154</v>
      </c>
    </row>
    <row r="130" spans="1:7" x14ac:dyDescent="0.3">
      <c r="A130" t="s">
        <v>408</v>
      </c>
      <c r="B130">
        <v>0.5</v>
      </c>
      <c r="C130">
        <v>0.38339968508085348</v>
      </c>
      <c r="D130">
        <v>0.41012427769530968</v>
      </c>
      <c r="E130">
        <f t="shared" ref="E130:E193" si="6">DEGREES(ATAN(D130/C130))</f>
        <v>46.92889933610838</v>
      </c>
      <c r="F130">
        <f t="shared" ref="F130:F193" si="7">DEGREES(ATAN(TAN(RADIANS(pe0-omega*B130))*(C130/sref)^(m_-1)))</f>
        <v>42.591157135995445</v>
      </c>
      <c r="G130">
        <f t="shared" ref="G130:G193" si="8">E130-F130</f>
        <v>4.3377422001129347</v>
      </c>
    </row>
    <row r="131" spans="1:7" x14ac:dyDescent="0.3">
      <c r="A131" t="s">
        <v>408</v>
      </c>
      <c r="B131">
        <v>0.5</v>
      </c>
      <c r="C131">
        <v>0.77150877910583437</v>
      </c>
      <c r="D131">
        <v>0.80260273065151377</v>
      </c>
      <c r="E131">
        <f t="shared" si="6"/>
        <v>46.131635540438808</v>
      </c>
      <c r="F131">
        <f t="shared" si="7"/>
        <v>39.615409415614351</v>
      </c>
      <c r="G131">
        <f t="shared" si="8"/>
        <v>6.5162261248244562</v>
      </c>
    </row>
    <row r="132" spans="1:7" x14ac:dyDescent="0.3">
      <c r="A132" t="s">
        <v>409</v>
      </c>
      <c r="B132">
        <v>0.28847761194029847</v>
      </c>
      <c r="C132">
        <v>0.45479599812473209</v>
      </c>
      <c r="D132">
        <v>0.4463498176699795</v>
      </c>
      <c r="E132">
        <f t="shared" si="6"/>
        <v>44.462998868112514</v>
      </c>
      <c r="F132">
        <f t="shared" si="7"/>
        <v>46.139434088368908</v>
      </c>
      <c r="G132">
        <f t="shared" si="8"/>
        <v>-1.6764352202563941</v>
      </c>
    </row>
    <row r="133" spans="1:7" x14ac:dyDescent="0.3">
      <c r="A133" t="s">
        <v>409</v>
      </c>
      <c r="B133">
        <v>0.28847761194029847</v>
      </c>
      <c r="C133">
        <v>0.88716817988928576</v>
      </c>
      <c r="D133">
        <v>0.78521144001327947</v>
      </c>
      <c r="E133">
        <f t="shared" si="6"/>
        <v>41.511276765698319</v>
      </c>
      <c r="F133">
        <f t="shared" si="7"/>
        <v>43.26947189413282</v>
      </c>
      <c r="G133">
        <f t="shared" si="8"/>
        <v>-1.758195128434501</v>
      </c>
    </row>
    <row r="134" spans="1:7" x14ac:dyDescent="0.3">
      <c r="A134" t="s">
        <v>409</v>
      </c>
      <c r="B134">
        <v>0.28847761194029847</v>
      </c>
      <c r="C134">
        <v>1.7010664903962009</v>
      </c>
      <c r="D134">
        <v>1.394446108009183</v>
      </c>
      <c r="E134">
        <f t="shared" si="6"/>
        <v>39.34312326630841</v>
      </c>
      <c r="F134">
        <f t="shared" si="7"/>
        <v>40.489802595854478</v>
      </c>
      <c r="G134">
        <f t="shared" si="8"/>
        <v>-1.1466793295460675</v>
      </c>
    </row>
    <row r="135" spans="1:7" x14ac:dyDescent="0.3">
      <c r="A135" t="s">
        <v>410</v>
      </c>
      <c r="B135">
        <v>0.4075217391304351</v>
      </c>
      <c r="C135">
        <v>0.47607181577826979</v>
      </c>
      <c r="D135">
        <v>0.43468975411495447</v>
      </c>
      <c r="E135">
        <f t="shared" si="6"/>
        <v>42.398454302125003</v>
      </c>
      <c r="F135">
        <f t="shared" si="7"/>
        <v>43.544528744201486</v>
      </c>
      <c r="G135">
        <f t="shared" si="8"/>
        <v>-1.1460744420764826</v>
      </c>
    </row>
    <row r="136" spans="1:7" x14ac:dyDescent="0.3">
      <c r="A136" t="s">
        <v>410</v>
      </c>
      <c r="B136">
        <v>0.4075217391304351</v>
      </c>
      <c r="C136">
        <v>0.94694424405598976</v>
      </c>
      <c r="D136">
        <v>0.81860565283488651</v>
      </c>
      <c r="E136">
        <f t="shared" si="6"/>
        <v>40.842457214370384</v>
      </c>
      <c r="F136">
        <f t="shared" si="7"/>
        <v>40.606179837739639</v>
      </c>
      <c r="G136">
        <f t="shared" si="8"/>
        <v>0.23627737663074555</v>
      </c>
    </row>
    <row r="137" spans="1:7" x14ac:dyDescent="0.3">
      <c r="A137" t="s">
        <v>411</v>
      </c>
      <c r="B137">
        <v>0.34188601036269439</v>
      </c>
      <c r="C137">
        <v>0.24118074580593579</v>
      </c>
      <c r="D137">
        <v>0.23701477859108769</v>
      </c>
      <c r="E137">
        <f t="shared" si="6"/>
        <v>44.500860446250009</v>
      </c>
      <c r="F137">
        <f t="shared" si="7"/>
        <v>47.787562524877906</v>
      </c>
      <c r="G137">
        <f t="shared" si="8"/>
        <v>-3.2867020786278971</v>
      </c>
    </row>
    <row r="138" spans="1:7" x14ac:dyDescent="0.3">
      <c r="A138" t="s">
        <v>411</v>
      </c>
      <c r="B138">
        <v>0.34188601036269439</v>
      </c>
      <c r="C138">
        <v>0.51234613194948464</v>
      </c>
      <c r="D138">
        <v>0.52370353345779219</v>
      </c>
      <c r="E138">
        <f t="shared" si="6"/>
        <v>45.628063624844131</v>
      </c>
      <c r="F138">
        <f t="shared" si="7"/>
        <v>44.554260570783391</v>
      </c>
      <c r="G138">
        <f t="shared" si="8"/>
        <v>1.0738030540607397</v>
      </c>
    </row>
    <row r="139" spans="1:7" x14ac:dyDescent="0.3">
      <c r="A139" t="s">
        <v>411</v>
      </c>
      <c r="B139">
        <v>0.34188601036269439</v>
      </c>
      <c r="C139">
        <v>0.96217566928372256</v>
      </c>
      <c r="D139">
        <v>0.87251759006059526</v>
      </c>
      <c r="E139">
        <f t="shared" si="6"/>
        <v>42.202286474529053</v>
      </c>
      <c r="F139">
        <f t="shared" si="7"/>
        <v>41.852523470118363</v>
      </c>
      <c r="G139">
        <f t="shared" si="8"/>
        <v>0.34976300441068986</v>
      </c>
    </row>
    <row r="140" spans="1:7" x14ac:dyDescent="0.3">
      <c r="A140" t="s">
        <v>411</v>
      </c>
      <c r="B140">
        <v>0.34188601036269439</v>
      </c>
      <c r="C140">
        <v>1.7735355789434011</v>
      </c>
      <c r="D140">
        <v>1.5222740879464971</v>
      </c>
      <c r="E140">
        <f t="shared" si="6"/>
        <v>40.640394656697175</v>
      </c>
      <c r="F140">
        <f t="shared" si="7"/>
        <v>39.257155508184134</v>
      </c>
      <c r="G140">
        <f t="shared" si="8"/>
        <v>1.3832391485130415</v>
      </c>
    </row>
    <row r="141" spans="1:7" x14ac:dyDescent="0.3">
      <c r="A141" t="s">
        <v>412</v>
      </c>
      <c r="B141">
        <v>0.27578325123152719</v>
      </c>
      <c r="C141">
        <v>0.50335530167334319</v>
      </c>
      <c r="D141">
        <v>0.55274067262935811</v>
      </c>
      <c r="E141">
        <f t="shared" si="6"/>
        <v>47.677326319698714</v>
      </c>
      <c r="F141">
        <f t="shared" si="7"/>
        <v>45.958237734800463</v>
      </c>
      <c r="G141">
        <f t="shared" si="8"/>
        <v>1.7190885848982518</v>
      </c>
    </row>
    <row r="142" spans="1:7" x14ac:dyDescent="0.3">
      <c r="A142" t="s">
        <v>412</v>
      </c>
      <c r="B142">
        <v>0.27578325123152719</v>
      </c>
      <c r="C142">
        <v>0.94282783250973234</v>
      </c>
      <c r="D142">
        <v>0.92606488113597574</v>
      </c>
      <c r="E142">
        <f t="shared" si="6"/>
        <v>44.486101795039701</v>
      </c>
      <c r="F142">
        <f t="shared" si="7"/>
        <v>43.2626242139387</v>
      </c>
      <c r="G142">
        <f t="shared" si="8"/>
        <v>1.223477581101001</v>
      </c>
    </row>
    <row r="143" spans="1:7" x14ac:dyDescent="0.3">
      <c r="A143" t="s">
        <v>412</v>
      </c>
      <c r="B143">
        <v>0.27578325123152719</v>
      </c>
      <c r="C143">
        <v>1.7547334672543331</v>
      </c>
      <c r="D143">
        <v>1.731402936017038</v>
      </c>
      <c r="E143">
        <f t="shared" si="6"/>
        <v>44.616560896361079</v>
      </c>
      <c r="F143">
        <f t="shared" si="7"/>
        <v>40.609486022185074</v>
      </c>
      <c r="G143">
        <f t="shared" si="8"/>
        <v>4.0070748741760056</v>
      </c>
    </row>
    <row r="144" spans="1:7" x14ac:dyDescent="0.3">
      <c r="A144" t="s">
        <v>413</v>
      </c>
      <c r="B144">
        <v>0.47149999999999997</v>
      </c>
      <c r="C144">
        <v>0.49277350752637539</v>
      </c>
      <c r="D144">
        <v>0.47315378484087578</v>
      </c>
      <c r="E144">
        <f t="shared" si="6"/>
        <v>43.836379550736204</v>
      </c>
      <c r="F144">
        <f t="shared" si="7"/>
        <v>42.098640182584106</v>
      </c>
      <c r="G144">
        <f t="shared" si="8"/>
        <v>1.7377393681520985</v>
      </c>
    </row>
    <row r="145" spans="1:7" x14ac:dyDescent="0.3">
      <c r="A145" t="s">
        <v>413</v>
      </c>
      <c r="B145">
        <v>0.47149999999999997</v>
      </c>
      <c r="C145">
        <v>1.763237894397736</v>
      </c>
      <c r="D145">
        <v>1.4512715331078621</v>
      </c>
      <c r="E145">
        <f t="shared" si="6"/>
        <v>39.456835745673089</v>
      </c>
      <c r="F145">
        <f t="shared" si="7"/>
        <v>36.732575522705901</v>
      </c>
      <c r="G145">
        <f t="shared" si="8"/>
        <v>2.7242602229671888</v>
      </c>
    </row>
    <row r="146" spans="1:7" x14ac:dyDescent="0.3">
      <c r="A146" t="s">
        <v>414</v>
      </c>
      <c r="B146">
        <v>0.56014457831325304</v>
      </c>
      <c r="C146">
        <v>0.48315341227734149</v>
      </c>
      <c r="D146">
        <v>0.44299415175252732</v>
      </c>
      <c r="E146">
        <f t="shared" si="6"/>
        <v>42.517117421295765</v>
      </c>
      <c r="F146">
        <f t="shared" si="7"/>
        <v>40.373557908116581</v>
      </c>
      <c r="G146">
        <f t="shared" si="8"/>
        <v>2.1435595131791843</v>
      </c>
    </row>
    <row r="147" spans="1:7" x14ac:dyDescent="0.3">
      <c r="A147" t="s">
        <v>415</v>
      </c>
      <c r="B147">
        <v>0.37757446808510647</v>
      </c>
      <c r="C147">
        <v>0.49528907508207332</v>
      </c>
      <c r="D147">
        <v>0.46477962763971692</v>
      </c>
      <c r="E147">
        <f t="shared" si="6"/>
        <v>43.179844329557419</v>
      </c>
      <c r="F147">
        <f t="shared" si="7"/>
        <v>43.980093605048722</v>
      </c>
      <c r="G147">
        <f t="shared" si="8"/>
        <v>-0.80024927549130354</v>
      </c>
    </row>
    <row r="148" spans="1:7" x14ac:dyDescent="0.3">
      <c r="A148" t="s">
        <v>415</v>
      </c>
      <c r="B148">
        <v>0.37757446808510647</v>
      </c>
      <c r="C148">
        <v>0.94569840192587051</v>
      </c>
      <c r="D148">
        <v>0.81525992929238722</v>
      </c>
      <c r="E148">
        <f t="shared" si="6"/>
        <v>40.763698564689854</v>
      </c>
      <c r="F148">
        <f t="shared" si="7"/>
        <v>41.211626507234747</v>
      </c>
      <c r="G148">
        <f t="shared" si="8"/>
        <v>-0.44792794254489365</v>
      </c>
    </row>
    <row r="149" spans="1:7" x14ac:dyDescent="0.3">
      <c r="A149" t="s">
        <v>415</v>
      </c>
      <c r="B149">
        <v>0.37757446808510647</v>
      </c>
      <c r="C149">
        <v>1.7563659449933799</v>
      </c>
      <c r="D149">
        <v>1.414718824178447</v>
      </c>
      <c r="E149">
        <f t="shared" si="6"/>
        <v>38.850772281524179</v>
      </c>
      <c r="F149">
        <f t="shared" si="7"/>
        <v>38.594298193520821</v>
      </c>
      <c r="G149">
        <f t="shared" si="8"/>
        <v>0.25647408800335825</v>
      </c>
    </row>
    <row r="150" spans="1:7" x14ac:dyDescent="0.3">
      <c r="A150" t="s">
        <v>416</v>
      </c>
      <c r="B150">
        <v>0.3146395939086295</v>
      </c>
      <c r="C150">
        <v>0.52322735744760474</v>
      </c>
      <c r="D150">
        <v>0.5494589825200128</v>
      </c>
      <c r="E150">
        <f t="shared" si="6"/>
        <v>46.400839989299818</v>
      </c>
      <c r="F150">
        <f t="shared" si="7"/>
        <v>45.012066474146444</v>
      </c>
      <c r="G150">
        <f t="shared" si="8"/>
        <v>1.3887735151533747</v>
      </c>
    </row>
    <row r="151" spans="1:7" x14ac:dyDescent="0.3">
      <c r="A151" t="s">
        <v>416</v>
      </c>
      <c r="B151">
        <v>0.3146395939086295</v>
      </c>
      <c r="C151">
        <v>0.89547221889670559</v>
      </c>
      <c r="D151">
        <v>0.81152427051327547</v>
      </c>
      <c r="E151">
        <f t="shared" si="6"/>
        <v>42.184533677678331</v>
      </c>
      <c r="F151">
        <f t="shared" si="7"/>
        <v>42.705496047531469</v>
      </c>
      <c r="G151">
        <f t="shared" si="8"/>
        <v>-0.52096236985313737</v>
      </c>
    </row>
    <row r="152" spans="1:7" x14ac:dyDescent="0.3">
      <c r="A152" t="s">
        <v>416</v>
      </c>
      <c r="B152">
        <v>0.3146395939086295</v>
      </c>
      <c r="C152">
        <v>1.7477645904272161</v>
      </c>
      <c r="D152">
        <v>1.485983794022474</v>
      </c>
      <c r="E152">
        <f t="shared" si="6"/>
        <v>40.371841950131341</v>
      </c>
      <c r="F152">
        <f t="shared" si="7"/>
        <v>39.857180680261877</v>
      </c>
      <c r="G152">
        <f t="shared" si="8"/>
        <v>0.51466126986946392</v>
      </c>
    </row>
    <row r="153" spans="1:7" x14ac:dyDescent="0.3">
      <c r="A153" t="s">
        <v>417</v>
      </c>
      <c r="B153">
        <v>0.43172972972972978</v>
      </c>
      <c r="C153">
        <v>0.49296454723709282</v>
      </c>
      <c r="D153">
        <v>0.45094523347601428</v>
      </c>
      <c r="E153">
        <f t="shared" si="6"/>
        <v>42.451090195386584</v>
      </c>
      <c r="F153">
        <f t="shared" si="7"/>
        <v>42.904535743084004</v>
      </c>
      <c r="G153">
        <f t="shared" si="8"/>
        <v>-0.45344554769742018</v>
      </c>
    </row>
    <row r="154" spans="1:7" x14ac:dyDescent="0.3">
      <c r="A154" t="s">
        <v>418</v>
      </c>
      <c r="B154">
        <v>0.23915789473684221</v>
      </c>
      <c r="C154">
        <v>0.593662557209377</v>
      </c>
      <c r="D154">
        <v>0.76294374667285714</v>
      </c>
      <c r="E154">
        <f t="shared" si="6"/>
        <v>52.112765178421334</v>
      </c>
      <c r="F154">
        <f t="shared" si="7"/>
        <v>45.982911766043685</v>
      </c>
      <c r="G154">
        <f t="shared" si="8"/>
        <v>6.1298534123776491</v>
      </c>
    </row>
    <row r="155" spans="1:7" x14ac:dyDescent="0.3">
      <c r="A155" t="s">
        <v>418</v>
      </c>
      <c r="B155">
        <v>0.23915789473684221</v>
      </c>
      <c r="C155">
        <v>1.079327409633251</v>
      </c>
      <c r="D155">
        <v>1.160942093424181</v>
      </c>
      <c r="E155">
        <f t="shared" si="6"/>
        <v>47.08640515246902</v>
      </c>
      <c r="F155">
        <f t="shared" si="7"/>
        <v>43.415133565484155</v>
      </c>
      <c r="G155">
        <f t="shared" si="8"/>
        <v>3.6712715869848651</v>
      </c>
    </row>
    <row r="156" spans="1:7" x14ac:dyDescent="0.3">
      <c r="A156" t="s">
        <v>418</v>
      </c>
      <c r="B156">
        <v>0.23915789473684221</v>
      </c>
      <c r="C156">
        <v>2.020483848196021</v>
      </c>
      <c r="D156">
        <v>1.981305357610881</v>
      </c>
      <c r="E156">
        <f t="shared" si="6"/>
        <v>44.439078290334372</v>
      </c>
      <c r="F156">
        <f t="shared" si="7"/>
        <v>40.735828747186865</v>
      </c>
      <c r="G156">
        <f t="shared" si="8"/>
        <v>3.703249543147507</v>
      </c>
    </row>
    <row r="157" spans="1:7" x14ac:dyDescent="0.3">
      <c r="A157" t="s">
        <v>418</v>
      </c>
      <c r="B157">
        <v>0.23915789473684221</v>
      </c>
      <c r="C157">
        <v>2.6021688810530259</v>
      </c>
      <c r="D157">
        <v>2.4135452646929969</v>
      </c>
      <c r="E157">
        <f t="shared" si="6"/>
        <v>42.846319312586196</v>
      </c>
      <c r="F157">
        <f t="shared" si="7"/>
        <v>39.66389820051171</v>
      </c>
      <c r="G157">
        <f t="shared" si="8"/>
        <v>3.1824211120744863</v>
      </c>
    </row>
    <row r="158" spans="1:7" x14ac:dyDescent="0.3">
      <c r="A158" t="s">
        <v>419</v>
      </c>
      <c r="B158">
        <v>0.3146395939086295</v>
      </c>
      <c r="C158">
        <v>0.54428499925718266</v>
      </c>
      <c r="D158">
        <v>0.62638834254169296</v>
      </c>
      <c r="E158">
        <f t="shared" si="6"/>
        <v>49.011780880504801</v>
      </c>
      <c r="F158">
        <f t="shared" si="7"/>
        <v>44.84251365265694</v>
      </c>
      <c r="G158">
        <f t="shared" si="8"/>
        <v>4.1692672278478611</v>
      </c>
    </row>
    <row r="159" spans="1:7" x14ac:dyDescent="0.3">
      <c r="A159" t="s">
        <v>419</v>
      </c>
      <c r="B159">
        <v>0.3146395939086295</v>
      </c>
      <c r="C159">
        <v>0.99664649464374699</v>
      </c>
      <c r="D159">
        <v>0.97676486635362136</v>
      </c>
      <c r="E159">
        <f t="shared" si="6"/>
        <v>44.422778810935753</v>
      </c>
      <c r="F159">
        <f t="shared" si="7"/>
        <v>42.247292859270026</v>
      </c>
      <c r="G159">
        <f t="shared" si="8"/>
        <v>2.1754859516657277</v>
      </c>
    </row>
    <row r="160" spans="1:7" x14ac:dyDescent="0.3">
      <c r="A160" t="s">
        <v>419</v>
      </c>
      <c r="B160">
        <v>0.3146395939086295</v>
      </c>
      <c r="C160">
        <v>1.852163624610984</v>
      </c>
      <c r="D160">
        <v>1.6852093353085891</v>
      </c>
      <c r="E160">
        <f t="shared" si="6"/>
        <v>42.297801818229765</v>
      </c>
      <c r="F160">
        <f t="shared" si="7"/>
        <v>39.612071390469737</v>
      </c>
      <c r="G160">
        <f t="shared" si="8"/>
        <v>2.6857304277600278</v>
      </c>
    </row>
    <row r="161" spans="1:7" x14ac:dyDescent="0.3">
      <c r="A161" t="s">
        <v>420</v>
      </c>
      <c r="B161">
        <v>0.29492000000000013</v>
      </c>
      <c r="C161">
        <v>0.53436652707401133</v>
      </c>
      <c r="D161">
        <v>0.59974009593786737</v>
      </c>
      <c r="E161">
        <f t="shared" si="6"/>
        <v>48.299063047560743</v>
      </c>
      <c r="F161">
        <f t="shared" si="7"/>
        <v>45.31759262937527</v>
      </c>
      <c r="G161">
        <f t="shared" si="8"/>
        <v>2.9814704181854736</v>
      </c>
    </row>
    <row r="162" spans="1:7" x14ac:dyDescent="0.3">
      <c r="A162" t="s">
        <v>420</v>
      </c>
      <c r="B162">
        <v>0.29492000000000013</v>
      </c>
      <c r="C162">
        <v>1.0543505989598441</v>
      </c>
      <c r="D162">
        <v>1.080248171705178</v>
      </c>
      <c r="E162">
        <f t="shared" si="6"/>
        <v>45.695094948193756</v>
      </c>
      <c r="F162">
        <f t="shared" si="7"/>
        <v>42.400813753777193</v>
      </c>
      <c r="G162">
        <f t="shared" si="8"/>
        <v>3.2942811944165626</v>
      </c>
    </row>
    <row r="163" spans="1:7" x14ac:dyDescent="0.3">
      <c r="A163" t="s">
        <v>420</v>
      </c>
      <c r="B163">
        <v>0.29492000000000013</v>
      </c>
      <c r="C163">
        <v>1.886826878979019</v>
      </c>
      <c r="D163">
        <v>1.7180491434688481</v>
      </c>
      <c r="E163">
        <f t="shared" si="6"/>
        <v>42.319409804848547</v>
      </c>
      <c r="F163">
        <f t="shared" si="7"/>
        <v>39.923185548281708</v>
      </c>
      <c r="G163">
        <f t="shared" si="8"/>
        <v>2.396224256566839</v>
      </c>
    </row>
    <row r="164" spans="1:7" x14ac:dyDescent="0.3">
      <c r="A164" t="s">
        <v>420</v>
      </c>
      <c r="B164">
        <v>0.29492000000000013</v>
      </c>
      <c r="C164">
        <v>2.5116075683524608</v>
      </c>
      <c r="D164">
        <v>2.222247740029395</v>
      </c>
      <c r="E164">
        <f t="shared" si="6"/>
        <v>41.502112205750784</v>
      </c>
      <c r="F164">
        <f t="shared" si="7"/>
        <v>38.718246719502432</v>
      </c>
      <c r="G164">
        <f t="shared" si="8"/>
        <v>2.7838654862483523</v>
      </c>
    </row>
    <row r="165" spans="1:7" x14ac:dyDescent="0.3">
      <c r="A165" t="s">
        <v>421</v>
      </c>
      <c r="B165">
        <v>0.34188601036269439</v>
      </c>
      <c r="C165">
        <v>0.51866149701029041</v>
      </c>
      <c r="D165">
        <v>0.54814328946875768</v>
      </c>
      <c r="E165">
        <f t="shared" si="6"/>
        <v>46.583000446078024</v>
      </c>
      <c r="F165">
        <f t="shared" si="7"/>
        <v>44.501622873722766</v>
      </c>
      <c r="G165">
        <f t="shared" si="8"/>
        <v>2.0813775723552581</v>
      </c>
    </row>
    <row r="166" spans="1:7" x14ac:dyDescent="0.3">
      <c r="A166" t="s">
        <v>421</v>
      </c>
      <c r="B166">
        <v>0.36307368421052638</v>
      </c>
      <c r="C166">
        <v>1.005391189368354</v>
      </c>
      <c r="D166">
        <v>0.96508965047018735</v>
      </c>
      <c r="E166">
        <f t="shared" si="6"/>
        <v>43.828313299936042</v>
      </c>
      <c r="F166">
        <f t="shared" si="7"/>
        <v>41.241121469248547</v>
      </c>
      <c r="G166">
        <f t="shared" si="8"/>
        <v>2.5871918306874946</v>
      </c>
    </row>
    <row r="167" spans="1:7" x14ac:dyDescent="0.3">
      <c r="A167" t="s">
        <v>421</v>
      </c>
      <c r="B167">
        <v>0.34887500000000032</v>
      </c>
      <c r="C167">
        <v>1.85637209775029</v>
      </c>
      <c r="D167">
        <v>1.657354882411469</v>
      </c>
      <c r="E167">
        <f t="shared" si="6"/>
        <v>41.758235280902205</v>
      </c>
      <c r="F167">
        <f t="shared" si="7"/>
        <v>38.927342502450024</v>
      </c>
      <c r="G167">
        <f t="shared" si="8"/>
        <v>2.8308927784521813</v>
      </c>
    </row>
    <row r="168" spans="1:7" x14ac:dyDescent="0.3">
      <c r="A168" t="s">
        <v>421</v>
      </c>
      <c r="B168">
        <v>0.35593717277486903</v>
      </c>
      <c r="C168">
        <v>2.4330666813351911</v>
      </c>
      <c r="D168">
        <v>2.0734800882527389</v>
      </c>
      <c r="E168">
        <f t="shared" si="6"/>
        <v>40.437917976757575</v>
      </c>
      <c r="F168">
        <f t="shared" si="7"/>
        <v>37.658195946496065</v>
      </c>
      <c r="G168">
        <f t="shared" si="8"/>
        <v>2.7797220302615102</v>
      </c>
    </row>
    <row r="169" spans="1:7" x14ac:dyDescent="0.3">
      <c r="A169" t="s">
        <v>422</v>
      </c>
      <c r="B169">
        <v>0.30142713567839219</v>
      </c>
      <c r="C169">
        <v>0.52107325257095871</v>
      </c>
      <c r="D169">
        <v>0.55275656873325241</v>
      </c>
      <c r="E169">
        <f t="shared" si="6"/>
        <v>46.690019930954051</v>
      </c>
      <c r="F169">
        <f t="shared" si="7"/>
        <v>45.295208610981852</v>
      </c>
      <c r="G169">
        <f t="shared" si="8"/>
        <v>1.3948113199721988</v>
      </c>
    </row>
    <row r="170" spans="1:7" x14ac:dyDescent="0.3">
      <c r="A170" t="s">
        <v>422</v>
      </c>
      <c r="B170">
        <v>0.30142713567839219</v>
      </c>
      <c r="C170">
        <v>1.0177894133880669</v>
      </c>
      <c r="D170">
        <v>0.99139514990909905</v>
      </c>
      <c r="E170">
        <f t="shared" si="6"/>
        <v>44.247359877673468</v>
      </c>
      <c r="F170">
        <f t="shared" si="7"/>
        <v>42.421747024473667</v>
      </c>
      <c r="G170">
        <f t="shared" si="8"/>
        <v>1.8256128531998002</v>
      </c>
    </row>
    <row r="171" spans="1:7" x14ac:dyDescent="0.3">
      <c r="A171" t="s">
        <v>422</v>
      </c>
      <c r="B171">
        <v>0.30142713567839219</v>
      </c>
      <c r="C171">
        <v>1.8466561993994499</v>
      </c>
      <c r="D171">
        <v>1.6361227684604089</v>
      </c>
      <c r="E171">
        <f t="shared" si="6"/>
        <v>41.540688856730867</v>
      </c>
      <c r="F171">
        <f t="shared" si="7"/>
        <v>39.885625754695177</v>
      </c>
      <c r="G171">
        <f t="shared" si="8"/>
        <v>1.6550631020356903</v>
      </c>
    </row>
    <row r="172" spans="1:7" x14ac:dyDescent="0.3">
      <c r="A172" t="s">
        <v>422</v>
      </c>
      <c r="B172">
        <v>0.30142713567839219</v>
      </c>
      <c r="C172">
        <v>2.434850554270763</v>
      </c>
      <c r="D172">
        <v>2.073894324621846</v>
      </c>
      <c r="E172">
        <f t="shared" si="6"/>
        <v>40.422838198489771</v>
      </c>
      <c r="F172">
        <f t="shared" si="7"/>
        <v>38.720918448087197</v>
      </c>
      <c r="G172">
        <f t="shared" si="8"/>
        <v>1.701919750402574</v>
      </c>
    </row>
    <row r="173" spans="1:7" x14ac:dyDescent="0.3">
      <c r="A173" t="s">
        <v>423</v>
      </c>
      <c r="B173">
        <v>0.38675392670157072</v>
      </c>
      <c r="C173">
        <v>0.50453438844202481</v>
      </c>
      <c r="D173">
        <v>0.52067759557834892</v>
      </c>
      <c r="E173">
        <f t="shared" si="6"/>
        <v>45.902117043585029</v>
      </c>
      <c r="F173">
        <f t="shared" si="7"/>
        <v>43.715280589757441</v>
      </c>
      <c r="G173">
        <f t="shared" si="8"/>
        <v>2.1868364538275884</v>
      </c>
    </row>
    <row r="174" spans="1:7" x14ac:dyDescent="0.3">
      <c r="A174" t="s">
        <v>423</v>
      </c>
      <c r="B174">
        <v>0.38675392670157072</v>
      </c>
      <c r="C174">
        <v>1.022665843975797</v>
      </c>
      <c r="D174">
        <v>1.0081067515564039</v>
      </c>
      <c r="E174">
        <f t="shared" si="6"/>
        <v>44.589239947485893</v>
      </c>
      <c r="F174">
        <f t="shared" si="7"/>
        <v>40.695045923921363</v>
      </c>
      <c r="G174">
        <f t="shared" si="8"/>
        <v>3.8941940235645305</v>
      </c>
    </row>
    <row r="175" spans="1:7" x14ac:dyDescent="0.3">
      <c r="A175" t="s">
        <v>423</v>
      </c>
      <c r="B175">
        <v>0.38675392670157072</v>
      </c>
      <c r="C175">
        <v>1.8501407359455859</v>
      </c>
      <c r="D175">
        <v>1.665134201369914</v>
      </c>
      <c r="E175">
        <f t="shared" si="6"/>
        <v>41.987341484985237</v>
      </c>
      <c r="F175">
        <f t="shared" si="7"/>
        <v>38.196053886727746</v>
      </c>
      <c r="G175">
        <f t="shared" si="8"/>
        <v>3.7912875982574903</v>
      </c>
    </row>
    <row r="176" spans="1:7" x14ac:dyDescent="0.3">
      <c r="A176" t="s">
        <v>423</v>
      </c>
      <c r="B176">
        <v>0.38675392670157072</v>
      </c>
      <c r="C176">
        <v>2.4312464605538802</v>
      </c>
      <c r="D176">
        <v>2.0933412583115749</v>
      </c>
      <c r="E176">
        <f t="shared" si="6"/>
        <v>40.728965971213398</v>
      </c>
      <c r="F176">
        <f t="shared" si="7"/>
        <v>37.061038180058851</v>
      </c>
      <c r="G176">
        <f t="shared" si="8"/>
        <v>3.6679277911545469</v>
      </c>
    </row>
    <row r="177" spans="1:7" x14ac:dyDescent="0.3">
      <c r="A177" t="s">
        <v>424</v>
      </c>
      <c r="B177">
        <v>0.43951086956521768</v>
      </c>
      <c r="C177">
        <v>0.54383077354013964</v>
      </c>
      <c r="D177">
        <v>0.63586826896292636</v>
      </c>
      <c r="E177">
        <f t="shared" si="6"/>
        <v>49.461052786529628</v>
      </c>
      <c r="F177">
        <f t="shared" si="7"/>
        <v>42.326302510634591</v>
      </c>
      <c r="G177">
        <f t="shared" si="8"/>
        <v>7.134750275895037</v>
      </c>
    </row>
    <row r="178" spans="1:7" x14ac:dyDescent="0.3">
      <c r="A178" t="s">
        <v>424</v>
      </c>
      <c r="B178">
        <v>0.43951086956521768</v>
      </c>
      <c r="C178">
        <v>1.0886270670406331</v>
      </c>
      <c r="D178">
        <v>1.1712100111781869</v>
      </c>
      <c r="E178">
        <f t="shared" si="6"/>
        <v>47.092871915567414</v>
      </c>
      <c r="F178">
        <f t="shared" si="7"/>
        <v>39.376485781610683</v>
      </c>
      <c r="G178">
        <f t="shared" si="8"/>
        <v>7.7163861339567319</v>
      </c>
    </row>
    <row r="179" spans="1:7" x14ac:dyDescent="0.3">
      <c r="A179" t="s">
        <v>424</v>
      </c>
      <c r="B179">
        <v>0.43951086956521768</v>
      </c>
      <c r="C179">
        <v>1.8687641165823099</v>
      </c>
      <c r="D179">
        <v>1.8157593311521789</v>
      </c>
      <c r="E179">
        <f t="shared" si="6"/>
        <v>44.175811724838546</v>
      </c>
      <c r="F179">
        <f t="shared" si="7"/>
        <v>37.119308859448708</v>
      </c>
      <c r="G179">
        <f t="shared" si="8"/>
        <v>7.0565028653898381</v>
      </c>
    </row>
    <row r="180" spans="1:7" x14ac:dyDescent="0.3">
      <c r="A180" t="s">
        <v>425</v>
      </c>
      <c r="B180">
        <v>0.50494318181818176</v>
      </c>
      <c r="C180">
        <v>0.56128334290276294</v>
      </c>
      <c r="D180">
        <v>0.64087501305007355</v>
      </c>
      <c r="E180">
        <f t="shared" si="6"/>
        <v>48.787871257860871</v>
      </c>
      <c r="F180">
        <f t="shared" si="7"/>
        <v>40.863372447079222</v>
      </c>
      <c r="G180">
        <f t="shared" si="8"/>
        <v>7.9244988107816496</v>
      </c>
    </row>
    <row r="181" spans="1:7" x14ac:dyDescent="0.3">
      <c r="A181" t="s">
        <v>425</v>
      </c>
      <c r="B181">
        <v>0.50494318181818176</v>
      </c>
      <c r="C181">
        <v>1.081439328321812</v>
      </c>
      <c r="D181">
        <v>1.128709490074723</v>
      </c>
      <c r="E181">
        <f t="shared" si="6"/>
        <v>46.2252423389141</v>
      </c>
      <c r="F181">
        <f t="shared" si="7"/>
        <v>38.09847598218861</v>
      </c>
      <c r="G181">
        <f t="shared" si="8"/>
        <v>8.12676635672549</v>
      </c>
    </row>
    <row r="182" spans="1:7" x14ac:dyDescent="0.3">
      <c r="A182" t="s">
        <v>425</v>
      </c>
      <c r="B182">
        <v>0.50494318181818176</v>
      </c>
      <c r="C182">
        <v>1.9000303168848509</v>
      </c>
      <c r="D182">
        <v>1.7924700295971381</v>
      </c>
      <c r="E182">
        <f t="shared" si="6"/>
        <v>43.331480639601004</v>
      </c>
      <c r="F182">
        <f t="shared" si="7"/>
        <v>35.772750563214245</v>
      </c>
      <c r="G182">
        <f t="shared" si="8"/>
        <v>7.5587300763867589</v>
      </c>
    </row>
    <row r="183" spans="1:7" x14ac:dyDescent="0.3">
      <c r="A183" t="s">
        <v>426</v>
      </c>
      <c r="B183">
        <v>0.46337016574585638</v>
      </c>
      <c r="C183">
        <v>0.56023133479249254</v>
      </c>
      <c r="D183">
        <v>0.62320349417333643</v>
      </c>
      <c r="E183">
        <f t="shared" si="6"/>
        <v>48.045912897455572</v>
      </c>
      <c r="F183">
        <f t="shared" si="7"/>
        <v>41.715637693862611</v>
      </c>
      <c r="G183">
        <f t="shared" si="8"/>
        <v>6.3302752035929615</v>
      </c>
    </row>
    <row r="184" spans="1:7" x14ac:dyDescent="0.3">
      <c r="A184" t="s">
        <v>426</v>
      </c>
      <c r="B184">
        <v>0.46337016574585638</v>
      </c>
      <c r="C184">
        <v>1.0167464080779429</v>
      </c>
      <c r="D184">
        <v>0.98735183225026513</v>
      </c>
      <c r="E184">
        <f t="shared" si="6"/>
        <v>44.159689707039668</v>
      </c>
      <c r="F184">
        <f t="shared" si="7"/>
        <v>39.187535460484867</v>
      </c>
      <c r="G184">
        <f t="shared" si="8"/>
        <v>4.9721542465548012</v>
      </c>
    </row>
    <row r="185" spans="1:7" x14ac:dyDescent="0.3">
      <c r="A185" t="s">
        <v>427</v>
      </c>
      <c r="B185">
        <v>0.40142857142857169</v>
      </c>
      <c r="C185">
        <v>0.56404202516982738</v>
      </c>
      <c r="D185">
        <v>0.67594090446806798</v>
      </c>
      <c r="E185">
        <f t="shared" si="6"/>
        <v>50.156534002862323</v>
      </c>
      <c r="F185">
        <f t="shared" si="7"/>
        <v>42.940512622987626</v>
      </c>
      <c r="G185">
        <f t="shared" si="8"/>
        <v>7.2160213798746966</v>
      </c>
    </row>
    <row r="186" spans="1:7" x14ac:dyDescent="0.3">
      <c r="A186" t="s">
        <v>427</v>
      </c>
      <c r="B186">
        <v>0.40142857142857169</v>
      </c>
      <c r="C186">
        <v>1.041298260411434</v>
      </c>
      <c r="D186">
        <v>1.1171688004473621</v>
      </c>
      <c r="E186">
        <f t="shared" si="6"/>
        <v>47.013129049213603</v>
      </c>
      <c r="F186">
        <f t="shared" si="7"/>
        <v>40.325043794448348</v>
      </c>
      <c r="G186">
        <f t="shared" si="8"/>
        <v>6.6880852547652552</v>
      </c>
    </row>
    <row r="187" spans="1:7" x14ac:dyDescent="0.3">
      <c r="A187" t="s">
        <v>427</v>
      </c>
      <c r="B187">
        <v>0.40142857142857169</v>
      </c>
      <c r="C187">
        <v>1.8666975279027289</v>
      </c>
      <c r="D187">
        <v>1.799547948288194</v>
      </c>
      <c r="E187">
        <f t="shared" si="6"/>
        <v>43.950709274126083</v>
      </c>
      <c r="F187">
        <f t="shared" si="7"/>
        <v>37.87062858755683</v>
      </c>
      <c r="G187">
        <f t="shared" si="8"/>
        <v>6.0800806865692536</v>
      </c>
    </row>
    <row r="188" spans="1:7" x14ac:dyDescent="0.3">
      <c r="A188" t="s">
        <v>428</v>
      </c>
      <c r="B188">
        <v>0.40888297872340429</v>
      </c>
      <c r="C188">
        <v>0.53805524941752292</v>
      </c>
      <c r="D188">
        <v>0.5970327146986858</v>
      </c>
      <c r="E188">
        <f t="shared" si="6"/>
        <v>47.974327964284306</v>
      </c>
      <c r="F188">
        <f t="shared" si="7"/>
        <v>42.992010909632377</v>
      </c>
      <c r="G188">
        <f t="shared" si="8"/>
        <v>4.9823170546519293</v>
      </c>
    </row>
    <row r="189" spans="1:7" x14ac:dyDescent="0.3">
      <c r="A189" t="s">
        <v>428</v>
      </c>
      <c r="B189">
        <v>0.40888297872340429</v>
      </c>
      <c r="C189">
        <v>1.028246971162347</v>
      </c>
      <c r="D189">
        <v>1.028389611337895</v>
      </c>
      <c r="E189">
        <f t="shared" si="6"/>
        <v>45.003973808549524</v>
      </c>
      <c r="F189">
        <f t="shared" si="7"/>
        <v>40.229497770274364</v>
      </c>
      <c r="G189">
        <f t="shared" si="8"/>
        <v>4.7744760382751608</v>
      </c>
    </row>
    <row r="190" spans="1:7" x14ac:dyDescent="0.3">
      <c r="A190" t="s">
        <v>428</v>
      </c>
      <c r="B190">
        <v>0.40888297872340429</v>
      </c>
      <c r="C190">
        <v>1.828418923879958</v>
      </c>
      <c r="D190">
        <v>1.6361556749461299</v>
      </c>
      <c r="E190">
        <f t="shared" si="6"/>
        <v>41.823683504244045</v>
      </c>
      <c r="F190">
        <f t="shared" si="7"/>
        <v>37.810530622866828</v>
      </c>
      <c r="G190">
        <f t="shared" si="8"/>
        <v>4.0131528813772164</v>
      </c>
    </row>
    <row r="191" spans="1:7" x14ac:dyDescent="0.3">
      <c r="A191" t="s">
        <v>429</v>
      </c>
      <c r="B191">
        <v>0.25454807692307702</v>
      </c>
      <c r="C191">
        <v>0.1590081496453932</v>
      </c>
      <c r="D191">
        <v>0.1984697126950733</v>
      </c>
      <c r="E191">
        <f t="shared" si="6"/>
        <v>51.299309543281431</v>
      </c>
      <c r="F191">
        <f t="shared" si="7"/>
        <v>51.284787204919176</v>
      </c>
      <c r="G191">
        <f t="shared" si="8"/>
        <v>1.4522338362255027E-2</v>
      </c>
    </row>
    <row r="192" spans="1:7" x14ac:dyDescent="0.3">
      <c r="A192" t="s">
        <v>429</v>
      </c>
      <c r="B192">
        <v>0.25454807692307702</v>
      </c>
      <c r="C192">
        <v>0.63537693155987951</v>
      </c>
      <c r="D192">
        <v>0.50096405089135432</v>
      </c>
      <c r="E192">
        <f t="shared" si="6"/>
        <v>38.25407436120642</v>
      </c>
      <c r="F192">
        <f t="shared" si="7"/>
        <v>45.383074022819784</v>
      </c>
      <c r="G192">
        <f t="shared" si="8"/>
        <v>-7.1289996616133635</v>
      </c>
    </row>
    <row r="193" spans="1:7" x14ac:dyDescent="0.3">
      <c r="A193" t="s">
        <v>429</v>
      </c>
      <c r="B193">
        <v>0.25454807692307702</v>
      </c>
      <c r="C193">
        <v>0.954868253286146</v>
      </c>
      <c r="D193">
        <v>0.70203335657997401</v>
      </c>
      <c r="E193">
        <f t="shared" si="6"/>
        <v>36.323879382171413</v>
      </c>
      <c r="F193">
        <f t="shared" si="7"/>
        <v>43.633125354946678</v>
      </c>
      <c r="G193">
        <f t="shared" si="8"/>
        <v>-7.3092459727752654</v>
      </c>
    </row>
    <row r="194" spans="1:7" x14ac:dyDescent="0.3">
      <c r="A194" t="s">
        <v>429</v>
      </c>
      <c r="B194">
        <v>0.25454807692307702</v>
      </c>
      <c r="C194">
        <v>1.1238883106018069</v>
      </c>
      <c r="D194">
        <v>0.79229926261073935</v>
      </c>
      <c r="E194">
        <f t="shared" ref="E194:E257" si="9">DEGREES(ATAN(D194/C194))</f>
        <v>35.182406444362826</v>
      </c>
      <c r="F194">
        <f t="shared" ref="F194:F257" si="10">DEGREES(ATAN(TAN(RADIANS(pe0-omega*B194))*(C194/sref)^(m_-1)))</f>
        <v>42.934060462435056</v>
      </c>
      <c r="G194">
        <f t="shared" ref="G194:G257" si="11">E194-F194</f>
        <v>-7.7516540180722302</v>
      </c>
    </row>
    <row r="195" spans="1:7" x14ac:dyDescent="0.3">
      <c r="A195" t="s">
        <v>430</v>
      </c>
      <c r="B195">
        <v>0.20251612903225841</v>
      </c>
      <c r="C195">
        <v>0.27239283949466231</v>
      </c>
      <c r="D195">
        <v>0.27625427589129831</v>
      </c>
      <c r="E195">
        <f t="shared" si="9"/>
        <v>45.403247094876413</v>
      </c>
      <c r="F195">
        <f t="shared" si="10"/>
        <v>50.037978358224542</v>
      </c>
      <c r="G195">
        <f t="shared" si="11"/>
        <v>-4.6347312633481295</v>
      </c>
    </row>
    <row r="196" spans="1:7" x14ac:dyDescent="0.3">
      <c r="A196" t="s">
        <v>430</v>
      </c>
      <c r="B196">
        <v>0.20251612903225841</v>
      </c>
      <c r="C196">
        <v>0.51820341760916766</v>
      </c>
      <c r="D196">
        <v>0.44241818252101039</v>
      </c>
      <c r="E196">
        <f t="shared" si="9"/>
        <v>40.489171643966863</v>
      </c>
      <c r="F196">
        <f t="shared" si="10"/>
        <v>47.298064291921222</v>
      </c>
      <c r="G196">
        <f t="shared" si="11"/>
        <v>-6.8088926479543588</v>
      </c>
    </row>
    <row r="197" spans="1:7" x14ac:dyDescent="0.3">
      <c r="A197" t="s">
        <v>430</v>
      </c>
      <c r="B197">
        <v>0.20251612903225841</v>
      </c>
      <c r="C197">
        <v>1.702472363110306</v>
      </c>
      <c r="D197">
        <v>1.3560550502022599</v>
      </c>
      <c r="E197">
        <f t="shared" si="9"/>
        <v>38.538059162398305</v>
      </c>
      <c r="F197">
        <f t="shared" si="10"/>
        <v>42.193665714217872</v>
      </c>
      <c r="G197">
        <f t="shared" si="11"/>
        <v>-3.6556065518195666</v>
      </c>
    </row>
    <row r="198" spans="1:7" x14ac:dyDescent="0.3">
      <c r="A198" t="s">
        <v>431</v>
      </c>
      <c r="B198">
        <v>0.16493750000000021</v>
      </c>
      <c r="C198">
        <v>0.24611629343784019</v>
      </c>
      <c r="D198">
        <v>0.25755762306752911</v>
      </c>
      <c r="E198">
        <f t="shared" si="9"/>
        <v>46.301292680083193</v>
      </c>
      <c r="F198">
        <f t="shared" si="10"/>
        <v>51.202636126332749</v>
      </c>
      <c r="G198">
        <f t="shared" si="11"/>
        <v>-4.9013434462495553</v>
      </c>
    </row>
    <row r="199" spans="1:7" x14ac:dyDescent="0.3">
      <c r="A199" t="s">
        <v>431</v>
      </c>
      <c r="B199">
        <v>0.16493750000000021</v>
      </c>
      <c r="C199">
        <v>0.45985775528561429</v>
      </c>
      <c r="D199">
        <v>0.49601863473437641</v>
      </c>
      <c r="E199">
        <f t="shared" si="9"/>
        <v>47.166470775935508</v>
      </c>
      <c r="F199">
        <f t="shared" si="10"/>
        <v>48.556278313762057</v>
      </c>
      <c r="G199">
        <f t="shared" si="11"/>
        <v>-1.3898075378265489</v>
      </c>
    </row>
    <row r="200" spans="1:7" x14ac:dyDescent="0.3">
      <c r="A200" t="s">
        <v>431</v>
      </c>
      <c r="B200">
        <v>0.16493750000000021</v>
      </c>
      <c r="C200">
        <v>1.144121019609325</v>
      </c>
      <c r="D200">
        <v>1.0671910950937671</v>
      </c>
      <c r="E200">
        <f t="shared" si="9"/>
        <v>43.007525474639522</v>
      </c>
      <c r="F200">
        <f t="shared" si="10"/>
        <v>44.648682075008701</v>
      </c>
      <c r="G200">
        <f t="shared" si="11"/>
        <v>-1.6411566003691789</v>
      </c>
    </row>
    <row r="201" spans="1:7" x14ac:dyDescent="0.3">
      <c r="A201" t="s">
        <v>432</v>
      </c>
      <c r="B201">
        <v>0.50494318181818176</v>
      </c>
      <c r="C201">
        <v>0.33992385537560371</v>
      </c>
      <c r="D201">
        <v>0.3785354159670703</v>
      </c>
      <c r="E201">
        <f t="shared" si="9"/>
        <v>48.076240203408872</v>
      </c>
      <c r="F201">
        <f t="shared" si="10"/>
        <v>43.005590813917649</v>
      </c>
      <c r="G201">
        <f t="shared" si="11"/>
        <v>5.0706493894912228</v>
      </c>
    </row>
    <row r="202" spans="1:7" x14ac:dyDescent="0.3">
      <c r="A202" t="s">
        <v>432</v>
      </c>
      <c r="B202">
        <v>0.50494318181818176</v>
      </c>
      <c r="C202">
        <v>0.64906818173073799</v>
      </c>
      <c r="D202">
        <v>0.6367218070550289</v>
      </c>
      <c r="E202">
        <f t="shared" si="9"/>
        <v>44.449853064986883</v>
      </c>
      <c r="F202">
        <f t="shared" si="10"/>
        <v>40.246454646540329</v>
      </c>
      <c r="G202">
        <f t="shared" si="11"/>
        <v>4.2033984184465538</v>
      </c>
    </row>
    <row r="203" spans="1:7" x14ac:dyDescent="0.3">
      <c r="A203" t="s">
        <v>433</v>
      </c>
      <c r="B203">
        <v>0.25530805687203778</v>
      </c>
      <c r="C203">
        <v>1.367377051143668</v>
      </c>
      <c r="D203">
        <v>1.5960968455197591</v>
      </c>
      <c r="E203">
        <f t="shared" si="9"/>
        <v>49.413317538864106</v>
      </c>
      <c r="F203">
        <f t="shared" si="10"/>
        <v>42.07943791692523</v>
      </c>
      <c r="G203">
        <f t="shared" si="11"/>
        <v>7.3338796219388769</v>
      </c>
    </row>
    <row r="204" spans="1:7" x14ac:dyDescent="0.3">
      <c r="A204" t="s">
        <v>433</v>
      </c>
      <c r="B204">
        <v>0.25530805687203778</v>
      </c>
      <c r="C204">
        <v>2.256558669357724</v>
      </c>
      <c r="D204">
        <v>2.4526539020712321</v>
      </c>
      <c r="E204">
        <f t="shared" si="9"/>
        <v>47.384462771653922</v>
      </c>
      <c r="F204">
        <f t="shared" si="10"/>
        <v>39.948095314655191</v>
      </c>
      <c r="G204">
        <f t="shared" si="11"/>
        <v>7.436367456998731</v>
      </c>
    </row>
    <row r="205" spans="1:7" x14ac:dyDescent="0.3">
      <c r="A205" t="s">
        <v>434</v>
      </c>
      <c r="B205">
        <v>0.25530805687203778</v>
      </c>
      <c r="C205">
        <v>0.3747111731975119</v>
      </c>
      <c r="D205">
        <v>0.51078836233432001</v>
      </c>
      <c r="E205">
        <f t="shared" si="9"/>
        <v>53.736458972276175</v>
      </c>
      <c r="F205">
        <f t="shared" si="10"/>
        <v>47.633328203001604</v>
      </c>
      <c r="G205">
        <f t="shared" si="11"/>
        <v>6.1031307692745713</v>
      </c>
    </row>
    <row r="206" spans="1:7" x14ac:dyDescent="0.3">
      <c r="A206" t="s">
        <v>434</v>
      </c>
      <c r="B206">
        <v>0.25530805687203778</v>
      </c>
      <c r="C206">
        <v>0.68650152604509884</v>
      </c>
      <c r="D206">
        <v>0.78423634969579858</v>
      </c>
      <c r="E206">
        <f t="shared" si="9"/>
        <v>48.801881962374196</v>
      </c>
      <c r="F206">
        <f t="shared" si="10"/>
        <v>45.035302085438502</v>
      </c>
      <c r="G206">
        <f t="shared" si="11"/>
        <v>3.766579876935694</v>
      </c>
    </row>
    <row r="207" spans="1:7" x14ac:dyDescent="0.3">
      <c r="A207" t="s">
        <v>434</v>
      </c>
      <c r="B207">
        <v>0.25530805687203778</v>
      </c>
      <c r="C207">
        <v>1.363807884002221</v>
      </c>
      <c r="D207">
        <v>1.4158104526994539</v>
      </c>
      <c r="E207">
        <f t="shared" si="9"/>
        <v>46.071794686089476</v>
      </c>
      <c r="F207">
        <f t="shared" si="10"/>
        <v>42.090611122857482</v>
      </c>
      <c r="G207">
        <f t="shared" si="11"/>
        <v>3.9811835632319941</v>
      </c>
    </row>
    <row r="208" spans="1:7" x14ac:dyDescent="0.3">
      <c r="A208" t="s">
        <v>434</v>
      </c>
      <c r="B208">
        <v>0.25530805687203778</v>
      </c>
      <c r="C208">
        <v>1.6466387107570759</v>
      </c>
      <c r="D208">
        <v>1.6045715612686691</v>
      </c>
      <c r="E208">
        <f t="shared" si="9"/>
        <v>44.25869586152816</v>
      </c>
      <c r="F208">
        <f t="shared" si="10"/>
        <v>41.286215618446924</v>
      </c>
      <c r="G208">
        <f t="shared" si="11"/>
        <v>2.972480243081236</v>
      </c>
    </row>
    <row r="209" spans="1:7" x14ac:dyDescent="0.3">
      <c r="A209" t="s">
        <v>435</v>
      </c>
      <c r="B209">
        <v>0.47149999999999997</v>
      </c>
      <c r="C209">
        <v>0.15783074734266611</v>
      </c>
      <c r="D209">
        <v>0.15505610949895679</v>
      </c>
      <c r="E209">
        <f t="shared" si="9"/>
        <v>44.491922183275506</v>
      </c>
      <c r="F209">
        <f t="shared" si="10"/>
        <v>46.984535313600212</v>
      </c>
      <c r="G209">
        <f t="shared" si="11"/>
        <v>-2.4926131303247061</v>
      </c>
    </row>
    <row r="210" spans="1:7" x14ac:dyDescent="0.3">
      <c r="A210" t="s">
        <v>435</v>
      </c>
      <c r="B210">
        <v>0.47149999999999997</v>
      </c>
      <c r="C210">
        <v>0.36583667989007362</v>
      </c>
      <c r="D210">
        <v>0.35242343629511119</v>
      </c>
      <c r="E210">
        <f t="shared" si="9"/>
        <v>43.930146738888908</v>
      </c>
      <c r="F210">
        <f t="shared" si="10"/>
        <v>43.374510925499088</v>
      </c>
      <c r="G210">
        <f t="shared" si="11"/>
        <v>0.55563581338982004</v>
      </c>
    </row>
    <row r="211" spans="1:7" x14ac:dyDescent="0.3">
      <c r="A211" t="s">
        <v>436</v>
      </c>
      <c r="B211">
        <v>0.25530805687203778</v>
      </c>
      <c r="C211">
        <v>1.2783733513131661</v>
      </c>
      <c r="D211">
        <v>1.2816790248115639</v>
      </c>
      <c r="E211">
        <f t="shared" si="9"/>
        <v>45.073983265501923</v>
      </c>
      <c r="F211">
        <f t="shared" si="10"/>
        <v>42.367305024043333</v>
      </c>
      <c r="G211">
        <f t="shared" si="11"/>
        <v>2.7066782414585902</v>
      </c>
    </row>
    <row r="212" spans="1:7" x14ac:dyDescent="0.3">
      <c r="A212" t="s">
        <v>436</v>
      </c>
      <c r="B212">
        <v>0.25530805687203778</v>
      </c>
      <c r="C212">
        <v>2.4586880051421529</v>
      </c>
      <c r="D212">
        <v>2.242292943249192</v>
      </c>
      <c r="E212">
        <f t="shared" si="9"/>
        <v>42.364427173129172</v>
      </c>
      <c r="F212">
        <f t="shared" si="10"/>
        <v>39.585589209200307</v>
      </c>
      <c r="G212">
        <f t="shared" si="11"/>
        <v>2.778837963928865</v>
      </c>
    </row>
    <row r="213" spans="1:7" x14ac:dyDescent="0.3">
      <c r="A213" t="s">
        <v>437</v>
      </c>
      <c r="B213">
        <v>0.25530805687203778</v>
      </c>
      <c r="C213">
        <v>0.36590131321649511</v>
      </c>
      <c r="D213">
        <v>0.48029904967367459</v>
      </c>
      <c r="E213">
        <f t="shared" si="9"/>
        <v>52.699132824242035</v>
      </c>
      <c r="F213">
        <f t="shared" si="10"/>
        <v>47.735117697842391</v>
      </c>
      <c r="G213">
        <f t="shared" si="11"/>
        <v>4.9640151263996444</v>
      </c>
    </row>
    <row r="214" spans="1:7" x14ac:dyDescent="0.3">
      <c r="A214" t="s">
        <v>437</v>
      </c>
      <c r="B214">
        <v>0.25530805687203778</v>
      </c>
      <c r="C214">
        <v>0.64923788728410947</v>
      </c>
      <c r="D214">
        <v>0.71136649395576035</v>
      </c>
      <c r="E214">
        <f t="shared" si="9"/>
        <v>47.614452824079748</v>
      </c>
      <c r="F214">
        <f t="shared" si="10"/>
        <v>45.275120469785229</v>
      </c>
      <c r="G214">
        <f t="shared" si="11"/>
        <v>2.3393323542945197</v>
      </c>
    </row>
    <row r="215" spans="1:7" x14ac:dyDescent="0.3">
      <c r="A215" t="s">
        <v>437</v>
      </c>
      <c r="B215">
        <v>0.25530805687203778</v>
      </c>
      <c r="C215">
        <v>1.30210190099324</v>
      </c>
      <c r="D215">
        <v>1.334107693545566</v>
      </c>
      <c r="E215">
        <f t="shared" si="9"/>
        <v>45.695584578886681</v>
      </c>
      <c r="F215">
        <f t="shared" si="10"/>
        <v>42.288617542416247</v>
      </c>
      <c r="G215">
        <f t="shared" si="11"/>
        <v>3.4069670364704336</v>
      </c>
    </row>
    <row r="216" spans="1:7" x14ac:dyDescent="0.3">
      <c r="A216" t="s">
        <v>437</v>
      </c>
      <c r="B216">
        <v>0.25530805687203778</v>
      </c>
      <c r="C216">
        <v>1.9240443054742</v>
      </c>
      <c r="D216">
        <v>1.865247060180822</v>
      </c>
      <c r="E216">
        <f t="shared" si="9"/>
        <v>44.111030705305716</v>
      </c>
      <c r="F216">
        <f t="shared" si="10"/>
        <v>40.6238462865416</v>
      </c>
      <c r="G216">
        <f t="shared" si="11"/>
        <v>3.4871844187641159</v>
      </c>
    </row>
    <row r="217" spans="1:7" x14ac:dyDescent="0.3">
      <c r="A217" t="s">
        <v>438</v>
      </c>
      <c r="B217">
        <v>0.28209900990099029</v>
      </c>
      <c r="C217">
        <v>0.58173721781670995</v>
      </c>
      <c r="D217">
        <v>0.66395369393091264</v>
      </c>
      <c r="E217">
        <f t="shared" si="9"/>
        <v>48.776085099122362</v>
      </c>
      <c r="F217">
        <f t="shared" si="10"/>
        <v>45.209857139977188</v>
      </c>
      <c r="G217">
        <f t="shared" si="11"/>
        <v>3.5662279591451735</v>
      </c>
    </row>
    <row r="218" spans="1:7" x14ac:dyDescent="0.3">
      <c r="A218" t="s">
        <v>438</v>
      </c>
      <c r="B218">
        <v>0.28209900990099029</v>
      </c>
      <c r="C218">
        <v>0.99300398213766516</v>
      </c>
      <c r="D218">
        <v>0.98584689035815853</v>
      </c>
      <c r="E218">
        <f t="shared" si="9"/>
        <v>44.792773993131512</v>
      </c>
      <c r="F218">
        <f t="shared" si="10"/>
        <v>42.913932902682262</v>
      </c>
      <c r="G218">
        <f t="shared" si="11"/>
        <v>1.8788410904492494</v>
      </c>
    </row>
    <row r="219" spans="1:7" x14ac:dyDescent="0.3">
      <c r="A219" t="s">
        <v>438</v>
      </c>
      <c r="B219">
        <v>0.28209900990099029</v>
      </c>
      <c r="C219">
        <v>1.7705404190001159</v>
      </c>
      <c r="D219">
        <v>1.6870669815637851</v>
      </c>
      <c r="E219">
        <f t="shared" si="9"/>
        <v>43.61703592457166</v>
      </c>
      <c r="F219">
        <f t="shared" si="10"/>
        <v>40.446300379793058</v>
      </c>
      <c r="G219">
        <f t="shared" si="11"/>
        <v>3.1707355447786014</v>
      </c>
    </row>
    <row r="220" spans="1:7" x14ac:dyDescent="0.3">
      <c r="A220" t="s">
        <v>438</v>
      </c>
      <c r="B220">
        <v>0.28209900990099029</v>
      </c>
      <c r="C220">
        <v>2.3192426632956349</v>
      </c>
      <c r="D220">
        <v>2.1448868318878378</v>
      </c>
      <c r="E220">
        <f t="shared" si="9"/>
        <v>42.763331409223717</v>
      </c>
      <c r="F220">
        <f t="shared" si="10"/>
        <v>39.304840397852693</v>
      </c>
      <c r="G220">
        <f t="shared" si="11"/>
        <v>3.4584910113710237</v>
      </c>
    </row>
    <row r="221" spans="1:7" x14ac:dyDescent="0.3">
      <c r="A221" t="s">
        <v>439</v>
      </c>
      <c r="B221">
        <v>0.44927536231884058</v>
      </c>
      <c r="C221">
        <v>0.32594111637603862</v>
      </c>
      <c r="D221">
        <v>0.38440387779364638</v>
      </c>
      <c r="E221">
        <f t="shared" si="9"/>
        <v>49.704948989785969</v>
      </c>
      <c r="F221">
        <f t="shared" si="10"/>
        <v>44.323460694228537</v>
      </c>
      <c r="G221">
        <f t="shared" si="11"/>
        <v>5.3814882955574319</v>
      </c>
    </row>
    <row r="222" spans="1:7" x14ac:dyDescent="0.3">
      <c r="A222" t="s">
        <v>439</v>
      </c>
      <c r="B222">
        <v>0.44927536231884058</v>
      </c>
      <c r="C222">
        <v>0.77167400075845938</v>
      </c>
      <c r="D222">
        <v>0.82585527121001268</v>
      </c>
      <c r="E222">
        <f t="shared" si="9"/>
        <v>46.942480000160607</v>
      </c>
      <c r="F222">
        <f t="shared" si="10"/>
        <v>40.636856242542194</v>
      </c>
      <c r="G222">
        <f t="shared" si="11"/>
        <v>6.3056237576184131</v>
      </c>
    </row>
    <row r="223" spans="1:7" x14ac:dyDescent="0.3">
      <c r="A223" t="s">
        <v>440</v>
      </c>
      <c r="B223">
        <v>0.44927536231884058</v>
      </c>
      <c r="C223">
        <v>0.12861174772564279</v>
      </c>
      <c r="D223">
        <v>0.14768133973053099</v>
      </c>
      <c r="E223">
        <f t="shared" si="9"/>
        <v>48.948260691780185</v>
      </c>
      <c r="F223">
        <f t="shared" si="10"/>
        <v>48.312025703000344</v>
      </c>
      <c r="G223">
        <f t="shared" si="11"/>
        <v>0.63623498877984019</v>
      </c>
    </row>
    <row r="224" spans="1:7" x14ac:dyDescent="0.3">
      <c r="A224" t="s">
        <v>440</v>
      </c>
      <c r="B224">
        <v>0.44927536231884058</v>
      </c>
      <c r="C224">
        <v>0.29953205776039182</v>
      </c>
      <c r="D224">
        <v>0.31744533125668722</v>
      </c>
      <c r="E224">
        <f t="shared" si="9"/>
        <v>46.663054007532864</v>
      </c>
      <c r="F224">
        <f t="shared" si="10"/>
        <v>44.686495825977765</v>
      </c>
      <c r="G224">
        <f t="shared" si="11"/>
        <v>1.9765581815550988</v>
      </c>
    </row>
    <row r="225" spans="1:7" x14ac:dyDescent="0.3">
      <c r="A225" t="s">
        <v>440</v>
      </c>
      <c r="B225">
        <v>0.44927536231884058</v>
      </c>
      <c r="C225">
        <v>0.72410264678996372</v>
      </c>
      <c r="D225">
        <v>0.73714679293284313</v>
      </c>
      <c r="E225">
        <f t="shared" si="9"/>
        <v>45.511449072405902</v>
      </c>
      <c r="F225">
        <f t="shared" si="10"/>
        <v>40.907308504797847</v>
      </c>
      <c r="G225">
        <f t="shared" si="11"/>
        <v>4.6041405676080558</v>
      </c>
    </row>
    <row r="226" spans="1:7" x14ac:dyDescent="0.3">
      <c r="A226" t="s">
        <v>441</v>
      </c>
      <c r="B226">
        <v>0.44927536231884058</v>
      </c>
      <c r="C226">
        <v>0.12935257800126099</v>
      </c>
      <c r="D226">
        <v>0.15891083240839721</v>
      </c>
      <c r="E226">
        <f t="shared" si="9"/>
        <v>50.854592754945273</v>
      </c>
      <c r="F226">
        <f t="shared" si="10"/>
        <v>48.287507603579378</v>
      </c>
      <c r="G226">
        <f t="shared" si="11"/>
        <v>2.5670851513658945</v>
      </c>
    </row>
    <row r="227" spans="1:7" x14ac:dyDescent="0.3">
      <c r="A227" t="s">
        <v>441</v>
      </c>
      <c r="B227">
        <v>0.44927536231884058</v>
      </c>
      <c r="C227">
        <v>0.32786912657676898</v>
      </c>
      <c r="D227">
        <v>0.34846549884456401</v>
      </c>
      <c r="E227">
        <f t="shared" si="9"/>
        <v>46.744285397360009</v>
      </c>
      <c r="F227">
        <f t="shared" si="10"/>
        <v>44.298124169180426</v>
      </c>
      <c r="G227">
        <f t="shared" si="11"/>
        <v>2.4461612281795837</v>
      </c>
    </row>
    <row r="228" spans="1:7" x14ac:dyDescent="0.3">
      <c r="A228" t="s">
        <v>441</v>
      </c>
      <c r="B228">
        <v>0.44927536231884058</v>
      </c>
      <c r="C228">
        <v>0.74484564770308936</v>
      </c>
      <c r="D228">
        <v>0.71264785154194177</v>
      </c>
      <c r="E228">
        <f t="shared" si="9"/>
        <v>43.734472697091981</v>
      </c>
      <c r="F228">
        <f t="shared" si="10"/>
        <v>40.787212499289595</v>
      </c>
      <c r="G228">
        <f t="shared" si="11"/>
        <v>2.947260197802386</v>
      </c>
    </row>
    <row r="229" spans="1:7" x14ac:dyDescent="0.3">
      <c r="A229" t="s">
        <v>442</v>
      </c>
      <c r="B229">
        <v>0.44927536231884058</v>
      </c>
      <c r="C229">
        <v>0.12622641480779859</v>
      </c>
      <c r="D229">
        <v>0.1311997475093222</v>
      </c>
      <c r="E229">
        <f t="shared" si="9"/>
        <v>46.106785446602913</v>
      </c>
      <c r="F229">
        <f t="shared" si="10"/>
        <v>48.391922860155951</v>
      </c>
      <c r="G229">
        <f t="shared" si="11"/>
        <v>-2.2851374135530378</v>
      </c>
    </row>
    <row r="230" spans="1:7" x14ac:dyDescent="0.3">
      <c r="A230" t="s">
        <v>442</v>
      </c>
      <c r="B230">
        <v>0.44927536231884058</v>
      </c>
      <c r="C230">
        <v>0.28708188824528708</v>
      </c>
      <c r="D230">
        <v>0.26134237209548289</v>
      </c>
      <c r="E230">
        <f t="shared" si="9"/>
        <v>42.312875586773202</v>
      </c>
      <c r="F230">
        <f t="shared" si="10"/>
        <v>44.868922435354094</v>
      </c>
      <c r="G230">
        <f t="shared" si="11"/>
        <v>-2.5560468485808912</v>
      </c>
    </row>
    <row r="231" spans="1:7" x14ac:dyDescent="0.3">
      <c r="A231" t="s">
        <v>442</v>
      </c>
      <c r="B231">
        <v>0.44927536231884058</v>
      </c>
      <c r="C231">
        <v>0.70554676249738713</v>
      </c>
      <c r="D231">
        <v>0.66016451889676331</v>
      </c>
      <c r="E231">
        <f t="shared" si="9"/>
        <v>43.096775923972373</v>
      </c>
      <c r="F231">
        <f t="shared" si="10"/>
        <v>41.017757731268425</v>
      </c>
      <c r="G231">
        <f t="shared" si="11"/>
        <v>2.0790181927039484</v>
      </c>
    </row>
    <row r="232" spans="1:7" x14ac:dyDescent="0.3">
      <c r="A232" t="s">
        <v>443</v>
      </c>
      <c r="B232">
        <v>0.44927536231884058</v>
      </c>
      <c r="C232">
        <v>0.11967679997822241</v>
      </c>
      <c r="D232">
        <v>0.1345408006524639</v>
      </c>
      <c r="E232">
        <f t="shared" si="9"/>
        <v>48.346251341936714</v>
      </c>
      <c r="F232">
        <f t="shared" si="10"/>
        <v>48.619174683434331</v>
      </c>
      <c r="G232">
        <f t="shared" si="11"/>
        <v>-0.27292334149761643</v>
      </c>
    </row>
    <row r="233" spans="1:7" x14ac:dyDescent="0.3">
      <c r="A233" t="s">
        <v>443</v>
      </c>
      <c r="B233">
        <v>0.44927536231884058</v>
      </c>
      <c r="C233">
        <v>0.30014024704091291</v>
      </c>
      <c r="D233">
        <v>0.28107644029432638</v>
      </c>
      <c r="E233">
        <f t="shared" si="9"/>
        <v>43.121381846069077</v>
      </c>
      <c r="F233">
        <f t="shared" si="10"/>
        <v>44.677779929272383</v>
      </c>
      <c r="G233">
        <f t="shared" si="11"/>
        <v>-1.5563980832033053</v>
      </c>
    </row>
    <row r="234" spans="1:7" x14ac:dyDescent="0.3">
      <c r="A234" t="s">
        <v>443</v>
      </c>
      <c r="B234">
        <v>0.44927536231884058</v>
      </c>
      <c r="C234">
        <v>0.71386833328678023</v>
      </c>
      <c r="D234">
        <v>0.60895523992437472</v>
      </c>
      <c r="E234">
        <f t="shared" si="9"/>
        <v>40.465365471121359</v>
      </c>
      <c r="F234">
        <f t="shared" si="10"/>
        <v>40.96786329199999</v>
      </c>
      <c r="G234">
        <f t="shared" si="11"/>
        <v>-0.50249782087863082</v>
      </c>
    </row>
    <row r="235" spans="1:7" x14ac:dyDescent="0.3">
      <c r="A235" t="s">
        <v>444</v>
      </c>
      <c r="B235">
        <v>0.44927536231884058</v>
      </c>
      <c r="C235">
        <v>0.1196907637007418</v>
      </c>
      <c r="D235">
        <v>0.1536514745127468</v>
      </c>
      <c r="E235">
        <f t="shared" si="9"/>
        <v>52.082276013205707</v>
      </c>
      <c r="F235">
        <f t="shared" si="10"/>
        <v>48.618677318290594</v>
      </c>
      <c r="G235">
        <f t="shared" si="11"/>
        <v>3.4635986949151132</v>
      </c>
    </row>
    <row r="236" spans="1:7" x14ac:dyDescent="0.3">
      <c r="A236" t="s">
        <v>444</v>
      </c>
      <c r="B236">
        <v>0.44927536231884058</v>
      </c>
      <c r="C236">
        <v>0.18847103336657151</v>
      </c>
      <c r="D236">
        <v>0.23290189832728261</v>
      </c>
      <c r="E236">
        <f t="shared" si="9"/>
        <v>51.019202271988355</v>
      </c>
      <c r="F236">
        <f t="shared" si="10"/>
        <v>46.676318936074715</v>
      </c>
      <c r="G236">
        <f t="shared" si="11"/>
        <v>4.3428833359136405</v>
      </c>
    </row>
    <row r="237" spans="1:7" x14ac:dyDescent="0.3">
      <c r="A237" t="s">
        <v>444</v>
      </c>
      <c r="B237">
        <v>0.44927536231884058</v>
      </c>
      <c r="C237">
        <v>0.72532057160588825</v>
      </c>
      <c r="D237">
        <v>0.65866490002460076</v>
      </c>
      <c r="E237">
        <f t="shared" si="9"/>
        <v>42.242644567274702</v>
      </c>
      <c r="F237">
        <f t="shared" si="10"/>
        <v>40.900160506627259</v>
      </c>
      <c r="G237">
        <f t="shared" si="11"/>
        <v>1.3424840606474433</v>
      </c>
    </row>
    <row r="238" spans="1:7" x14ac:dyDescent="0.3">
      <c r="A238" t="s">
        <v>444</v>
      </c>
      <c r="B238">
        <v>0.44927536231884058</v>
      </c>
      <c r="C238">
        <v>0.92943780103113127</v>
      </c>
      <c r="D238">
        <v>0.86332026505022885</v>
      </c>
      <c r="E238">
        <f t="shared" si="9"/>
        <v>42.887869149211539</v>
      </c>
      <c r="F238">
        <f t="shared" si="10"/>
        <v>39.848526621128165</v>
      </c>
      <c r="G238">
        <f t="shared" si="11"/>
        <v>3.0393425280833739</v>
      </c>
    </row>
    <row r="239" spans="1:7" x14ac:dyDescent="0.3">
      <c r="A239" t="s">
        <v>444</v>
      </c>
      <c r="B239">
        <v>0.44927536231884058</v>
      </c>
      <c r="C239">
        <v>1.1151172476113971</v>
      </c>
      <c r="D239">
        <v>1.0239300614425739</v>
      </c>
      <c r="E239">
        <f t="shared" si="9"/>
        <v>42.558969629796771</v>
      </c>
      <c r="F239">
        <f t="shared" si="10"/>
        <v>39.080449629576833</v>
      </c>
      <c r="G239">
        <f t="shared" si="11"/>
        <v>3.4785200002199375</v>
      </c>
    </row>
    <row r="240" spans="1:7" x14ac:dyDescent="0.3">
      <c r="A240" t="s">
        <v>444</v>
      </c>
      <c r="B240">
        <v>0.44927536231884058</v>
      </c>
      <c r="C240">
        <v>1.294489286955643</v>
      </c>
      <c r="D240">
        <v>1.1622283331592009</v>
      </c>
      <c r="E240">
        <f t="shared" si="9"/>
        <v>41.918373593227074</v>
      </c>
      <c r="F240">
        <f t="shared" si="10"/>
        <v>38.454617998787121</v>
      </c>
      <c r="G240">
        <f t="shared" si="11"/>
        <v>3.4637555944399523</v>
      </c>
    </row>
    <row r="241" spans="1:7" x14ac:dyDescent="0.3">
      <c r="A241" t="s">
        <v>445</v>
      </c>
      <c r="B241">
        <v>0.35135135135135143</v>
      </c>
      <c r="C241">
        <v>0.15225340213926911</v>
      </c>
      <c r="D241">
        <v>0.23934591290800131</v>
      </c>
      <c r="E241">
        <f t="shared" si="9"/>
        <v>57.538628676722666</v>
      </c>
      <c r="F241">
        <f t="shared" si="10"/>
        <v>49.558619132639826</v>
      </c>
      <c r="G241">
        <f t="shared" si="11"/>
        <v>7.98000954408284</v>
      </c>
    </row>
    <row r="242" spans="1:7" x14ac:dyDescent="0.3">
      <c r="A242" t="s">
        <v>445</v>
      </c>
      <c r="B242">
        <v>0.35135135135135143</v>
      </c>
      <c r="C242">
        <v>0.21181365606107419</v>
      </c>
      <c r="D242">
        <v>0.29161082284359707</v>
      </c>
      <c r="E242">
        <f t="shared" si="9"/>
        <v>54.006945980072103</v>
      </c>
      <c r="F242">
        <f t="shared" si="10"/>
        <v>48.152835180658116</v>
      </c>
      <c r="G242">
        <f t="shared" si="11"/>
        <v>5.8541107994139878</v>
      </c>
    </row>
    <row r="243" spans="1:7" x14ac:dyDescent="0.3">
      <c r="A243" t="s">
        <v>445</v>
      </c>
      <c r="B243">
        <v>0.35135135135135143</v>
      </c>
      <c r="C243">
        <v>0.3948843053201917</v>
      </c>
      <c r="D243">
        <v>0.55450341048988272</v>
      </c>
      <c r="E243">
        <f t="shared" si="9"/>
        <v>54.543794411681311</v>
      </c>
      <c r="F243">
        <f t="shared" si="10"/>
        <v>45.482541184174998</v>
      </c>
      <c r="G243">
        <f t="shared" si="11"/>
        <v>9.0612532275063131</v>
      </c>
    </row>
    <row r="244" spans="1:7" x14ac:dyDescent="0.3">
      <c r="A244" t="s">
        <v>445</v>
      </c>
      <c r="B244">
        <v>0.35135135135135143</v>
      </c>
      <c r="C244">
        <v>0.71597710610441045</v>
      </c>
      <c r="D244">
        <v>0.83724134745566159</v>
      </c>
      <c r="E244">
        <f t="shared" si="9"/>
        <v>49.464191034564912</v>
      </c>
      <c r="F244">
        <f t="shared" si="10"/>
        <v>42.927312564294304</v>
      </c>
      <c r="G244">
        <f t="shared" si="11"/>
        <v>6.536878470270608</v>
      </c>
    </row>
    <row r="245" spans="1:7" x14ac:dyDescent="0.3">
      <c r="A245" t="s">
        <v>445</v>
      </c>
      <c r="B245">
        <v>0.35135135135135143</v>
      </c>
      <c r="C245">
        <v>1.3694395876629311</v>
      </c>
      <c r="D245">
        <v>1.3997884020653171</v>
      </c>
      <c r="E245">
        <f t="shared" si="9"/>
        <v>45.627896790707155</v>
      </c>
      <c r="F245">
        <f t="shared" si="10"/>
        <v>40.161904307235567</v>
      </c>
      <c r="G245">
        <f t="shared" si="11"/>
        <v>5.4659924834715881</v>
      </c>
    </row>
    <row r="246" spans="1:7" x14ac:dyDescent="0.3">
      <c r="A246" t="s">
        <v>445</v>
      </c>
      <c r="B246">
        <v>0.35135135135135143</v>
      </c>
      <c r="C246">
        <v>1.957907501214291</v>
      </c>
      <c r="D246">
        <v>1.810522983871927</v>
      </c>
      <c r="E246">
        <f t="shared" si="9"/>
        <v>42.760285305132449</v>
      </c>
      <c r="F246">
        <f t="shared" si="10"/>
        <v>38.655124040376457</v>
      </c>
      <c r="G246">
        <f t="shared" si="11"/>
        <v>4.1051612647559921</v>
      </c>
    </row>
    <row r="247" spans="1:7" x14ac:dyDescent="0.3">
      <c r="A247" t="s">
        <v>446</v>
      </c>
      <c r="B247">
        <v>0.44927536231884058</v>
      </c>
      <c r="C247">
        <v>0.1177511017969857</v>
      </c>
      <c r="D247">
        <v>0.13995019416137511</v>
      </c>
      <c r="E247">
        <f t="shared" si="9"/>
        <v>49.923460400412964</v>
      </c>
      <c r="F247">
        <f t="shared" si="10"/>
        <v>48.688316048768435</v>
      </c>
      <c r="G247">
        <f t="shared" si="11"/>
        <v>1.2351443516445286</v>
      </c>
    </row>
    <row r="248" spans="1:7" x14ac:dyDescent="0.3">
      <c r="A248" t="s">
        <v>446</v>
      </c>
      <c r="B248">
        <v>0.44927536231884058</v>
      </c>
      <c r="C248">
        <v>0.33083384084056022</v>
      </c>
      <c r="D248">
        <v>0.37373759334374002</v>
      </c>
      <c r="E248">
        <f t="shared" si="9"/>
        <v>48.484632247351861</v>
      </c>
      <c r="F248">
        <f t="shared" si="10"/>
        <v>44.259454329132282</v>
      </c>
      <c r="G248">
        <f t="shared" si="11"/>
        <v>4.225177918219579</v>
      </c>
    </row>
    <row r="249" spans="1:7" x14ac:dyDescent="0.3">
      <c r="A249" t="s">
        <v>446</v>
      </c>
      <c r="B249">
        <v>0.44927536231884058</v>
      </c>
      <c r="C249">
        <v>0.74657893135896869</v>
      </c>
      <c r="D249">
        <v>0.68779436675172845</v>
      </c>
      <c r="E249">
        <f t="shared" si="9"/>
        <v>42.653174609662742</v>
      </c>
      <c r="F249">
        <f t="shared" si="10"/>
        <v>40.777332463357027</v>
      </c>
      <c r="G249">
        <f t="shared" si="11"/>
        <v>1.8758421463057147</v>
      </c>
    </row>
    <row r="250" spans="1:7" x14ac:dyDescent="0.3">
      <c r="A250" t="s">
        <v>447</v>
      </c>
      <c r="B250">
        <v>0.28209900990099029</v>
      </c>
      <c r="C250">
        <v>0.54565195268037714</v>
      </c>
      <c r="D250">
        <v>0.62542828502014713</v>
      </c>
      <c r="E250">
        <f t="shared" si="9"/>
        <v>48.897082471939399</v>
      </c>
      <c r="F250">
        <f t="shared" si="10"/>
        <v>45.485016760086268</v>
      </c>
      <c r="G250">
        <f t="shared" si="11"/>
        <v>3.4120657118531312</v>
      </c>
    </row>
    <row r="251" spans="1:7" x14ac:dyDescent="0.3">
      <c r="A251" t="s">
        <v>447</v>
      </c>
      <c r="B251">
        <v>0.28209900990099029</v>
      </c>
      <c r="C251">
        <v>1.0390972972910151</v>
      </c>
      <c r="D251">
        <v>1.0526959191749039</v>
      </c>
      <c r="E251">
        <f t="shared" si="9"/>
        <v>45.37247116931696</v>
      </c>
      <c r="F251">
        <f t="shared" si="10"/>
        <v>42.719523297986136</v>
      </c>
      <c r="G251">
        <f t="shared" si="11"/>
        <v>2.6529478713308237</v>
      </c>
    </row>
    <row r="252" spans="1:7" x14ac:dyDescent="0.3">
      <c r="A252" t="s">
        <v>447</v>
      </c>
      <c r="B252">
        <v>0.28209900990099029</v>
      </c>
      <c r="C252">
        <v>1.886012554791048</v>
      </c>
      <c r="D252">
        <v>1.735360719265796</v>
      </c>
      <c r="E252">
        <f t="shared" si="9"/>
        <v>42.617826318750119</v>
      </c>
      <c r="F252">
        <f t="shared" si="10"/>
        <v>40.178431763973194</v>
      </c>
      <c r="G252">
        <f t="shared" si="11"/>
        <v>2.4393945547769249</v>
      </c>
    </row>
    <row r="253" spans="1:7" x14ac:dyDescent="0.3">
      <c r="A253" t="s">
        <v>447</v>
      </c>
      <c r="B253">
        <v>0.28209900990099029</v>
      </c>
      <c r="C253">
        <v>2.4939469210191878</v>
      </c>
      <c r="D253">
        <v>2.2053283405319801</v>
      </c>
      <c r="E253">
        <f t="shared" si="9"/>
        <v>41.485440884068034</v>
      </c>
      <c r="F253">
        <f t="shared" si="10"/>
        <v>38.999235066006023</v>
      </c>
      <c r="G253">
        <f t="shared" si="11"/>
        <v>2.486205818062011</v>
      </c>
    </row>
    <row r="254" spans="1:7" x14ac:dyDescent="0.3">
      <c r="A254" t="s">
        <v>448</v>
      </c>
      <c r="B254">
        <v>0.3</v>
      </c>
      <c r="C254">
        <v>0.13611046620689041</v>
      </c>
      <c r="D254">
        <v>0.18256585332294939</v>
      </c>
      <c r="E254">
        <f t="shared" si="9"/>
        <v>53.293933315478775</v>
      </c>
      <c r="F254">
        <f t="shared" si="10"/>
        <v>51.047098110803589</v>
      </c>
      <c r="G254">
        <f t="shared" si="11"/>
        <v>2.246835204675186</v>
      </c>
    </row>
    <row r="255" spans="1:7" x14ac:dyDescent="0.3">
      <c r="A255" t="s">
        <v>448</v>
      </c>
      <c r="B255">
        <v>0.3</v>
      </c>
      <c r="C255">
        <v>0.33587970530477651</v>
      </c>
      <c r="D255">
        <v>0.40466947586370627</v>
      </c>
      <c r="E255">
        <f t="shared" si="9"/>
        <v>50.306988134817487</v>
      </c>
      <c r="F255">
        <f t="shared" si="10"/>
        <v>47.208732601152064</v>
      </c>
      <c r="G255">
        <f t="shared" si="11"/>
        <v>3.0982555336654229</v>
      </c>
    </row>
    <row r="256" spans="1:7" x14ac:dyDescent="0.3">
      <c r="A256" t="s">
        <v>448</v>
      </c>
      <c r="B256">
        <v>0.3</v>
      </c>
      <c r="C256">
        <v>0.66084625792712715</v>
      </c>
      <c r="D256">
        <v>0.73222796444974725</v>
      </c>
      <c r="E256">
        <f t="shared" si="9"/>
        <v>47.933294330429923</v>
      </c>
      <c r="F256">
        <f t="shared" si="10"/>
        <v>44.302796034215952</v>
      </c>
      <c r="G256">
        <f t="shared" si="11"/>
        <v>3.6304982962139718</v>
      </c>
    </row>
    <row r="257" spans="1:7" x14ac:dyDescent="0.3">
      <c r="A257" t="s">
        <v>448</v>
      </c>
      <c r="B257">
        <v>0.3</v>
      </c>
      <c r="C257">
        <v>1.268341491294954</v>
      </c>
      <c r="D257">
        <v>1.2596619693691029</v>
      </c>
      <c r="E257">
        <f t="shared" si="9"/>
        <v>44.803284280162472</v>
      </c>
      <c r="F257">
        <f t="shared" si="10"/>
        <v>41.509869111221583</v>
      </c>
      <c r="G257">
        <f t="shared" si="11"/>
        <v>3.2934151689408893</v>
      </c>
    </row>
    <row r="258" spans="1:7" x14ac:dyDescent="0.3">
      <c r="A258" t="s">
        <v>449</v>
      </c>
      <c r="B258">
        <v>0.3</v>
      </c>
      <c r="C258">
        <v>0.1334449421431248</v>
      </c>
      <c r="D258">
        <v>0.1526418268762296</v>
      </c>
      <c r="E258">
        <f t="shared" ref="E258:E321" si="12">DEGREES(ATAN(D258/C258))</f>
        <v>48.838884651773796</v>
      </c>
      <c r="F258">
        <f t="shared" ref="F258:F321" si="13">DEGREES(ATAN(TAN(RADIANS(pe0-omega*B258))*(C258/sref)^(m_-1)))</f>
        <v>51.130174774297764</v>
      </c>
      <c r="G258">
        <f t="shared" ref="G258:G321" si="14">E258-F258</f>
        <v>-2.2912901225239679</v>
      </c>
    </row>
    <row r="259" spans="1:7" x14ac:dyDescent="0.3">
      <c r="A259" t="s">
        <v>449</v>
      </c>
      <c r="B259">
        <v>0.3</v>
      </c>
      <c r="C259">
        <v>0.30905659347996428</v>
      </c>
      <c r="D259">
        <v>0.3014626992833197</v>
      </c>
      <c r="E259">
        <f t="shared" si="12"/>
        <v>44.287367891313863</v>
      </c>
      <c r="F259">
        <f t="shared" si="13"/>
        <v>47.565138401232666</v>
      </c>
      <c r="G259">
        <f t="shared" si="14"/>
        <v>-3.2777705099188026</v>
      </c>
    </row>
    <row r="260" spans="1:7" x14ac:dyDescent="0.3">
      <c r="A260" t="s">
        <v>449</v>
      </c>
      <c r="B260">
        <v>0.3</v>
      </c>
      <c r="C260">
        <v>0.60874155832375121</v>
      </c>
      <c r="D260">
        <v>0.55362392405103311</v>
      </c>
      <c r="E260">
        <f t="shared" si="12"/>
        <v>42.285153323764618</v>
      </c>
      <c r="F260">
        <f t="shared" si="13"/>
        <v>44.655652063990125</v>
      </c>
      <c r="G260">
        <f t="shared" si="14"/>
        <v>-2.3704987402255071</v>
      </c>
    </row>
    <row r="261" spans="1:7" x14ac:dyDescent="0.3">
      <c r="A261" t="s">
        <v>449</v>
      </c>
      <c r="B261">
        <v>0.3</v>
      </c>
      <c r="C261">
        <v>1.2028864767408749</v>
      </c>
      <c r="D261">
        <v>1.025683208041682</v>
      </c>
      <c r="E261">
        <f t="shared" si="12"/>
        <v>40.453728579801172</v>
      </c>
      <c r="F261">
        <f t="shared" si="13"/>
        <v>41.7359791782009</v>
      </c>
      <c r="G261">
        <f t="shared" si="14"/>
        <v>-1.2822505983997274</v>
      </c>
    </row>
    <row r="262" spans="1:7" x14ac:dyDescent="0.3">
      <c r="A262" t="s">
        <v>450</v>
      </c>
      <c r="B262">
        <v>0.35</v>
      </c>
      <c r="C262">
        <v>0.14905716558352419</v>
      </c>
      <c r="D262">
        <v>0.18766181622602349</v>
      </c>
      <c r="E262">
        <f t="shared" si="12"/>
        <v>51.540373502810837</v>
      </c>
      <c r="F262">
        <f t="shared" si="13"/>
        <v>49.67549025172422</v>
      </c>
      <c r="G262">
        <f t="shared" si="14"/>
        <v>1.8648832510866171</v>
      </c>
    </row>
    <row r="263" spans="1:7" x14ac:dyDescent="0.3">
      <c r="A263" t="s">
        <v>450</v>
      </c>
      <c r="B263">
        <v>0.35</v>
      </c>
      <c r="C263">
        <v>0.30169976546940419</v>
      </c>
      <c r="D263">
        <v>0.27985754458883438</v>
      </c>
      <c r="E263">
        <f t="shared" si="12"/>
        <v>42.849087095270932</v>
      </c>
      <c r="F263">
        <f t="shared" si="13"/>
        <v>46.665491927164027</v>
      </c>
      <c r="G263">
        <f t="shared" si="14"/>
        <v>-3.8164048318930952</v>
      </c>
    </row>
    <row r="264" spans="1:7" x14ac:dyDescent="0.3">
      <c r="A264" t="s">
        <v>450</v>
      </c>
      <c r="B264">
        <v>0.35</v>
      </c>
      <c r="C264">
        <v>0.58729814503612199</v>
      </c>
      <c r="D264">
        <v>0.4951550290924599</v>
      </c>
      <c r="E264">
        <f t="shared" si="12"/>
        <v>40.134463895073544</v>
      </c>
      <c r="F264">
        <f t="shared" si="13"/>
        <v>43.804423199563168</v>
      </c>
      <c r="G264">
        <f t="shared" si="14"/>
        <v>-3.6699593044896233</v>
      </c>
    </row>
    <row r="265" spans="1:7" x14ac:dyDescent="0.3">
      <c r="A265" t="s">
        <v>450</v>
      </c>
      <c r="B265">
        <v>0.35</v>
      </c>
      <c r="C265">
        <v>1.2255200352580109</v>
      </c>
      <c r="D265">
        <v>1.035081902388046</v>
      </c>
      <c r="E265">
        <f t="shared" si="12"/>
        <v>40.184645804608245</v>
      </c>
      <c r="F265">
        <f t="shared" si="13"/>
        <v>40.659818563413715</v>
      </c>
      <c r="G265">
        <f t="shared" si="14"/>
        <v>-0.47517275880547061</v>
      </c>
    </row>
    <row r="266" spans="1:7" x14ac:dyDescent="0.3">
      <c r="A266" t="s">
        <v>451</v>
      </c>
      <c r="B266">
        <v>0.52</v>
      </c>
      <c r="C266">
        <v>0.1246331470032373</v>
      </c>
      <c r="D266">
        <v>0.1139450493291706</v>
      </c>
      <c r="E266">
        <f t="shared" si="12"/>
        <v>42.434913528515686</v>
      </c>
      <c r="F266">
        <f t="shared" si="13"/>
        <v>47.004137266366833</v>
      </c>
      <c r="G266">
        <f t="shared" si="14"/>
        <v>-4.5692237378511464</v>
      </c>
    </row>
    <row r="267" spans="1:7" x14ac:dyDescent="0.3">
      <c r="A267" t="s">
        <v>451</v>
      </c>
      <c r="B267">
        <v>0.56999999999999995</v>
      </c>
      <c r="C267">
        <v>0.23759869213004131</v>
      </c>
      <c r="D267">
        <v>0.19325629272269759</v>
      </c>
      <c r="E267">
        <f t="shared" si="12"/>
        <v>39.123965326498499</v>
      </c>
      <c r="F267">
        <f t="shared" si="13"/>
        <v>43.199723592953859</v>
      </c>
      <c r="G267">
        <f t="shared" si="14"/>
        <v>-4.0757582664553595</v>
      </c>
    </row>
    <row r="268" spans="1:7" x14ac:dyDescent="0.3">
      <c r="A268" t="s">
        <v>451</v>
      </c>
      <c r="B268">
        <v>0.56000000000000005</v>
      </c>
      <c r="C268">
        <v>0.46345238392060117</v>
      </c>
      <c r="D268">
        <v>0.34532774450624781</v>
      </c>
      <c r="E268">
        <f t="shared" si="12"/>
        <v>36.690540188668272</v>
      </c>
      <c r="F268">
        <f t="shared" si="13"/>
        <v>40.553176027715764</v>
      </c>
      <c r="G268">
        <f t="shared" si="14"/>
        <v>-3.862635839047492</v>
      </c>
    </row>
    <row r="269" spans="1:7" x14ac:dyDescent="0.3">
      <c r="A269" t="s">
        <v>451</v>
      </c>
      <c r="B269">
        <v>0.55000000000000004</v>
      </c>
      <c r="C269">
        <v>0.9042226838829327</v>
      </c>
      <c r="D269">
        <v>0.61749401081338395</v>
      </c>
      <c r="E269">
        <f t="shared" si="12"/>
        <v>34.329183582241399</v>
      </c>
      <c r="F269">
        <f t="shared" si="13"/>
        <v>37.942879593347961</v>
      </c>
      <c r="G269">
        <f t="shared" si="14"/>
        <v>-3.6136960111065619</v>
      </c>
    </row>
    <row r="270" spans="1:7" x14ac:dyDescent="0.3">
      <c r="A270" t="s">
        <v>452</v>
      </c>
      <c r="B270">
        <v>0.5</v>
      </c>
      <c r="C270">
        <v>0.23832514815331399</v>
      </c>
      <c r="D270">
        <v>0.18869949777355599</v>
      </c>
      <c r="E270">
        <f t="shared" si="12"/>
        <v>38.371242248416948</v>
      </c>
      <c r="F270">
        <f t="shared" si="13"/>
        <v>44.631385706886604</v>
      </c>
      <c r="G270">
        <f t="shared" si="14"/>
        <v>-6.2601434584696563</v>
      </c>
    </row>
    <row r="271" spans="1:7" x14ac:dyDescent="0.3">
      <c r="A271" t="s">
        <v>452</v>
      </c>
      <c r="B271">
        <v>0.5</v>
      </c>
      <c r="C271">
        <v>0.87757381393440415</v>
      </c>
      <c r="D271">
        <v>0.5623510133745856</v>
      </c>
      <c r="E271">
        <f t="shared" si="12"/>
        <v>32.65182803196074</v>
      </c>
      <c r="F271">
        <f t="shared" si="13"/>
        <v>39.072638075374329</v>
      </c>
      <c r="G271">
        <f t="shared" si="14"/>
        <v>-6.4208100434135886</v>
      </c>
    </row>
    <row r="272" spans="1:7" x14ac:dyDescent="0.3">
      <c r="A272" t="s">
        <v>453</v>
      </c>
      <c r="B272">
        <v>0.28000000000000003</v>
      </c>
      <c r="C272">
        <v>0.15275349596584489</v>
      </c>
      <c r="D272">
        <v>0.20653121244477249</v>
      </c>
      <c r="E272">
        <f t="shared" si="12"/>
        <v>53.512830658208351</v>
      </c>
      <c r="F272">
        <f t="shared" si="13"/>
        <v>50.954773404735178</v>
      </c>
      <c r="G272">
        <f t="shared" si="14"/>
        <v>2.5580572534731729</v>
      </c>
    </row>
    <row r="273" spans="1:7" x14ac:dyDescent="0.3">
      <c r="A273" t="s">
        <v>453</v>
      </c>
      <c r="B273">
        <v>0.28000000000000003</v>
      </c>
      <c r="C273">
        <v>0.29076352277499679</v>
      </c>
      <c r="D273">
        <v>0.33706318109492128</v>
      </c>
      <c r="E273">
        <f t="shared" si="12"/>
        <v>49.21769514649089</v>
      </c>
      <c r="F273">
        <f t="shared" si="13"/>
        <v>48.225256215587123</v>
      </c>
      <c r="G273">
        <f t="shared" si="14"/>
        <v>0.99243893090376645</v>
      </c>
    </row>
    <row r="274" spans="1:7" x14ac:dyDescent="0.3">
      <c r="A274" t="s">
        <v>453</v>
      </c>
      <c r="B274">
        <v>0.28000000000000003</v>
      </c>
      <c r="C274">
        <v>0.55657740432642833</v>
      </c>
      <c r="D274">
        <v>0.55780145472516895</v>
      </c>
      <c r="E274">
        <f t="shared" si="12"/>
        <v>45.062934515478304</v>
      </c>
      <c r="F274">
        <f t="shared" si="13"/>
        <v>45.441929806304763</v>
      </c>
      <c r="G274">
        <f t="shared" si="14"/>
        <v>-0.37899529082645955</v>
      </c>
    </row>
    <row r="275" spans="1:7" x14ac:dyDescent="0.3">
      <c r="A275" t="s">
        <v>453</v>
      </c>
      <c r="B275">
        <v>0.28000000000000003</v>
      </c>
      <c r="C275">
        <v>0.80985241579242773</v>
      </c>
      <c r="D275">
        <v>0.74549439756963487</v>
      </c>
      <c r="E275">
        <f t="shared" si="12"/>
        <v>42.630534604322833</v>
      </c>
      <c r="F275">
        <f t="shared" si="13"/>
        <v>43.830631690067491</v>
      </c>
      <c r="G275">
        <f t="shared" si="14"/>
        <v>-1.2000970857446589</v>
      </c>
    </row>
    <row r="276" spans="1:7" x14ac:dyDescent="0.3">
      <c r="A276" t="s">
        <v>453</v>
      </c>
      <c r="B276">
        <v>0.28000000000000003</v>
      </c>
      <c r="C276">
        <v>1.0464532221149501</v>
      </c>
      <c r="D276">
        <v>0.89704365851904089</v>
      </c>
      <c r="E276">
        <f t="shared" si="12"/>
        <v>40.603938073499329</v>
      </c>
      <c r="F276">
        <f t="shared" si="13"/>
        <v>42.731271696157215</v>
      </c>
      <c r="G276">
        <f t="shared" si="14"/>
        <v>-2.1273336226578863</v>
      </c>
    </row>
    <row r="277" spans="1:7" x14ac:dyDescent="0.3">
      <c r="A277" t="s">
        <v>454</v>
      </c>
      <c r="B277">
        <v>0.59</v>
      </c>
      <c r="C277">
        <v>0.1353044195643151</v>
      </c>
      <c r="D277">
        <v>0.12902127139354511</v>
      </c>
      <c r="E277">
        <f t="shared" si="12"/>
        <v>43.638308330770045</v>
      </c>
      <c r="F277">
        <f t="shared" si="13"/>
        <v>45.201422127119116</v>
      </c>
      <c r="G277">
        <f t="shared" si="14"/>
        <v>-1.5631137963490715</v>
      </c>
    </row>
    <row r="278" spans="1:7" x14ac:dyDescent="0.3">
      <c r="A278" t="s">
        <v>454</v>
      </c>
      <c r="B278">
        <v>0.57999999999999996</v>
      </c>
      <c r="C278">
        <v>0.8428413527468479</v>
      </c>
      <c r="D278">
        <v>0.66881532775950059</v>
      </c>
      <c r="E278">
        <f t="shared" si="12"/>
        <v>38.432864275119769</v>
      </c>
      <c r="F278">
        <f t="shared" si="13"/>
        <v>37.63194132929042</v>
      </c>
      <c r="G278">
        <f t="shared" si="14"/>
        <v>0.80092294582934898</v>
      </c>
    </row>
    <row r="279" spans="1:7" x14ac:dyDescent="0.3">
      <c r="A279" t="s">
        <v>455</v>
      </c>
      <c r="B279">
        <v>0.68</v>
      </c>
      <c r="C279">
        <v>0.13146643842278641</v>
      </c>
      <c r="D279">
        <v>0.1174106958041656</v>
      </c>
      <c r="E279">
        <f t="shared" si="12"/>
        <v>41.76756109884731</v>
      </c>
      <c r="F279">
        <f t="shared" si="13"/>
        <v>43.427852913290877</v>
      </c>
      <c r="G279">
        <f t="shared" si="14"/>
        <v>-1.6602918144435677</v>
      </c>
    </row>
    <row r="280" spans="1:7" x14ac:dyDescent="0.3">
      <c r="A280" t="s">
        <v>455</v>
      </c>
      <c r="B280">
        <v>0.62</v>
      </c>
      <c r="C280">
        <v>0.83259777657002443</v>
      </c>
      <c r="D280">
        <v>0.63560530157116668</v>
      </c>
      <c r="E280">
        <f t="shared" si="12"/>
        <v>37.358121060284574</v>
      </c>
      <c r="F280">
        <f t="shared" si="13"/>
        <v>36.876158254883769</v>
      </c>
      <c r="G280">
        <f t="shared" si="14"/>
        <v>0.48196280540080494</v>
      </c>
    </row>
    <row r="281" spans="1:7" x14ac:dyDescent="0.3">
      <c r="A281" t="s">
        <v>456</v>
      </c>
      <c r="B281">
        <v>0.74</v>
      </c>
      <c r="C281">
        <v>0.13569620467709259</v>
      </c>
      <c r="D281">
        <v>0.11826684794233711</v>
      </c>
      <c r="E281">
        <f t="shared" si="12"/>
        <v>41.073975577846497</v>
      </c>
      <c r="F281">
        <f t="shared" si="13"/>
        <v>42.006940154970877</v>
      </c>
      <c r="G281">
        <f t="shared" si="14"/>
        <v>-0.93296457712438041</v>
      </c>
    </row>
    <row r="282" spans="1:7" x14ac:dyDescent="0.3">
      <c r="A282" t="s">
        <v>456</v>
      </c>
      <c r="B282">
        <v>0.75</v>
      </c>
      <c r="C282">
        <v>0.81208783534202944</v>
      </c>
      <c r="D282">
        <v>0.53400764646034626</v>
      </c>
      <c r="E282">
        <f t="shared" si="12"/>
        <v>33.327870002944955</v>
      </c>
      <c r="F282">
        <f t="shared" si="13"/>
        <v>34.350089231645235</v>
      </c>
      <c r="G282">
        <f t="shared" si="14"/>
        <v>-1.0222192287002798</v>
      </c>
    </row>
    <row r="283" spans="1:7" x14ac:dyDescent="0.3">
      <c r="A283" t="s">
        <v>457</v>
      </c>
      <c r="B283">
        <v>0.3</v>
      </c>
      <c r="C283">
        <v>0.13110277280263011</v>
      </c>
      <c r="D283">
        <v>0.12617067120993869</v>
      </c>
      <c r="E283">
        <f t="shared" si="12"/>
        <v>43.901736649630891</v>
      </c>
      <c r="F283">
        <f t="shared" si="13"/>
        <v>51.204510365167003</v>
      </c>
      <c r="G283">
        <f t="shared" si="14"/>
        <v>-7.3027737155361123</v>
      </c>
    </row>
    <row r="284" spans="1:7" x14ac:dyDescent="0.3">
      <c r="A284" t="s">
        <v>457</v>
      </c>
      <c r="B284">
        <v>0.32</v>
      </c>
      <c r="C284">
        <v>0.86125090187937237</v>
      </c>
      <c r="D284">
        <v>0.75005633566898333</v>
      </c>
      <c r="E284">
        <f t="shared" si="12"/>
        <v>41.052338969050716</v>
      </c>
      <c r="F284">
        <f t="shared" si="13"/>
        <v>42.765000099251246</v>
      </c>
      <c r="G284">
        <f t="shared" si="14"/>
        <v>-1.7126611302005301</v>
      </c>
    </row>
    <row r="285" spans="1:7" x14ac:dyDescent="0.3">
      <c r="A285" t="s">
        <v>457</v>
      </c>
      <c r="B285">
        <v>0.3</v>
      </c>
      <c r="C285">
        <v>2.6756969038041079</v>
      </c>
      <c r="D285">
        <v>2.1389967083406849</v>
      </c>
      <c r="E285">
        <f t="shared" si="12"/>
        <v>38.639422968789418</v>
      </c>
      <c r="F285">
        <f t="shared" si="13"/>
        <v>38.353791150175454</v>
      </c>
      <c r="G285">
        <f t="shared" si="14"/>
        <v>0.28563181861396458</v>
      </c>
    </row>
    <row r="286" spans="1:7" x14ac:dyDescent="0.3">
      <c r="A286" t="s">
        <v>457</v>
      </c>
      <c r="B286">
        <v>0.33</v>
      </c>
      <c r="C286">
        <v>3.5879569485693268</v>
      </c>
      <c r="D286">
        <v>2.7285476017924162</v>
      </c>
      <c r="E286">
        <f t="shared" si="12"/>
        <v>37.252041183275395</v>
      </c>
      <c r="F286">
        <f t="shared" si="13"/>
        <v>36.554775743434583</v>
      </c>
      <c r="G286">
        <f t="shared" si="14"/>
        <v>0.69726543984081246</v>
      </c>
    </row>
    <row r="287" spans="1:7" x14ac:dyDescent="0.3">
      <c r="A287" t="s">
        <v>458</v>
      </c>
      <c r="B287">
        <v>0.36</v>
      </c>
      <c r="C287">
        <v>0.1214408782280581</v>
      </c>
      <c r="D287">
        <v>9.0580158232385119E-2</v>
      </c>
      <c r="E287">
        <f t="shared" si="12"/>
        <v>36.71847140132806</v>
      </c>
      <c r="F287">
        <f t="shared" si="13"/>
        <v>50.344006780651341</v>
      </c>
      <c r="G287">
        <f t="shared" si="14"/>
        <v>-13.625535379323281</v>
      </c>
    </row>
    <row r="288" spans="1:7" x14ac:dyDescent="0.3">
      <c r="A288" t="s">
        <v>458</v>
      </c>
      <c r="B288">
        <v>0.37</v>
      </c>
      <c r="C288">
        <v>0.80066575225925318</v>
      </c>
      <c r="D288">
        <v>0.58464587541912161</v>
      </c>
      <c r="E288">
        <f t="shared" si="12"/>
        <v>36.136906916808471</v>
      </c>
      <c r="F288">
        <f t="shared" si="13"/>
        <v>42.074015113485324</v>
      </c>
      <c r="G288">
        <f t="shared" si="14"/>
        <v>-5.9371081966768529</v>
      </c>
    </row>
    <row r="289" spans="1:7" x14ac:dyDescent="0.3">
      <c r="A289" t="s">
        <v>459</v>
      </c>
      <c r="B289">
        <v>0.43</v>
      </c>
      <c r="C289">
        <v>0.40176934496404099</v>
      </c>
      <c r="D289">
        <v>0.4453314694737619</v>
      </c>
      <c r="E289">
        <f t="shared" si="12"/>
        <v>47.943839909474306</v>
      </c>
      <c r="F289">
        <f t="shared" si="13"/>
        <v>43.817189397527848</v>
      </c>
      <c r="G289">
        <f t="shared" si="14"/>
        <v>4.1266505119464583</v>
      </c>
    </row>
    <row r="290" spans="1:7" x14ac:dyDescent="0.3">
      <c r="A290" t="s">
        <v>459</v>
      </c>
      <c r="B290">
        <v>0.43</v>
      </c>
      <c r="C290">
        <v>1.686334119413079</v>
      </c>
      <c r="D290">
        <v>1.4596506352595551</v>
      </c>
      <c r="E290">
        <f t="shared" si="12"/>
        <v>40.878683397526963</v>
      </c>
      <c r="F290">
        <f t="shared" si="13"/>
        <v>37.732069298348129</v>
      </c>
      <c r="G290">
        <f t="shared" si="14"/>
        <v>3.1466140991788336</v>
      </c>
    </row>
    <row r="291" spans="1:7" x14ac:dyDescent="0.3">
      <c r="A291" t="s">
        <v>460</v>
      </c>
      <c r="B291">
        <v>0.43</v>
      </c>
      <c r="C291">
        <v>0.39581284967433422</v>
      </c>
      <c r="D291">
        <v>0.44614356427393942</v>
      </c>
      <c r="E291">
        <f t="shared" si="12"/>
        <v>48.420972709058347</v>
      </c>
      <c r="F291">
        <f t="shared" si="13"/>
        <v>43.881323166583087</v>
      </c>
      <c r="G291">
        <f t="shared" si="14"/>
        <v>4.5396495424752601</v>
      </c>
    </row>
    <row r="292" spans="1:7" x14ac:dyDescent="0.3">
      <c r="A292" t="s">
        <v>460</v>
      </c>
      <c r="B292">
        <v>0.43</v>
      </c>
      <c r="C292">
        <v>1.728636835034508</v>
      </c>
      <c r="D292">
        <v>1.5829623438013509</v>
      </c>
      <c r="E292">
        <f t="shared" si="12"/>
        <v>42.481230161818097</v>
      </c>
      <c r="F292">
        <f t="shared" si="13"/>
        <v>37.62905794952998</v>
      </c>
      <c r="G292">
        <f t="shared" si="14"/>
        <v>4.8521722122881172</v>
      </c>
    </row>
    <row r="293" spans="1:7" x14ac:dyDescent="0.3">
      <c r="A293" t="s">
        <v>460</v>
      </c>
      <c r="B293">
        <v>0.43</v>
      </c>
      <c r="C293">
        <v>4.9946368105325529</v>
      </c>
      <c r="D293">
        <v>3.9912997499721539</v>
      </c>
      <c r="E293">
        <f t="shared" si="12"/>
        <v>38.628950039003804</v>
      </c>
      <c r="F293">
        <f t="shared" si="13"/>
        <v>33.324252417650179</v>
      </c>
      <c r="G293">
        <f t="shared" si="14"/>
        <v>5.3046976213536254</v>
      </c>
    </row>
    <row r="294" spans="1:7" x14ac:dyDescent="0.3">
      <c r="A294" t="s">
        <v>461</v>
      </c>
      <c r="B294">
        <v>0.43</v>
      </c>
      <c r="C294">
        <v>0.42643540304902411</v>
      </c>
      <c r="D294">
        <v>0.53892200808034973</v>
      </c>
      <c r="E294">
        <f t="shared" si="12"/>
        <v>51.646319378083867</v>
      </c>
      <c r="F294">
        <f t="shared" si="13"/>
        <v>43.561420204158864</v>
      </c>
      <c r="G294">
        <f t="shared" si="14"/>
        <v>8.0848991739250025</v>
      </c>
    </row>
    <row r="295" spans="1:7" x14ac:dyDescent="0.3">
      <c r="A295" t="s">
        <v>461</v>
      </c>
      <c r="B295">
        <v>0.43</v>
      </c>
      <c r="C295">
        <v>1.7252895044786101</v>
      </c>
      <c r="D295">
        <v>1.648579652699391</v>
      </c>
      <c r="E295">
        <f t="shared" si="12"/>
        <v>43.69752102670661</v>
      </c>
      <c r="F295">
        <f t="shared" si="13"/>
        <v>37.637113197511873</v>
      </c>
      <c r="G295">
        <f t="shared" si="14"/>
        <v>6.0604078291947374</v>
      </c>
    </row>
    <row r="296" spans="1:7" x14ac:dyDescent="0.3">
      <c r="A296" t="s">
        <v>461</v>
      </c>
      <c r="B296">
        <v>0.43</v>
      </c>
      <c r="C296">
        <v>5.0240709245867023</v>
      </c>
      <c r="D296">
        <v>4.2430501420492828</v>
      </c>
      <c r="E296">
        <f t="shared" si="12"/>
        <v>40.18257138930317</v>
      </c>
      <c r="F296">
        <f t="shared" si="13"/>
        <v>33.301075056181972</v>
      </c>
      <c r="G296">
        <f t="shared" si="14"/>
        <v>6.8814963331211985</v>
      </c>
    </row>
    <row r="297" spans="1:7" x14ac:dyDescent="0.3">
      <c r="A297" t="s">
        <v>461</v>
      </c>
      <c r="B297">
        <v>0.43</v>
      </c>
      <c r="C297">
        <v>7.7026167821474028</v>
      </c>
      <c r="D297">
        <v>6.243815354246161</v>
      </c>
      <c r="E297">
        <f t="shared" si="12"/>
        <v>39.028557583252528</v>
      </c>
      <c r="F297">
        <f t="shared" si="13"/>
        <v>31.638010494356781</v>
      </c>
      <c r="G297">
        <f t="shared" si="14"/>
        <v>7.3905470888957474</v>
      </c>
    </row>
    <row r="298" spans="1:7" x14ac:dyDescent="0.3">
      <c r="A298" t="s">
        <v>462</v>
      </c>
      <c r="B298">
        <v>0.22</v>
      </c>
      <c r="C298">
        <v>0.37727093801791928</v>
      </c>
      <c r="D298">
        <v>0.40906014130095691</v>
      </c>
      <c r="E298">
        <f t="shared" si="12"/>
        <v>47.315050152507105</v>
      </c>
      <c r="F298">
        <f t="shared" si="13"/>
        <v>48.307305110450123</v>
      </c>
      <c r="G298">
        <f t="shared" si="14"/>
        <v>-0.99225495794301821</v>
      </c>
    </row>
    <row r="299" spans="1:7" x14ac:dyDescent="0.3">
      <c r="A299" t="s">
        <v>462</v>
      </c>
      <c r="B299">
        <v>0.22</v>
      </c>
      <c r="C299">
        <v>1.732065838954457</v>
      </c>
      <c r="D299">
        <v>1.638031074750981</v>
      </c>
      <c r="E299">
        <f t="shared" si="12"/>
        <v>43.401708417749461</v>
      </c>
      <c r="F299">
        <f t="shared" si="13"/>
        <v>41.772162424121447</v>
      </c>
      <c r="G299">
        <f t="shared" si="14"/>
        <v>1.6295459936280139</v>
      </c>
    </row>
    <row r="300" spans="1:7" x14ac:dyDescent="0.3">
      <c r="A300" t="s">
        <v>462</v>
      </c>
      <c r="B300">
        <v>0.22</v>
      </c>
      <c r="C300">
        <v>5.060199888350418</v>
      </c>
      <c r="D300">
        <v>4.2698542432834019</v>
      </c>
      <c r="E300">
        <f t="shared" si="12"/>
        <v>40.158053830089791</v>
      </c>
      <c r="F300">
        <f t="shared" si="13"/>
        <v>37.254467029933224</v>
      </c>
      <c r="G300">
        <f t="shared" si="14"/>
        <v>2.9035868001565674</v>
      </c>
    </row>
    <row r="301" spans="1:7" x14ac:dyDescent="0.3">
      <c r="A301" t="s">
        <v>462</v>
      </c>
      <c r="B301">
        <v>0.22</v>
      </c>
      <c r="C301">
        <v>7.597247418742417</v>
      </c>
      <c r="D301">
        <v>5.9880652795671709</v>
      </c>
      <c r="E301">
        <f t="shared" si="12"/>
        <v>38.244782650585663</v>
      </c>
      <c r="F301">
        <f t="shared" si="13"/>
        <v>35.586189230602074</v>
      </c>
      <c r="G301">
        <f t="shared" si="14"/>
        <v>2.658593419983589</v>
      </c>
    </row>
    <row r="302" spans="1:7" x14ac:dyDescent="0.3">
      <c r="A302" t="s">
        <v>463</v>
      </c>
      <c r="B302">
        <v>0.22</v>
      </c>
      <c r="C302">
        <v>0.38438669001198211</v>
      </c>
      <c r="D302">
        <v>0.43477076476171522</v>
      </c>
      <c r="E302">
        <f t="shared" si="12"/>
        <v>48.519668513211251</v>
      </c>
      <c r="F302">
        <f t="shared" si="13"/>
        <v>48.22753200400534</v>
      </c>
      <c r="G302">
        <f t="shared" si="14"/>
        <v>0.2921365092059105</v>
      </c>
    </row>
    <row r="303" spans="1:7" x14ac:dyDescent="0.3">
      <c r="A303" t="s">
        <v>463</v>
      </c>
      <c r="B303">
        <v>0.22</v>
      </c>
      <c r="C303">
        <v>1.7290245084440541</v>
      </c>
      <c r="D303">
        <v>1.68382784921261</v>
      </c>
      <c r="E303">
        <f t="shared" si="12"/>
        <v>44.241272056118149</v>
      </c>
      <c r="F303">
        <f t="shared" si="13"/>
        <v>41.779666695758969</v>
      </c>
      <c r="G303">
        <f t="shared" si="14"/>
        <v>2.4616053603591794</v>
      </c>
    </row>
    <row r="304" spans="1:7" x14ac:dyDescent="0.3">
      <c r="A304" t="s">
        <v>463</v>
      </c>
      <c r="B304">
        <v>0.22</v>
      </c>
      <c r="C304">
        <v>5.0468135488042254</v>
      </c>
      <c r="D304">
        <v>4.4085715751565084</v>
      </c>
      <c r="E304">
        <f t="shared" si="12"/>
        <v>41.138371611976687</v>
      </c>
      <c r="F304">
        <f t="shared" si="13"/>
        <v>37.265437000544331</v>
      </c>
      <c r="G304">
        <f t="shared" si="14"/>
        <v>3.8729346114323562</v>
      </c>
    </row>
    <row r="305" spans="1:7" x14ac:dyDescent="0.3">
      <c r="A305" t="s">
        <v>463</v>
      </c>
      <c r="B305">
        <v>0.22</v>
      </c>
      <c r="C305">
        <v>7.6859310191629726</v>
      </c>
      <c r="D305">
        <v>6.4094478098631464</v>
      </c>
      <c r="E305">
        <f t="shared" si="12"/>
        <v>39.825386213949336</v>
      </c>
      <c r="F305">
        <f t="shared" si="13"/>
        <v>35.538999881950886</v>
      </c>
      <c r="G305">
        <f t="shared" si="14"/>
        <v>4.2863863319984503</v>
      </c>
    </row>
    <row r="306" spans="1:7" x14ac:dyDescent="0.3">
      <c r="A306" t="s">
        <v>464</v>
      </c>
      <c r="B306">
        <v>0.22</v>
      </c>
      <c r="C306">
        <v>0.3965340036333953</v>
      </c>
      <c r="D306">
        <v>0.48741607350361921</v>
      </c>
      <c r="E306">
        <f t="shared" si="12"/>
        <v>50.870158297346784</v>
      </c>
      <c r="F306">
        <f t="shared" si="13"/>
        <v>48.094648042154809</v>
      </c>
      <c r="G306">
        <f t="shared" si="14"/>
        <v>2.7755102551919748</v>
      </c>
    </row>
    <row r="307" spans="1:7" x14ac:dyDescent="0.3">
      <c r="A307" t="s">
        <v>464</v>
      </c>
      <c r="B307">
        <v>0.22</v>
      </c>
      <c r="C307">
        <v>1.79700187829374</v>
      </c>
      <c r="D307">
        <v>1.8943132101996709</v>
      </c>
      <c r="E307">
        <f t="shared" si="12"/>
        <v>46.510095296025128</v>
      </c>
      <c r="F307">
        <f t="shared" si="13"/>
        <v>41.615057720622779</v>
      </c>
      <c r="G307">
        <f t="shared" si="14"/>
        <v>4.8950375754023483</v>
      </c>
    </row>
    <row r="308" spans="1:7" x14ac:dyDescent="0.3">
      <c r="A308" t="s">
        <v>464</v>
      </c>
      <c r="B308">
        <v>0.22</v>
      </c>
      <c r="C308">
        <v>5.1343322027923959</v>
      </c>
      <c r="D308">
        <v>4.6950164282303488</v>
      </c>
      <c r="E308">
        <f t="shared" si="12"/>
        <v>42.440908808903828</v>
      </c>
      <c r="F308">
        <f t="shared" si="13"/>
        <v>37.194257635367912</v>
      </c>
      <c r="G308">
        <f t="shared" si="14"/>
        <v>5.2466511735359163</v>
      </c>
    </row>
    <row r="309" spans="1:7" x14ac:dyDescent="0.3">
      <c r="A309" t="s">
        <v>464</v>
      </c>
      <c r="B309">
        <v>0.22</v>
      </c>
      <c r="C309">
        <v>7.860685101959433</v>
      </c>
      <c r="D309">
        <v>6.8893035001749521</v>
      </c>
      <c r="E309">
        <f t="shared" si="12"/>
        <v>41.232145332216064</v>
      </c>
      <c r="F309">
        <f t="shared" si="13"/>
        <v>35.447660378104651</v>
      </c>
      <c r="G309">
        <f t="shared" si="14"/>
        <v>5.7844849541114129</v>
      </c>
    </row>
    <row r="310" spans="1:7" x14ac:dyDescent="0.3">
      <c r="A310" t="s">
        <v>465</v>
      </c>
      <c r="B310">
        <v>0.45</v>
      </c>
      <c r="C310">
        <v>0.42034837936581082</v>
      </c>
      <c r="D310">
        <v>0.4429516710019793</v>
      </c>
      <c r="E310">
        <f t="shared" si="12"/>
        <v>46.49979998529647</v>
      </c>
      <c r="F310">
        <f t="shared" si="13"/>
        <v>43.216722218221122</v>
      </c>
      <c r="G310">
        <f t="shared" si="14"/>
        <v>3.2830777670753477</v>
      </c>
    </row>
    <row r="311" spans="1:7" x14ac:dyDescent="0.3">
      <c r="A311" t="s">
        <v>465</v>
      </c>
      <c r="B311">
        <v>0.45</v>
      </c>
      <c r="C311">
        <v>1.4748949236028821</v>
      </c>
      <c r="D311">
        <v>1.00607902337401</v>
      </c>
      <c r="E311">
        <f t="shared" si="12"/>
        <v>34.299308624002734</v>
      </c>
      <c r="F311">
        <f t="shared" si="13"/>
        <v>37.895458344362254</v>
      </c>
      <c r="G311">
        <f t="shared" si="14"/>
        <v>-3.5961497203595201</v>
      </c>
    </row>
    <row r="312" spans="1:7" x14ac:dyDescent="0.3">
      <c r="A312" t="s">
        <v>466</v>
      </c>
      <c r="B312">
        <v>0.45</v>
      </c>
      <c r="C312">
        <v>0.39250428021227568</v>
      </c>
      <c r="D312">
        <v>0.4258281812066953</v>
      </c>
      <c r="E312">
        <f t="shared" si="12"/>
        <v>47.33189399362724</v>
      </c>
      <c r="F312">
        <f t="shared" si="13"/>
        <v>43.510754142660218</v>
      </c>
      <c r="G312">
        <f t="shared" si="14"/>
        <v>3.8211398509670218</v>
      </c>
    </row>
    <row r="313" spans="1:7" x14ac:dyDescent="0.3">
      <c r="A313" t="s">
        <v>466</v>
      </c>
      <c r="B313">
        <v>0.45</v>
      </c>
      <c r="C313">
        <v>1.699821010448251</v>
      </c>
      <c r="D313">
        <v>1.497109083250262</v>
      </c>
      <c r="E313">
        <f t="shared" si="12"/>
        <v>41.371828869377104</v>
      </c>
      <c r="F313">
        <f t="shared" si="13"/>
        <v>37.305776198492659</v>
      </c>
      <c r="G313">
        <f t="shared" si="14"/>
        <v>4.0660526708844458</v>
      </c>
    </row>
    <row r="314" spans="1:7" x14ac:dyDescent="0.3">
      <c r="A314" t="s">
        <v>467</v>
      </c>
      <c r="B314">
        <v>0.45</v>
      </c>
      <c r="C314">
        <v>0.41116033568339738</v>
      </c>
      <c r="D314">
        <v>0.4947277112689859</v>
      </c>
      <c r="E314">
        <f t="shared" si="12"/>
        <v>50.270568374266112</v>
      </c>
      <c r="F314">
        <f t="shared" si="13"/>
        <v>43.311518182928936</v>
      </c>
      <c r="G314">
        <f t="shared" si="14"/>
        <v>6.9590501913371767</v>
      </c>
    </row>
    <row r="315" spans="1:7" x14ac:dyDescent="0.3">
      <c r="A315" t="s">
        <v>467</v>
      </c>
      <c r="B315">
        <v>0.45</v>
      </c>
      <c r="C315">
        <v>1.718033450656318</v>
      </c>
      <c r="D315">
        <v>1.6005607172705569</v>
      </c>
      <c r="E315">
        <f t="shared" si="12"/>
        <v>42.972670859768613</v>
      </c>
      <c r="F315">
        <f t="shared" si="13"/>
        <v>37.26163090444922</v>
      </c>
      <c r="G315">
        <f t="shared" si="14"/>
        <v>5.7110399553193929</v>
      </c>
    </row>
    <row r="316" spans="1:7" x14ac:dyDescent="0.3">
      <c r="A316" t="s">
        <v>467</v>
      </c>
      <c r="B316">
        <v>0.45</v>
      </c>
      <c r="C316">
        <v>5.0651047223396208</v>
      </c>
      <c r="D316">
        <v>4.222488680107352</v>
      </c>
      <c r="E316">
        <f t="shared" si="12"/>
        <v>39.816037760332449</v>
      </c>
      <c r="F316">
        <f t="shared" si="13"/>
        <v>32.896691831781411</v>
      </c>
      <c r="G316">
        <f t="shared" si="14"/>
        <v>6.9193459285510386</v>
      </c>
    </row>
    <row r="317" spans="1:7" x14ac:dyDescent="0.3">
      <c r="A317" t="s">
        <v>467</v>
      </c>
      <c r="B317">
        <v>0.45</v>
      </c>
      <c r="C317">
        <v>7.6570493311840213</v>
      </c>
      <c r="D317">
        <v>6.003092022950768</v>
      </c>
      <c r="E317">
        <f t="shared" si="12"/>
        <v>38.096285490023433</v>
      </c>
      <c r="F317">
        <f t="shared" si="13"/>
        <v>31.298260963589474</v>
      </c>
      <c r="G317">
        <f t="shared" si="14"/>
        <v>6.7980245264339594</v>
      </c>
    </row>
    <row r="318" spans="1:7" x14ac:dyDescent="0.3">
      <c r="A318" t="s">
        <v>468</v>
      </c>
      <c r="B318">
        <v>0.62</v>
      </c>
      <c r="C318">
        <v>0.11664357293612</v>
      </c>
      <c r="D318">
        <v>0.1212926815762496</v>
      </c>
      <c r="E318">
        <f t="shared" si="12"/>
        <v>46.119377173958242</v>
      </c>
      <c r="F318">
        <f t="shared" si="13"/>
        <v>45.210838747634511</v>
      </c>
      <c r="G318">
        <f t="shared" si="14"/>
        <v>0.90853842632373016</v>
      </c>
    </row>
    <row r="319" spans="1:7" x14ac:dyDescent="0.3">
      <c r="A319" t="s">
        <v>468</v>
      </c>
      <c r="B319">
        <v>0.61</v>
      </c>
      <c r="C319">
        <v>0.34791583139137572</v>
      </c>
      <c r="D319">
        <v>0.35466143606683992</v>
      </c>
      <c r="E319">
        <f t="shared" si="12"/>
        <v>45.550092951438799</v>
      </c>
      <c r="F319">
        <f t="shared" si="13"/>
        <v>40.740390193147412</v>
      </c>
      <c r="G319">
        <f t="shared" si="14"/>
        <v>4.8097027582913867</v>
      </c>
    </row>
    <row r="320" spans="1:7" x14ac:dyDescent="0.3">
      <c r="A320" t="s">
        <v>468</v>
      </c>
      <c r="B320">
        <v>0.59</v>
      </c>
      <c r="C320">
        <v>0.84570278849705116</v>
      </c>
      <c r="D320">
        <v>0.73776414009934699</v>
      </c>
      <c r="E320">
        <f t="shared" si="12"/>
        <v>41.100406876465762</v>
      </c>
      <c r="F320">
        <f t="shared" si="13"/>
        <v>37.416385229722962</v>
      </c>
      <c r="G320">
        <f t="shared" si="14"/>
        <v>3.6840216467427993</v>
      </c>
    </row>
    <row r="321" spans="1:7" x14ac:dyDescent="0.3">
      <c r="A321" t="s">
        <v>468</v>
      </c>
      <c r="B321">
        <v>0.46</v>
      </c>
      <c r="C321">
        <v>1.712072183160668</v>
      </c>
      <c r="D321">
        <v>1.3949175672981671</v>
      </c>
      <c r="E321">
        <f t="shared" si="12"/>
        <v>39.171561946753101</v>
      </c>
      <c r="F321">
        <f t="shared" si="13"/>
        <v>37.079656590410274</v>
      </c>
      <c r="G321">
        <f t="shared" si="14"/>
        <v>2.0919053563428278</v>
      </c>
    </row>
    <row r="322" spans="1:7" x14ac:dyDescent="0.3">
      <c r="A322" t="s">
        <v>468</v>
      </c>
      <c r="B322">
        <v>0.56999999999999995</v>
      </c>
      <c r="C322">
        <v>2.7486496193647731</v>
      </c>
      <c r="D322">
        <v>1.9964788248913661</v>
      </c>
      <c r="E322">
        <f t="shared" ref="E322:E385" si="15">DEGREES(ATAN(D322/C322))</f>
        <v>35.992740863362279</v>
      </c>
      <c r="F322">
        <f t="shared" ref="F322:F385" si="16">DEGREES(ATAN(TAN(RADIANS(pe0-omega*B322))*(C322/sref)^(m_-1)))</f>
        <v>33.041089574530872</v>
      </c>
      <c r="G322">
        <f t="shared" ref="G322:G385" si="17">E322-F322</f>
        <v>2.9516512888314068</v>
      </c>
    </row>
    <row r="323" spans="1:7" x14ac:dyDescent="0.3">
      <c r="A323" t="s">
        <v>468</v>
      </c>
      <c r="B323">
        <v>0.51</v>
      </c>
      <c r="C323">
        <v>4.0905235750541973</v>
      </c>
      <c r="D323">
        <v>2.9088766995288919</v>
      </c>
      <c r="E323">
        <f t="shared" si="15"/>
        <v>35.417612833338964</v>
      </c>
      <c r="F323">
        <f t="shared" si="16"/>
        <v>32.614776614039968</v>
      </c>
      <c r="G323">
        <f t="shared" si="17"/>
        <v>2.802836219298996</v>
      </c>
    </row>
    <row r="324" spans="1:7" x14ac:dyDescent="0.3">
      <c r="A324" t="s">
        <v>469</v>
      </c>
      <c r="B324">
        <v>0.89</v>
      </c>
      <c r="C324">
        <v>0.1296446961488894</v>
      </c>
      <c r="D324">
        <v>0.1321559879866295</v>
      </c>
      <c r="E324">
        <f t="shared" si="15"/>
        <v>45.54958607526013</v>
      </c>
      <c r="F324">
        <f t="shared" si="16"/>
        <v>38.913406823301095</v>
      </c>
      <c r="G324">
        <f t="shared" si="17"/>
        <v>6.6361792519590352</v>
      </c>
    </row>
    <row r="325" spans="1:7" x14ac:dyDescent="0.3">
      <c r="A325" t="s">
        <v>469</v>
      </c>
      <c r="B325">
        <v>0.72</v>
      </c>
      <c r="C325">
        <v>0.28411441786403041</v>
      </c>
      <c r="D325">
        <v>0.27482344876953491</v>
      </c>
      <c r="E325">
        <f t="shared" si="15"/>
        <v>44.047686107678217</v>
      </c>
      <c r="F325">
        <f t="shared" si="16"/>
        <v>39.296312116612349</v>
      </c>
      <c r="G325">
        <f t="shared" si="17"/>
        <v>4.7513739910658686</v>
      </c>
    </row>
    <row r="326" spans="1:7" x14ac:dyDescent="0.3">
      <c r="A326" t="s">
        <v>469</v>
      </c>
      <c r="B326">
        <v>0.7</v>
      </c>
      <c r="C326">
        <v>0.80171100601267653</v>
      </c>
      <c r="D326">
        <v>0.62087561083543485</v>
      </c>
      <c r="E326">
        <f t="shared" si="15"/>
        <v>37.755567924543797</v>
      </c>
      <c r="F326">
        <f t="shared" si="16"/>
        <v>35.414319698245301</v>
      </c>
      <c r="G326">
        <f t="shared" si="17"/>
        <v>2.3412482262984966</v>
      </c>
    </row>
    <row r="327" spans="1:7" x14ac:dyDescent="0.3">
      <c r="A327" t="s">
        <v>469</v>
      </c>
      <c r="B327">
        <v>0.68</v>
      </c>
      <c r="C327">
        <v>1.3592847849405469</v>
      </c>
      <c r="D327">
        <v>0.94146273198648589</v>
      </c>
      <c r="E327">
        <f t="shared" si="15"/>
        <v>34.707102890096934</v>
      </c>
      <c r="F327">
        <f t="shared" si="16"/>
        <v>33.694428407283475</v>
      </c>
      <c r="G327">
        <f t="shared" si="17"/>
        <v>1.0126744828134591</v>
      </c>
    </row>
    <row r="328" spans="1:7" x14ac:dyDescent="0.3">
      <c r="A328" t="s">
        <v>469</v>
      </c>
      <c r="B328">
        <v>0.79</v>
      </c>
      <c r="C328">
        <v>2.3988270837740768</v>
      </c>
      <c r="D328">
        <v>1.494599451614506</v>
      </c>
      <c r="E328">
        <f t="shared" si="15"/>
        <v>31.92514607682952</v>
      </c>
      <c r="F328">
        <f t="shared" si="16"/>
        <v>29.400278422841975</v>
      </c>
      <c r="G328">
        <f t="shared" si="17"/>
        <v>2.5248676539875454</v>
      </c>
    </row>
    <row r="329" spans="1:7" x14ac:dyDescent="0.3">
      <c r="A329" t="s">
        <v>470</v>
      </c>
      <c r="B329">
        <v>0.33</v>
      </c>
      <c r="C329">
        <v>0.75130803376252897</v>
      </c>
      <c r="D329">
        <v>0.56853070503900505</v>
      </c>
      <c r="E329">
        <f t="shared" si="15"/>
        <v>37.115564686086742</v>
      </c>
      <c r="F329">
        <f t="shared" si="16"/>
        <v>43.149760039702919</v>
      </c>
      <c r="G329">
        <f t="shared" si="17"/>
        <v>-6.0341953536161768</v>
      </c>
    </row>
    <row r="330" spans="1:7" x14ac:dyDescent="0.3">
      <c r="A330" t="s">
        <v>470</v>
      </c>
      <c r="B330">
        <v>0.36</v>
      </c>
      <c r="C330">
        <v>1.5284702219026829</v>
      </c>
      <c r="D330">
        <v>1.030333479908403</v>
      </c>
      <c r="E330">
        <f t="shared" si="15"/>
        <v>33.983695894783843</v>
      </c>
      <c r="F330">
        <f t="shared" si="16"/>
        <v>39.525866409404493</v>
      </c>
      <c r="G330">
        <f t="shared" si="17"/>
        <v>-5.5421705146206506</v>
      </c>
    </row>
    <row r="331" spans="1:7" x14ac:dyDescent="0.3">
      <c r="A331" t="s">
        <v>470</v>
      </c>
      <c r="B331">
        <v>0.38</v>
      </c>
      <c r="C331">
        <v>2.6024914555694472</v>
      </c>
      <c r="D331">
        <v>1.672857474804583</v>
      </c>
      <c r="E331">
        <f t="shared" si="15"/>
        <v>32.732535156678807</v>
      </c>
      <c r="F331">
        <f t="shared" si="16"/>
        <v>36.911153271803009</v>
      </c>
      <c r="G331">
        <f t="shared" si="17"/>
        <v>-4.1786181151242019</v>
      </c>
    </row>
    <row r="332" spans="1:7" x14ac:dyDescent="0.3">
      <c r="A332" t="s">
        <v>470</v>
      </c>
      <c r="B332">
        <v>0.36</v>
      </c>
      <c r="C332">
        <v>3.8524370519168718</v>
      </c>
      <c r="D332">
        <v>2.4230556063517561</v>
      </c>
      <c r="E332">
        <f t="shared" si="15"/>
        <v>32.168536263834135</v>
      </c>
      <c r="F332">
        <f t="shared" si="16"/>
        <v>35.688202591244774</v>
      </c>
      <c r="G332">
        <f t="shared" si="17"/>
        <v>-3.5196663274106399</v>
      </c>
    </row>
    <row r="333" spans="1:7" x14ac:dyDescent="0.3">
      <c r="A333" t="s">
        <v>471</v>
      </c>
      <c r="B333">
        <v>0.63</v>
      </c>
      <c r="C333">
        <v>1.546633013013442</v>
      </c>
      <c r="D333">
        <v>1.0053440674961649</v>
      </c>
      <c r="E333">
        <f t="shared" si="15"/>
        <v>33.024716769271187</v>
      </c>
      <c r="F333">
        <f t="shared" si="16"/>
        <v>34.161698666575852</v>
      </c>
      <c r="G333">
        <f t="shared" si="17"/>
        <v>-1.1369818973046648</v>
      </c>
    </row>
    <row r="334" spans="1:7" x14ac:dyDescent="0.3">
      <c r="A334" t="s">
        <v>471</v>
      </c>
      <c r="B334">
        <v>0.67</v>
      </c>
      <c r="C334">
        <v>3.6426883224269169</v>
      </c>
      <c r="D334">
        <v>1.9060736311844899</v>
      </c>
      <c r="E334">
        <f t="shared" si="15"/>
        <v>27.621269935370034</v>
      </c>
      <c r="F334">
        <f t="shared" si="16"/>
        <v>30.088739894316983</v>
      </c>
      <c r="G334">
        <f t="shared" si="17"/>
        <v>-2.4674699589469498</v>
      </c>
    </row>
    <row r="335" spans="1:7" x14ac:dyDescent="0.3">
      <c r="A335" t="s">
        <v>472</v>
      </c>
      <c r="B335">
        <v>0.36</v>
      </c>
      <c r="C335">
        <v>0.71811284683082732</v>
      </c>
      <c r="D335">
        <v>0.51359532598768964</v>
      </c>
      <c r="E335">
        <f t="shared" si="15"/>
        <v>35.572403701616089</v>
      </c>
      <c r="F335">
        <f t="shared" si="16"/>
        <v>42.740667034284265</v>
      </c>
      <c r="G335">
        <f t="shared" si="17"/>
        <v>-7.1682633326681753</v>
      </c>
    </row>
    <row r="336" spans="1:7" x14ac:dyDescent="0.3">
      <c r="A336" t="s">
        <v>472</v>
      </c>
      <c r="B336">
        <v>0.34</v>
      </c>
      <c r="C336">
        <v>1.515095453032689</v>
      </c>
      <c r="D336">
        <v>1.0028112270826151</v>
      </c>
      <c r="E336">
        <f t="shared" si="15"/>
        <v>33.499774452468117</v>
      </c>
      <c r="F336">
        <f t="shared" si="16"/>
        <v>39.959285680491782</v>
      </c>
      <c r="G336">
        <f t="shared" si="17"/>
        <v>-6.4595112280236648</v>
      </c>
    </row>
    <row r="337" spans="1:7" x14ac:dyDescent="0.3">
      <c r="A337" t="s">
        <v>472</v>
      </c>
      <c r="B337">
        <v>0.36</v>
      </c>
      <c r="C337">
        <v>2.520603361919231</v>
      </c>
      <c r="D337">
        <v>1.6047374318922349</v>
      </c>
      <c r="E337">
        <f t="shared" si="15"/>
        <v>32.482793006692205</v>
      </c>
      <c r="F337">
        <f t="shared" si="16"/>
        <v>37.432246240788032</v>
      </c>
      <c r="G337">
        <f t="shared" si="17"/>
        <v>-4.9494532340958273</v>
      </c>
    </row>
    <row r="338" spans="1:7" x14ac:dyDescent="0.3">
      <c r="A338" t="s">
        <v>472</v>
      </c>
      <c r="B338">
        <v>0.34</v>
      </c>
      <c r="C338">
        <v>3.7904724976725279</v>
      </c>
      <c r="D338">
        <v>2.4132676126038799</v>
      </c>
      <c r="E338">
        <f t="shared" si="15"/>
        <v>32.483549824659981</v>
      </c>
      <c r="F338">
        <f t="shared" si="16"/>
        <v>36.137351168994869</v>
      </c>
      <c r="G338">
        <f t="shared" si="17"/>
        <v>-3.6538013443348873</v>
      </c>
    </row>
    <row r="339" spans="1:7" x14ac:dyDescent="0.3">
      <c r="A339" t="s">
        <v>473</v>
      </c>
      <c r="B339">
        <v>0.61</v>
      </c>
      <c r="C339">
        <v>1.437380057872357</v>
      </c>
      <c r="D339">
        <v>0.8162366978681288</v>
      </c>
      <c r="E339">
        <f t="shared" si="15"/>
        <v>29.590692507703636</v>
      </c>
      <c r="F339">
        <f t="shared" si="16"/>
        <v>34.847958108367244</v>
      </c>
      <c r="G339">
        <f t="shared" si="17"/>
        <v>-5.257265600663608</v>
      </c>
    </row>
    <row r="340" spans="1:7" x14ac:dyDescent="0.3">
      <c r="A340" t="s">
        <v>473</v>
      </c>
      <c r="B340">
        <v>0.59</v>
      </c>
      <c r="C340">
        <v>2.5313054587134221</v>
      </c>
      <c r="D340">
        <v>1.479525480554182</v>
      </c>
      <c r="E340">
        <f t="shared" si="15"/>
        <v>30.305905272232621</v>
      </c>
      <c r="F340">
        <f t="shared" si="16"/>
        <v>32.983808827585975</v>
      </c>
      <c r="G340">
        <f t="shared" si="17"/>
        <v>-2.6779035553533532</v>
      </c>
    </row>
    <row r="341" spans="1:7" x14ac:dyDescent="0.3">
      <c r="A341" t="s">
        <v>473</v>
      </c>
      <c r="B341">
        <v>0.67</v>
      </c>
      <c r="C341">
        <v>3.6866013996586489</v>
      </c>
      <c r="D341">
        <v>2.0281413320648061</v>
      </c>
      <c r="E341">
        <f t="shared" si="15"/>
        <v>28.816885492261992</v>
      </c>
      <c r="F341">
        <f t="shared" si="16"/>
        <v>30.04408579319832</v>
      </c>
      <c r="G341">
        <f t="shared" si="17"/>
        <v>-1.2272003009363281</v>
      </c>
    </row>
    <row r="342" spans="1:7" x14ac:dyDescent="0.3">
      <c r="A342" t="s">
        <v>474</v>
      </c>
      <c r="B342">
        <v>0.63</v>
      </c>
      <c r="C342">
        <v>0.16567139025953939</v>
      </c>
      <c r="D342">
        <v>0.1734472915397039</v>
      </c>
      <c r="E342">
        <f t="shared" si="15"/>
        <v>46.313546825733845</v>
      </c>
      <c r="F342">
        <f t="shared" si="16"/>
        <v>43.493362019645218</v>
      </c>
      <c r="G342">
        <f t="shared" si="17"/>
        <v>2.8201848060886263</v>
      </c>
    </row>
    <row r="343" spans="1:7" x14ac:dyDescent="0.3">
      <c r="A343" t="s">
        <v>474</v>
      </c>
      <c r="B343">
        <v>0.6</v>
      </c>
      <c r="C343">
        <v>0.3477293815577428</v>
      </c>
      <c r="D343">
        <v>0.34283327005475561</v>
      </c>
      <c r="E343">
        <f t="shared" si="15"/>
        <v>44.593777879416557</v>
      </c>
      <c r="F343">
        <f t="shared" si="16"/>
        <v>40.949900763379624</v>
      </c>
      <c r="G343">
        <f t="shared" si="17"/>
        <v>3.6438771160369328</v>
      </c>
    </row>
    <row r="344" spans="1:7" x14ac:dyDescent="0.3">
      <c r="A344" t="s">
        <v>474</v>
      </c>
      <c r="B344">
        <v>0.53</v>
      </c>
      <c r="C344">
        <v>0.81852603034978633</v>
      </c>
      <c r="D344">
        <v>0.66474377809718177</v>
      </c>
      <c r="E344">
        <f t="shared" si="15"/>
        <v>39.080843784170568</v>
      </c>
      <c r="F344">
        <f t="shared" si="16"/>
        <v>38.761633205073373</v>
      </c>
      <c r="G344">
        <f t="shared" si="17"/>
        <v>0.31921057909719508</v>
      </c>
    </row>
    <row r="345" spans="1:7" x14ac:dyDescent="0.3">
      <c r="A345" t="s">
        <v>474</v>
      </c>
      <c r="B345">
        <v>0.56000000000000005</v>
      </c>
      <c r="C345">
        <v>1.649136680423321</v>
      </c>
      <c r="D345">
        <v>1.2434964457422291</v>
      </c>
      <c r="E345">
        <f t="shared" si="15"/>
        <v>37.017343095517504</v>
      </c>
      <c r="F345">
        <f t="shared" si="16"/>
        <v>35.273235841194392</v>
      </c>
      <c r="G345">
        <f t="shared" si="17"/>
        <v>1.7441072543231115</v>
      </c>
    </row>
    <row r="346" spans="1:7" x14ac:dyDescent="0.3">
      <c r="A346" t="s">
        <v>474</v>
      </c>
      <c r="B346">
        <v>0.51</v>
      </c>
      <c r="C346">
        <v>2.7524674048492641</v>
      </c>
      <c r="D346">
        <v>1.957515014412029</v>
      </c>
      <c r="E346">
        <f t="shared" si="15"/>
        <v>35.419887383358038</v>
      </c>
      <c r="F346">
        <f t="shared" si="16"/>
        <v>34.179210893154369</v>
      </c>
      <c r="G346">
        <f t="shared" si="17"/>
        <v>1.2406764902036684</v>
      </c>
    </row>
    <row r="347" spans="1:7" x14ac:dyDescent="0.3">
      <c r="A347" t="s">
        <v>474</v>
      </c>
      <c r="B347">
        <v>0.49</v>
      </c>
      <c r="C347">
        <v>4.0184474743173562</v>
      </c>
      <c r="D347">
        <v>2.7385423097375581</v>
      </c>
      <c r="E347">
        <f t="shared" si="15"/>
        <v>34.274141447809534</v>
      </c>
      <c r="F347">
        <f t="shared" si="16"/>
        <v>33.058544768819132</v>
      </c>
      <c r="G347">
        <f t="shared" si="17"/>
        <v>1.2155966789904014</v>
      </c>
    </row>
    <row r="348" spans="1:7" x14ac:dyDescent="0.3">
      <c r="A348" t="s">
        <v>475</v>
      </c>
      <c r="B348">
        <v>0.28999999999999998</v>
      </c>
      <c r="C348">
        <v>0.35979388172943327</v>
      </c>
      <c r="D348">
        <v>0.40754167376548051</v>
      </c>
      <c r="E348">
        <f t="shared" si="15"/>
        <v>48.560664149340042</v>
      </c>
      <c r="F348">
        <f t="shared" si="16"/>
        <v>47.11417149852695</v>
      </c>
      <c r="G348">
        <f t="shared" si="17"/>
        <v>1.4464926508130915</v>
      </c>
    </row>
    <row r="349" spans="1:7" x14ac:dyDescent="0.3">
      <c r="A349" t="s">
        <v>475</v>
      </c>
      <c r="B349">
        <v>0.28000000000000003</v>
      </c>
      <c r="C349">
        <v>0.97129127904355106</v>
      </c>
      <c r="D349">
        <v>0.90374834812829907</v>
      </c>
      <c r="E349">
        <f t="shared" si="15"/>
        <v>42.936975699463616</v>
      </c>
      <c r="F349">
        <f t="shared" si="16"/>
        <v>43.050694931233764</v>
      </c>
      <c r="G349">
        <f t="shared" si="17"/>
        <v>-0.11371923177014764</v>
      </c>
    </row>
    <row r="350" spans="1:7" x14ac:dyDescent="0.3">
      <c r="A350" t="s">
        <v>475</v>
      </c>
      <c r="B350">
        <v>0.28999999999999998</v>
      </c>
      <c r="C350">
        <v>1.8228556177273421</v>
      </c>
      <c r="D350">
        <v>1.624175210522204</v>
      </c>
      <c r="E350">
        <f t="shared" si="15"/>
        <v>41.701228253463988</v>
      </c>
      <c r="F350">
        <f t="shared" si="16"/>
        <v>40.166459357645245</v>
      </c>
      <c r="G350">
        <f t="shared" si="17"/>
        <v>1.5347688958187433</v>
      </c>
    </row>
    <row r="351" spans="1:7" x14ac:dyDescent="0.3">
      <c r="A351" t="s">
        <v>475</v>
      </c>
      <c r="B351">
        <v>0.31</v>
      </c>
      <c r="C351">
        <v>2.824083922738184</v>
      </c>
      <c r="D351">
        <v>2.3054521244459352</v>
      </c>
      <c r="E351">
        <f t="shared" si="15"/>
        <v>39.226617569001206</v>
      </c>
      <c r="F351">
        <f t="shared" si="16"/>
        <v>37.933348668451075</v>
      </c>
      <c r="G351">
        <f t="shared" si="17"/>
        <v>1.2932689005501317</v>
      </c>
    </row>
    <row r="352" spans="1:7" x14ac:dyDescent="0.3">
      <c r="A352" t="s">
        <v>475</v>
      </c>
      <c r="B352">
        <v>0.28999999999999998</v>
      </c>
      <c r="C352">
        <v>4.198244164091486</v>
      </c>
      <c r="D352">
        <v>3.3714472703091212</v>
      </c>
      <c r="E352">
        <f t="shared" si="15"/>
        <v>38.766598404212687</v>
      </c>
      <c r="F352">
        <f t="shared" si="16"/>
        <v>36.677961002975131</v>
      </c>
      <c r="G352">
        <f t="shared" si="17"/>
        <v>2.0886374012375555</v>
      </c>
    </row>
    <row r="353" spans="1:7" x14ac:dyDescent="0.3">
      <c r="A353" t="s">
        <v>476</v>
      </c>
      <c r="B353">
        <v>0.43</v>
      </c>
      <c r="C353">
        <v>0.36176216955257651</v>
      </c>
      <c r="D353">
        <v>0.40287679391488579</v>
      </c>
      <c r="E353">
        <f t="shared" si="15"/>
        <v>48.077829178026001</v>
      </c>
      <c r="F353">
        <f t="shared" si="16"/>
        <v>44.267669486196738</v>
      </c>
      <c r="G353">
        <f t="shared" si="17"/>
        <v>3.8101596918292628</v>
      </c>
    </row>
    <row r="354" spans="1:7" x14ac:dyDescent="0.3">
      <c r="A354" t="s">
        <v>476</v>
      </c>
      <c r="B354">
        <v>0.34</v>
      </c>
      <c r="C354">
        <v>0.92650831328745165</v>
      </c>
      <c r="D354">
        <v>0.9349886468518166</v>
      </c>
      <c r="E354">
        <f t="shared" si="15"/>
        <v>45.261017864215553</v>
      </c>
      <c r="F354">
        <f t="shared" si="16"/>
        <v>42.051691753507313</v>
      </c>
      <c r="G354">
        <f t="shared" si="17"/>
        <v>3.2093261107082398</v>
      </c>
    </row>
    <row r="355" spans="1:7" x14ac:dyDescent="0.3">
      <c r="A355" t="s">
        <v>476</v>
      </c>
      <c r="B355">
        <v>0.45</v>
      </c>
      <c r="C355">
        <v>1.648222529071147</v>
      </c>
      <c r="D355">
        <v>1.3134694024312059</v>
      </c>
      <c r="E355">
        <f t="shared" si="15"/>
        <v>38.551359838283297</v>
      </c>
      <c r="F355">
        <f t="shared" si="16"/>
        <v>37.433568075295163</v>
      </c>
      <c r="G355">
        <f t="shared" si="17"/>
        <v>1.1177917629881335</v>
      </c>
    </row>
    <row r="356" spans="1:7" x14ac:dyDescent="0.3">
      <c r="A356" t="s">
        <v>476</v>
      </c>
      <c r="B356">
        <v>0.37</v>
      </c>
      <c r="C356">
        <v>2.9119482985780198</v>
      </c>
      <c r="D356">
        <v>2.357161699289323</v>
      </c>
      <c r="E356">
        <f t="shared" si="15"/>
        <v>38.989451370315066</v>
      </c>
      <c r="F356">
        <f t="shared" si="16"/>
        <v>36.641837746587363</v>
      </c>
      <c r="G356">
        <f t="shared" si="17"/>
        <v>2.3476136237277032</v>
      </c>
    </row>
    <row r="357" spans="1:7" x14ac:dyDescent="0.3">
      <c r="A357" t="s">
        <v>476</v>
      </c>
      <c r="B357">
        <v>0.39</v>
      </c>
      <c r="C357">
        <v>4.1504857071829484</v>
      </c>
      <c r="D357">
        <v>3.1077214931001569</v>
      </c>
      <c r="E357">
        <f t="shared" si="15"/>
        <v>36.82443439029953</v>
      </c>
      <c r="F357">
        <f t="shared" si="16"/>
        <v>34.815133678098917</v>
      </c>
      <c r="G357">
        <f t="shared" si="17"/>
        <v>2.0093007122006128</v>
      </c>
    </row>
    <row r="358" spans="1:7" x14ac:dyDescent="0.3">
      <c r="A358" t="s">
        <v>477</v>
      </c>
      <c r="B358">
        <v>0.39</v>
      </c>
      <c r="C358">
        <v>0.85948766166081692</v>
      </c>
      <c r="D358">
        <v>0.84939203440627986</v>
      </c>
      <c r="E358">
        <f t="shared" si="15"/>
        <v>44.661515023401748</v>
      </c>
      <c r="F358">
        <f t="shared" si="16"/>
        <v>41.369833586613758</v>
      </c>
      <c r="G358">
        <f t="shared" si="17"/>
        <v>3.2916814367879894</v>
      </c>
    </row>
    <row r="359" spans="1:7" x14ac:dyDescent="0.3">
      <c r="A359" t="s">
        <v>477</v>
      </c>
      <c r="B359">
        <v>0.33</v>
      </c>
      <c r="C359">
        <v>1.6571717926673739</v>
      </c>
      <c r="D359">
        <v>1.418356084041239</v>
      </c>
      <c r="E359">
        <f t="shared" si="15"/>
        <v>40.559874383284587</v>
      </c>
      <c r="F359">
        <f t="shared" si="16"/>
        <v>39.778332343252544</v>
      </c>
      <c r="G359">
        <f t="shared" si="17"/>
        <v>0.78154204003204342</v>
      </c>
    </row>
    <row r="360" spans="1:7" x14ac:dyDescent="0.3">
      <c r="A360" t="s">
        <v>477</v>
      </c>
      <c r="B360">
        <v>0.38</v>
      </c>
      <c r="C360">
        <v>4.1546669870113906</v>
      </c>
      <c r="D360">
        <v>3.228960556121979</v>
      </c>
      <c r="E360">
        <f t="shared" si="15"/>
        <v>37.853950524393682</v>
      </c>
      <c r="F360">
        <f t="shared" si="16"/>
        <v>35.000854959467745</v>
      </c>
      <c r="G360">
        <f t="shared" si="17"/>
        <v>2.8530955649259369</v>
      </c>
    </row>
    <row r="361" spans="1:7" x14ac:dyDescent="0.3">
      <c r="A361" t="s">
        <v>478</v>
      </c>
      <c r="B361">
        <v>0.39</v>
      </c>
      <c r="C361">
        <v>0.87519422385427137</v>
      </c>
      <c r="D361">
        <v>0.90090180764202732</v>
      </c>
      <c r="E361">
        <f t="shared" si="15"/>
        <v>45.829253136072062</v>
      </c>
      <c r="F361">
        <f t="shared" si="16"/>
        <v>41.292651617434913</v>
      </c>
      <c r="G361">
        <f t="shared" si="17"/>
        <v>4.5366015186371484</v>
      </c>
    </row>
    <row r="362" spans="1:7" x14ac:dyDescent="0.3">
      <c r="A362" t="s">
        <v>478</v>
      </c>
      <c r="B362">
        <v>0.33</v>
      </c>
      <c r="C362">
        <v>1.7301415344181541</v>
      </c>
      <c r="D362">
        <v>1.559530874594786</v>
      </c>
      <c r="E362">
        <f t="shared" si="15"/>
        <v>42.031157086665509</v>
      </c>
      <c r="F362">
        <f t="shared" si="16"/>
        <v>39.596338489662166</v>
      </c>
      <c r="G362">
        <f t="shared" si="17"/>
        <v>2.4348185970033427</v>
      </c>
    </row>
    <row r="363" spans="1:7" x14ac:dyDescent="0.3">
      <c r="A363" t="s">
        <v>478</v>
      </c>
      <c r="B363">
        <v>0.35</v>
      </c>
      <c r="C363">
        <v>4.2058446798017952</v>
      </c>
      <c r="D363">
        <v>3.2804468826758661</v>
      </c>
      <c r="E363">
        <f t="shared" si="15"/>
        <v>37.953282515203014</v>
      </c>
      <c r="F363">
        <f t="shared" si="16"/>
        <v>35.522014212136206</v>
      </c>
      <c r="G363">
        <f t="shared" si="17"/>
        <v>2.4312683030668083</v>
      </c>
    </row>
    <row r="364" spans="1:7" x14ac:dyDescent="0.3">
      <c r="A364" t="s">
        <v>479</v>
      </c>
      <c r="B364">
        <v>0.55000000000000004</v>
      </c>
      <c r="C364">
        <v>0.28948140263602029</v>
      </c>
      <c r="D364">
        <v>0.29227306403253811</v>
      </c>
      <c r="E364">
        <f t="shared" si="15"/>
        <v>45.274942776172239</v>
      </c>
      <c r="F364">
        <f t="shared" si="16"/>
        <v>42.767092451449869</v>
      </c>
      <c r="G364">
        <f t="shared" si="17"/>
        <v>2.5078503247223694</v>
      </c>
    </row>
    <row r="365" spans="1:7" x14ac:dyDescent="0.3">
      <c r="A365" t="s">
        <v>479</v>
      </c>
      <c r="B365">
        <v>0.55000000000000004</v>
      </c>
      <c r="C365">
        <v>0.79143642116829038</v>
      </c>
      <c r="D365">
        <v>0.67646558255932732</v>
      </c>
      <c r="E365">
        <f t="shared" si="15"/>
        <v>40.521551792514856</v>
      </c>
      <c r="F365">
        <f t="shared" si="16"/>
        <v>38.499413845957839</v>
      </c>
      <c r="G365">
        <f t="shared" si="17"/>
        <v>2.0221379465570166</v>
      </c>
    </row>
    <row r="366" spans="1:7" x14ac:dyDescent="0.3">
      <c r="A366" t="s">
        <v>479</v>
      </c>
      <c r="B366">
        <v>0.55000000000000004</v>
      </c>
      <c r="C366">
        <v>1.5378829090389621</v>
      </c>
      <c r="D366">
        <v>1.077576449782383</v>
      </c>
      <c r="E366">
        <f t="shared" si="15"/>
        <v>35.018476432229619</v>
      </c>
      <c r="F366">
        <f t="shared" si="16"/>
        <v>35.753104973739269</v>
      </c>
      <c r="G366">
        <f t="shared" si="17"/>
        <v>-0.73462854150965029</v>
      </c>
    </row>
    <row r="367" spans="1:7" x14ac:dyDescent="0.3">
      <c r="A367" t="s">
        <v>479</v>
      </c>
      <c r="B367">
        <v>0.42</v>
      </c>
      <c r="C367">
        <v>3.9868960221358152</v>
      </c>
      <c r="D367">
        <v>2.7030721547382131</v>
      </c>
      <c r="E367">
        <f t="shared" si="15"/>
        <v>34.136843902445783</v>
      </c>
      <c r="F367">
        <f t="shared" si="16"/>
        <v>34.408302015035979</v>
      </c>
      <c r="G367">
        <f t="shared" si="17"/>
        <v>-0.27145811259019581</v>
      </c>
    </row>
    <row r="368" spans="1:7" x14ac:dyDescent="0.3">
      <c r="A368" t="s">
        <v>480</v>
      </c>
      <c r="B368">
        <v>0.75</v>
      </c>
      <c r="C368">
        <v>0.1772124502506861</v>
      </c>
      <c r="D368">
        <v>0.18558114793789371</v>
      </c>
      <c r="E368">
        <f t="shared" si="15"/>
        <v>46.321429156033517</v>
      </c>
      <c r="F368">
        <f t="shared" si="16"/>
        <v>40.654147962695561</v>
      </c>
      <c r="G368">
        <f t="shared" si="17"/>
        <v>5.6672811933379563</v>
      </c>
    </row>
    <row r="369" spans="1:7" x14ac:dyDescent="0.3">
      <c r="A369" t="s">
        <v>480</v>
      </c>
      <c r="B369">
        <v>0.75</v>
      </c>
      <c r="C369">
        <v>0.28941047588388968</v>
      </c>
      <c r="D369">
        <v>0.25930344232333308</v>
      </c>
      <c r="E369">
        <f t="shared" si="15"/>
        <v>41.859423545037018</v>
      </c>
      <c r="F369">
        <f t="shared" si="16"/>
        <v>38.583948727989664</v>
      </c>
      <c r="G369">
        <f t="shared" si="17"/>
        <v>3.2754748170473533</v>
      </c>
    </row>
    <row r="370" spans="1:7" x14ac:dyDescent="0.3">
      <c r="A370" t="s">
        <v>480</v>
      </c>
      <c r="B370">
        <v>0.78</v>
      </c>
      <c r="C370">
        <v>0.75935102905249763</v>
      </c>
      <c r="D370">
        <v>0.56098994988387951</v>
      </c>
      <c r="E370">
        <f t="shared" si="15"/>
        <v>36.456081380690094</v>
      </c>
      <c r="F370">
        <f t="shared" si="16"/>
        <v>34.009384501794301</v>
      </c>
      <c r="G370">
        <f t="shared" si="17"/>
        <v>2.4466968788957928</v>
      </c>
    </row>
    <row r="371" spans="1:7" x14ac:dyDescent="0.3">
      <c r="A371" t="s">
        <v>480</v>
      </c>
      <c r="B371">
        <v>0.77</v>
      </c>
      <c r="C371">
        <v>1.4522910367778239</v>
      </c>
      <c r="D371">
        <v>0.89791907656615699</v>
      </c>
      <c r="E371">
        <f t="shared" si="15"/>
        <v>31.727575047971374</v>
      </c>
      <c r="F371">
        <f t="shared" si="16"/>
        <v>31.67072177512992</v>
      </c>
      <c r="G371">
        <f t="shared" si="17"/>
        <v>5.6853272841454583E-2</v>
      </c>
    </row>
    <row r="372" spans="1:7" x14ac:dyDescent="0.3">
      <c r="A372" t="s">
        <v>480</v>
      </c>
      <c r="B372">
        <v>0.75</v>
      </c>
      <c r="C372">
        <v>2.681762336892489</v>
      </c>
      <c r="D372">
        <v>1.769858244145893</v>
      </c>
      <c r="E372">
        <f t="shared" si="15"/>
        <v>33.423250032168809</v>
      </c>
      <c r="F372">
        <f t="shared" si="16"/>
        <v>29.739938203176457</v>
      </c>
      <c r="G372">
        <f t="shared" si="17"/>
        <v>3.6833118289923519</v>
      </c>
    </row>
    <row r="373" spans="1:7" x14ac:dyDescent="0.3">
      <c r="A373" t="s">
        <v>481</v>
      </c>
      <c r="B373">
        <v>0.64</v>
      </c>
      <c r="C373">
        <v>0.31259437034939602</v>
      </c>
      <c r="D373">
        <v>0.30959427483342439</v>
      </c>
      <c r="E373">
        <f t="shared" si="15"/>
        <v>44.723730928919885</v>
      </c>
      <c r="F373">
        <f t="shared" si="16"/>
        <v>40.57128202215462</v>
      </c>
      <c r="G373">
        <f t="shared" si="17"/>
        <v>4.1524489067652652</v>
      </c>
    </row>
    <row r="374" spans="1:7" x14ac:dyDescent="0.3">
      <c r="A374" t="s">
        <v>481</v>
      </c>
      <c r="B374">
        <v>0.68</v>
      </c>
      <c r="C374">
        <v>0.79450355494008296</v>
      </c>
      <c r="D374">
        <v>0.64217124688753868</v>
      </c>
      <c r="E374">
        <f t="shared" si="15"/>
        <v>38.94747599483474</v>
      </c>
      <c r="F374">
        <f t="shared" si="16"/>
        <v>35.85592102158337</v>
      </c>
      <c r="G374">
        <f t="shared" si="17"/>
        <v>3.0915549732513696</v>
      </c>
    </row>
    <row r="375" spans="1:7" x14ac:dyDescent="0.3">
      <c r="A375" t="s">
        <v>481</v>
      </c>
      <c r="B375">
        <v>0.63</v>
      </c>
      <c r="C375">
        <v>1.3729479512175049</v>
      </c>
      <c r="D375">
        <v>1.0489374492362289</v>
      </c>
      <c r="E375">
        <f t="shared" si="15"/>
        <v>37.379964953809335</v>
      </c>
      <c r="F375">
        <f t="shared" si="16"/>
        <v>34.638932300084811</v>
      </c>
      <c r="G375">
        <f t="shared" si="17"/>
        <v>2.741032653724524</v>
      </c>
    </row>
    <row r="376" spans="1:7" x14ac:dyDescent="0.3">
      <c r="A376" t="s">
        <v>481</v>
      </c>
      <c r="B376">
        <v>0.57999999999999996</v>
      </c>
      <c r="C376">
        <v>2.450592264400703</v>
      </c>
      <c r="D376">
        <v>1.67754067596474</v>
      </c>
      <c r="E376">
        <f t="shared" si="15"/>
        <v>34.393395766715322</v>
      </c>
      <c r="F376">
        <f t="shared" si="16"/>
        <v>33.302238336795632</v>
      </c>
      <c r="G376">
        <f t="shared" si="17"/>
        <v>1.09115742991969</v>
      </c>
    </row>
    <row r="377" spans="1:7" x14ac:dyDescent="0.3">
      <c r="A377" t="s">
        <v>481</v>
      </c>
      <c r="B377">
        <v>0.59</v>
      </c>
      <c r="C377">
        <v>3.6732487068280428</v>
      </c>
      <c r="D377">
        <v>2.3647142847108311</v>
      </c>
      <c r="E377">
        <f t="shared" si="15"/>
        <v>32.772075678736087</v>
      </c>
      <c r="F377">
        <f t="shared" si="16"/>
        <v>31.539596442107836</v>
      </c>
      <c r="G377">
        <f t="shared" si="17"/>
        <v>1.2324792366282509</v>
      </c>
    </row>
    <row r="378" spans="1:7" x14ac:dyDescent="0.3">
      <c r="A378" t="s">
        <v>482</v>
      </c>
      <c r="B378">
        <v>0.34451776649746207</v>
      </c>
      <c r="C378">
        <v>0.61497551400329853</v>
      </c>
      <c r="D378">
        <v>0.57790055707847288</v>
      </c>
      <c r="E378">
        <f t="shared" si="15"/>
        <v>43.219802534026627</v>
      </c>
      <c r="F378">
        <f t="shared" si="16"/>
        <v>43.717076592106878</v>
      </c>
      <c r="G378">
        <f t="shared" si="17"/>
        <v>-0.49727405808025082</v>
      </c>
    </row>
    <row r="379" spans="1:7" x14ac:dyDescent="0.3">
      <c r="A379" t="s">
        <v>482</v>
      </c>
      <c r="B379">
        <v>0.33100502512562818</v>
      </c>
      <c r="C379">
        <v>1.2433493171074399</v>
      </c>
      <c r="D379">
        <v>1.116586709971243</v>
      </c>
      <c r="E379">
        <f t="shared" si="15"/>
        <v>41.925344905739223</v>
      </c>
      <c r="F379">
        <f t="shared" si="16"/>
        <v>40.976841140431205</v>
      </c>
      <c r="G379">
        <f t="shared" si="17"/>
        <v>0.94850376530801839</v>
      </c>
    </row>
    <row r="380" spans="1:7" x14ac:dyDescent="0.3">
      <c r="A380" t="s">
        <v>482</v>
      </c>
      <c r="B380">
        <v>0.35830769230769238</v>
      </c>
      <c r="C380">
        <v>2.3443664639699842</v>
      </c>
      <c r="D380">
        <v>1.874173677351552</v>
      </c>
      <c r="E380">
        <f t="shared" si="15"/>
        <v>38.640139362673786</v>
      </c>
      <c r="F380">
        <f t="shared" si="16"/>
        <v>37.766381506852504</v>
      </c>
      <c r="G380">
        <f t="shared" si="17"/>
        <v>0.87375785582128174</v>
      </c>
    </row>
    <row r="381" spans="1:7" x14ac:dyDescent="0.3">
      <c r="A381" t="s">
        <v>483</v>
      </c>
      <c r="B381">
        <v>0.37953124999999999</v>
      </c>
      <c r="C381">
        <v>0.62206026733878794</v>
      </c>
      <c r="D381">
        <v>0.58797128211366156</v>
      </c>
      <c r="E381">
        <f t="shared" si="15"/>
        <v>43.386291238349969</v>
      </c>
      <c r="F381">
        <f t="shared" si="16"/>
        <v>42.962749025614009</v>
      </c>
      <c r="G381">
        <f t="shared" si="17"/>
        <v>0.42354221273595982</v>
      </c>
    </row>
    <row r="382" spans="1:7" x14ac:dyDescent="0.3">
      <c r="A382" t="s">
        <v>483</v>
      </c>
      <c r="B382">
        <v>0.39405263157894738</v>
      </c>
      <c r="C382">
        <v>1.199529131432973</v>
      </c>
      <c r="D382">
        <v>1.0285808405428949</v>
      </c>
      <c r="E382">
        <f t="shared" si="15"/>
        <v>40.612665142154967</v>
      </c>
      <c r="F382">
        <f t="shared" si="16"/>
        <v>39.873203951339676</v>
      </c>
      <c r="G382">
        <f t="shared" si="17"/>
        <v>0.73946119081529105</v>
      </c>
    </row>
    <row r="383" spans="1:7" x14ac:dyDescent="0.3">
      <c r="A383" t="s">
        <v>483</v>
      </c>
      <c r="B383">
        <v>0.38675392670157072</v>
      </c>
      <c r="C383">
        <v>2.35541074409007</v>
      </c>
      <c r="D383">
        <v>1.88236122620778</v>
      </c>
      <c r="E383">
        <f t="shared" si="15"/>
        <v>38.630615510092014</v>
      </c>
      <c r="F383">
        <f t="shared" si="16"/>
        <v>37.192100698763106</v>
      </c>
      <c r="G383">
        <f t="shared" si="17"/>
        <v>1.4385148113289077</v>
      </c>
    </row>
    <row r="384" spans="1:7" x14ac:dyDescent="0.3">
      <c r="A384" t="s">
        <v>484</v>
      </c>
      <c r="B384">
        <v>0.31776119402985081</v>
      </c>
      <c r="C384">
        <v>0.65148092294691096</v>
      </c>
      <c r="D384">
        <v>0.6750541327856463</v>
      </c>
      <c r="E384">
        <f t="shared" si="15"/>
        <v>46.018068297905138</v>
      </c>
      <c r="F384">
        <f t="shared" si="16"/>
        <v>44.007441859549346</v>
      </c>
      <c r="G384">
        <f t="shared" si="17"/>
        <v>2.0106264383557928</v>
      </c>
    </row>
    <row r="385" spans="1:7" x14ac:dyDescent="0.3">
      <c r="A385" t="s">
        <v>484</v>
      </c>
      <c r="B385">
        <v>0.31776119402985081</v>
      </c>
      <c r="C385">
        <v>1.275851253810476</v>
      </c>
      <c r="D385">
        <v>1.209427287468873</v>
      </c>
      <c r="E385">
        <f t="shared" si="15"/>
        <v>43.469021861506626</v>
      </c>
      <c r="F385">
        <f t="shared" si="16"/>
        <v>41.130833822456587</v>
      </c>
      <c r="G385">
        <f t="shared" si="17"/>
        <v>2.3381880390500385</v>
      </c>
    </row>
    <row r="386" spans="1:7" x14ac:dyDescent="0.3">
      <c r="A386" t="s">
        <v>484</v>
      </c>
      <c r="B386">
        <v>0.3112376237623764</v>
      </c>
      <c r="C386">
        <v>2.4306937677788198</v>
      </c>
      <c r="D386">
        <v>2.0211851487696202</v>
      </c>
      <c r="E386">
        <f t="shared" ref="E386:E449" si="18">DEGREES(ATAN(D386/C386))</f>
        <v>39.744404907554895</v>
      </c>
      <c r="F386">
        <f t="shared" ref="F386:F449" si="19">DEGREES(ATAN(TAN(RADIANS(pe0-omega*B386))*(C386/sref)^(m_-1)))</f>
        <v>38.535877632363821</v>
      </c>
      <c r="G386">
        <f t="shared" ref="G386:G449" si="20">E386-F386</f>
        <v>1.2085272751910736</v>
      </c>
    </row>
    <row r="387" spans="1:7" x14ac:dyDescent="0.3">
      <c r="A387" t="s">
        <v>485</v>
      </c>
      <c r="B387">
        <v>0.35137755102040819</v>
      </c>
      <c r="C387">
        <v>0.63214271423144264</v>
      </c>
      <c r="D387">
        <v>0.60977211831815348</v>
      </c>
      <c r="E387">
        <f t="shared" si="18"/>
        <v>43.968043462730805</v>
      </c>
      <c r="F387">
        <f t="shared" si="19"/>
        <v>43.460856042204902</v>
      </c>
      <c r="G387">
        <f t="shared" si="20"/>
        <v>0.50718742052590216</v>
      </c>
    </row>
    <row r="388" spans="1:7" x14ac:dyDescent="0.3">
      <c r="A388" t="s">
        <v>485</v>
      </c>
      <c r="B388">
        <v>0.34451776649746207</v>
      </c>
      <c r="C388">
        <v>1.2096025208721159</v>
      </c>
      <c r="D388">
        <v>1.045151686565863</v>
      </c>
      <c r="E388">
        <f t="shared" si="18"/>
        <v>40.828510111644043</v>
      </c>
      <c r="F388">
        <f t="shared" si="19"/>
        <v>40.824616566558902</v>
      </c>
      <c r="G388">
        <f t="shared" si="20"/>
        <v>3.8935450851411701E-3</v>
      </c>
    </row>
    <row r="389" spans="1:7" x14ac:dyDescent="0.3">
      <c r="A389" t="s">
        <v>486</v>
      </c>
      <c r="B389">
        <v>0.35830769230769238</v>
      </c>
      <c r="C389">
        <v>0.64518475873338332</v>
      </c>
      <c r="D389">
        <v>0.6505234311902065</v>
      </c>
      <c r="E389">
        <f t="shared" si="18"/>
        <v>45.236072961038637</v>
      </c>
      <c r="F389">
        <f t="shared" si="19"/>
        <v>43.233759073249033</v>
      </c>
      <c r="G389">
        <f t="shared" si="20"/>
        <v>2.0023138877896045</v>
      </c>
    </row>
    <row r="390" spans="1:7" x14ac:dyDescent="0.3">
      <c r="A390" t="s">
        <v>486</v>
      </c>
      <c r="B390">
        <v>0.35830769230769238</v>
      </c>
      <c r="C390">
        <v>1.273611201382193</v>
      </c>
      <c r="D390">
        <v>1.194245205572608</v>
      </c>
      <c r="E390">
        <f t="shared" si="18"/>
        <v>43.158008768807434</v>
      </c>
      <c r="F390">
        <f t="shared" si="19"/>
        <v>40.331040027417075</v>
      </c>
      <c r="G390">
        <f t="shared" si="20"/>
        <v>2.8269687413903597</v>
      </c>
    </row>
    <row r="391" spans="1:7" x14ac:dyDescent="0.3">
      <c r="A391" t="s">
        <v>486</v>
      </c>
      <c r="B391">
        <v>0.34451776649746207</v>
      </c>
      <c r="C391">
        <v>2.439832919013861</v>
      </c>
      <c r="D391">
        <v>2.0040390844147371</v>
      </c>
      <c r="E391">
        <f t="shared" si="18"/>
        <v>39.399126822590276</v>
      </c>
      <c r="F391">
        <f t="shared" si="19"/>
        <v>37.869475463262361</v>
      </c>
      <c r="G391">
        <f t="shared" si="20"/>
        <v>1.5296513593279144</v>
      </c>
    </row>
    <row r="392" spans="1:7" x14ac:dyDescent="0.3">
      <c r="A392" t="s">
        <v>487</v>
      </c>
      <c r="B392">
        <v>0.43172972972972978</v>
      </c>
      <c r="C392">
        <v>0.64074776792065224</v>
      </c>
      <c r="D392">
        <v>0.63737451133364043</v>
      </c>
      <c r="E392">
        <f t="shared" si="18"/>
        <v>44.848783704001406</v>
      </c>
      <c r="F392">
        <f t="shared" si="19"/>
        <v>41.782733279615698</v>
      </c>
      <c r="G392">
        <f t="shared" si="20"/>
        <v>3.0660504243857076</v>
      </c>
    </row>
    <row r="393" spans="1:7" x14ac:dyDescent="0.3">
      <c r="A393" t="s">
        <v>487</v>
      </c>
      <c r="B393">
        <v>0.43951086956521768</v>
      </c>
      <c r="C393">
        <v>1.2777002720985779</v>
      </c>
      <c r="D393">
        <v>1.171823913234382</v>
      </c>
      <c r="E393">
        <f t="shared" si="18"/>
        <v>42.525031590317084</v>
      </c>
      <c r="F393">
        <f t="shared" si="19"/>
        <v>38.703172395740452</v>
      </c>
      <c r="G393">
        <f t="shared" si="20"/>
        <v>3.821859194576632</v>
      </c>
    </row>
    <row r="394" spans="1:7" x14ac:dyDescent="0.3">
      <c r="A394" t="s">
        <v>487</v>
      </c>
      <c r="B394">
        <v>0.43951086956521768</v>
      </c>
      <c r="C394">
        <v>2.4570643743343452</v>
      </c>
      <c r="D394">
        <v>2.022360176385877</v>
      </c>
      <c r="E394">
        <f t="shared" si="18"/>
        <v>39.457107881478841</v>
      </c>
      <c r="F394">
        <f t="shared" si="19"/>
        <v>35.994010412228413</v>
      </c>
      <c r="G394">
        <f t="shared" si="20"/>
        <v>3.4630974692504282</v>
      </c>
    </row>
    <row r="395" spans="1:7" x14ac:dyDescent="0.3">
      <c r="A395" t="s">
        <v>488</v>
      </c>
      <c r="B395">
        <v>0.15310526315789491</v>
      </c>
      <c r="C395">
        <v>0.3008195731266245</v>
      </c>
      <c r="D395">
        <v>0.33833282841700513</v>
      </c>
      <c r="E395">
        <f t="shared" si="18"/>
        <v>48.358961458972338</v>
      </c>
      <c r="F395">
        <f t="shared" si="19"/>
        <v>50.590042468104585</v>
      </c>
      <c r="G395">
        <f t="shared" si="20"/>
        <v>-2.2310810091322466</v>
      </c>
    </row>
    <row r="396" spans="1:7" x14ac:dyDescent="0.3">
      <c r="A396" t="s">
        <v>488</v>
      </c>
      <c r="B396">
        <v>0.15310526315789491</v>
      </c>
      <c r="C396">
        <v>0.55535044879990536</v>
      </c>
      <c r="D396">
        <v>0.57726913091412524</v>
      </c>
      <c r="E396">
        <f t="shared" si="18"/>
        <v>46.108661072465893</v>
      </c>
      <c r="F396">
        <f t="shared" si="19"/>
        <v>47.985882414849193</v>
      </c>
      <c r="G396">
        <f t="shared" si="20"/>
        <v>-1.8772213423833009</v>
      </c>
    </row>
    <row r="397" spans="1:7" x14ac:dyDescent="0.3">
      <c r="A397" t="s">
        <v>488</v>
      </c>
      <c r="B397">
        <v>0.15310526315789491</v>
      </c>
      <c r="C397">
        <v>0.95870369061980143</v>
      </c>
      <c r="D397">
        <v>0.87236447917451299</v>
      </c>
      <c r="E397">
        <f t="shared" si="18"/>
        <v>42.300367521432072</v>
      </c>
      <c r="F397">
        <f t="shared" si="19"/>
        <v>45.645060884264112</v>
      </c>
      <c r="G397">
        <f t="shared" si="20"/>
        <v>-3.3446933628320394</v>
      </c>
    </row>
    <row r="398" spans="1:7" x14ac:dyDescent="0.3">
      <c r="A398" t="s">
        <v>488</v>
      </c>
      <c r="B398">
        <v>0.15310526315789491</v>
      </c>
      <c r="C398">
        <v>1.837259356587972</v>
      </c>
      <c r="D398">
        <v>1.4633981264957261</v>
      </c>
      <c r="E398">
        <f t="shared" si="18"/>
        <v>38.537723362257246</v>
      </c>
      <c r="F398">
        <f t="shared" si="19"/>
        <v>42.852035480495083</v>
      </c>
      <c r="G398">
        <f t="shared" si="20"/>
        <v>-4.3143121182378366</v>
      </c>
    </row>
    <row r="399" spans="1:7" x14ac:dyDescent="0.3">
      <c r="A399" t="s">
        <v>489</v>
      </c>
      <c r="B399">
        <v>0.41</v>
      </c>
      <c r="C399">
        <v>0.78658475137089767</v>
      </c>
      <c r="D399">
        <v>0.83991526337621758</v>
      </c>
      <c r="E399">
        <f t="shared" si="18"/>
        <v>46.877970439107628</v>
      </c>
      <c r="F399">
        <f t="shared" si="19"/>
        <v>41.345857960805354</v>
      </c>
      <c r="G399">
        <f t="shared" si="20"/>
        <v>5.5321124783022739</v>
      </c>
    </row>
    <row r="400" spans="1:7" x14ac:dyDescent="0.3">
      <c r="A400" t="s">
        <v>489</v>
      </c>
      <c r="B400">
        <v>0.41</v>
      </c>
      <c r="C400">
        <v>1.5745988035623251</v>
      </c>
      <c r="D400">
        <v>1.501885849649113</v>
      </c>
      <c r="E400">
        <f t="shared" si="18"/>
        <v>43.646061870980283</v>
      </c>
      <c r="F400">
        <f t="shared" si="19"/>
        <v>38.412264511051518</v>
      </c>
      <c r="G400">
        <f t="shared" si="20"/>
        <v>5.233797359928765</v>
      </c>
    </row>
    <row r="401" spans="1:7" x14ac:dyDescent="0.3">
      <c r="A401" t="s">
        <v>490</v>
      </c>
      <c r="B401">
        <v>0.37</v>
      </c>
      <c r="C401">
        <v>0.82501181297598025</v>
      </c>
      <c r="D401">
        <v>0.90778512311238402</v>
      </c>
      <c r="E401">
        <f t="shared" si="18"/>
        <v>47.734861138538513</v>
      </c>
      <c r="F401">
        <f t="shared" si="19"/>
        <v>41.945997258222988</v>
      </c>
      <c r="G401">
        <f t="shared" si="20"/>
        <v>5.7888638803155246</v>
      </c>
    </row>
    <row r="402" spans="1:7" x14ac:dyDescent="0.3">
      <c r="A402" t="s">
        <v>490</v>
      </c>
      <c r="B402">
        <v>0.39</v>
      </c>
      <c r="C402">
        <v>1.683812168239982</v>
      </c>
      <c r="D402">
        <v>1.655813925438044</v>
      </c>
      <c r="E402">
        <f t="shared" si="18"/>
        <v>44.519663723017771</v>
      </c>
      <c r="F402">
        <f t="shared" si="19"/>
        <v>38.52612759538475</v>
      </c>
      <c r="G402">
        <f t="shared" si="20"/>
        <v>5.9935361276330212</v>
      </c>
    </row>
    <row r="403" spans="1:7" x14ac:dyDescent="0.3">
      <c r="A403" t="s">
        <v>490</v>
      </c>
      <c r="B403">
        <v>0.37</v>
      </c>
      <c r="C403">
        <v>3.6450135210021051</v>
      </c>
      <c r="D403">
        <v>2.879657078944462</v>
      </c>
      <c r="E403">
        <f t="shared" si="18"/>
        <v>38.309668542956409</v>
      </c>
      <c r="F403">
        <f t="shared" si="19"/>
        <v>35.722353399272052</v>
      </c>
      <c r="G403">
        <f t="shared" si="20"/>
        <v>2.5873151436843571</v>
      </c>
    </row>
    <row r="404" spans="1:7" x14ac:dyDescent="0.3">
      <c r="A404" t="s">
        <v>490</v>
      </c>
      <c r="B404">
        <v>0.37</v>
      </c>
      <c r="C404">
        <v>4.9166426434705466</v>
      </c>
      <c r="D404">
        <v>3.824823883656745</v>
      </c>
      <c r="E404">
        <f t="shared" si="18"/>
        <v>37.880563255444414</v>
      </c>
      <c r="F404">
        <f t="shared" si="19"/>
        <v>34.512231050182059</v>
      </c>
      <c r="G404">
        <f t="shared" si="20"/>
        <v>3.3683322052623552</v>
      </c>
    </row>
    <row r="405" spans="1:7" x14ac:dyDescent="0.3">
      <c r="A405" t="s">
        <v>491</v>
      </c>
      <c r="B405">
        <v>0.36</v>
      </c>
      <c r="C405">
        <v>0.88115036460457541</v>
      </c>
      <c r="D405">
        <v>1.078270381036657</v>
      </c>
      <c r="E405">
        <f t="shared" si="18"/>
        <v>50.744694482984947</v>
      </c>
      <c r="F405">
        <f t="shared" si="19"/>
        <v>41.865384475128245</v>
      </c>
      <c r="G405">
        <f t="shared" si="20"/>
        <v>8.8793100078567022</v>
      </c>
    </row>
    <row r="406" spans="1:7" x14ac:dyDescent="0.3">
      <c r="A406" t="s">
        <v>491</v>
      </c>
      <c r="B406">
        <v>0.36</v>
      </c>
      <c r="C406">
        <v>1.6399004007406739</v>
      </c>
      <c r="D406">
        <v>1.650069356389634</v>
      </c>
      <c r="E406">
        <f t="shared" si="18"/>
        <v>45.17709475415397</v>
      </c>
      <c r="F406">
        <f t="shared" si="19"/>
        <v>39.229288012932926</v>
      </c>
      <c r="G406">
        <f t="shared" si="20"/>
        <v>5.9478067412210436</v>
      </c>
    </row>
    <row r="407" spans="1:7" x14ac:dyDescent="0.3">
      <c r="A407" t="s">
        <v>491</v>
      </c>
      <c r="B407">
        <v>0.36</v>
      </c>
      <c r="C407">
        <v>3.7163928907779722</v>
      </c>
      <c r="D407">
        <v>3.1829632415822742</v>
      </c>
      <c r="E407">
        <f t="shared" si="18"/>
        <v>40.578922916702808</v>
      </c>
      <c r="F407">
        <f t="shared" si="19"/>
        <v>35.834732392575276</v>
      </c>
      <c r="G407">
        <f t="shared" si="20"/>
        <v>4.7441905241275322</v>
      </c>
    </row>
    <row r="408" spans="1:7" x14ac:dyDescent="0.3">
      <c r="A408" t="s">
        <v>491</v>
      </c>
      <c r="B408">
        <v>0.37</v>
      </c>
      <c r="C408">
        <v>4.9573578771664932</v>
      </c>
      <c r="D408">
        <v>4.1247249191539197</v>
      </c>
      <c r="E408">
        <f t="shared" si="18"/>
        <v>39.761843886172336</v>
      </c>
      <c r="F408">
        <f t="shared" si="19"/>
        <v>34.479147907672456</v>
      </c>
      <c r="G408">
        <f t="shared" si="20"/>
        <v>5.2826959784998806</v>
      </c>
    </row>
    <row r="409" spans="1:7" x14ac:dyDescent="0.3">
      <c r="A409" t="s">
        <v>492</v>
      </c>
      <c r="B409">
        <v>0.28999999999999998</v>
      </c>
      <c r="C409">
        <v>0.7708778224868339</v>
      </c>
      <c r="D409">
        <v>0.84253996425758237</v>
      </c>
      <c r="E409">
        <f t="shared" si="18"/>
        <v>47.543198306733004</v>
      </c>
      <c r="F409">
        <f t="shared" si="19"/>
        <v>43.841960975547273</v>
      </c>
      <c r="G409">
        <f t="shared" si="20"/>
        <v>3.7012373311857303</v>
      </c>
    </row>
    <row r="410" spans="1:7" x14ac:dyDescent="0.3">
      <c r="A410" t="s">
        <v>492</v>
      </c>
      <c r="B410">
        <v>0.28999999999999998</v>
      </c>
      <c r="C410">
        <v>1.65064465715889</v>
      </c>
      <c r="D410">
        <v>1.728714795797194</v>
      </c>
      <c r="E410">
        <f t="shared" si="18"/>
        <v>46.323414687654392</v>
      </c>
      <c r="F410">
        <f t="shared" si="19"/>
        <v>40.587360121012914</v>
      </c>
      <c r="G410">
        <f t="shared" si="20"/>
        <v>5.7360545666414779</v>
      </c>
    </row>
    <row r="411" spans="1:7" x14ac:dyDescent="0.3">
      <c r="A411" t="s">
        <v>492</v>
      </c>
      <c r="B411">
        <v>0.28999999999999998</v>
      </c>
      <c r="C411">
        <v>3.7873974895411791</v>
      </c>
      <c r="D411">
        <v>3.470363950166055</v>
      </c>
      <c r="E411">
        <f t="shared" si="18"/>
        <v>42.49879578132493</v>
      </c>
      <c r="F411">
        <f t="shared" si="19"/>
        <v>37.102898162588104</v>
      </c>
      <c r="G411">
        <f t="shared" si="20"/>
        <v>5.3958976187368251</v>
      </c>
    </row>
    <row r="412" spans="1:7" x14ac:dyDescent="0.3">
      <c r="A412" t="s">
        <v>492</v>
      </c>
      <c r="B412">
        <v>0.28999999999999998</v>
      </c>
      <c r="C412">
        <v>4.8978710925056621</v>
      </c>
      <c r="D412">
        <v>4.2129421308140182</v>
      </c>
      <c r="E412">
        <f t="shared" si="18"/>
        <v>40.700728684104305</v>
      </c>
      <c r="F412">
        <f t="shared" si="19"/>
        <v>36.045516368094937</v>
      </c>
      <c r="G412">
        <f t="shared" si="20"/>
        <v>4.6552123160093686</v>
      </c>
    </row>
    <row r="413" spans="1:7" x14ac:dyDescent="0.3">
      <c r="A413" t="s">
        <v>493</v>
      </c>
      <c r="B413">
        <v>0.31</v>
      </c>
      <c r="C413">
        <v>0.76019410739790971</v>
      </c>
      <c r="D413">
        <v>0.74420653920756219</v>
      </c>
      <c r="E413">
        <f t="shared" si="18"/>
        <v>44.391129150286915</v>
      </c>
      <c r="F413">
        <f t="shared" si="19"/>
        <v>43.500734530074077</v>
      </c>
      <c r="G413">
        <f t="shared" si="20"/>
        <v>0.89039462021283811</v>
      </c>
    </row>
    <row r="414" spans="1:7" x14ac:dyDescent="0.3">
      <c r="A414" t="s">
        <v>493</v>
      </c>
      <c r="B414">
        <v>0.31</v>
      </c>
      <c r="C414">
        <v>1.549840446975338</v>
      </c>
      <c r="D414">
        <v>1.4026166352119409</v>
      </c>
      <c r="E414">
        <f t="shared" si="18"/>
        <v>42.145319383991072</v>
      </c>
      <c r="F414">
        <f t="shared" si="19"/>
        <v>40.458168931586798</v>
      </c>
      <c r="G414">
        <f t="shared" si="20"/>
        <v>1.6871504524042749</v>
      </c>
    </row>
    <row r="415" spans="1:7" x14ac:dyDescent="0.3">
      <c r="A415" t="s">
        <v>493</v>
      </c>
      <c r="B415">
        <v>0.32</v>
      </c>
      <c r="C415">
        <v>3.484854574074189</v>
      </c>
      <c r="D415">
        <v>2.7189742378466848</v>
      </c>
      <c r="E415">
        <f t="shared" si="18"/>
        <v>37.962281704961441</v>
      </c>
      <c r="F415">
        <f t="shared" si="19"/>
        <v>36.867621548980168</v>
      </c>
      <c r="G415">
        <f t="shared" si="20"/>
        <v>1.0946601559812734</v>
      </c>
    </row>
    <row r="416" spans="1:7" x14ac:dyDescent="0.3">
      <c r="A416" t="s">
        <v>493</v>
      </c>
      <c r="B416">
        <v>0.32</v>
      </c>
      <c r="C416">
        <v>5.2327497595597174</v>
      </c>
      <c r="D416">
        <v>3.990711234212676</v>
      </c>
      <c r="E416">
        <f t="shared" si="18"/>
        <v>37.330640634302711</v>
      </c>
      <c r="F416">
        <f t="shared" si="19"/>
        <v>35.205858805663752</v>
      </c>
      <c r="G416">
        <f t="shared" si="20"/>
        <v>2.1247818286389588</v>
      </c>
    </row>
    <row r="417" spans="1:7" x14ac:dyDescent="0.3">
      <c r="A417" t="s">
        <v>494</v>
      </c>
      <c r="B417">
        <v>0.4</v>
      </c>
      <c r="C417">
        <v>0.70517469003831657</v>
      </c>
      <c r="D417">
        <v>0.59474900847230916</v>
      </c>
      <c r="E417">
        <f t="shared" si="18"/>
        <v>40.14450546425519</v>
      </c>
      <c r="F417">
        <f t="shared" si="19"/>
        <v>42.013462120847699</v>
      </c>
      <c r="G417">
        <f t="shared" si="20"/>
        <v>-1.8689566565925091</v>
      </c>
    </row>
    <row r="418" spans="1:7" x14ac:dyDescent="0.3">
      <c r="A418" t="s">
        <v>494</v>
      </c>
      <c r="B418">
        <v>0.41</v>
      </c>
      <c r="C418">
        <v>1.4195968116140221</v>
      </c>
      <c r="D418">
        <v>1.110186367339056</v>
      </c>
      <c r="E418">
        <f t="shared" si="18"/>
        <v>38.026951746169026</v>
      </c>
      <c r="F418">
        <f t="shared" si="19"/>
        <v>38.84660177267326</v>
      </c>
      <c r="G418">
        <f t="shared" si="20"/>
        <v>-0.81965002650423457</v>
      </c>
    </row>
    <row r="419" spans="1:7" x14ac:dyDescent="0.3">
      <c r="A419" t="s">
        <v>494</v>
      </c>
      <c r="B419">
        <v>0.4</v>
      </c>
      <c r="C419">
        <v>3.380236505943929</v>
      </c>
      <c r="D419">
        <v>2.531155197798864</v>
      </c>
      <c r="E419">
        <f t="shared" si="18"/>
        <v>36.826239505029612</v>
      </c>
      <c r="F419">
        <f t="shared" si="19"/>
        <v>35.45492339152905</v>
      </c>
      <c r="G419">
        <f t="shared" si="20"/>
        <v>1.371316113500562</v>
      </c>
    </row>
    <row r="420" spans="1:7" x14ac:dyDescent="0.3">
      <c r="A420" t="s">
        <v>495</v>
      </c>
      <c r="B420">
        <v>0.38</v>
      </c>
      <c r="C420">
        <v>0.74842984068956997</v>
      </c>
      <c r="D420">
        <v>0.72034114223531476</v>
      </c>
      <c r="E420">
        <f t="shared" si="18"/>
        <v>43.904412096822703</v>
      </c>
      <c r="F420">
        <f t="shared" si="19"/>
        <v>42.161489414839885</v>
      </c>
      <c r="G420">
        <f t="shared" si="20"/>
        <v>1.7429226819828187</v>
      </c>
    </row>
    <row r="421" spans="1:7" x14ac:dyDescent="0.3">
      <c r="A421" t="s">
        <v>495</v>
      </c>
      <c r="B421">
        <v>0.39</v>
      </c>
      <c r="C421">
        <v>1.5035238281918619</v>
      </c>
      <c r="D421">
        <v>1.3152390339274811</v>
      </c>
      <c r="E421">
        <f t="shared" si="18"/>
        <v>41.178492920789658</v>
      </c>
      <c r="F421">
        <f t="shared" si="19"/>
        <v>39.001287256437436</v>
      </c>
      <c r="G421">
        <f t="shared" si="20"/>
        <v>2.177205664352222</v>
      </c>
    </row>
    <row r="422" spans="1:7" x14ac:dyDescent="0.3">
      <c r="A422" t="s">
        <v>495</v>
      </c>
      <c r="B422">
        <v>0.38</v>
      </c>
      <c r="C422">
        <v>3.5048967677393561</v>
      </c>
      <c r="D422">
        <v>2.782340056425697</v>
      </c>
      <c r="E422">
        <f t="shared" si="18"/>
        <v>38.444080533897335</v>
      </c>
      <c r="F422">
        <f t="shared" si="19"/>
        <v>35.690553384060301</v>
      </c>
      <c r="G422">
        <f t="shared" si="20"/>
        <v>2.7535271498370335</v>
      </c>
    </row>
    <row r="423" spans="1:7" x14ac:dyDescent="0.3">
      <c r="A423" t="s">
        <v>495</v>
      </c>
      <c r="B423">
        <v>0.39</v>
      </c>
      <c r="C423">
        <v>5.2184372029639761</v>
      </c>
      <c r="D423">
        <v>4.0076258165962457</v>
      </c>
      <c r="E423">
        <f t="shared" si="18"/>
        <v>37.523337493867935</v>
      </c>
      <c r="F423">
        <f t="shared" si="19"/>
        <v>33.898374690323422</v>
      </c>
      <c r="G423">
        <f t="shared" si="20"/>
        <v>3.6249628035445127</v>
      </c>
    </row>
    <row r="424" spans="1:7" x14ac:dyDescent="0.3">
      <c r="A424" t="s">
        <v>496</v>
      </c>
      <c r="B424">
        <v>0.48</v>
      </c>
      <c r="C424">
        <v>0.69242591719067637</v>
      </c>
      <c r="D424">
        <v>0.56030870795180532</v>
      </c>
      <c r="E424">
        <f t="shared" si="18"/>
        <v>38.979667050258129</v>
      </c>
      <c r="F424">
        <f t="shared" si="19"/>
        <v>40.477026254380746</v>
      </c>
      <c r="G424">
        <f t="shared" si="20"/>
        <v>-1.4973592041226169</v>
      </c>
    </row>
    <row r="425" spans="1:7" x14ac:dyDescent="0.3">
      <c r="A425" t="s">
        <v>496</v>
      </c>
      <c r="B425">
        <v>0.48</v>
      </c>
      <c r="C425">
        <v>1.405748570623284</v>
      </c>
      <c r="D425">
        <v>1.074736562310995</v>
      </c>
      <c r="E425">
        <f t="shared" si="18"/>
        <v>37.398987167619708</v>
      </c>
      <c r="F425">
        <f t="shared" si="19"/>
        <v>37.502270716109997</v>
      </c>
      <c r="G425">
        <f t="shared" si="20"/>
        <v>-0.10328354849028898</v>
      </c>
    </row>
    <row r="426" spans="1:7" x14ac:dyDescent="0.3">
      <c r="A426" t="s">
        <v>497</v>
      </c>
      <c r="B426">
        <v>0.4</v>
      </c>
      <c r="C426">
        <v>0.81995459939336823</v>
      </c>
      <c r="D426">
        <v>0.92332176910931252</v>
      </c>
      <c r="E426">
        <f t="shared" si="18"/>
        <v>48.393366858809983</v>
      </c>
      <c r="F426">
        <f t="shared" si="19"/>
        <v>41.369762576612231</v>
      </c>
      <c r="G426">
        <f t="shared" si="20"/>
        <v>7.023604282197752</v>
      </c>
    </row>
    <row r="427" spans="1:7" x14ac:dyDescent="0.3">
      <c r="A427" t="s">
        <v>497</v>
      </c>
      <c r="B427">
        <v>0.4</v>
      </c>
      <c r="C427">
        <v>1.62883225566315</v>
      </c>
      <c r="D427">
        <v>1.5982637064584031</v>
      </c>
      <c r="E427">
        <f t="shared" si="18"/>
        <v>44.457284042919071</v>
      </c>
      <c r="F427">
        <f t="shared" si="19"/>
        <v>38.467899178729212</v>
      </c>
      <c r="G427">
        <f t="shared" si="20"/>
        <v>5.9893848641898586</v>
      </c>
    </row>
    <row r="428" spans="1:7" x14ac:dyDescent="0.3">
      <c r="A428" t="s">
        <v>497</v>
      </c>
      <c r="B428">
        <v>0.4</v>
      </c>
      <c r="C428">
        <v>3.812826770297268</v>
      </c>
      <c r="D428">
        <v>3.3022975352189778</v>
      </c>
      <c r="E428">
        <f t="shared" si="18"/>
        <v>40.895907876225365</v>
      </c>
      <c r="F428">
        <f t="shared" si="19"/>
        <v>34.967358879010177</v>
      </c>
      <c r="G428">
        <f t="shared" si="20"/>
        <v>5.9285489972151879</v>
      </c>
    </row>
    <row r="429" spans="1:7" x14ac:dyDescent="0.3">
      <c r="A429" t="s">
        <v>497</v>
      </c>
      <c r="B429">
        <v>0.4</v>
      </c>
      <c r="C429">
        <v>5.9879600965194602</v>
      </c>
      <c r="D429">
        <v>4.5708411466588421</v>
      </c>
      <c r="E429">
        <f t="shared" si="18"/>
        <v>37.355891858365588</v>
      </c>
      <c r="F429">
        <f t="shared" si="19"/>
        <v>33.167619801909616</v>
      </c>
      <c r="G429">
        <f t="shared" si="20"/>
        <v>4.1882720564559719</v>
      </c>
    </row>
    <row r="430" spans="1:7" x14ac:dyDescent="0.3">
      <c r="A430" t="s">
        <v>498</v>
      </c>
      <c r="B430">
        <v>0.41</v>
      </c>
      <c r="C430">
        <v>0.83173392865730977</v>
      </c>
      <c r="D430">
        <v>0.97169430676154811</v>
      </c>
      <c r="E430">
        <f t="shared" si="18"/>
        <v>49.437713126238641</v>
      </c>
      <c r="F430">
        <f t="shared" si="19"/>
        <v>41.108100809521027</v>
      </c>
      <c r="G430">
        <f t="shared" si="20"/>
        <v>8.3296123167176148</v>
      </c>
    </row>
    <row r="431" spans="1:7" x14ac:dyDescent="0.3">
      <c r="A431" t="s">
        <v>498</v>
      </c>
      <c r="B431">
        <v>0.41</v>
      </c>
      <c r="C431">
        <v>1.6212841967989391</v>
      </c>
      <c r="D431">
        <v>1.6305819424523471</v>
      </c>
      <c r="E431">
        <f t="shared" si="18"/>
        <v>45.163819822356636</v>
      </c>
      <c r="F431">
        <f t="shared" si="19"/>
        <v>38.290075701207321</v>
      </c>
      <c r="G431">
        <f t="shared" si="20"/>
        <v>6.8737441211493149</v>
      </c>
    </row>
    <row r="432" spans="1:7" x14ac:dyDescent="0.3">
      <c r="A432" t="s">
        <v>498</v>
      </c>
      <c r="B432">
        <v>0.41</v>
      </c>
      <c r="C432">
        <v>3.7348311282510709</v>
      </c>
      <c r="D432">
        <v>3.273327355014418</v>
      </c>
      <c r="E432">
        <f t="shared" si="18"/>
        <v>41.232377574831837</v>
      </c>
      <c r="F432">
        <f t="shared" si="19"/>
        <v>34.86051550564251</v>
      </c>
      <c r="G432">
        <f t="shared" si="20"/>
        <v>6.3718620691893264</v>
      </c>
    </row>
    <row r="433" spans="1:7" x14ac:dyDescent="0.3">
      <c r="A433" t="s">
        <v>498</v>
      </c>
      <c r="B433">
        <v>0.4</v>
      </c>
      <c r="C433">
        <v>6.1074660022277456</v>
      </c>
      <c r="D433">
        <v>4.978586341490125</v>
      </c>
      <c r="E433">
        <f t="shared" si="18"/>
        <v>39.18567938815125</v>
      </c>
      <c r="F433">
        <f t="shared" si="19"/>
        <v>33.089889566244587</v>
      </c>
      <c r="G433">
        <f t="shared" si="20"/>
        <v>6.0957898219066635</v>
      </c>
    </row>
    <row r="434" spans="1:7" x14ac:dyDescent="0.3">
      <c r="A434" t="s">
        <v>499</v>
      </c>
      <c r="B434">
        <v>0.52</v>
      </c>
      <c r="C434">
        <v>0.7826781226172782</v>
      </c>
      <c r="D434">
        <v>0.78871963460061234</v>
      </c>
      <c r="E434">
        <f t="shared" si="18"/>
        <v>45.220282504153815</v>
      </c>
      <c r="F434">
        <f t="shared" si="19"/>
        <v>39.151412819944447</v>
      </c>
      <c r="G434">
        <f t="shared" si="20"/>
        <v>6.0688696842093677</v>
      </c>
    </row>
    <row r="435" spans="1:7" x14ac:dyDescent="0.3">
      <c r="A435" t="s">
        <v>499</v>
      </c>
      <c r="B435">
        <v>0.52</v>
      </c>
      <c r="C435">
        <v>1.529053553014974</v>
      </c>
      <c r="D435">
        <v>1.32727265879458</v>
      </c>
      <c r="E435">
        <f t="shared" si="18"/>
        <v>40.959138387033605</v>
      </c>
      <c r="F435">
        <f t="shared" si="19"/>
        <v>36.366347284234898</v>
      </c>
      <c r="G435">
        <f t="shared" si="20"/>
        <v>4.5927911027987065</v>
      </c>
    </row>
    <row r="436" spans="1:7" x14ac:dyDescent="0.3">
      <c r="A436" t="s">
        <v>500</v>
      </c>
      <c r="B436">
        <v>0.5</v>
      </c>
      <c r="C436">
        <v>0.75371677316745866</v>
      </c>
      <c r="D436">
        <v>0.74784358360506276</v>
      </c>
      <c r="E436">
        <f t="shared" si="18"/>
        <v>44.775894950461151</v>
      </c>
      <c r="F436">
        <f t="shared" si="19"/>
        <v>39.713934902413719</v>
      </c>
      <c r="G436">
        <f t="shared" si="20"/>
        <v>5.0619600480474318</v>
      </c>
    </row>
    <row r="437" spans="1:7" x14ac:dyDescent="0.3">
      <c r="A437" t="s">
        <v>500</v>
      </c>
      <c r="B437">
        <v>0.52</v>
      </c>
      <c r="C437">
        <v>1.5218750045055709</v>
      </c>
      <c r="D437">
        <v>1.3709144737124619</v>
      </c>
      <c r="E437">
        <f t="shared" si="18"/>
        <v>42.012723338271051</v>
      </c>
      <c r="F437">
        <f t="shared" si="19"/>
        <v>36.385659693187144</v>
      </c>
      <c r="G437">
        <f t="shared" si="20"/>
        <v>5.6270636450839078</v>
      </c>
    </row>
    <row r="438" spans="1:7" x14ac:dyDescent="0.3">
      <c r="A438" t="s">
        <v>501</v>
      </c>
      <c r="B438">
        <v>0.35799999999999998</v>
      </c>
      <c r="C438">
        <v>0.67789510976570821</v>
      </c>
      <c r="D438">
        <v>0.54638864399314313</v>
      </c>
      <c r="E438">
        <f t="shared" si="18"/>
        <v>38.869079987263021</v>
      </c>
      <c r="F438">
        <f t="shared" si="19"/>
        <v>43.027882994208184</v>
      </c>
      <c r="G438">
        <f t="shared" si="20"/>
        <v>-4.1588030069451634</v>
      </c>
    </row>
    <row r="439" spans="1:7" x14ac:dyDescent="0.3">
      <c r="A439" t="s">
        <v>501</v>
      </c>
      <c r="B439">
        <v>0.35099999999999998</v>
      </c>
      <c r="C439">
        <v>2.2485911568073238</v>
      </c>
      <c r="D439">
        <v>1.779068495344817</v>
      </c>
      <c r="E439">
        <f t="shared" si="18"/>
        <v>38.350781330866965</v>
      </c>
      <c r="F439">
        <f t="shared" si="19"/>
        <v>38.083042011402071</v>
      </c>
      <c r="G439">
        <f t="shared" si="20"/>
        <v>0.26773931946489427</v>
      </c>
    </row>
    <row r="440" spans="1:7" x14ac:dyDescent="0.3">
      <c r="A440" t="s">
        <v>502</v>
      </c>
      <c r="B440">
        <v>0.27500000000000002</v>
      </c>
      <c r="C440">
        <v>0.66319998401347924</v>
      </c>
      <c r="D440">
        <v>0.47512135450039611</v>
      </c>
      <c r="E440">
        <f t="shared" si="18"/>
        <v>35.618090643808785</v>
      </c>
      <c r="F440">
        <f t="shared" si="19"/>
        <v>44.789044578719285</v>
      </c>
      <c r="G440">
        <f t="shared" si="20"/>
        <v>-9.1709539349105</v>
      </c>
    </row>
    <row r="441" spans="1:7" x14ac:dyDescent="0.3">
      <c r="A441" t="s">
        <v>502</v>
      </c>
      <c r="B441">
        <v>0.26700000000000002</v>
      </c>
      <c r="C441">
        <v>2.2171345202090849</v>
      </c>
      <c r="D441">
        <v>1.528807267085224</v>
      </c>
      <c r="E441">
        <f t="shared" si="18"/>
        <v>34.587892352246385</v>
      </c>
      <c r="F441">
        <f t="shared" si="19"/>
        <v>39.792092021594463</v>
      </c>
      <c r="G441">
        <f t="shared" si="20"/>
        <v>-5.2041996693480783</v>
      </c>
    </row>
    <row r="442" spans="1:7" x14ac:dyDescent="0.3">
      <c r="A442" t="s">
        <v>503</v>
      </c>
      <c r="B442">
        <v>0.26800000000000002</v>
      </c>
      <c r="C442">
        <v>0.69463379123069002</v>
      </c>
      <c r="D442">
        <v>0.56134033870737787</v>
      </c>
      <c r="E442">
        <f t="shared" si="18"/>
        <v>38.942015407832699</v>
      </c>
      <c r="F442">
        <f t="shared" si="19"/>
        <v>44.730380069613553</v>
      </c>
      <c r="G442">
        <f t="shared" si="20"/>
        <v>-5.7883646617808537</v>
      </c>
    </row>
    <row r="443" spans="1:7" x14ac:dyDescent="0.3">
      <c r="A443" t="s">
        <v>503</v>
      </c>
      <c r="B443">
        <v>0.251</v>
      </c>
      <c r="C443">
        <v>2.26182213476151</v>
      </c>
      <c r="D443">
        <v>1.6841430753259701</v>
      </c>
      <c r="E443">
        <f t="shared" si="18"/>
        <v>36.671211788339178</v>
      </c>
      <c r="F443">
        <f t="shared" si="19"/>
        <v>40.023212633677524</v>
      </c>
      <c r="G443">
        <f t="shared" si="20"/>
        <v>-3.3520008453383454</v>
      </c>
    </row>
    <row r="444" spans="1:7" x14ac:dyDescent="0.3">
      <c r="A444" t="s">
        <v>504</v>
      </c>
      <c r="B444">
        <v>0.28599999999999998</v>
      </c>
      <c r="C444">
        <v>0.67346225035326424</v>
      </c>
      <c r="D444">
        <v>0.57175265157527921</v>
      </c>
      <c r="E444">
        <f t="shared" si="18"/>
        <v>40.330426450264838</v>
      </c>
      <c r="F444">
        <f t="shared" si="19"/>
        <v>44.502467351165315</v>
      </c>
      <c r="G444">
        <f t="shared" si="20"/>
        <v>-4.1720409009004769</v>
      </c>
    </row>
    <row r="445" spans="1:7" x14ac:dyDescent="0.3">
      <c r="A445" t="s">
        <v>504</v>
      </c>
      <c r="B445">
        <v>0.28399999999999997</v>
      </c>
      <c r="C445">
        <v>2.293906469153411</v>
      </c>
      <c r="D445">
        <v>2.0144903856896281</v>
      </c>
      <c r="E445">
        <f t="shared" si="18"/>
        <v>41.289345181877955</v>
      </c>
      <c r="F445">
        <f t="shared" si="19"/>
        <v>39.313732988002741</v>
      </c>
      <c r="G445">
        <f t="shared" si="20"/>
        <v>1.9756121938752145</v>
      </c>
    </row>
    <row r="446" spans="1:7" x14ac:dyDescent="0.3">
      <c r="A446" t="s">
        <v>505</v>
      </c>
      <c r="B446">
        <v>0.32900000000000001</v>
      </c>
      <c r="C446">
        <v>0.65091508610849025</v>
      </c>
      <c r="D446">
        <v>0.43708124303094092</v>
      </c>
      <c r="E446">
        <f t="shared" si="18"/>
        <v>33.880860835973763</v>
      </c>
      <c r="F446">
        <f t="shared" si="19"/>
        <v>43.785328761860676</v>
      </c>
      <c r="G446">
        <f t="shared" si="20"/>
        <v>-9.9044679258869124</v>
      </c>
    </row>
    <row r="447" spans="1:7" x14ac:dyDescent="0.3">
      <c r="A447" t="s">
        <v>505</v>
      </c>
      <c r="B447">
        <v>0.32600000000000001</v>
      </c>
      <c r="C447">
        <v>2.1491250163304709</v>
      </c>
      <c r="D447">
        <v>1.390853394617465</v>
      </c>
      <c r="E447">
        <f t="shared" si="18"/>
        <v>32.909810853697202</v>
      </c>
      <c r="F447">
        <f t="shared" si="19"/>
        <v>38.762474265296028</v>
      </c>
      <c r="G447">
        <f t="shared" si="20"/>
        <v>-5.8526634115988259</v>
      </c>
    </row>
    <row r="448" spans="1:7" x14ac:dyDescent="0.3">
      <c r="A448" t="s">
        <v>506</v>
      </c>
      <c r="B448">
        <v>0.317</v>
      </c>
      <c r="C448">
        <v>0.67912081546842196</v>
      </c>
      <c r="D448">
        <v>0.52692524043720512</v>
      </c>
      <c r="E448">
        <f t="shared" si="18"/>
        <v>37.807644294742907</v>
      </c>
      <c r="F448">
        <f t="shared" si="19"/>
        <v>43.844305834238767</v>
      </c>
      <c r="G448">
        <f t="shared" si="20"/>
        <v>-6.03666153949586</v>
      </c>
    </row>
    <row r="449" spans="1:7" x14ac:dyDescent="0.3">
      <c r="A449" t="s">
        <v>506</v>
      </c>
      <c r="B449">
        <v>0.309</v>
      </c>
      <c r="C449">
        <v>2.2331141447492651</v>
      </c>
      <c r="D449">
        <v>1.642545322985673</v>
      </c>
      <c r="E449">
        <f t="shared" si="18"/>
        <v>36.335978114326203</v>
      </c>
      <c r="F449">
        <f t="shared" si="19"/>
        <v>38.935398632511777</v>
      </c>
      <c r="G449">
        <f t="shared" si="20"/>
        <v>-2.5994205181855747</v>
      </c>
    </row>
    <row r="450" spans="1:7" x14ac:dyDescent="0.3">
      <c r="A450" t="s">
        <v>507</v>
      </c>
      <c r="B450">
        <v>0.65</v>
      </c>
      <c r="C450">
        <v>0.13025858838052029</v>
      </c>
      <c r="D450">
        <v>0.14763294058565221</v>
      </c>
      <c r="E450">
        <f t="shared" ref="E450:E513" si="21">DEGREES(ATAN(D450/C450))</f>
        <v>48.577593678914646</v>
      </c>
      <c r="F450">
        <f t="shared" ref="F450:F513" si="22">DEGREES(ATAN(TAN(RADIANS(pe0-omega*B450))*(C450/sref)^(m_-1)))</f>
        <v>44.104024815175904</v>
      </c>
      <c r="G450">
        <f t="shared" ref="G450:G513" si="23">E450-F450</f>
        <v>4.4735688637387412</v>
      </c>
    </row>
    <row r="451" spans="1:7" x14ac:dyDescent="0.3">
      <c r="A451" t="s">
        <v>507</v>
      </c>
      <c r="B451">
        <v>0.65</v>
      </c>
      <c r="C451">
        <v>0.1934573605259714</v>
      </c>
      <c r="D451">
        <v>0.2135970283504609</v>
      </c>
      <c r="E451">
        <f t="shared" si="21"/>
        <v>47.832490712446479</v>
      </c>
      <c r="F451">
        <f t="shared" si="22"/>
        <v>42.407734848537125</v>
      </c>
      <c r="G451">
        <f t="shared" si="23"/>
        <v>5.424755863909354</v>
      </c>
    </row>
    <row r="452" spans="1:7" x14ac:dyDescent="0.3">
      <c r="A452" t="s">
        <v>507</v>
      </c>
      <c r="B452">
        <v>0.65</v>
      </c>
      <c r="C452">
        <v>0.25199421705369912</v>
      </c>
      <c r="D452">
        <v>0.26039791660712402</v>
      </c>
      <c r="E452">
        <f t="shared" si="21"/>
        <v>45.939618935310371</v>
      </c>
      <c r="F452">
        <f t="shared" si="22"/>
        <v>41.27874305055601</v>
      </c>
      <c r="G452">
        <f t="shared" si="23"/>
        <v>4.6608758847543612</v>
      </c>
    </row>
    <row r="453" spans="1:7" x14ac:dyDescent="0.3">
      <c r="A453" t="s">
        <v>508</v>
      </c>
      <c r="B453">
        <v>0.74</v>
      </c>
      <c r="C453">
        <v>0.14101831467721501</v>
      </c>
      <c r="D453">
        <v>0.1440483797781866</v>
      </c>
      <c r="E453">
        <f t="shared" si="21"/>
        <v>45.608992237478468</v>
      </c>
      <c r="F453">
        <f t="shared" si="22"/>
        <v>41.842574268446924</v>
      </c>
      <c r="G453">
        <f t="shared" si="23"/>
        <v>3.7664179690315436</v>
      </c>
    </row>
    <row r="454" spans="1:7" x14ac:dyDescent="0.3">
      <c r="A454" t="s">
        <v>508</v>
      </c>
      <c r="B454">
        <v>0.74</v>
      </c>
      <c r="C454">
        <v>0.19485351016309649</v>
      </c>
      <c r="D454">
        <v>0.17509857475039639</v>
      </c>
      <c r="E454">
        <f t="shared" si="21"/>
        <v>41.94338674532235</v>
      </c>
      <c r="F454">
        <f t="shared" si="22"/>
        <v>40.465684118988968</v>
      </c>
      <c r="G454">
        <f t="shared" si="23"/>
        <v>1.4777026263333823</v>
      </c>
    </row>
    <row r="455" spans="1:7" x14ac:dyDescent="0.3">
      <c r="A455" t="s">
        <v>508</v>
      </c>
      <c r="B455">
        <v>0.74</v>
      </c>
      <c r="C455">
        <v>0.20377703605189121</v>
      </c>
      <c r="D455">
        <v>0.1875421902615807</v>
      </c>
      <c r="E455">
        <f t="shared" si="21"/>
        <v>42.624305299565862</v>
      </c>
      <c r="F455">
        <f t="shared" si="22"/>
        <v>40.275770318140111</v>
      </c>
      <c r="G455">
        <f t="shared" si="23"/>
        <v>2.3485349814257503</v>
      </c>
    </row>
    <row r="456" spans="1:7" x14ac:dyDescent="0.3">
      <c r="A456" t="s">
        <v>508</v>
      </c>
      <c r="B456">
        <v>0.74</v>
      </c>
      <c r="C456">
        <v>0.27061303210720422</v>
      </c>
      <c r="D456">
        <v>0.24556964197417169</v>
      </c>
      <c r="E456">
        <f t="shared" si="21"/>
        <v>42.22238582212286</v>
      </c>
      <c r="F456">
        <f t="shared" si="22"/>
        <v>39.077892677138102</v>
      </c>
      <c r="G456">
        <f t="shared" si="23"/>
        <v>3.1444931449847573</v>
      </c>
    </row>
    <row r="457" spans="1:7" x14ac:dyDescent="0.3">
      <c r="A457" t="s">
        <v>509</v>
      </c>
      <c r="B457">
        <v>0.33</v>
      </c>
      <c r="C457">
        <v>0.19559832776187641</v>
      </c>
      <c r="D457">
        <v>0.2352936879668045</v>
      </c>
      <c r="E457">
        <f t="shared" si="21"/>
        <v>50.263441996841586</v>
      </c>
      <c r="F457">
        <f t="shared" si="22"/>
        <v>48.919135771412385</v>
      </c>
      <c r="G457">
        <f t="shared" si="23"/>
        <v>1.3443062254292002</v>
      </c>
    </row>
    <row r="458" spans="1:7" x14ac:dyDescent="0.3">
      <c r="A458" t="s">
        <v>509</v>
      </c>
      <c r="B458">
        <v>0.33</v>
      </c>
      <c r="C458">
        <v>0.53181927843959476</v>
      </c>
      <c r="D458">
        <v>0.48669684988764272</v>
      </c>
      <c r="E458">
        <f t="shared" si="21"/>
        <v>42.463333915209482</v>
      </c>
      <c r="F458">
        <f t="shared" si="22"/>
        <v>44.633210868008561</v>
      </c>
      <c r="G458">
        <f t="shared" si="23"/>
        <v>-2.1698769527990791</v>
      </c>
    </row>
    <row r="459" spans="1:7" x14ac:dyDescent="0.3">
      <c r="A459" t="s">
        <v>509</v>
      </c>
      <c r="B459">
        <v>0.33</v>
      </c>
      <c r="C459">
        <v>1.262328781412656</v>
      </c>
      <c r="D459">
        <v>0.99289017264599999</v>
      </c>
      <c r="E459">
        <f t="shared" si="21"/>
        <v>38.186973775375428</v>
      </c>
      <c r="F459">
        <f t="shared" si="22"/>
        <v>40.932409679326767</v>
      </c>
      <c r="G459">
        <f t="shared" si="23"/>
        <v>-2.7454359039513392</v>
      </c>
    </row>
    <row r="460" spans="1:7" x14ac:dyDescent="0.3">
      <c r="A460" t="s">
        <v>510</v>
      </c>
      <c r="B460">
        <v>0.26128571428571429</v>
      </c>
      <c r="C460">
        <v>0.62663733115254117</v>
      </c>
      <c r="D460">
        <v>0.65461227355340923</v>
      </c>
      <c r="E460">
        <f t="shared" si="21"/>
        <v>46.250803505638189</v>
      </c>
      <c r="F460">
        <f t="shared" si="22"/>
        <v>45.307610410488543</v>
      </c>
      <c r="G460">
        <f t="shared" si="23"/>
        <v>0.94319309514964544</v>
      </c>
    </row>
    <row r="461" spans="1:7" x14ac:dyDescent="0.3">
      <c r="A461" t="s">
        <v>510</v>
      </c>
      <c r="B461">
        <v>0.26128571428571429</v>
      </c>
      <c r="C461">
        <v>2.408672242866448</v>
      </c>
      <c r="D461">
        <v>1.9786861647065019</v>
      </c>
      <c r="E461">
        <f t="shared" si="21"/>
        <v>39.402563390299839</v>
      </c>
      <c r="F461">
        <f t="shared" si="22"/>
        <v>39.554706101028614</v>
      </c>
      <c r="G461">
        <f t="shared" si="23"/>
        <v>-0.15214271072877494</v>
      </c>
    </row>
    <row r="462" spans="1:7" x14ac:dyDescent="0.3">
      <c r="A462" t="s">
        <v>511</v>
      </c>
      <c r="B462">
        <v>0.26128571428571429</v>
      </c>
      <c r="C462">
        <v>0.667792352729633</v>
      </c>
      <c r="D462">
        <v>0.7175397698538728</v>
      </c>
      <c r="E462">
        <f t="shared" si="21"/>
        <v>47.056613535944273</v>
      </c>
      <c r="F462">
        <f t="shared" si="22"/>
        <v>45.03427538720981</v>
      </c>
      <c r="G462">
        <f t="shared" si="23"/>
        <v>2.0223381487344625</v>
      </c>
    </row>
    <row r="463" spans="1:7" x14ac:dyDescent="0.3">
      <c r="A463" t="s">
        <v>511</v>
      </c>
      <c r="B463">
        <v>0.26128571428571429</v>
      </c>
      <c r="C463">
        <v>1.247139334271957</v>
      </c>
      <c r="D463">
        <v>1.153123034613085</v>
      </c>
      <c r="E463">
        <f t="shared" si="21"/>
        <v>42.756918177913967</v>
      </c>
      <c r="F463">
        <f t="shared" si="22"/>
        <v>42.353894591734075</v>
      </c>
      <c r="G463">
        <f t="shared" si="23"/>
        <v>0.40302358617989142</v>
      </c>
    </row>
    <row r="464" spans="1:7" x14ac:dyDescent="0.3">
      <c r="A464" t="s">
        <v>511</v>
      </c>
      <c r="B464">
        <v>0.26128571428571429</v>
      </c>
      <c r="C464">
        <v>2.44577683446547</v>
      </c>
      <c r="D464">
        <v>2.075674448022661</v>
      </c>
      <c r="E464">
        <f t="shared" si="21"/>
        <v>40.320499340621311</v>
      </c>
      <c r="F464">
        <f t="shared" si="22"/>
        <v>39.490211616607951</v>
      </c>
      <c r="G464">
        <f t="shared" si="23"/>
        <v>0.83028772401335971</v>
      </c>
    </row>
    <row r="465" spans="1:7" x14ac:dyDescent="0.3">
      <c r="A465" t="s">
        <v>512</v>
      </c>
      <c r="B465">
        <v>0.35830769230769238</v>
      </c>
      <c r="C465">
        <v>0.63835756322649895</v>
      </c>
      <c r="D465">
        <v>0.571124951780143</v>
      </c>
      <c r="E465">
        <f t="shared" si="21"/>
        <v>41.818321518822174</v>
      </c>
      <c r="F465">
        <f t="shared" si="22"/>
        <v>43.279388537349369</v>
      </c>
      <c r="G465">
        <f t="shared" si="23"/>
        <v>-1.4610670185271957</v>
      </c>
    </row>
    <row r="466" spans="1:7" x14ac:dyDescent="0.3">
      <c r="A466" t="s">
        <v>512</v>
      </c>
      <c r="B466">
        <v>0.35830769230769238</v>
      </c>
      <c r="C466">
        <v>1.2869742814187719</v>
      </c>
      <c r="D466">
        <v>0.93436916237272971</v>
      </c>
      <c r="E466">
        <f t="shared" si="21"/>
        <v>35.980402787418555</v>
      </c>
      <c r="F466">
        <f t="shared" si="22"/>
        <v>40.286787682848747</v>
      </c>
      <c r="G466">
        <f t="shared" si="23"/>
        <v>-4.3063848954301918</v>
      </c>
    </row>
    <row r="467" spans="1:7" x14ac:dyDescent="0.3">
      <c r="A467" t="s">
        <v>512</v>
      </c>
      <c r="B467">
        <v>0.35830769230769238</v>
      </c>
      <c r="C467">
        <v>1.9099261932756899</v>
      </c>
      <c r="D467">
        <v>1.359272694638719</v>
      </c>
      <c r="E467">
        <f t="shared" si="21"/>
        <v>35.439024456914716</v>
      </c>
      <c r="F467">
        <f t="shared" si="22"/>
        <v>38.622321184154231</v>
      </c>
      <c r="G467">
        <f t="shared" si="23"/>
        <v>-3.1832967272395152</v>
      </c>
    </row>
    <row r="468" spans="1:7" x14ac:dyDescent="0.3">
      <c r="A468" t="s">
        <v>513</v>
      </c>
      <c r="B468">
        <v>0.38675392670157072</v>
      </c>
      <c r="C468">
        <v>0.27668109738545971</v>
      </c>
      <c r="D468">
        <v>0.1924112420394781</v>
      </c>
      <c r="E468">
        <f t="shared" si="21"/>
        <v>34.815757322070404</v>
      </c>
      <c r="F468">
        <f t="shared" si="22"/>
        <v>46.296028207532558</v>
      </c>
      <c r="G468">
        <f t="shared" si="23"/>
        <v>-11.480270885462154</v>
      </c>
    </row>
    <row r="469" spans="1:7" x14ac:dyDescent="0.3">
      <c r="A469" t="s">
        <v>513</v>
      </c>
      <c r="B469">
        <v>0.38675392670157072</v>
      </c>
      <c r="C469">
        <v>0.52398246250726022</v>
      </c>
      <c r="D469">
        <v>0.3242745514149088</v>
      </c>
      <c r="E469">
        <f t="shared" si="21"/>
        <v>31.751926459874987</v>
      </c>
      <c r="F469">
        <f t="shared" si="22"/>
        <v>43.552936513272137</v>
      </c>
      <c r="G469">
        <f t="shared" si="23"/>
        <v>-11.80101005339715</v>
      </c>
    </row>
    <row r="470" spans="1:7" x14ac:dyDescent="0.3">
      <c r="A470" t="s">
        <v>514</v>
      </c>
      <c r="B470">
        <v>0.35830769230769238</v>
      </c>
      <c r="C470">
        <v>0.520835014944937</v>
      </c>
      <c r="D470">
        <v>0.38779207790490411</v>
      </c>
      <c r="E470">
        <f t="shared" si="21"/>
        <v>36.669835716138586</v>
      </c>
      <c r="F470">
        <f t="shared" si="22"/>
        <v>44.152804161849396</v>
      </c>
      <c r="G470">
        <f t="shared" si="23"/>
        <v>-7.4829684457108101</v>
      </c>
    </row>
    <row r="471" spans="1:7" x14ac:dyDescent="0.3">
      <c r="A471" t="s">
        <v>514</v>
      </c>
      <c r="B471">
        <v>0.35830769230769238</v>
      </c>
      <c r="C471">
        <v>0.95480712949914337</v>
      </c>
      <c r="D471">
        <v>0.63340012871979579</v>
      </c>
      <c r="E471">
        <f t="shared" si="21"/>
        <v>33.559507053752448</v>
      </c>
      <c r="F471">
        <f t="shared" si="22"/>
        <v>41.556582278416073</v>
      </c>
      <c r="G471">
        <f t="shared" si="23"/>
        <v>-7.9970752246636252</v>
      </c>
    </row>
    <row r="472" spans="1:7" x14ac:dyDescent="0.3">
      <c r="A472" t="s">
        <v>514</v>
      </c>
      <c r="B472">
        <v>0.35830769230769238</v>
      </c>
      <c r="C472">
        <v>1.507819393123812</v>
      </c>
      <c r="D472">
        <v>1.0333295881800351</v>
      </c>
      <c r="E472">
        <f t="shared" si="21"/>
        <v>34.423382822908579</v>
      </c>
      <c r="F472">
        <f t="shared" si="22"/>
        <v>39.616795462673394</v>
      </c>
      <c r="G472">
        <f t="shared" si="23"/>
        <v>-5.1934126397648157</v>
      </c>
    </row>
    <row r="473" spans="1:7" x14ac:dyDescent="0.3">
      <c r="A473" t="s">
        <v>515</v>
      </c>
      <c r="B473">
        <v>0.35830769230769238</v>
      </c>
      <c r="C473">
        <v>0.64778133999965537</v>
      </c>
      <c r="D473">
        <v>0.51345720204078926</v>
      </c>
      <c r="E473">
        <f t="shared" si="21"/>
        <v>38.401740400383758</v>
      </c>
      <c r="F473">
        <f t="shared" si="22"/>
        <v>43.216532645061569</v>
      </c>
      <c r="G473">
        <f t="shared" si="23"/>
        <v>-4.8147922446778111</v>
      </c>
    </row>
    <row r="474" spans="1:7" x14ac:dyDescent="0.3">
      <c r="A474" t="s">
        <v>515</v>
      </c>
      <c r="B474">
        <v>0.35830769230769238</v>
      </c>
      <c r="C474">
        <v>1.057256377471433</v>
      </c>
      <c r="D474">
        <v>0.81931563138212937</v>
      </c>
      <c r="E474">
        <f t="shared" si="21"/>
        <v>37.773718457814333</v>
      </c>
      <c r="F474">
        <f t="shared" si="22"/>
        <v>41.122174871171161</v>
      </c>
      <c r="G474">
        <f t="shared" si="23"/>
        <v>-3.3484564133568284</v>
      </c>
    </row>
    <row r="475" spans="1:7" x14ac:dyDescent="0.3">
      <c r="A475" t="s">
        <v>516</v>
      </c>
      <c r="B475">
        <v>0.35830769230769238</v>
      </c>
      <c r="C475">
        <v>0.96858658158258715</v>
      </c>
      <c r="D475">
        <v>0.7872082648189821</v>
      </c>
      <c r="E475">
        <f t="shared" si="21"/>
        <v>39.102112593983186</v>
      </c>
      <c r="F475">
        <f t="shared" si="22"/>
        <v>41.495462192033919</v>
      </c>
      <c r="G475">
        <f t="shared" si="23"/>
        <v>-2.3933495980507331</v>
      </c>
    </row>
    <row r="476" spans="1:7" x14ac:dyDescent="0.3">
      <c r="A476" t="s">
        <v>517</v>
      </c>
      <c r="B476">
        <v>0.22059907834101389</v>
      </c>
      <c r="C476">
        <v>0.65506538566848749</v>
      </c>
      <c r="D476">
        <v>0.6637045717030422</v>
      </c>
      <c r="E476">
        <f t="shared" si="21"/>
        <v>45.375335982468378</v>
      </c>
      <c r="F476">
        <f t="shared" si="22"/>
        <v>45.931460975859316</v>
      </c>
      <c r="G476">
        <f t="shared" si="23"/>
        <v>-0.55612499339093802</v>
      </c>
    </row>
    <row r="477" spans="1:7" x14ac:dyDescent="0.3">
      <c r="A477" t="s">
        <v>517</v>
      </c>
      <c r="B477">
        <v>0.22059907834101389</v>
      </c>
      <c r="C477">
        <v>1.2453387336911279</v>
      </c>
      <c r="D477">
        <v>1.146601800276684</v>
      </c>
      <c r="E477">
        <f t="shared" si="21"/>
        <v>42.636229013865012</v>
      </c>
      <c r="F477">
        <f t="shared" si="22"/>
        <v>43.172236326403329</v>
      </c>
      <c r="G477">
        <f t="shared" si="23"/>
        <v>-0.53600731253831668</v>
      </c>
    </row>
    <row r="478" spans="1:7" x14ac:dyDescent="0.3">
      <c r="A478" t="s">
        <v>517</v>
      </c>
      <c r="B478">
        <v>0.22059907834101389</v>
      </c>
      <c r="C478">
        <v>2.4491273945374359</v>
      </c>
      <c r="D478">
        <v>2.1060809507246252</v>
      </c>
      <c r="E478">
        <f t="shared" si="21"/>
        <v>40.693263492464425</v>
      </c>
      <c r="F478">
        <f t="shared" si="22"/>
        <v>40.286122408860365</v>
      </c>
      <c r="G478">
        <f t="shared" si="23"/>
        <v>0.40714108360405987</v>
      </c>
    </row>
    <row r="479" spans="1:7" x14ac:dyDescent="0.3">
      <c r="A479" t="s">
        <v>518</v>
      </c>
      <c r="B479">
        <v>0.17199115044247781</v>
      </c>
      <c r="C479">
        <v>0.61740708891718421</v>
      </c>
      <c r="D479">
        <v>0.65791060777630306</v>
      </c>
      <c r="E479">
        <f t="shared" si="21"/>
        <v>46.819076844624817</v>
      </c>
      <c r="F479">
        <f t="shared" si="22"/>
        <v>47.156335211637952</v>
      </c>
      <c r="G479">
        <f t="shared" si="23"/>
        <v>-0.33725836701313483</v>
      </c>
    </row>
    <row r="480" spans="1:7" x14ac:dyDescent="0.3">
      <c r="A480" t="s">
        <v>518</v>
      </c>
      <c r="B480">
        <v>0.17199115044247781</v>
      </c>
      <c r="C480">
        <v>1.2357089350122981</v>
      </c>
      <c r="D480">
        <v>1.2616358275261781</v>
      </c>
      <c r="E480">
        <f t="shared" si="21"/>
        <v>45.594811006010701</v>
      </c>
      <c r="F480">
        <f t="shared" si="22"/>
        <v>44.176794323613734</v>
      </c>
      <c r="G480">
        <f t="shared" si="23"/>
        <v>1.4180166823969671</v>
      </c>
    </row>
    <row r="481" spans="1:7" x14ac:dyDescent="0.3">
      <c r="A481" t="s">
        <v>518</v>
      </c>
      <c r="B481">
        <v>0.17199115044247781</v>
      </c>
      <c r="C481">
        <v>2.3153779115915998</v>
      </c>
      <c r="D481">
        <v>2.0817409599838279</v>
      </c>
      <c r="E481">
        <f t="shared" si="21"/>
        <v>41.95850048584704</v>
      </c>
      <c r="F481">
        <f t="shared" si="22"/>
        <v>41.487194992976001</v>
      </c>
      <c r="G481">
        <f t="shared" si="23"/>
        <v>0.47130549287103918</v>
      </c>
    </row>
    <row r="482" spans="1:7" x14ac:dyDescent="0.3">
      <c r="A482" t="s">
        <v>519</v>
      </c>
      <c r="B482">
        <v>0.33100502512562818</v>
      </c>
      <c r="C482">
        <v>0.54258432701761783</v>
      </c>
      <c r="D482">
        <v>0.45738142828906903</v>
      </c>
      <c r="E482">
        <f t="shared" si="21"/>
        <v>40.129829452428005</v>
      </c>
      <c r="F482">
        <f t="shared" si="22"/>
        <v>44.526885902641233</v>
      </c>
      <c r="G482">
        <f t="shared" si="23"/>
        <v>-4.3970564502132277</v>
      </c>
    </row>
    <row r="483" spans="1:7" x14ac:dyDescent="0.3">
      <c r="A483" t="s">
        <v>519</v>
      </c>
      <c r="B483">
        <v>0.33100502512562818</v>
      </c>
      <c r="C483">
        <v>1.191044236262178</v>
      </c>
      <c r="D483">
        <v>1.0860322297277389</v>
      </c>
      <c r="E483">
        <f t="shared" si="21"/>
        <v>42.359559564559298</v>
      </c>
      <c r="F483">
        <f t="shared" si="22"/>
        <v>41.159790175830231</v>
      </c>
      <c r="G483">
        <f t="shared" si="23"/>
        <v>1.1997693887290666</v>
      </c>
    </row>
    <row r="484" spans="1:7" x14ac:dyDescent="0.3">
      <c r="A484" t="s">
        <v>519</v>
      </c>
      <c r="B484">
        <v>0.33100502512562818</v>
      </c>
      <c r="C484">
        <v>2.3152949369822271</v>
      </c>
      <c r="D484">
        <v>1.927235996445952</v>
      </c>
      <c r="E484">
        <f t="shared" si="21"/>
        <v>39.773770247357348</v>
      </c>
      <c r="F484">
        <f t="shared" si="22"/>
        <v>38.352344899174973</v>
      </c>
      <c r="G484">
        <f t="shared" si="23"/>
        <v>1.4214253481823746</v>
      </c>
    </row>
    <row r="485" spans="1:7" x14ac:dyDescent="0.3">
      <c r="A485" t="s">
        <v>520</v>
      </c>
      <c r="B485">
        <v>0.25530805687203778</v>
      </c>
      <c r="C485">
        <v>0.74551862603214603</v>
      </c>
      <c r="D485">
        <v>0.7878682904996146</v>
      </c>
      <c r="E485">
        <f t="shared" si="21"/>
        <v>46.582014524136277</v>
      </c>
      <c r="F485">
        <f t="shared" si="22"/>
        <v>44.680912794148128</v>
      </c>
      <c r="G485">
        <f t="shared" si="23"/>
        <v>1.9011017299881487</v>
      </c>
    </row>
    <row r="486" spans="1:7" x14ac:dyDescent="0.3">
      <c r="A486" t="s">
        <v>520</v>
      </c>
      <c r="B486">
        <v>0.25530805687203778</v>
      </c>
      <c r="C486">
        <v>1.3689427294461911</v>
      </c>
      <c r="D486">
        <v>1.18353162558797</v>
      </c>
      <c r="E486">
        <f t="shared" si="21"/>
        <v>40.845345928568776</v>
      </c>
      <c r="F486">
        <f t="shared" si="22"/>
        <v>42.074545932560753</v>
      </c>
      <c r="G486">
        <f t="shared" si="23"/>
        <v>-1.229200003991977</v>
      </c>
    </row>
    <row r="487" spans="1:7" x14ac:dyDescent="0.3">
      <c r="A487" t="s">
        <v>520</v>
      </c>
      <c r="B487">
        <v>0.25530805687203778</v>
      </c>
      <c r="C487">
        <v>2.512073078856575</v>
      </c>
      <c r="D487">
        <v>1.7772089553442161</v>
      </c>
      <c r="E487">
        <f t="shared" si="21"/>
        <v>35.278148978677706</v>
      </c>
      <c r="F487">
        <f t="shared" si="22"/>
        <v>39.494954998755617</v>
      </c>
      <c r="G487">
        <f t="shared" si="23"/>
        <v>-4.2168060200779109</v>
      </c>
    </row>
    <row r="488" spans="1:7" x14ac:dyDescent="0.3">
      <c r="A488" t="s">
        <v>521</v>
      </c>
      <c r="B488">
        <v>0.3112376237623764</v>
      </c>
      <c r="C488">
        <v>0.65214805541070553</v>
      </c>
      <c r="D488">
        <v>0.63221605694092076</v>
      </c>
      <c r="E488">
        <f t="shared" si="21"/>
        <v>44.11090031929897</v>
      </c>
      <c r="F488">
        <f t="shared" si="22"/>
        <v>44.134082916033194</v>
      </c>
      <c r="G488">
        <f t="shared" si="23"/>
        <v>-2.3182596734223182E-2</v>
      </c>
    </row>
    <row r="489" spans="1:7" x14ac:dyDescent="0.3">
      <c r="A489" t="s">
        <v>521</v>
      </c>
      <c r="B489">
        <v>0.3112376237623764</v>
      </c>
      <c r="C489">
        <v>1.242947317671828</v>
      </c>
      <c r="D489">
        <v>1.0710107731504219</v>
      </c>
      <c r="E489">
        <f t="shared" si="21"/>
        <v>40.750498540056853</v>
      </c>
      <c r="F489">
        <f t="shared" si="22"/>
        <v>41.372136103062473</v>
      </c>
      <c r="G489">
        <f t="shared" si="23"/>
        <v>-0.62163756300562056</v>
      </c>
    </row>
    <row r="490" spans="1:7" x14ac:dyDescent="0.3">
      <c r="A490" t="s">
        <v>521</v>
      </c>
      <c r="B490">
        <v>0.3112376237623764</v>
      </c>
      <c r="C490">
        <v>2.418692894292509</v>
      </c>
      <c r="D490">
        <v>1.889806716478079</v>
      </c>
      <c r="E490">
        <f t="shared" si="21"/>
        <v>38.001716932943253</v>
      </c>
      <c r="F490">
        <f t="shared" si="22"/>
        <v>38.556608906536063</v>
      </c>
      <c r="G490">
        <f t="shared" si="23"/>
        <v>-0.55489197359280951</v>
      </c>
    </row>
    <row r="491" spans="1:7" x14ac:dyDescent="0.3">
      <c r="A491" t="s">
        <v>522</v>
      </c>
      <c r="B491">
        <v>0.27341346153846158</v>
      </c>
      <c r="C491">
        <v>0.56637118567100042</v>
      </c>
      <c r="D491">
        <v>0.49976916767625429</v>
      </c>
      <c r="E491">
        <f t="shared" si="21"/>
        <v>41.425365494425179</v>
      </c>
      <c r="F491">
        <f t="shared" si="22"/>
        <v>45.499037943640964</v>
      </c>
      <c r="G491">
        <f t="shared" si="23"/>
        <v>-4.0736724492157848</v>
      </c>
    </row>
    <row r="492" spans="1:7" x14ac:dyDescent="0.3">
      <c r="A492" t="s">
        <v>522</v>
      </c>
      <c r="B492">
        <v>0.27341346153846158</v>
      </c>
      <c r="C492">
        <v>1.238691000361746</v>
      </c>
      <c r="D492">
        <v>1.0809855346103769</v>
      </c>
      <c r="E492">
        <f t="shared" si="21"/>
        <v>41.110675598331611</v>
      </c>
      <c r="F492">
        <f t="shared" si="22"/>
        <v>42.141013452917214</v>
      </c>
      <c r="G492">
        <f t="shared" si="23"/>
        <v>-1.0303378545856035</v>
      </c>
    </row>
    <row r="493" spans="1:7" x14ac:dyDescent="0.3">
      <c r="A493" t="s">
        <v>522</v>
      </c>
      <c r="B493">
        <v>0.27341346153846158</v>
      </c>
      <c r="C493">
        <v>1.7394292892217831</v>
      </c>
      <c r="D493">
        <v>1.315965632945316</v>
      </c>
      <c r="E493">
        <f t="shared" si="21"/>
        <v>37.109335855596022</v>
      </c>
      <c r="F493">
        <f t="shared" si="22"/>
        <v>40.693663854389072</v>
      </c>
      <c r="G493">
        <f t="shared" si="23"/>
        <v>-3.5843279987930501</v>
      </c>
    </row>
    <row r="494" spans="1:7" x14ac:dyDescent="0.3">
      <c r="A494" t="s">
        <v>522</v>
      </c>
      <c r="B494">
        <v>0.27341346153846158</v>
      </c>
      <c r="C494">
        <v>2.2885924997381468</v>
      </c>
      <c r="D494">
        <v>1.635386122126971</v>
      </c>
      <c r="E494">
        <f t="shared" si="21"/>
        <v>35.548902386896209</v>
      </c>
      <c r="F494">
        <f t="shared" si="22"/>
        <v>39.53180318826751</v>
      </c>
      <c r="G494">
        <f t="shared" si="23"/>
        <v>-3.9829008013713008</v>
      </c>
    </row>
    <row r="495" spans="1:7" x14ac:dyDescent="0.3">
      <c r="A495" t="s">
        <v>523</v>
      </c>
      <c r="B495">
        <v>0.26732057416267963</v>
      </c>
      <c r="C495">
        <v>0.60680885344667623</v>
      </c>
      <c r="D495">
        <v>0.60099256767540632</v>
      </c>
      <c r="E495">
        <f t="shared" si="21"/>
        <v>44.724088707519336</v>
      </c>
      <c r="F495">
        <f t="shared" si="22"/>
        <v>45.324841412940742</v>
      </c>
      <c r="G495">
        <f t="shared" si="23"/>
        <v>-0.60075270542140657</v>
      </c>
    </row>
    <row r="496" spans="1:7" x14ac:dyDescent="0.3">
      <c r="A496" t="s">
        <v>523</v>
      </c>
      <c r="B496">
        <v>0.26732057416267963</v>
      </c>
      <c r="C496">
        <v>1.232888405280087</v>
      </c>
      <c r="D496">
        <v>1.1153607233702461</v>
      </c>
      <c r="E496">
        <f t="shared" si="21"/>
        <v>42.134790363714686</v>
      </c>
      <c r="F496">
        <f t="shared" si="22"/>
        <v>42.282653969594797</v>
      </c>
      <c r="G496">
        <f t="shared" si="23"/>
        <v>-0.14786360588011149</v>
      </c>
    </row>
    <row r="497" spans="1:7" x14ac:dyDescent="0.3">
      <c r="A497" t="s">
        <v>523</v>
      </c>
      <c r="B497">
        <v>0.26732057416267963</v>
      </c>
      <c r="C497">
        <v>2.2791906700123521</v>
      </c>
      <c r="D497">
        <v>1.7717290381356241</v>
      </c>
      <c r="E497">
        <f t="shared" si="21"/>
        <v>37.859711632401208</v>
      </c>
      <c r="F497">
        <f t="shared" si="22"/>
        <v>39.669153387578049</v>
      </c>
      <c r="G497">
        <f t="shared" si="23"/>
        <v>-1.8094417551768416</v>
      </c>
    </row>
    <row r="498" spans="1:7" x14ac:dyDescent="0.3">
      <c r="A498" t="s">
        <v>524</v>
      </c>
      <c r="B498">
        <v>0.3112376237623764</v>
      </c>
      <c r="C498">
        <v>0.64767089326246952</v>
      </c>
      <c r="D498">
        <v>0.65319363514705309</v>
      </c>
      <c r="E498">
        <f t="shared" si="21"/>
        <v>45.243244314340309</v>
      </c>
      <c r="F498">
        <f t="shared" si="22"/>
        <v>44.163672840166321</v>
      </c>
      <c r="G498">
        <f t="shared" si="23"/>
        <v>1.0795714741739886</v>
      </c>
    </row>
    <row r="499" spans="1:7" x14ac:dyDescent="0.3">
      <c r="A499" t="s">
        <v>524</v>
      </c>
      <c r="B499">
        <v>0.3112376237623764</v>
      </c>
      <c r="C499">
        <v>1.241171536822862</v>
      </c>
      <c r="D499">
        <v>1.108159587260245</v>
      </c>
      <c r="E499">
        <f t="shared" si="21"/>
        <v>41.759547484072513</v>
      </c>
      <c r="F499">
        <f t="shared" si="22"/>
        <v>41.378230702317602</v>
      </c>
      <c r="G499">
        <f t="shared" si="23"/>
        <v>0.38131678175491146</v>
      </c>
    </row>
    <row r="500" spans="1:7" x14ac:dyDescent="0.3">
      <c r="A500" t="s">
        <v>524</v>
      </c>
      <c r="B500">
        <v>0.3112376237623764</v>
      </c>
      <c r="C500">
        <v>2.44168078202854</v>
      </c>
      <c r="D500">
        <v>2.0116370332609068</v>
      </c>
      <c r="E500">
        <f t="shared" si="21"/>
        <v>39.484218609019528</v>
      </c>
      <c r="F500">
        <f t="shared" si="22"/>
        <v>38.51699033164747</v>
      </c>
      <c r="G500">
        <f t="shared" si="23"/>
        <v>0.96722827737205819</v>
      </c>
    </row>
    <row r="501" spans="1:7" x14ac:dyDescent="0.3">
      <c r="A501" t="s">
        <v>525</v>
      </c>
      <c r="B501">
        <v>0.53</v>
      </c>
      <c r="C501">
        <v>0.78865556341755239</v>
      </c>
      <c r="D501">
        <v>0.80179552164244039</v>
      </c>
      <c r="E501">
        <f t="shared" si="21"/>
        <v>45.473354400909365</v>
      </c>
      <c r="F501">
        <f t="shared" si="22"/>
        <v>38.917703776534211</v>
      </c>
      <c r="G501">
        <f t="shared" si="23"/>
        <v>6.5556506243751542</v>
      </c>
    </row>
    <row r="502" spans="1:7" x14ac:dyDescent="0.3">
      <c r="A502" t="s">
        <v>525</v>
      </c>
      <c r="B502">
        <v>0.53</v>
      </c>
      <c r="C502">
        <v>1.6038498801397501</v>
      </c>
      <c r="D502">
        <v>1.4667667740322281</v>
      </c>
      <c r="E502">
        <f t="shared" si="21"/>
        <v>42.443812574951885</v>
      </c>
      <c r="F502">
        <f t="shared" si="22"/>
        <v>35.974336351337733</v>
      </c>
      <c r="G502">
        <f t="shared" si="23"/>
        <v>6.4694762236141514</v>
      </c>
    </row>
    <row r="503" spans="1:7" x14ac:dyDescent="0.3">
      <c r="A503" t="s">
        <v>525</v>
      </c>
      <c r="B503">
        <v>0.53</v>
      </c>
      <c r="C503">
        <v>3.5666740155688901</v>
      </c>
      <c r="D503">
        <v>2.7199964685973681</v>
      </c>
      <c r="E503">
        <f t="shared" si="21"/>
        <v>37.329660034330637</v>
      </c>
      <c r="F503">
        <f t="shared" si="22"/>
        <v>32.775595044901152</v>
      </c>
      <c r="G503">
        <f t="shared" si="23"/>
        <v>4.5540649894294845</v>
      </c>
    </row>
    <row r="504" spans="1:7" x14ac:dyDescent="0.3">
      <c r="A504" t="s">
        <v>526</v>
      </c>
      <c r="B504">
        <v>0.45</v>
      </c>
      <c r="C504">
        <v>0.81158429989106795</v>
      </c>
      <c r="D504">
        <v>0.8902534918327063</v>
      </c>
      <c r="E504">
        <f t="shared" si="21"/>
        <v>47.646671886251227</v>
      </c>
      <c r="F504">
        <f t="shared" si="22"/>
        <v>40.408221707015635</v>
      </c>
      <c r="G504">
        <f t="shared" si="23"/>
        <v>7.238450179235592</v>
      </c>
    </row>
    <row r="505" spans="1:7" x14ac:dyDescent="0.3">
      <c r="A505" t="s">
        <v>526</v>
      </c>
      <c r="B505">
        <v>0.45</v>
      </c>
      <c r="C505">
        <v>1.652442594601603</v>
      </c>
      <c r="D505">
        <v>1.6276976127359519</v>
      </c>
      <c r="E505">
        <f t="shared" si="21"/>
        <v>44.567775753189444</v>
      </c>
      <c r="F505">
        <f t="shared" si="22"/>
        <v>37.422961314312296</v>
      </c>
      <c r="G505">
        <f t="shared" si="23"/>
        <v>7.1448144388771482</v>
      </c>
    </row>
    <row r="506" spans="1:7" x14ac:dyDescent="0.3">
      <c r="A506" t="s">
        <v>526</v>
      </c>
      <c r="B506">
        <v>0.45</v>
      </c>
      <c r="C506">
        <v>3.6374410814175491</v>
      </c>
      <c r="D506">
        <v>2.9556168634563331</v>
      </c>
      <c r="E506">
        <f t="shared" si="21"/>
        <v>39.095718353970277</v>
      </c>
      <c r="F506">
        <f t="shared" si="22"/>
        <v>34.207212475608017</v>
      </c>
      <c r="G506">
        <f t="shared" si="23"/>
        <v>4.8885058783622597</v>
      </c>
    </row>
    <row r="507" spans="1:7" x14ac:dyDescent="0.3">
      <c r="A507" t="s">
        <v>526</v>
      </c>
      <c r="B507">
        <v>0.45</v>
      </c>
      <c r="C507">
        <v>5.4139383574210322</v>
      </c>
      <c r="D507">
        <v>4.1897110898633434</v>
      </c>
      <c r="E507">
        <f t="shared" si="21"/>
        <v>37.735388979165982</v>
      </c>
      <c r="F507">
        <f t="shared" si="22"/>
        <v>32.636193216945024</v>
      </c>
      <c r="G507">
        <f t="shared" si="23"/>
        <v>5.0991957622209583</v>
      </c>
    </row>
    <row r="508" spans="1:7" x14ac:dyDescent="0.3">
      <c r="A508" t="s">
        <v>527</v>
      </c>
      <c r="B508">
        <v>0.36</v>
      </c>
      <c r="C508">
        <v>0.86346219395990886</v>
      </c>
      <c r="D508">
        <v>1.0476488752320989</v>
      </c>
      <c r="E508">
        <f t="shared" si="21"/>
        <v>50.504978964093439</v>
      </c>
      <c r="F508">
        <f t="shared" si="22"/>
        <v>41.952016641577629</v>
      </c>
      <c r="G508">
        <f t="shared" si="23"/>
        <v>8.5529623225158105</v>
      </c>
    </row>
    <row r="509" spans="1:7" x14ac:dyDescent="0.3">
      <c r="A509" t="s">
        <v>527</v>
      </c>
      <c r="B509">
        <v>0.36</v>
      </c>
      <c r="C509">
        <v>1.7205109816986131</v>
      </c>
      <c r="D509">
        <v>1.80236298132184</v>
      </c>
      <c r="E509">
        <f t="shared" si="21"/>
        <v>46.330995811285675</v>
      </c>
      <c r="F509">
        <f t="shared" si="22"/>
        <v>39.027400597187672</v>
      </c>
      <c r="G509">
        <f t="shared" si="23"/>
        <v>7.3035952140980029</v>
      </c>
    </row>
    <row r="510" spans="1:7" x14ac:dyDescent="0.3">
      <c r="A510" t="s">
        <v>527</v>
      </c>
      <c r="B510">
        <v>0.36</v>
      </c>
      <c r="C510">
        <v>3.8650511765383588</v>
      </c>
      <c r="D510">
        <v>3.3749906941109469</v>
      </c>
      <c r="E510">
        <f t="shared" si="21"/>
        <v>41.127697323806785</v>
      </c>
      <c r="F510">
        <f t="shared" si="22"/>
        <v>35.674891814444692</v>
      </c>
      <c r="G510">
        <f t="shared" si="23"/>
        <v>5.4528055093620935</v>
      </c>
    </row>
    <row r="511" spans="1:7" x14ac:dyDescent="0.3">
      <c r="A511" t="s">
        <v>527</v>
      </c>
      <c r="B511">
        <v>0.36</v>
      </c>
      <c r="C511">
        <v>5.6185202272562167</v>
      </c>
      <c r="D511">
        <v>4.5114709656404957</v>
      </c>
      <c r="E511">
        <f t="shared" si="21"/>
        <v>38.763219515462495</v>
      </c>
      <c r="F511">
        <f t="shared" si="22"/>
        <v>34.166044506955622</v>
      </c>
      <c r="G511">
        <f t="shared" si="23"/>
        <v>4.5971750085068734</v>
      </c>
    </row>
    <row r="512" spans="1:7" x14ac:dyDescent="0.3">
      <c r="A512" t="s">
        <v>528</v>
      </c>
      <c r="B512">
        <v>0.4325</v>
      </c>
      <c r="C512">
        <v>0.8120052498433461</v>
      </c>
      <c r="D512">
        <v>0.91275454913018694</v>
      </c>
      <c r="E512">
        <f t="shared" si="21"/>
        <v>48.343049573356545</v>
      </c>
      <c r="F512">
        <f t="shared" si="22"/>
        <v>40.757998484084858</v>
      </c>
      <c r="G512">
        <f t="shared" si="23"/>
        <v>7.5850510892716869</v>
      </c>
    </row>
    <row r="513" spans="1:7" x14ac:dyDescent="0.3">
      <c r="A513" t="s">
        <v>528</v>
      </c>
      <c r="B513">
        <v>0.4325</v>
      </c>
      <c r="C513">
        <v>1.6216323311171961</v>
      </c>
      <c r="D513">
        <v>1.6030270351286331</v>
      </c>
      <c r="E513">
        <f t="shared" si="21"/>
        <v>44.669424585041135</v>
      </c>
      <c r="F513">
        <f t="shared" si="22"/>
        <v>37.845674189034163</v>
      </c>
      <c r="G513">
        <f t="shared" si="23"/>
        <v>6.8237503960069716</v>
      </c>
    </row>
    <row r="514" spans="1:7" x14ac:dyDescent="0.3">
      <c r="A514" t="s">
        <v>528</v>
      </c>
      <c r="B514">
        <v>0.4325</v>
      </c>
      <c r="C514">
        <v>3.7080849198610482</v>
      </c>
      <c r="D514">
        <v>3.1618586260442041</v>
      </c>
      <c r="E514">
        <f t="shared" ref="E514:E577" si="24">DEGREES(ATAN(D514/C514))</f>
        <v>40.454000398988974</v>
      </c>
      <c r="F514">
        <f t="shared" ref="F514:F577" si="25">DEGREES(ATAN(TAN(RADIANS(pe0-omega*B514))*(C514/sref)^(m_-1)))</f>
        <v>34.462021554569482</v>
      </c>
      <c r="G514">
        <f t="shared" ref="G514:G577" si="26">E514-F514</f>
        <v>5.9919788444194921</v>
      </c>
    </row>
    <row r="515" spans="1:7" x14ac:dyDescent="0.3">
      <c r="A515" t="s">
        <v>528</v>
      </c>
      <c r="B515">
        <v>0.4325</v>
      </c>
      <c r="C515">
        <v>5.4686612960911436</v>
      </c>
      <c r="D515">
        <v>4.3886657737126473</v>
      </c>
      <c r="E515">
        <f t="shared" si="24"/>
        <v>38.747457700010045</v>
      </c>
      <c r="F515">
        <f t="shared" si="25"/>
        <v>32.921129354538017</v>
      </c>
      <c r="G515">
        <f t="shared" si="26"/>
        <v>5.826328345472028</v>
      </c>
    </row>
    <row r="516" spans="1:7" x14ac:dyDescent="0.3">
      <c r="A516" t="s">
        <v>529</v>
      </c>
      <c r="B516">
        <v>0.63500000000000001</v>
      </c>
      <c r="C516">
        <v>0.73228040500716784</v>
      </c>
      <c r="D516">
        <v>0.6608222652313942</v>
      </c>
      <c r="E516">
        <f t="shared" si="24"/>
        <v>42.063630144125298</v>
      </c>
      <c r="F516">
        <f t="shared" si="25"/>
        <v>37.102969282890434</v>
      </c>
      <c r="G516">
        <f t="shared" si="26"/>
        <v>4.9606608612348637</v>
      </c>
    </row>
    <row r="517" spans="1:7" x14ac:dyDescent="0.3">
      <c r="A517" t="s">
        <v>529</v>
      </c>
      <c r="B517">
        <v>0.63500000000000001</v>
      </c>
      <c r="C517">
        <v>1.4848720838985121</v>
      </c>
      <c r="D517">
        <v>1.227489668347439</v>
      </c>
      <c r="E517">
        <f t="shared" si="24"/>
        <v>39.579299557507156</v>
      </c>
      <c r="F517">
        <f t="shared" si="25"/>
        <v>34.226549564228229</v>
      </c>
      <c r="G517">
        <f t="shared" si="26"/>
        <v>5.3527499932789269</v>
      </c>
    </row>
    <row r="518" spans="1:7" x14ac:dyDescent="0.3">
      <c r="A518" t="s">
        <v>530</v>
      </c>
      <c r="B518">
        <v>0.54749999999999999</v>
      </c>
      <c r="C518">
        <v>0.78653042544972174</v>
      </c>
      <c r="D518">
        <v>0.80002063671940316</v>
      </c>
      <c r="E518">
        <f t="shared" si="24"/>
        <v>45.487165879779759</v>
      </c>
      <c r="F518">
        <f t="shared" si="25"/>
        <v>38.575911869175961</v>
      </c>
      <c r="G518">
        <f t="shared" si="26"/>
        <v>6.9112540106037983</v>
      </c>
    </row>
    <row r="519" spans="1:7" x14ac:dyDescent="0.3">
      <c r="A519" t="s">
        <v>530</v>
      </c>
      <c r="B519">
        <v>0.54749999999999999</v>
      </c>
      <c r="C519">
        <v>1.5053268818869989</v>
      </c>
      <c r="D519">
        <v>1.292987872994084</v>
      </c>
      <c r="E519">
        <f t="shared" si="24"/>
        <v>40.660652977655921</v>
      </c>
      <c r="F519">
        <f t="shared" si="25"/>
        <v>35.889502811591562</v>
      </c>
      <c r="G519">
        <f t="shared" si="26"/>
        <v>4.7711501660643592</v>
      </c>
    </row>
    <row r="520" spans="1:7" x14ac:dyDescent="0.3">
      <c r="A520" t="s">
        <v>531</v>
      </c>
      <c r="B520">
        <v>0.49249999999999999</v>
      </c>
      <c r="C520">
        <v>0.80611588076791219</v>
      </c>
      <c r="D520">
        <v>0.86285336158833137</v>
      </c>
      <c r="E520">
        <f t="shared" si="24"/>
        <v>46.94705010597503</v>
      </c>
      <c r="F520">
        <f t="shared" si="25"/>
        <v>39.581355399811052</v>
      </c>
      <c r="G520">
        <f t="shared" si="26"/>
        <v>7.3656947061639784</v>
      </c>
    </row>
    <row r="521" spans="1:7" x14ac:dyDescent="0.3">
      <c r="A521" t="s">
        <v>531</v>
      </c>
      <c r="B521">
        <v>0.49249999999999999</v>
      </c>
      <c r="C521">
        <v>1.6097109697709371</v>
      </c>
      <c r="D521">
        <v>1.5210960839786849</v>
      </c>
      <c r="E521">
        <f t="shared" si="24"/>
        <v>43.378723542854949</v>
      </c>
      <c r="F521">
        <f t="shared" si="25"/>
        <v>36.695699395076993</v>
      </c>
      <c r="G521">
        <f t="shared" si="26"/>
        <v>6.6830241477779566</v>
      </c>
    </row>
    <row r="522" spans="1:7" x14ac:dyDescent="0.3">
      <c r="A522" t="s">
        <v>531</v>
      </c>
      <c r="B522">
        <v>0.49249999999999999</v>
      </c>
      <c r="C522">
        <v>3.6367087057955438</v>
      </c>
      <c r="D522">
        <v>2.9284425735892001</v>
      </c>
      <c r="E522">
        <f t="shared" si="24"/>
        <v>38.842591928795898</v>
      </c>
      <c r="F522">
        <f t="shared" si="25"/>
        <v>33.404795431372634</v>
      </c>
      <c r="G522">
        <f t="shared" si="26"/>
        <v>5.437796497423264</v>
      </c>
    </row>
    <row r="523" spans="1:7" x14ac:dyDescent="0.3">
      <c r="A523" t="s">
        <v>531</v>
      </c>
      <c r="B523">
        <v>0.49249999999999999</v>
      </c>
      <c r="C523">
        <v>5.3461178995962468</v>
      </c>
      <c r="D523">
        <v>4.0364680634532082</v>
      </c>
      <c r="E523">
        <f t="shared" si="24"/>
        <v>37.053821963858454</v>
      </c>
      <c r="F523">
        <f t="shared" si="25"/>
        <v>31.900785342969677</v>
      </c>
      <c r="G523">
        <f t="shared" si="26"/>
        <v>5.153036620888777</v>
      </c>
    </row>
    <row r="524" spans="1:7" x14ac:dyDescent="0.3">
      <c r="A524" t="s">
        <v>532</v>
      </c>
      <c r="B524">
        <v>0.37</v>
      </c>
      <c r="C524">
        <v>0.84807659865104401</v>
      </c>
      <c r="D524">
        <v>1.032847759164826</v>
      </c>
      <c r="E524">
        <f t="shared" si="24"/>
        <v>50.610406387032093</v>
      </c>
      <c r="F524">
        <f t="shared" si="25"/>
        <v>41.828208815878767</v>
      </c>
      <c r="G524">
        <f t="shared" si="26"/>
        <v>8.7821975711533256</v>
      </c>
    </row>
    <row r="525" spans="1:7" x14ac:dyDescent="0.3">
      <c r="A525" t="s">
        <v>532</v>
      </c>
      <c r="B525">
        <v>0.37</v>
      </c>
      <c r="C525">
        <v>1.71479587412114</v>
      </c>
      <c r="D525">
        <v>1.8446004554390409</v>
      </c>
      <c r="E525">
        <f t="shared" si="24"/>
        <v>47.088545251100371</v>
      </c>
      <c r="F525">
        <f t="shared" si="25"/>
        <v>38.844083416689358</v>
      </c>
      <c r="G525">
        <f t="shared" si="26"/>
        <v>8.2444618344110125</v>
      </c>
    </row>
    <row r="526" spans="1:7" x14ac:dyDescent="0.3">
      <c r="A526" t="s">
        <v>532</v>
      </c>
      <c r="B526">
        <v>0.37</v>
      </c>
      <c r="C526">
        <v>3.8239172724346759</v>
      </c>
      <c r="D526">
        <v>3.4248102219338121</v>
      </c>
      <c r="E526">
        <f t="shared" si="24"/>
        <v>41.848538672108681</v>
      </c>
      <c r="F526">
        <f t="shared" si="25"/>
        <v>35.527380521399643</v>
      </c>
      <c r="G526">
        <f t="shared" si="26"/>
        <v>6.3211581507090386</v>
      </c>
    </row>
    <row r="527" spans="1:7" x14ac:dyDescent="0.3">
      <c r="A527" t="s">
        <v>532</v>
      </c>
      <c r="B527">
        <v>0.37</v>
      </c>
      <c r="C527">
        <v>5.6255686048028579</v>
      </c>
      <c r="D527">
        <v>4.7074864266088374</v>
      </c>
      <c r="E527">
        <f t="shared" si="24"/>
        <v>39.922656551274407</v>
      </c>
      <c r="F527">
        <f t="shared" si="25"/>
        <v>33.973754685596219</v>
      </c>
      <c r="G527">
        <f t="shared" si="26"/>
        <v>5.948901865678188</v>
      </c>
    </row>
    <row r="528" spans="1:7" x14ac:dyDescent="0.3">
      <c r="A528" t="s">
        <v>533</v>
      </c>
      <c r="B528">
        <v>0.45</v>
      </c>
      <c r="C528">
        <v>0.78575151854339476</v>
      </c>
      <c r="D528">
        <v>0.82235264727366064</v>
      </c>
      <c r="E528">
        <f t="shared" si="24"/>
        <v>46.303850978967084</v>
      </c>
      <c r="F528">
        <f t="shared" si="25"/>
        <v>40.545496399209085</v>
      </c>
      <c r="G528">
        <f t="shared" si="26"/>
        <v>5.7583545797579987</v>
      </c>
    </row>
    <row r="529" spans="1:7" x14ac:dyDescent="0.3">
      <c r="A529" t="s">
        <v>533</v>
      </c>
      <c r="B529">
        <v>0.45</v>
      </c>
      <c r="C529">
        <v>1.599819108340429</v>
      </c>
      <c r="D529">
        <v>1.513430831610735</v>
      </c>
      <c r="E529">
        <f t="shared" si="24"/>
        <v>43.410531134406568</v>
      </c>
      <c r="F529">
        <f t="shared" si="25"/>
        <v>37.557283917857433</v>
      </c>
      <c r="G529">
        <f t="shared" si="26"/>
        <v>5.8532472165491356</v>
      </c>
    </row>
    <row r="530" spans="1:7" x14ac:dyDescent="0.3">
      <c r="A530" t="s">
        <v>533</v>
      </c>
      <c r="B530">
        <v>0.45</v>
      </c>
      <c r="C530">
        <v>3.5822712616708832</v>
      </c>
      <c r="D530">
        <v>2.865192604471567</v>
      </c>
      <c r="E530">
        <f t="shared" si="24"/>
        <v>38.65371816676366</v>
      </c>
      <c r="F530">
        <f t="shared" si="25"/>
        <v>34.268307898202089</v>
      </c>
      <c r="G530">
        <f t="shared" si="26"/>
        <v>4.3854102685615715</v>
      </c>
    </row>
    <row r="531" spans="1:7" x14ac:dyDescent="0.3">
      <c r="A531" t="s">
        <v>533</v>
      </c>
      <c r="B531">
        <v>0.45</v>
      </c>
      <c r="C531">
        <v>5.3855627026518924</v>
      </c>
      <c r="D531">
        <v>4.1717231318125974</v>
      </c>
      <c r="E531">
        <f t="shared" si="24"/>
        <v>37.761803770540013</v>
      </c>
      <c r="F531">
        <f t="shared" si="25"/>
        <v>32.656707727738315</v>
      </c>
      <c r="G531">
        <f t="shared" si="26"/>
        <v>5.1050960428016978</v>
      </c>
    </row>
    <row r="532" spans="1:7" x14ac:dyDescent="0.3">
      <c r="A532" t="s">
        <v>534</v>
      </c>
      <c r="B532">
        <v>0.41</v>
      </c>
      <c r="C532">
        <v>0.83655848893650575</v>
      </c>
      <c r="D532">
        <v>0.95725859480527231</v>
      </c>
      <c r="E532">
        <f t="shared" si="24"/>
        <v>48.849443825746405</v>
      </c>
      <c r="F532">
        <f t="shared" si="25"/>
        <v>41.083477011846291</v>
      </c>
      <c r="G532">
        <f t="shared" si="26"/>
        <v>7.7659668139001141</v>
      </c>
    </row>
    <row r="533" spans="1:7" x14ac:dyDescent="0.3">
      <c r="A533" t="s">
        <v>534</v>
      </c>
      <c r="B533">
        <v>0.41</v>
      </c>
      <c r="C533">
        <v>1.6917675645017609</v>
      </c>
      <c r="D533">
        <v>1.7071982064613811</v>
      </c>
      <c r="E533">
        <f t="shared" si="24"/>
        <v>45.260109882041625</v>
      </c>
      <c r="F533">
        <f t="shared" si="25"/>
        <v>38.112333591927516</v>
      </c>
      <c r="G533">
        <f t="shared" si="26"/>
        <v>7.1477762901141091</v>
      </c>
    </row>
    <row r="534" spans="1:7" x14ac:dyDescent="0.3">
      <c r="A534" t="s">
        <v>534</v>
      </c>
      <c r="B534">
        <v>0.41</v>
      </c>
      <c r="C534">
        <v>3.783285419923712</v>
      </c>
      <c r="D534">
        <v>3.1866551378577159</v>
      </c>
      <c r="E534">
        <f t="shared" si="24"/>
        <v>40.107380437062048</v>
      </c>
      <c r="F534">
        <f t="shared" si="25"/>
        <v>34.808574817705825</v>
      </c>
      <c r="G534">
        <f t="shared" si="26"/>
        <v>5.298805619356223</v>
      </c>
    </row>
    <row r="535" spans="1:7" x14ac:dyDescent="0.3">
      <c r="A535" t="s">
        <v>534</v>
      </c>
      <c r="B535">
        <v>0.41</v>
      </c>
      <c r="C535">
        <v>5.5025003117963864</v>
      </c>
      <c r="D535">
        <v>4.2723524397903008</v>
      </c>
      <c r="E535">
        <f t="shared" si="24"/>
        <v>37.827136611939785</v>
      </c>
      <c r="F535">
        <f t="shared" si="25"/>
        <v>33.31495195556473</v>
      </c>
      <c r="G535">
        <f t="shared" si="26"/>
        <v>4.5121846563750552</v>
      </c>
    </row>
    <row r="536" spans="1:7" x14ac:dyDescent="0.3">
      <c r="A536" t="s">
        <v>535</v>
      </c>
      <c r="B536">
        <v>0.23</v>
      </c>
      <c r="C536">
        <v>0.20307640064507679</v>
      </c>
      <c r="D536">
        <v>0.25278349094916408</v>
      </c>
      <c r="E536">
        <f t="shared" si="24"/>
        <v>51.222962342270854</v>
      </c>
      <c r="F536">
        <f t="shared" si="25"/>
        <v>50.737398930042076</v>
      </c>
      <c r="G536">
        <f t="shared" si="26"/>
        <v>0.48556341222877819</v>
      </c>
    </row>
    <row r="537" spans="1:7" x14ac:dyDescent="0.3">
      <c r="A537" t="s">
        <v>535</v>
      </c>
      <c r="B537">
        <v>0.23</v>
      </c>
      <c r="C537">
        <v>0.38202780988418622</v>
      </c>
      <c r="D537">
        <v>0.41298304528051871</v>
      </c>
      <c r="E537">
        <f t="shared" si="24"/>
        <v>47.229792003857099</v>
      </c>
      <c r="F537">
        <f t="shared" si="25"/>
        <v>48.054897591315445</v>
      </c>
      <c r="G537">
        <f t="shared" si="26"/>
        <v>-0.82510558745834572</v>
      </c>
    </row>
    <row r="538" spans="1:7" x14ac:dyDescent="0.3">
      <c r="A538" t="s">
        <v>535</v>
      </c>
      <c r="B538">
        <v>0.23</v>
      </c>
      <c r="C538">
        <v>0.75205767140784896</v>
      </c>
      <c r="D538">
        <v>0.7420228395543641</v>
      </c>
      <c r="E538">
        <f t="shared" si="24"/>
        <v>44.615184815027121</v>
      </c>
      <c r="F538">
        <f t="shared" si="25"/>
        <v>45.150136476511399</v>
      </c>
      <c r="G538">
        <f t="shared" si="26"/>
        <v>-0.53495166148427842</v>
      </c>
    </row>
    <row r="539" spans="1:7" x14ac:dyDescent="0.3">
      <c r="A539" t="s">
        <v>536</v>
      </c>
      <c r="B539">
        <v>0.34</v>
      </c>
      <c r="C539">
        <v>0.18829322851891739</v>
      </c>
      <c r="D539">
        <v>0.21400536327085151</v>
      </c>
      <c r="E539">
        <f t="shared" si="24"/>
        <v>48.656974674818031</v>
      </c>
      <c r="F539">
        <f t="shared" si="25"/>
        <v>48.881769332402612</v>
      </c>
      <c r="G539">
        <f t="shared" si="26"/>
        <v>-0.22479465758458161</v>
      </c>
    </row>
    <row r="540" spans="1:7" x14ac:dyDescent="0.3">
      <c r="A540" t="s">
        <v>536</v>
      </c>
      <c r="B540">
        <v>0.34</v>
      </c>
      <c r="C540">
        <v>0.35922547297361518</v>
      </c>
      <c r="D540">
        <v>0.36653839928289172</v>
      </c>
      <c r="E540">
        <f t="shared" si="24"/>
        <v>45.577302963166332</v>
      </c>
      <c r="F540">
        <f t="shared" si="25"/>
        <v>46.117654077015246</v>
      </c>
      <c r="G540">
        <f t="shared" si="26"/>
        <v>-0.54035111384891366</v>
      </c>
    </row>
    <row r="541" spans="1:7" x14ac:dyDescent="0.3">
      <c r="A541" t="s">
        <v>536</v>
      </c>
      <c r="B541">
        <v>0.34</v>
      </c>
      <c r="C541">
        <v>0.72672020999772169</v>
      </c>
      <c r="D541">
        <v>0.71512833931731012</v>
      </c>
      <c r="E541">
        <f t="shared" si="24"/>
        <v>44.539375367767732</v>
      </c>
      <c r="F541">
        <f t="shared" si="25"/>
        <v>43.091592685799576</v>
      </c>
      <c r="G541">
        <f t="shared" si="26"/>
        <v>1.4477826819681567</v>
      </c>
    </row>
    <row r="542" spans="1:7" x14ac:dyDescent="0.3">
      <c r="A542" t="s">
        <v>537</v>
      </c>
      <c r="B542">
        <v>0.25</v>
      </c>
      <c r="C542">
        <v>0.21215794852535841</v>
      </c>
      <c r="D542">
        <v>0.24560794189941421</v>
      </c>
      <c r="E542">
        <f t="shared" si="24"/>
        <v>49.179304766525796</v>
      </c>
      <c r="F542">
        <f t="shared" si="25"/>
        <v>50.15958874069208</v>
      </c>
      <c r="G542">
        <f t="shared" si="26"/>
        <v>-0.98028397416628366</v>
      </c>
    </row>
    <row r="543" spans="1:7" x14ac:dyDescent="0.3">
      <c r="A543" t="s">
        <v>537</v>
      </c>
      <c r="B543">
        <v>0.25</v>
      </c>
      <c r="C543">
        <v>0.56905515998033274</v>
      </c>
      <c r="D543">
        <v>0.50847533633772946</v>
      </c>
      <c r="E543">
        <f t="shared" si="24"/>
        <v>41.782162417514733</v>
      </c>
      <c r="F543">
        <f t="shared" si="25"/>
        <v>45.947737731151513</v>
      </c>
      <c r="G543">
        <f t="shared" si="26"/>
        <v>-4.1655753136367792</v>
      </c>
    </row>
    <row r="544" spans="1:7" x14ac:dyDescent="0.3">
      <c r="A544" t="s">
        <v>537</v>
      </c>
      <c r="B544">
        <v>0.25</v>
      </c>
      <c r="C544">
        <v>0.90900199263474901</v>
      </c>
      <c r="D544">
        <v>0.72665036812753214</v>
      </c>
      <c r="E544">
        <f t="shared" si="24"/>
        <v>38.638616246790974</v>
      </c>
      <c r="F544">
        <f t="shared" si="25"/>
        <v>43.935484257165086</v>
      </c>
      <c r="G544">
        <f t="shared" si="26"/>
        <v>-5.2968680103741121</v>
      </c>
    </row>
    <row r="545" spans="1:7" x14ac:dyDescent="0.3">
      <c r="A545" t="s">
        <v>538</v>
      </c>
      <c r="B545">
        <v>0.37734000000000001</v>
      </c>
      <c r="C545">
        <v>0.24339091927861131</v>
      </c>
      <c r="D545">
        <v>0.2025430488632366</v>
      </c>
      <c r="E545">
        <f t="shared" si="24"/>
        <v>39.766271208798386</v>
      </c>
      <c r="F545">
        <f t="shared" si="25"/>
        <v>47.035931024334587</v>
      </c>
      <c r="G545">
        <f t="shared" si="26"/>
        <v>-7.2696598155362011</v>
      </c>
    </row>
    <row r="546" spans="1:7" x14ac:dyDescent="0.3">
      <c r="A546" t="s">
        <v>538</v>
      </c>
      <c r="B546">
        <v>0.37734000000000001</v>
      </c>
      <c r="C546">
        <v>0.26105469694378458</v>
      </c>
      <c r="D546">
        <v>0.20678682010705191</v>
      </c>
      <c r="E546">
        <f t="shared" si="24"/>
        <v>38.38347226399322</v>
      </c>
      <c r="F546">
        <f t="shared" si="25"/>
        <v>46.735519094341996</v>
      </c>
      <c r="G546">
        <f t="shared" si="26"/>
        <v>-8.352046830348776</v>
      </c>
    </row>
    <row r="547" spans="1:7" x14ac:dyDescent="0.3">
      <c r="A547" t="s">
        <v>538</v>
      </c>
      <c r="B547">
        <v>0.37734000000000001</v>
      </c>
      <c r="C547">
        <v>0.30275856518708499</v>
      </c>
      <c r="D547">
        <v>0.24829832749603861</v>
      </c>
      <c r="E547">
        <f t="shared" si="24"/>
        <v>39.355860484900752</v>
      </c>
      <c r="F547">
        <f t="shared" si="25"/>
        <v>46.099444485506112</v>
      </c>
      <c r="G547">
        <f t="shared" si="26"/>
        <v>-6.7435840006053596</v>
      </c>
    </row>
    <row r="548" spans="1:7" x14ac:dyDescent="0.3">
      <c r="A548" t="s">
        <v>539</v>
      </c>
      <c r="B548">
        <v>0.61251875</v>
      </c>
      <c r="C548">
        <v>0.18536620886490951</v>
      </c>
      <c r="D548">
        <v>0.1812024579330892</v>
      </c>
      <c r="E548">
        <f t="shared" si="24"/>
        <v>44.349221257036383</v>
      </c>
      <c r="F548">
        <f t="shared" si="25"/>
        <v>43.378275547558353</v>
      </c>
      <c r="G548">
        <f t="shared" si="26"/>
        <v>0.97094570947803049</v>
      </c>
    </row>
    <row r="549" spans="1:7" x14ac:dyDescent="0.3">
      <c r="A549" t="s">
        <v>539</v>
      </c>
      <c r="B549">
        <v>0.61251875</v>
      </c>
      <c r="C549">
        <v>0.38285598178647168</v>
      </c>
      <c r="D549">
        <v>0.36448745897531681</v>
      </c>
      <c r="E549">
        <f t="shared" si="24"/>
        <v>43.592043595135834</v>
      </c>
      <c r="F549">
        <f t="shared" si="25"/>
        <v>40.282024679924447</v>
      </c>
      <c r="G549">
        <f t="shared" si="26"/>
        <v>3.310018915211387</v>
      </c>
    </row>
    <row r="550" spans="1:7" x14ac:dyDescent="0.3">
      <c r="A550" t="s">
        <v>540</v>
      </c>
      <c r="B550">
        <v>0.53573214285714288</v>
      </c>
      <c r="C550">
        <v>0.20984841071430721</v>
      </c>
      <c r="D550">
        <v>0.24268675117078309</v>
      </c>
      <c r="E550">
        <f t="shared" si="24"/>
        <v>49.150409485234157</v>
      </c>
      <c r="F550">
        <f t="shared" si="25"/>
        <v>44.442406309291179</v>
      </c>
      <c r="G550">
        <f t="shared" si="26"/>
        <v>4.7080031759429772</v>
      </c>
    </row>
    <row r="551" spans="1:7" x14ac:dyDescent="0.3">
      <c r="A551" t="s">
        <v>540</v>
      </c>
      <c r="B551">
        <v>0.53573214285714288</v>
      </c>
      <c r="C551">
        <v>0.39792411050880477</v>
      </c>
      <c r="D551">
        <v>0.39973667847102629</v>
      </c>
      <c r="E551">
        <f t="shared" si="24"/>
        <v>45.130196089616717</v>
      </c>
      <c r="F551">
        <f t="shared" si="25"/>
        <v>41.700029124112554</v>
      </c>
      <c r="G551">
        <f t="shared" si="26"/>
        <v>3.4301669655041636</v>
      </c>
    </row>
    <row r="552" spans="1:7" x14ac:dyDescent="0.3">
      <c r="A552" t="s">
        <v>541</v>
      </c>
      <c r="B552">
        <v>0.46592613636363622</v>
      </c>
      <c r="C552">
        <v>0.24962149101077211</v>
      </c>
      <c r="D552">
        <v>0.34458601739165468</v>
      </c>
      <c r="E552">
        <f t="shared" si="24"/>
        <v>54.080059333102241</v>
      </c>
      <c r="F552">
        <f t="shared" si="25"/>
        <v>45.130085598132943</v>
      </c>
      <c r="G552">
        <f t="shared" si="26"/>
        <v>8.9499737349692978</v>
      </c>
    </row>
    <row r="553" spans="1:7" x14ac:dyDescent="0.3">
      <c r="A553" t="s">
        <v>541</v>
      </c>
      <c r="B553">
        <v>0.46592613636363622</v>
      </c>
      <c r="C553">
        <v>0.43388785649897132</v>
      </c>
      <c r="D553">
        <v>0.47818498586141978</v>
      </c>
      <c r="E553">
        <f t="shared" si="24"/>
        <v>47.780529886526175</v>
      </c>
      <c r="F553">
        <f t="shared" si="25"/>
        <v>42.756725572798544</v>
      </c>
      <c r="G553">
        <f t="shared" si="26"/>
        <v>5.0238043137276307</v>
      </c>
    </row>
    <row r="554" spans="1:7" x14ac:dyDescent="0.3">
      <c r="A554" t="s">
        <v>542</v>
      </c>
      <c r="B554">
        <v>0.48567630057803468</v>
      </c>
      <c r="C554">
        <v>0.2114268563956184</v>
      </c>
      <c r="D554">
        <v>0.23966715294761859</v>
      </c>
      <c r="E554">
        <f t="shared" si="24"/>
        <v>48.582270821583812</v>
      </c>
      <c r="F554">
        <f t="shared" si="25"/>
        <v>45.439719134852766</v>
      </c>
      <c r="G554">
        <f t="shared" si="26"/>
        <v>3.1425516867310463</v>
      </c>
    </row>
    <row r="555" spans="1:7" x14ac:dyDescent="0.3">
      <c r="A555" t="s">
        <v>542</v>
      </c>
      <c r="B555">
        <v>0.48567630057803468</v>
      </c>
      <c r="C555">
        <v>0.38641374212832807</v>
      </c>
      <c r="D555">
        <v>0.36896565992551789</v>
      </c>
      <c r="E555">
        <f t="shared" si="24"/>
        <v>43.676792440748152</v>
      </c>
      <c r="F555">
        <f t="shared" si="25"/>
        <v>42.850427655451689</v>
      </c>
      <c r="G555">
        <f t="shared" si="26"/>
        <v>0.8263647852964624</v>
      </c>
    </row>
    <row r="556" spans="1:7" x14ac:dyDescent="0.3">
      <c r="A556" t="s">
        <v>543</v>
      </c>
      <c r="B556">
        <v>0.44394382022471901</v>
      </c>
      <c r="C556">
        <v>0.21728745999110441</v>
      </c>
      <c r="D556">
        <v>0.26945896663355151</v>
      </c>
      <c r="E556">
        <f t="shared" si="24"/>
        <v>51.117843150973918</v>
      </c>
      <c r="F556">
        <f t="shared" si="25"/>
        <v>46.174156332100253</v>
      </c>
      <c r="G556">
        <f t="shared" si="26"/>
        <v>4.9436868188736653</v>
      </c>
    </row>
    <row r="557" spans="1:7" x14ac:dyDescent="0.3">
      <c r="A557" t="s">
        <v>543</v>
      </c>
      <c r="B557">
        <v>0.44394382022471901</v>
      </c>
      <c r="C557">
        <v>0.39569736847675718</v>
      </c>
      <c r="D557">
        <v>0.4123915864527718</v>
      </c>
      <c r="E557">
        <f t="shared" si="24"/>
        <v>46.183498654917919</v>
      </c>
      <c r="F557">
        <f t="shared" si="25"/>
        <v>43.59918942392413</v>
      </c>
      <c r="G557">
        <f t="shared" si="26"/>
        <v>2.5843092309937887</v>
      </c>
    </row>
    <row r="558" spans="1:7" x14ac:dyDescent="0.3">
      <c r="A558" t="s">
        <v>544</v>
      </c>
      <c r="B558">
        <v>0.41220879120879128</v>
      </c>
      <c r="C558">
        <v>0.2192428484423207</v>
      </c>
      <c r="D558">
        <v>0.28984449292947012</v>
      </c>
      <c r="E558">
        <f t="shared" si="24"/>
        <v>52.89557633561337</v>
      </c>
      <c r="F558">
        <f t="shared" si="25"/>
        <v>46.779712117805403</v>
      </c>
      <c r="G558">
        <f t="shared" si="26"/>
        <v>6.1158642178079674</v>
      </c>
    </row>
    <row r="559" spans="1:7" x14ac:dyDescent="0.3">
      <c r="A559" t="s">
        <v>544</v>
      </c>
      <c r="B559">
        <v>0.41220879120879128</v>
      </c>
      <c r="C559">
        <v>0.39860115284604042</v>
      </c>
      <c r="D559">
        <v>0.44412310444383207</v>
      </c>
      <c r="E559">
        <f t="shared" si="24"/>
        <v>48.091976137796131</v>
      </c>
      <c r="F559">
        <f t="shared" si="25"/>
        <v>44.212181432491164</v>
      </c>
      <c r="G559">
        <f t="shared" si="26"/>
        <v>3.8797947053049668</v>
      </c>
    </row>
    <row r="560" spans="1:7" x14ac:dyDescent="0.3">
      <c r="A560" t="s">
        <v>545</v>
      </c>
      <c r="B560">
        <v>0.65386538461538457</v>
      </c>
      <c r="C560">
        <v>0.2011463244756076</v>
      </c>
      <c r="D560">
        <v>0.211718390019589</v>
      </c>
      <c r="E560">
        <f t="shared" si="24"/>
        <v>46.466830111887866</v>
      </c>
      <c r="F560">
        <f t="shared" si="25"/>
        <v>42.159541156105803</v>
      </c>
      <c r="G560">
        <f t="shared" si="26"/>
        <v>4.3072889557820631</v>
      </c>
    </row>
    <row r="561" spans="1:7" x14ac:dyDescent="0.3">
      <c r="A561" t="s">
        <v>545</v>
      </c>
      <c r="B561">
        <v>0.65386538461538457</v>
      </c>
      <c r="C561">
        <v>0.38873059366238921</v>
      </c>
      <c r="D561">
        <v>0.36394285537368048</v>
      </c>
      <c r="E561">
        <f t="shared" si="24"/>
        <v>43.11376411319312</v>
      </c>
      <c r="F561">
        <f t="shared" si="25"/>
        <v>39.360441355144005</v>
      </c>
      <c r="G561">
        <f t="shared" si="26"/>
        <v>3.7533227580491157</v>
      </c>
    </row>
    <row r="562" spans="1:7" x14ac:dyDescent="0.3">
      <c r="A562" t="s">
        <v>546</v>
      </c>
      <c r="B562">
        <v>0.58284049079754596</v>
      </c>
      <c r="C562">
        <v>0.204375776357098</v>
      </c>
      <c r="D562">
        <v>0.24374951311076209</v>
      </c>
      <c r="E562">
        <f t="shared" si="24"/>
        <v>50.021297538136345</v>
      </c>
      <c r="F562">
        <f t="shared" si="25"/>
        <v>43.579058379719086</v>
      </c>
      <c r="G562">
        <f t="shared" si="26"/>
        <v>6.4422391584172587</v>
      </c>
    </row>
    <row r="563" spans="1:7" x14ac:dyDescent="0.3">
      <c r="A563" t="s">
        <v>546</v>
      </c>
      <c r="B563">
        <v>0.58284049079754596</v>
      </c>
      <c r="C563">
        <v>0.39070458885955772</v>
      </c>
      <c r="D563">
        <v>0.41419735834846588</v>
      </c>
      <c r="E563">
        <f t="shared" si="24"/>
        <v>46.671824147771083</v>
      </c>
      <c r="F563">
        <f t="shared" si="25"/>
        <v>40.808967419481654</v>
      </c>
      <c r="G563">
        <f t="shared" si="26"/>
        <v>5.8628567282894295</v>
      </c>
    </row>
    <row r="564" spans="1:7" x14ac:dyDescent="0.3">
      <c r="A564" t="s">
        <v>547</v>
      </c>
      <c r="B564">
        <v>0.53573214285714288</v>
      </c>
      <c r="C564">
        <v>0.23328570652623529</v>
      </c>
      <c r="D564">
        <v>0.32389405391078502</v>
      </c>
      <c r="E564">
        <f t="shared" si="24"/>
        <v>54.236562157986327</v>
      </c>
      <c r="F564">
        <f t="shared" si="25"/>
        <v>43.987602575978109</v>
      </c>
      <c r="G564">
        <f t="shared" si="26"/>
        <v>10.248959582008219</v>
      </c>
    </row>
    <row r="565" spans="1:7" x14ac:dyDescent="0.3">
      <c r="A565" t="s">
        <v>547</v>
      </c>
      <c r="B565">
        <v>0.53573214285714288</v>
      </c>
      <c r="C565">
        <v>0.42216657709321309</v>
      </c>
      <c r="D565">
        <v>0.48702703064866182</v>
      </c>
      <c r="E565">
        <f t="shared" si="24"/>
        <v>49.080478805639125</v>
      </c>
      <c r="F565">
        <f t="shared" si="25"/>
        <v>41.447715518254618</v>
      </c>
      <c r="G565">
        <f t="shared" si="26"/>
        <v>7.6327632873845062</v>
      </c>
    </row>
    <row r="566" spans="1:7" x14ac:dyDescent="0.3">
      <c r="A566" t="s">
        <v>548</v>
      </c>
      <c r="B566">
        <v>0.84287857142857137</v>
      </c>
      <c r="C566">
        <v>0.18193441891561721</v>
      </c>
      <c r="D566">
        <v>0.17705864463030629</v>
      </c>
      <c r="E566">
        <f t="shared" si="24"/>
        <v>44.221867659377139</v>
      </c>
      <c r="F566">
        <f t="shared" si="25"/>
        <v>38.531329845496778</v>
      </c>
      <c r="G566">
        <f t="shared" si="26"/>
        <v>5.6905378138803613</v>
      </c>
    </row>
    <row r="567" spans="1:7" x14ac:dyDescent="0.3">
      <c r="A567" t="s">
        <v>548</v>
      </c>
      <c r="B567">
        <v>0.84287857142857137</v>
      </c>
      <c r="C567">
        <v>0.37909662405328681</v>
      </c>
      <c r="D567">
        <v>0.36636612082916731</v>
      </c>
      <c r="E567">
        <f t="shared" si="24"/>
        <v>44.021636940670675</v>
      </c>
      <c r="F567">
        <f t="shared" si="25"/>
        <v>35.499957604528461</v>
      </c>
      <c r="G567">
        <f t="shared" si="26"/>
        <v>8.5216793361422134</v>
      </c>
    </row>
    <row r="568" spans="1:7" x14ac:dyDescent="0.3">
      <c r="A568" t="s">
        <v>549</v>
      </c>
      <c r="B568">
        <v>0.7315637583892618</v>
      </c>
      <c r="C568">
        <v>0.20387066640101609</v>
      </c>
      <c r="D568">
        <v>0.22195380770091411</v>
      </c>
      <c r="E568">
        <f t="shared" si="24"/>
        <v>47.431672188800825</v>
      </c>
      <c r="F568">
        <f t="shared" si="25"/>
        <v>40.454050829012708</v>
      </c>
      <c r="G568">
        <f t="shared" si="26"/>
        <v>6.9776213597881167</v>
      </c>
    </row>
    <row r="569" spans="1:7" x14ac:dyDescent="0.3">
      <c r="A569" t="s">
        <v>549</v>
      </c>
      <c r="B569">
        <v>0.7315637583892618</v>
      </c>
      <c r="C569">
        <v>0.40694496940458019</v>
      </c>
      <c r="D569">
        <v>0.40344588792275138</v>
      </c>
      <c r="E569">
        <f t="shared" si="24"/>
        <v>44.752611528859951</v>
      </c>
      <c r="F569">
        <f t="shared" si="25"/>
        <v>37.550088817733844</v>
      </c>
      <c r="G569">
        <f t="shared" si="26"/>
        <v>7.2025227111261074</v>
      </c>
    </row>
    <row r="570" spans="1:7" x14ac:dyDescent="0.3">
      <c r="A570" t="s">
        <v>550</v>
      </c>
      <c r="B570">
        <v>0.65386538461538457</v>
      </c>
      <c r="C570">
        <v>0.24071865150479019</v>
      </c>
      <c r="D570">
        <v>0.31086732685132412</v>
      </c>
      <c r="E570">
        <f t="shared" si="24"/>
        <v>52.247758912883185</v>
      </c>
      <c r="F570">
        <f t="shared" si="25"/>
        <v>41.392688444888769</v>
      </c>
      <c r="G570">
        <f t="shared" si="26"/>
        <v>10.855070467994416</v>
      </c>
    </row>
    <row r="571" spans="1:7" x14ac:dyDescent="0.3">
      <c r="A571" t="s">
        <v>550</v>
      </c>
      <c r="B571">
        <v>0.65386538461538457</v>
      </c>
      <c r="C571">
        <v>0.41800404072315628</v>
      </c>
      <c r="D571">
        <v>0.43063215205347571</v>
      </c>
      <c r="E571">
        <f t="shared" si="24"/>
        <v>45.852525607248396</v>
      </c>
      <c r="F571">
        <f t="shared" si="25"/>
        <v>39.054803565981537</v>
      </c>
      <c r="G571">
        <f t="shared" si="26"/>
        <v>6.7977220412668586</v>
      </c>
    </row>
    <row r="572" spans="1:7" x14ac:dyDescent="0.3">
      <c r="A572" t="s">
        <v>551</v>
      </c>
      <c r="B572">
        <v>0.57660714285714287</v>
      </c>
      <c r="C572">
        <v>0.17212834485007181</v>
      </c>
      <c r="D572">
        <v>0.14162247303800851</v>
      </c>
      <c r="E572">
        <f t="shared" si="24"/>
        <v>39.446609253061418</v>
      </c>
      <c r="F572">
        <f t="shared" si="25"/>
        <v>44.446275475645741</v>
      </c>
      <c r="G572">
        <f t="shared" si="26"/>
        <v>-4.9996662225843238</v>
      </c>
    </row>
    <row r="573" spans="1:7" x14ac:dyDescent="0.3">
      <c r="A573" t="s">
        <v>551</v>
      </c>
      <c r="B573">
        <v>0.57660714285714287</v>
      </c>
      <c r="C573">
        <v>0.27075619531776868</v>
      </c>
      <c r="D573">
        <v>0.22752659288108959</v>
      </c>
      <c r="E573">
        <f t="shared" si="24"/>
        <v>40.041596004168902</v>
      </c>
      <c r="F573">
        <f t="shared" si="25"/>
        <v>42.502877970318693</v>
      </c>
      <c r="G573">
        <f t="shared" si="26"/>
        <v>-2.4612819661497909</v>
      </c>
    </row>
    <row r="574" spans="1:7" x14ac:dyDescent="0.3">
      <c r="A574" t="s">
        <v>552</v>
      </c>
      <c r="B574">
        <v>0.3112376237623764</v>
      </c>
      <c r="C574">
        <v>0.20616776485998339</v>
      </c>
      <c r="D574">
        <v>0.26389149759044911</v>
      </c>
      <c r="E574">
        <f t="shared" si="24"/>
        <v>52.000926127843229</v>
      </c>
      <c r="F574">
        <f t="shared" si="25"/>
        <v>49.068759283420412</v>
      </c>
      <c r="G574">
        <f t="shared" si="26"/>
        <v>2.9321668444228166</v>
      </c>
    </row>
    <row r="575" spans="1:7" x14ac:dyDescent="0.3">
      <c r="A575" t="s">
        <v>552</v>
      </c>
      <c r="B575">
        <v>0.3112376237623764</v>
      </c>
      <c r="C575">
        <v>0.31448649181927868</v>
      </c>
      <c r="D575">
        <v>0.38534948489557852</v>
      </c>
      <c r="E575">
        <f t="shared" si="24"/>
        <v>50.78186776122817</v>
      </c>
      <c r="F575">
        <f t="shared" si="25"/>
        <v>47.265652456797547</v>
      </c>
      <c r="G575">
        <f t="shared" si="26"/>
        <v>3.5162153044306237</v>
      </c>
    </row>
    <row r="576" spans="1:7" x14ac:dyDescent="0.3">
      <c r="A576" t="s">
        <v>553</v>
      </c>
      <c r="B576">
        <v>0.29204878048780492</v>
      </c>
      <c r="C576">
        <v>0.2453648961000274</v>
      </c>
      <c r="D576">
        <v>0.36903231676534948</v>
      </c>
      <c r="E576">
        <f t="shared" si="24"/>
        <v>56.380571853995832</v>
      </c>
      <c r="F576">
        <f t="shared" si="25"/>
        <v>48.709466642638638</v>
      </c>
      <c r="G576">
        <f t="shared" si="26"/>
        <v>7.6711052113571938</v>
      </c>
    </row>
    <row r="577" spans="1:7" x14ac:dyDescent="0.3">
      <c r="A577" t="s">
        <v>553</v>
      </c>
      <c r="B577">
        <v>0.29204878048780492</v>
      </c>
      <c r="C577">
        <v>0.36696284373743943</v>
      </c>
      <c r="D577">
        <v>0.50860954488148846</v>
      </c>
      <c r="E577">
        <f t="shared" si="24"/>
        <v>54.189473210126728</v>
      </c>
      <c r="F577">
        <f t="shared" si="25"/>
        <v>46.988600013145451</v>
      </c>
      <c r="G577">
        <f t="shared" si="26"/>
        <v>7.2008731969812771</v>
      </c>
    </row>
    <row r="578" spans="1:7" x14ac:dyDescent="0.3">
      <c r="A578" t="s">
        <v>554</v>
      </c>
      <c r="B578">
        <v>0.26128571428571429</v>
      </c>
      <c r="C578">
        <v>0.24773686483813831</v>
      </c>
      <c r="D578">
        <v>0.37415070323473543</v>
      </c>
      <c r="E578">
        <f t="shared" ref="E578:E641" si="27">DEGREES(ATAN(D578/C578))</f>
        <v>56.490213343283074</v>
      </c>
      <c r="F578">
        <f t="shared" ref="F578:F641" si="28">DEGREES(ATAN(TAN(RADIANS(pe0-omega*B578))*(C578/sref)^(m_-1)))</f>
        <v>49.279401433806321</v>
      </c>
      <c r="G578">
        <f t="shared" ref="G578:G641" si="29">E578-F578</f>
        <v>7.2108119094767531</v>
      </c>
    </row>
    <row r="579" spans="1:7" x14ac:dyDescent="0.3">
      <c r="A579" t="s">
        <v>554</v>
      </c>
      <c r="B579">
        <v>0.26128571428571429</v>
      </c>
      <c r="C579">
        <v>0.36493089891796571</v>
      </c>
      <c r="D579">
        <v>0.50268352487388956</v>
      </c>
      <c r="E579">
        <f t="shared" si="27"/>
        <v>54.021644637679394</v>
      </c>
      <c r="F579">
        <f t="shared" si="28"/>
        <v>47.627240825117909</v>
      </c>
      <c r="G579">
        <f t="shared" si="29"/>
        <v>6.3944038125614853</v>
      </c>
    </row>
    <row r="580" spans="1:7" x14ac:dyDescent="0.3">
      <c r="A580" t="s">
        <v>555</v>
      </c>
      <c r="B580">
        <v>0.25530805687203778</v>
      </c>
      <c r="C580">
        <v>0.2491734473787495</v>
      </c>
      <c r="D580">
        <v>0.3771801865935675</v>
      </c>
      <c r="E580">
        <f t="shared" si="27"/>
        <v>56.550380125289252</v>
      </c>
      <c r="F580">
        <f t="shared" si="28"/>
        <v>49.373237382667845</v>
      </c>
      <c r="G580">
        <f t="shared" si="29"/>
        <v>7.1771427426214061</v>
      </c>
    </row>
    <row r="581" spans="1:7" x14ac:dyDescent="0.3">
      <c r="A581" t="s">
        <v>555</v>
      </c>
      <c r="B581">
        <v>0.25530805687203778</v>
      </c>
      <c r="C581">
        <v>0.3594744483140323</v>
      </c>
      <c r="D581">
        <v>0.48921059165046549</v>
      </c>
      <c r="E581">
        <f t="shared" si="27"/>
        <v>53.691363649863696</v>
      </c>
      <c r="F581">
        <f t="shared" si="28"/>
        <v>47.810909721163981</v>
      </c>
      <c r="G581">
        <f t="shared" si="29"/>
        <v>5.8804539286997155</v>
      </c>
    </row>
    <row r="582" spans="1:7" x14ac:dyDescent="0.3">
      <c r="A582" t="s">
        <v>556</v>
      </c>
      <c r="B582">
        <v>0.38</v>
      </c>
      <c r="C582">
        <v>0.17089740449685051</v>
      </c>
      <c r="D582">
        <v>0.16776733019773829</v>
      </c>
      <c r="E582">
        <f t="shared" si="27"/>
        <v>44.470464674153135</v>
      </c>
      <c r="F582">
        <f t="shared" si="28"/>
        <v>48.494704311658552</v>
      </c>
      <c r="G582">
        <f t="shared" si="29"/>
        <v>-4.024239637505417</v>
      </c>
    </row>
    <row r="583" spans="1:7" x14ac:dyDescent="0.3">
      <c r="A583" t="s">
        <v>556</v>
      </c>
      <c r="B583">
        <v>0.38</v>
      </c>
      <c r="C583">
        <v>0.67482146330809067</v>
      </c>
      <c r="D583">
        <v>0.61931930234268562</v>
      </c>
      <c r="E583">
        <f t="shared" si="27"/>
        <v>42.544245487546149</v>
      </c>
      <c r="F583">
        <f t="shared" si="28"/>
        <v>42.604514392175233</v>
      </c>
      <c r="G583">
        <f t="shared" si="29"/>
        <v>-6.0268904629083409E-2</v>
      </c>
    </row>
    <row r="584" spans="1:7" x14ac:dyDescent="0.3">
      <c r="A584" t="s">
        <v>557</v>
      </c>
      <c r="B584">
        <v>0.37</v>
      </c>
      <c r="C584">
        <v>0.1839086772315543</v>
      </c>
      <c r="D584">
        <v>0.2114991791591293</v>
      </c>
      <c r="E584">
        <f t="shared" si="27"/>
        <v>48.991476534332946</v>
      </c>
      <c r="F584">
        <f t="shared" si="28"/>
        <v>48.382205153800292</v>
      </c>
      <c r="G584">
        <f t="shared" si="29"/>
        <v>0.60927138053265395</v>
      </c>
    </row>
    <row r="585" spans="1:7" x14ac:dyDescent="0.3">
      <c r="A585" t="s">
        <v>557</v>
      </c>
      <c r="B585">
        <v>0.37</v>
      </c>
      <c r="C585">
        <v>0.70102449404928646</v>
      </c>
      <c r="D585">
        <v>0.69355602381922354</v>
      </c>
      <c r="E585">
        <f t="shared" si="27"/>
        <v>44.693163838601748</v>
      </c>
      <c r="F585">
        <f t="shared" si="28"/>
        <v>42.642678221898727</v>
      </c>
      <c r="G585">
        <f t="shared" si="29"/>
        <v>2.0504856167030212</v>
      </c>
    </row>
    <row r="586" spans="1:7" x14ac:dyDescent="0.3">
      <c r="A586" t="s">
        <v>558</v>
      </c>
      <c r="B586">
        <v>0.42403225806451622</v>
      </c>
      <c r="C586">
        <v>0.31662357644452421</v>
      </c>
      <c r="D586">
        <v>0.27383015374438152</v>
      </c>
      <c r="E586">
        <f t="shared" si="27"/>
        <v>40.854708222472546</v>
      </c>
      <c r="F586">
        <f t="shared" si="28"/>
        <v>44.961538604514608</v>
      </c>
      <c r="G586">
        <f t="shared" si="29"/>
        <v>-4.1068303820420624</v>
      </c>
    </row>
    <row r="587" spans="1:7" x14ac:dyDescent="0.3">
      <c r="A587" t="s">
        <v>558</v>
      </c>
      <c r="B587">
        <v>0.42403225806451622</v>
      </c>
      <c r="C587">
        <v>0.67100957414675988</v>
      </c>
      <c r="D587">
        <v>0.56568096519910682</v>
      </c>
      <c r="E587">
        <f t="shared" si="27"/>
        <v>40.131881722072023</v>
      </c>
      <c r="F587">
        <f t="shared" si="28"/>
        <v>41.741105413442554</v>
      </c>
      <c r="G587">
        <f t="shared" si="29"/>
        <v>-1.6092236913705307</v>
      </c>
    </row>
    <row r="588" spans="1:7" x14ac:dyDescent="0.3">
      <c r="A588" t="s">
        <v>558</v>
      </c>
      <c r="B588">
        <v>0.42403225806451622</v>
      </c>
      <c r="C588">
        <v>0.98774693705184491</v>
      </c>
      <c r="D588">
        <v>0.79615716806894854</v>
      </c>
      <c r="E588">
        <f t="shared" si="27"/>
        <v>38.86997948296294</v>
      </c>
      <c r="F588">
        <f t="shared" si="28"/>
        <v>40.096694641495951</v>
      </c>
      <c r="G588">
        <f t="shared" si="29"/>
        <v>-1.2267151585330112</v>
      </c>
    </row>
    <row r="589" spans="1:7" x14ac:dyDescent="0.3">
      <c r="A589" t="s">
        <v>559</v>
      </c>
      <c r="B589">
        <v>0.42403225806451622</v>
      </c>
      <c r="C589">
        <v>0.32065319693369221</v>
      </c>
      <c r="D589">
        <v>0.28312380090045047</v>
      </c>
      <c r="E589">
        <f t="shared" si="27"/>
        <v>41.443201455523912</v>
      </c>
      <c r="F589">
        <f t="shared" si="28"/>
        <v>44.907194237992556</v>
      </c>
      <c r="G589">
        <f t="shared" si="29"/>
        <v>-3.4639927824686438</v>
      </c>
    </row>
    <row r="590" spans="1:7" x14ac:dyDescent="0.3">
      <c r="A590" t="s">
        <v>559</v>
      </c>
      <c r="B590">
        <v>0.42403225806451622</v>
      </c>
      <c r="C590">
        <v>0.67507260663865609</v>
      </c>
      <c r="D590">
        <v>0.57308905007253219</v>
      </c>
      <c r="E590">
        <f t="shared" si="27"/>
        <v>40.328909536066675</v>
      </c>
      <c r="F590">
        <f t="shared" si="28"/>
        <v>41.715332978686078</v>
      </c>
      <c r="G590">
        <f t="shared" si="29"/>
        <v>-1.3864234426194031</v>
      </c>
    </row>
    <row r="591" spans="1:7" x14ac:dyDescent="0.3">
      <c r="A591" t="s">
        <v>559</v>
      </c>
      <c r="B591">
        <v>0.42403225806451622</v>
      </c>
      <c r="C591">
        <v>0.99059258282264184</v>
      </c>
      <c r="D591">
        <v>0.79827219403241745</v>
      </c>
      <c r="E591">
        <f t="shared" si="27"/>
        <v>38.863714919959534</v>
      </c>
      <c r="F591">
        <f t="shared" si="28"/>
        <v>40.084513566700331</v>
      </c>
      <c r="G591">
        <f t="shared" si="29"/>
        <v>-1.2207986467407963</v>
      </c>
    </row>
    <row r="592" spans="1:7" x14ac:dyDescent="0.3">
      <c r="A592" t="s">
        <v>560</v>
      </c>
      <c r="B592">
        <v>0.34451776649746207</v>
      </c>
      <c r="C592">
        <v>0.2306984313096114</v>
      </c>
      <c r="D592">
        <v>0.2349643035975375</v>
      </c>
      <c r="E592">
        <f t="shared" si="27"/>
        <v>45.524864076089642</v>
      </c>
      <c r="F592">
        <f t="shared" si="28"/>
        <v>47.924817303472764</v>
      </c>
      <c r="G592">
        <f t="shared" si="29"/>
        <v>-2.3999532273831221</v>
      </c>
    </row>
    <row r="593" spans="1:7" x14ac:dyDescent="0.3">
      <c r="A593" t="s">
        <v>560</v>
      </c>
      <c r="B593">
        <v>0.34451776649746207</v>
      </c>
      <c r="C593">
        <v>0.42280765552380728</v>
      </c>
      <c r="D593">
        <v>0.39085829377518388</v>
      </c>
      <c r="E593">
        <f t="shared" si="27"/>
        <v>42.751382295331283</v>
      </c>
      <c r="F593">
        <f t="shared" si="28"/>
        <v>45.326645125254196</v>
      </c>
      <c r="G593">
        <f t="shared" si="29"/>
        <v>-2.575262829922913</v>
      </c>
    </row>
    <row r="594" spans="1:7" x14ac:dyDescent="0.3">
      <c r="A594" t="s">
        <v>560</v>
      </c>
      <c r="B594">
        <v>0.34451776649746207</v>
      </c>
      <c r="C594">
        <v>0.8521722700157921</v>
      </c>
      <c r="D594">
        <v>0.76862593393398604</v>
      </c>
      <c r="E594">
        <f t="shared" si="27"/>
        <v>42.049219589700414</v>
      </c>
      <c r="F594">
        <f t="shared" si="28"/>
        <v>42.318802324221153</v>
      </c>
      <c r="G594">
        <f t="shared" si="29"/>
        <v>-0.26958273452073911</v>
      </c>
    </row>
    <row r="595" spans="1:7" x14ac:dyDescent="0.3">
      <c r="A595" t="s">
        <v>561</v>
      </c>
      <c r="B595">
        <v>0.34451776649746207</v>
      </c>
      <c r="C595">
        <v>0.22662285533592991</v>
      </c>
      <c r="D595">
        <v>0.23012252220447629</v>
      </c>
      <c r="E595">
        <f t="shared" si="27"/>
        <v>45.439002182024772</v>
      </c>
      <c r="F595">
        <f t="shared" si="28"/>
        <v>48.001001679411338</v>
      </c>
      <c r="G595">
        <f t="shared" si="29"/>
        <v>-2.5619994973865658</v>
      </c>
    </row>
    <row r="596" spans="1:7" x14ac:dyDescent="0.3">
      <c r="A596" t="s">
        <v>561</v>
      </c>
      <c r="B596">
        <v>0.34451776649746207</v>
      </c>
      <c r="C596">
        <v>0.43025038993312209</v>
      </c>
      <c r="D596">
        <v>0.41665279308118752</v>
      </c>
      <c r="E596">
        <f t="shared" si="27"/>
        <v>44.080156986328198</v>
      </c>
      <c r="F596">
        <f t="shared" si="28"/>
        <v>45.251663197220509</v>
      </c>
      <c r="G596">
        <f t="shared" si="29"/>
        <v>-1.1715062108923107</v>
      </c>
    </row>
    <row r="597" spans="1:7" x14ac:dyDescent="0.3">
      <c r="A597" t="s">
        <v>561</v>
      </c>
      <c r="B597">
        <v>0.34451776649746207</v>
      </c>
      <c r="C597">
        <v>0.84979745050392119</v>
      </c>
      <c r="D597">
        <v>0.78388156174634249</v>
      </c>
      <c r="E597">
        <f t="shared" si="27"/>
        <v>42.689475872842934</v>
      </c>
      <c r="F597">
        <f t="shared" si="28"/>
        <v>42.330742111255788</v>
      </c>
      <c r="G597">
        <f t="shared" si="29"/>
        <v>0.3587337615871462</v>
      </c>
    </row>
    <row r="598" spans="1:7" x14ac:dyDescent="0.3">
      <c r="A598" t="s">
        <v>562</v>
      </c>
      <c r="B598">
        <v>0.44927536231884058</v>
      </c>
      <c r="C598">
        <v>0.1816578799352041</v>
      </c>
      <c r="D598">
        <v>0.17817495863005839</v>
      </c>
      <c r="E598">
        <f t="shared" si="27"/>
        <v>44.445435663239557</v>
      </c>
      <c r="F598">
        <f t="shared" si="28"/>
        <v>46.834240649515642</v>
      </c>
      <c r="G598">
        <f t="shared" si="29"/>
        <v>-2.3888049862760852</v>
      </c>
    </row>
    <row r="599" spans="1:7" x14ac:dyDescent="0.3">
      <c r="A599" t="s">
        <v>562</v>
      </c>
      <c r="B599">
        <v>0.44927536231884058</v>
      </c>
      <c r="C599">
        <v>0.36286401435260118</v>
      </c>
      <c r="D599">
        <v>0.33483433922477418</v>
      </c>
      <c r="E599">
        <f t="shared" si="27"/>
        <v>42.699408489839065</v>
      </c>
      <c r="F599">
        <f t="shared" si="28"/>
        <v>43.862559960130554</v>
      </c>
      <c r="G599">
        <f t="shared" si="29"/>
        <v>-1.1631514702914885</v>
      </c>
    </row>
    <row r="600" spans="1:7" x14ac:dyDescent="0.3">
      <c r="A600" t="s">
        <v>562</v>
      </c>
      <c r="B600">
        <v>0.44927536231884058</v>
      </c>
      <c r="C600">
        <v>0.53148855154583874</v>
      </c>
      <c r="D600">
        <v>0.46091018698349612</v>
      </c>
      <c r="E600">
        <f t="shared" si="27"/>
        <v>40.932033081571099</v>
      </c>
      <c r="F600">
        <f t="shared" si="28"/>
        <v>42.226568297133959</v>
      </c>
      <c r="G600">
        <f t="shared" si="29"/>
        <v>-1.2945352155628598</v>
      </c>
    </row>
    <row r="601" spans="1:7" x14ac:dyDescent="0.3">
      <c r="A601" t="s">
        <v>562</v>
      </c>
      <c r="B601">
        <v>0.44927536231884058</v>
      </c>
      <c r="C601">
        <v>0.70012361759499731</v>
      </c>
      <c r="D601">
        <v>0.58385177100200569</v>
      </c>
      <c r="E601">
        <f t="shared" si="27"/>
        <v>39.825628942366407</v>
      </c>
      <c r="F601">
        <f t="shared" si="28"/>
        <v>41.050598174888556</v>
      </c>
      <c r="G601">
        <f t="shared" si="29"/>
        <v>-1.2249692325221488</v>
      </c>
    </row>
    <row r="602" spans="1:7" x14ac:dyDescent="0.3">
      <c r="A602" t="s">
        <v>562</v>
      </c>
      <c r="B602">
        <v>0.44927536231884058</v>
      </c>
      <c r="C602">
        <v>0.86461769125568655</v>
      </c>
      <c r="D602">
        <v>0.69726984300419259</v>
      </c>
      <c r="E602">
        <f t="shared" si="27"/>
        <v>38.884396506499442</v>
      </c>
      <c r="F602">
        <f t="shared" si="28"/>
        <v>40.154462299438741</v>
      </c>
      <c r="G602">
        <f t="shared" si="29"/>
        <v>-1.2700657929392989</v>
      </c>
    </row>
    <row r="603" spans="1:7" x14ac:dyDescent="0.3">
      <c r="A603" t="s">
        <v>562</v>
      </c>
      <c r="B603">
        <v>0.44927536231884058</v>
      </c>
      <c r="C603">
        <v>1.030687574879525</v>
      </c>
      <c r="D603">
        <v>0.81279732550348038</v>
      </c>
      <c r="E603">
        <f t="shared" si="27"/>
        <v>38.259212789140499</v>
      </c>
      <c r="F603">
        <f t="shared" si="28"/>
        <v>39.411978572137897</v>
      </c>
      <c r="G603">
        <f t="shared" si="29"/>
        <v>-1.152765782997399</v>
      </c>
    </row>
    <row r="604" spans="1:7" x14ac:dyDescent="0.3">
      <c r="A604" t="s">
        <v>563</v>
      </c>
      <c r="B604">
        <v>0.44927536231884058</v>
      </c>
      <c r="C604">
        <v>0.17179090553249141</v>
      </c>
      <c r="D604">
        <v>0.1547734912155535</v>
      </c>
      <c r="E604">
        <f t="shared" si="27"/>
        <v>42.016989901288383</v>
      </c>
      <c r="F604">
        <f t="shared" si="28"/>
        <v>47.073667039852708</v>
      </c>
      <c r="G604">
        <f t="shared" si="29"/>
        <v>-5.056677138564325</v>
      </c>
    </row>
    <row r="605" spans="1:7" x14ac:dyDescent="0.3">
      <c r="A605" t="s">
        <v>563</v>
      </c>
      <c r="B605">
        <v>0.44927536231884058</v>
      </c>
      <c r="C605">
        <v>0.35438812004832732</v>
      </c>
      <c r="D605">
        <v>0.31564743345035517</v>
      </c>
      <c r="E605">
        <f t="shared" si="27"/>
        <v>41.690907967669219</v>
      </c>
      <c r="F605">
        <f t="shared" si="28"/>
        <v>43.964052714028263</v>
      </c>
      <c r="G605">
        <f t="shared" si="29"/>
        <v>-2.2731447463590442</v>
      </c>
    </row>
    <row r="606" spans="1:7" x14ac:dyDescent="0.3">
      <c r="A606" t="s">
        <v>563</v>
      </c>
      <c r="B606">
        <v>0.44927536231884058</v>
      </c>
      <c r="C606">
        <v>0.52653548304643316</v>
      </c>
      <c r="D606">
        <v>0.44990849629191471</v>
      </c>
      <c r="E606">
        <f t="shared" si="27"/>
        <v>40.512877801216106</v>
      </c>
      <c r="F606">
        <f t="shared" si="28"/>
        <v>42.266616850176298</v>
      </c>
      <c r="G606">
        <f t="shared" si="29"/>
        <v>-1.7537390489601918</v>
      </c>
    </row>
    <row r="607" spans="1:7" x14ac:dyDescent="0.3">
      <c r="A607" t="s">
        <v>563</v>
      </c>
      <c r="B607">
        <v>0.44927536231884058</v>
      </c>
      <c r="C607">
        <v>0.70342777528416967</v>
      </c>
      <c r="D607">
        <v>0.59024677803923697</v>
      </c>
      <c r="E607">
        <f t="shared" si="27"/>
        <v>40.000037819709434</v>
      </c>
      <c r="F607">
        <f t="shared" si="28"/>
        <v>41.030558719398556</v>
      </c>
      <c r="G607">
        <f t="shared" si="29"/>
        <v>-1.0305208996891224</v>
      </c>
    </row>
    <row r="608" spans="1:7" x14ac:dyDescent="0.3">
      <c r="A608" t="s">
        <v>563</v>
      </c>
      <c r="B608">
        <v>0.44927536231884058</v>
      </c>
      <c r="C608">
        <v>0.84704426122680343</v>
      </c>
      <c r="D608">
        <v>0.66514570191970801</v>
      </c>
      <c r="E608">
        <f t="shared" si="27"/>
        <v>38.140950751421826</v>
      </c>
      <c r="F608">
        <f t="shared" si="28"/>
        <v>40.24146594746135</v>
      </c>
      <c r="G608">
        <f t="shared" si="29"/>
        <v>-2.1005151960395239</v>
      </c>
    </row>
    <row r="609" spans="1:7" x14ac:dyDescent="0.3">
      <c r="A609" t="s">
        <v>563</v>
      </c>
      <c r="B609">
        <v>0.44927536231884058</v>
      </c>
      <c r="C609">
        <v>1.029320732896305</v>
      </c>
      <c r="D609">
        <v>0.81246010499032495</v>
      </c>
      <c r="E609">
        <f t="shared" si="27"/>
        <v>38.284623855892306</v>
      </c>
      <c r="F609">
        <f t="shared" si="28"/>
        <v>39.417573013666001</v>
      </c>
      <c r="G609">
        <f t="shared" si="29"/>
        <v>-1.1329491577736945</v>
      </c>
    </row>
    <row r="610" spans="1:7" x14ac:dyDescent="0.3">
      <c r="A610" t="s">
        <v>564</v>
      </c>
      <c r="B610">
        <v>0.82</v>
      </c>
      <c r="C610">
        <v>0.15295972954580131</v>
      </c>
      <c r="D610">
        <v>0.22959074498550749</v>
      </c>
      <c r="E610">
        <f t="shared" si="27"/>
        <v>56.327345497701288</v>
      </c>
      <c r="F610">
        <f t="shared" si="28"/>
        <v>39.761024601914222</v>
      </c>
      <c r="G610">
        <f t="shared" si="29"/>
        <v>16.566320895787065</v>
      </c>
    </row>
    <row r="611" spans="1:7" x14ac:dyDescent="0.3">
      <c r="A611" t="s">
        <v>564</v>
      </c>
      <c r="B611">
        <v>0.82</v>
      </c>
      <c r="C611">
        <v>0.20175346607627009</v>
      </c>
      <c r="D611">
        <v>0.25639537646636501</v>
      </c>
      <c r="E611">
        <f t="shared" si="27"/>
        <v>51.801352471105702</v>
      </c>
      <c r="F611">
        <f t="shared" si="28"/>
        <v>38.595824044466852</v>
      </c>
      <c r="G611">
        <f t="shared" si="29"/>
        <v>13.20552842663885</v>
      </c>
    </row>
    <row r="612" spans="1:7" x14ac:dyDescent="0.3">
      <c r="A612" t="s">
        <v>564</v>
      </c>
      <c r="B612">
        <v>0.82</v>
      </c>
      <c r="C612">
        <v>0.25850105071915069</v>
      </c>
      <c r="D612">
        <v>0.30268514916495631</v>
      </c>
      <c r="E612">
        <f t="shared" si="27"/>
        <v>49.501804793335083</v>
      </c>
      <c r="F612">
        <f t="shared" si="28"/>
        <v>37.561748478258842</v>
      </c>
      <c r="G612">
        <f t="shared" si="29"/>
        <v>11.940056315076241</v>
      </c>
    </row>
    <row r="613" spans="1:7" x14ac:dyDescent="0.3">
      <c r="A613" t="s">
        <v>564</v>
      </c>
      <c r="B613">
        <v>0.82</v>
      </c>
      <c r="C613">
        <v>0.50083796956451199</v>
      </c>
      <c r="D613">
        <v>0.51050895710530664</v>
      </c>
      <c r="E613">
        <f t="shared" si="27"/>
        <v>45.547873204291115</v>
      </c>
      <c r="F613">
        <f t="shared" si="28"/>
        <v>34.853681357086529</v>
      </c>
      <c r="G613">
        <f t="shared" si="29"/>
        <v>10.694191847204586</v>
      </c>
    </row>
    <row r="614" spans="1:7" x14ac:dyDescent="0.3">
      <c r="A614" t="s">
        <v>565</v>
      </c>
      <c r="B614">
        <v>0.77</v>
      </c>
      <c r="C614">
        <v>0.15332472927935201</v>
      </c>
      <c r="D614">
        <v>0.2299669894339359</v>
      </c>
      <c r="E614">
        <f t="shared" si="27"/>
        <v>56.307620695080814</v>
      </c>
      <c r="F614">
        <f t="shared" si="28"/>
        <v>40.838247787822901</v>
      </c>
      <c r="G614">
        <f t="shared" si="29"/>
        <v>15.469372907257913</v>
      </c>
    </row>
    <row r="615" spans="1:7" x14ac:dyDescent="0.3">
      <c r="A615" t="s">
        <v>565</v>
      </c>
      <c r="B615">
        <v>0.77</v>
      </c>
      <c r="C615">
        <v>0.20057881413466411</v>
      </c>
      <c r="D615">
        <v>0.25312389776054262</v>
      </c>
      <c r="E615">
        <f t="shared" si="27"/>
        <v>51.606216891115274</v>
      </c>
      <c r="F615">
        <f t="shared" si="28"/>
        <v>39.699598900699819</v>
      </c>
      <c r="G615">
        <f t="shared" si="29"/>
        <v>11.906617990415455</v>
      </c>
    </row>
    <row r="616" spans="1:7" x14ac:dyDescent="0.3">
      <c r="A616" t="s">
        <v>565</v>
      </c>
      <c r="B616">
        <v>0.77</v>
      </c>
      <c r="C616">
        <v>0.26423263853730727</v>
      </c>
      <c r="D616">
        <v>0.31449965972403132</v>
      </c>
      <c r="E616">
        <f t="shared" si="27"/>
        <v>49.964088170963755</v>
      </c>
      <c r="F616">
        <f t="shared" si="28"/>
        <v>38.540145506948285</v>
      </c>
      <c r="G616">
        <f t="shared" si="29"/>
        <v>11.42394266401547</v>
      </c>
    </row>
    <row r="617" spans="1:7" x14ac:dyDescent="0.3">
      <c r="A617" t="s">
        <v>565</v>
      </c>
      <c r="B617">
        <v>0.77</v>
      </c>
      <c r="C617">
        <v>0.49759025280764579</v>
      </c>
      <c r="D617">
        <v>0.5030498734121438</v>
      </c>
      <c r="E617">
        <f t="shared" si="27"/>
        <v>45.312610004495141</v>
      </c>
      <c r="F617">
        <f t="shared" si="28"/>
        <v>35.920728373074162</v>
      </c>
      <c r="G617">
        <f t="shared" si="29"/>
        <v>9.3918816314209792</v>
      </c>
    </row>
    <row r="618" spans="1:7" x14ac:dyDescent="0.3">
      <c r="A618" t="s">
        <v>566</v>
      </c>
      <c r="B618">
        <v>0.60527272727272741</v>
      </c>
      <c r="C618">
        <v>0.1462381600349334</v>
      </c>
      <c r="D618">
        <v>0.23336969766573251</v>
      </c>
      <c r="E618">
        <f t="shared" si="27"/>
        <v>57.927206786365382</v>
      </c>
      <c r="F618">
        <f t="shared" si="28"/>
        <v>44.548158628296186</v>
      </c>
      <c r="G618">
        <f t="shared" si="29"/>
        <v>13.379048158069196</v>
      </c>
    </row>
    <row r="619" spans="1:7" x14ac:dyDescent="0.3">
      <c r="A619" t="s">
        <v>566</v>
      </c>
      <c r="B619">
        <v>0.60527272727272741</v>
      </c>
      <c r="C619">
        <v>0.2604582920320801</v>
      </c>
      <c r="D619">
        <v>0.33697634809994748</v>
      </c>
      <c r="E619">
        <f t="shared" si="27"/>
        <v>52.298576521588252</v>
      </c>
      <c r="F619">
        <f t="shared" si="28"/>
        <v>42.072885329437923</v>
      </c>
      <c r="G619">
        <f t="shared" si="29"/>
        <v>10.225691192150329</v>
      </c>
    </row>
    <row r="620" spans="1:7" x14ac:dyDescent="0.3">
      <c r="A620" t="s">
        <v>566</v>
      </c>
      <c r="B620">
        <v>0.60527272727272741</v>
      </c>
      <c r="C620">
        <v>0.5174746250749499</v>
      </c>
      <c r="D620">
        <v>0.59589018073416777</v>
      </c>
      <c r="E620">
        <f t="shared" si="27"/>
        <v>49.028754412607135</v>
      </c>
      <c r="F620">
        <f t="shared" si="28"/>
        <v>39.158589823569784</v>
      </c>
      <c r="G620">
        <f t="shared" si="29"/>
        <v>9.8701645890373513</v>
      </c>
    </row>
    <row r="621" spans="1:7" x14ac:dyDescent="0.3">
      <c r="A621" t="s">
        <v>567</v>
      </c>
      <c r="B621">
        <v>0.60527272727272741</v>
      </c>
      <c r="C621">
        <v>0.13828072579867079</v>
      </c>
      <c r="D621">
        <v>0.20378930981297561</v>
      </c>
      <c r="E621">
        <f t="shared" si="27"/>
        <v>55.841244388411639</v>
      </c>
      <c r="F621">
        <f t="shared" si="28"/>
        <v>44.788572072433581</v>
      </c>
      <c r="G621">
        <f t="shared" si="29"/>
        <v>11.052672315978057</v>
      </c>
    </row>
    <row r="622" spans="1:7" x14ac:dyDescent="0.3">
      <c r="A622" t="s">
        <v>567</v>
      </c>
      <c r="B622">
        <v>0.60527272727272741</v>
      </c>
      <c r="C622">
        <v>0.25358367006481353</v>
      </c>
      <c r="D622">
        <v>0.31236246532078321</v>
      </c>
      <c r="E622">
        <f t="shared" si="27"/>
        <v>50.929443312070653</v>
      </c>
      <c r="F622">
        <f t="shared" si="28"/>
        <v>42.187253931151652</v>
      </c>
      <c r="G622">
        <f t="shared" si="29"/>
        <v>8.742189380919001</v>
      </c>
    </row>
    <row r="623" spans="1:7" x14ac:dyDescent="0.3">
      <c r="A623" t="s">
        <v>567</v>
      </c>
      <c r="B623">
        <v>0.60527272727272741</v>
      </c>
      <c r="C623">
        <v>0.4868974873418096</v>
      </c>
      <c r="D623">
        <v>0.52211980519247969</v>
      </c>
      <c r="E623">
        <f t="shared" si="27"/>
        <v>46.999243289011609</v>
      </c>
      <c r="F623">
        <f t="shared" si="28"/>
        <v>39.415129623476005</v>
      </c>
      <c r="G623">
        <f t="shared" si="29"/>
        <v>7.5841136655356038</v>
      </c>
    </row>
    <row r="624" spans="1:7" x14ac:dyDescent="0.3">
      <c r="A624" t="s">
        <v>568</v>
      </c>
      <c r="B624">
        <v>0.60527272727272741</v>
      </c>
      <c r="C624">
        <v>0.15564577483499059</v>
      </c>
      <c r="D624">
        <v>0.24915602551651619</v>
      </c>
      <c r="E624">
        <f t="shared" si="27"/>
        <v>58.007308772933875</v>
      </c>
      <c r="F624">
        <f t="shared" si="28"/>
        <v>44.2803024396814</v>
      </c>
      <c r="G624">
        <f t="shared" si="29"/>
        <v>13.727006333252476</v>
      </c>
    </row>
    <row r="625" spans="1:7" x14ac:dyDescent="0.3">
      <c r="A625" t="s">
        <v>568</v>
      </c>
      <c r="B625">
        <v>0.60527272727272741</v>
      </c>
      <c r="C625">
        <v>0.28268180978037583</v>
      </c>
      <c r="D625">
        <v>0.37052061940037412</v>
      </c>
      <c r="E625">
        <f t="shared" si="27"/>
        <v>52.658853254590689</v>
      </c>
      <c r="F625">
        <f t="shared" si="28"/>
        <v>41.723098355093406</v>
      </c>
      <c r="G625">
        <f t="shared" si="29"/>
        <v>10.935754899497283</v>
      </c>
    </row>
    <row r="626" spans="1:7" x14ac:dyDescent="0.3">
      <c r="A626" t="s">
        <v>568</v>
      </c>
      <c r="B626">
        <v>0.60527272727272741</v>
      </c>
      <c r="C626">
        <v>0.54745298106458773</v>
      </c>
      <c r="D626">
        <v>0.61969607830091133</v>
      </c>
      <c r="E626">
        <f t="shared" si="27"/>
        <v>48.541921681919945</v>
      </c>
      <c r="F626">
        <f t="shared" si="28"/>
        <v>38.921807917896381</v>
      </c>
      <c r="G626">
        <f t="shared" si="29"/>
        <v>9.6201137640235643</v>
      </c>
    </row>
    <row r="627" spans="1:7" x14ac:dyDescent="0.3">
      <c r="A627" t="s">
        <v>569</v>
      </c>
      <c r="B627">
        <v>0.60527272727272741</v>
      </c>
      <c r="C627">
        <v>0.13576267949710899</v>
      </c>
      <c r="D627">
        <v>0.20454827111440249</v>
      </c>
      <c r="E627">
        <f t="shared" si="27"/>
        <v>56.426994131144873</v>
      </c>
      <c r="F627">
        <f t="shared" si="28"/>
        <v>44.86754214014551</v>
      </c>
      <c r="G627">
        <f t="shared" si="29"/>
        <v>11.559451990999364</v>
      </c>
    </row>
    <row r="628" spans="1:7" x14ac:dyDescent="0.3">
      <c r="A628" t="s">
        <v>569</v>
      </c>
      <c r="B628">
        <v>0.60527272727272741</v>
      </c>
      <c r="C628">
        <v>0.25473055851595422</v>
      </c>
      <c r="D628">
        <v>0.32653016976395199</v>
      </c>
      <c r="E628">
        <f t="shared" si="27"/>
        <v>52.041729980812462</v>
      </c>
      <c r="F628">
        <f t="shared" si="28"/>
        <v>42.167956813913079</v>
      </c>
      <c r="G628">
        <f t="shared" si="29"/>
        <v>9.8737731668993831</v>
      </c>
    </row>
    <row r="629" spans="1:7" x14ac:dyDescent="0.3">
      <c r="A629" t="s">
        <v>569</v>
      </c>
      <c r="B629">
        <v>0.60527272727272741</v>
      </c>
      <c r="C629">
        <v>0.49601366656933721</v>
      </c>
      <c r="D629">
        <v>0.56199694093301422</v>
      </c>
      <c r="E629">
        <f t="shared" si="27"/>
        <v>48.568653365103017</v>
      </c>
      <c r="F629">
        <f t="shared" si="28"/>
        <v>39.336948507925307</v>
      </c>
      <c r="G629">
        <f t="shared" si="29"/>
        <v>9.2317048571777107</v>
      </c>
    </row>
    <row r="630" spans="1:7" x14ac:dyDescent="0.3">
      <c r="A630" t="s">
        <v>570</v>
      </c>
      <c r="B630">
        <v>0.60527272727272741</v>
      </c>
      <c r="C630">
        <v>0.24513004853201251</v>
      </c>
      <c r="D630">
        <v>0.30026080589841347</v>
      </c>
      <c r="E630">
        <f t="shared" si="27"/>
        <v>50.772128895685476</v>
      </c>
      <c r="F630">
        <f t="shared" si="28"/>
        <v>42.332283553927702</v>
      </c>
      <c r="G630">
        <f t="shared" si="29"/>
        <v>8.4398453417577741</v>
      </c>
    </row>
    <row r="631" spans="1:7" x14ac:dyDescent="0.3">
      <c r="A631" t="s">
        <v>570</v>
      </c>
      <c r="B631">
        <v>0.60527272727272741</v>
      </c>
      <c r="C631">
        <v>0.49603287359811099</v>
      </c>
      <c r="D631">
        <v>0.55709481477917222</v>
      </c>
      <c r="E631">
        <f t="shared" si="27"/>
        <v>48.318380913438652</v>
      </c>
      <c r="F631">
        <f t="shared" si="28"/>
        <v>39.336785352852175</v>
      </c>
      <c r="G631">
        <f t="shared" si="29"/>
        <v>8.9815955605864772</v>
      </c>
    </row>
    <row r="632" spans="1:7" x14ac:dyDescent="0.3">
      <c r="A632" t="s">
        <v>571</v>
      </c>
      <c r="B632">
        <v>0.48803370786516859</v>
      </c>
      <c r="C632">
        <v>0.17945371041990851</v>
      </c>
      <c r="D632">
        <v>0.17975385524828719</v>
      </c>
      <c r="E632">
        <f t="shared" si="27"/>
        <v>45.047874904512518</v>
      </c>
      <c r="F632">
        <f t="shared" si="28"/>
        <v>46.095744012408289</v>
      </c>
      <c r="G632">
        <f t="shared" si="29"/>
        <v>-1.0478691078957709</v>
      </c>
    </row>
    <row r="633" spans="1:7" x14ac:dyDescent="0.3">
      <c r="A633" t="s">
        <v>571</v>
      </c>
      <c r="B633">
        <v>0.48803370786516859</v>
      </c>
      <c r="C633">
        <v>0.36938888983893131</v>
      </c>
      <c r="D633">
        <v>0.33740676628933719</v>
      </c>
      <c r="E633">
        <f t="shared" si="27"/>
        <v>42.409164065557135</v>
      </c>
      <c r="F633">
        <f t="shared" si="28"/>
        <v>42.995371970458976</v>
      </c>
      <c r="G633">
        <f t="shared" si="29"/>
        <v>-0.58620790490184049</v>
      </c>
    </row>
    <row r="634" spans="1:7" x14ac:dyDescent="0.3">
      <c r="A634" t="s">
        <v>572</v>
      </c>
      <c r="B634">
        <v>0.43951086956521768</v>
      </c>
      <c r="C634">
        <v>0.1864226504999062</v>
      </c>
      <c r="D634">
        <v>0.19530220531747999</v>
      </c>
      <c r="E634">
        <f t="shared" si="27"/>
        <v>46.332554777776124</v>
      </c>
      <c r="F634">
        <f t="shared" si="28"/>
        <v>46.921627791111739</v>
      </c>
      <c r="G634">
        <f t="shared" si="29"/>
        <v>-0.58907301333561435</v>
      </c>
    </row>
    <row r="635" spans="1:7" x14ac:dyDescent="0.3">
      <c r="A635" t="s">
        <v>572</v>
      </c>
      <c r="B635">
        <v>0.43951086956521768</v>
      </c>
      <c r="C635">
        <v>0.37922112891900023</v>
      </c>
      <c r="D635">
        <v>0.37434705811343988</v>
      </c>
      <c r="E635">
        <f t="shared" si="27"/>
        <v>44.629416691430642</v>
      </c>
      <c r="F635">
        <f t="shared" si="28"/>
        <v>43.871918877606788</v>
      </c>
      <c r="G635">
        <f t="shared" si="29"/>
        <v>0.75749781382385351</v>
      </c>
    </row>
    <row r="636" spans="1:7" x14ac:dyDescent="0.3">
      <c r="A636" t="s">
        <v>573</v>
      </c>
      <c r="B636">
        <v>0.43172972972972978</v>
      </c>
      <c r="C636">
        <v>0.1734227785427124</v>
      </c>
      <c r="D636">
        <v>0.15093891626808159</v>
      </c>
      <c r="E636">
        <f t="shared" si="27"/>
        <v>41.034756572665138</v>
      </c>
      <c r="F636">
        <f t="shared" si="28"/>
        <v>47.389178675107686</v>
      </c>
      <c r="G636">
        <f t="shared" si="29"/>
        <v>-6.3544221024425482</v>
      </c>
    </row>
    <row r="637" spans="1:7" x14ac:dyDescent="0.3">
      <c r="A637" t="s">
        <v>573</v>
      </c>
      <c r="B637">
        <v>0.43172972972972978</v>
      </c>
      <c r="C637">
        <v>0.35082522713188152</v>
      </c>
      <c r="D637">
        <v>0.29436613075931251</v>
      </c>
      <c r="E637">
        <f t="shared" si="27"/>
        <v>39.998927748914944</v>
      </c>
      <c r="F637">
        <f t="shared" si="28"/>
        <v>44.364399880176784</v>
      </c>
      <c r="G637">
        <f t="shared" si="29"/>
        <v>-4.3654721312618392</v>
      </c>
    </row>
    <row r="638" spans="1:7" x14ac:dyDescent="0.3">
      <c r="A638" t="s">
        <v>574</v>
      </c>
      <c r="B638">
        <v>0.33100502512562818</v>
      </c>
      <c r="C638">
        <v>0.1731547418383417</v>
      </c>
      <c r="D638">
        <v>0.16613932050289409</v>
      </c>
      <c r="E638">
        <f t="shared" si="27"/>
        <v>43.815491302728127</v>
      </c>
      <c r="F638">
        <f t="shared" si="28"/>
        <v>49.417317411045779</v>
      </c>
      <c r="G638">
        <f t="shared" si="29"/>
        <v>-5.6018261083176526</v>
      </c>
    </row>
    <row r="639" spans="1:7" x14ac:dyDescent="0.3">
      <c r="A639" t="s">
        <v>574</v>
      </c>
      <c r="B639">
        <v>0.33100502512562818</v>
      </c>
      <c r="C639">
        <v>0.32969790213836142</v>
      </c>
      <c r="D639">
        <v>0.29046393782382968</v>
      </c>
      <c r="E639">
        <f t="shared" si="27"/>
        <v>41.380059855831881</v>
      </c>
      <c r="F639">
        <f t="shared" si="28"/>
        <v>46.66663729576873</v>
      </c>
      <c r="G639">
        <f t="shared" si="29"/>
        <v>-5.286577439936849</v>
      </c>
    </row>
    <row r="640" spans="1:7" x14ac:dyDescent="0.3">
      <c r="A640" t="s">
        <v>575</v>
      </c>
      <c r="B640">
        <v>0.3112376237623764</v>
      </c>
      <c r="C640">
        <v>0.131811250574663</v>
      </c>
      <c r="D640">
        <v>0.13637165724621131</v>
      </c>
      <c r="E640">
        <f t="shared" si="27"/>
        <v>45.974211504281669</v>
      </c>
      <c r="F640">
        <f t="shared" si="28"/>
        <v>50.961228732236869</v>
      </c>
      <c r="G640">
        <f t="shared" si="29"/>
        <v>-4.9870172279551994</v>
      </c>
    </row>
    <row r="641" spans="1:7" x14ac:dyDescent="0.3">
      <c r="A641" t="s">
        <v>575</v>
      </c>
      <c r="B641">
        <v>0.3112376237623764</v>
      </c>
      <c r="C641">
        <v>0.17409009304248299</v>
      </c>
      <c r="D641">
        <v>0.17134975154536081</v>
      </c>
      <c r="E641">
        <f t="shared" si="27"/>
        <v>44.54548755392296</v>
      </c>
      <c r="F641">
        <f t="shared" si="28"/>
        <v>49.786804668853677</v>
      </c>
      <c r="G641">
        <f t="shared" si="29"/>
        <v>-5.2413171149307161</v>
      </c>
    </row>
    <row r="642" spans="1:7" x14ac:dyDescent="0.3">
      <c r="A642" t="s">
        <v>576</v>
      </c>
      <c r="B642">
        <v>0.3112376237623764</v>
      </c>
      <c r="C642">
        <v>0.17850895777458251</v>
      </c>
      <c r="D642">
        <v>0.18553806131037709</v>
      </c>
      <c r="E642">
        <f t="shared" ref="E642:E705" si="30">DEGREES(ATAN(D642/C642))</f>
        <v>46.106142636799404</v>
      </c>
      <c r="F642">
        <f t="shared" ref="F642:F687" si="31">DEGREES(ATAN(TAN(RADIANS(pe0-omega*B642))*(C642/sref)^(m_-1)))</f>
        <v>49.680559313721957</v>
      </c>
      <c r="G642">
        <f t="shared" ref="G642:G705" si="32">E642-F642</f>
        <v>-3.5744166769225529</v>
      </c>
    </row>
    <row r="643" spans="1:7" x14ac:dyDescent="0.3">
      <c r="A643" t="s">
        <v>576</v>
      </c>
      <c r="B643">
        <v>0.3112376237623764</v>
      </c>
      <c r="C643">
        <v>0.26838217166734413</v>
      </c>
      <c r="D643">
        <v>0.27856150652625872</v>
      </c>
      <c r="E643">
        <f t="shared" si="30"/>
        <v>46.066226053456461</v>
      </c>
      <c r="F643">
        <f t="shared" si="31"/>
        <v>47.944051031809543</v>
      </c>
      <c r="G643">
        <f t="shared" si="32"/>
        <v>-1.8778249783530825</v>
      </c>
    </row>
    <row r="644" spans="1:7" x14ac:dyDescent="0.3">
      <c r="A644" t="s">
        <v>577</v>
      </c>
      <c r="B644">
        <v>0.31776119402985081</v>
      </c>
      <c r="C644">
        <v>0.16843602791355741</v>
      </c>
      <c r="D644">
        <v>0.15043124291213961</v>
      </c>
      <c r="E644">
        <f t="shared" si="30"/>
        <v>41.768235443765668</v>
      </c>
      <c r="F644">
        <f t="shared" si="31"/>
        <v>49.797428069254465</v>
      </c>
      <c r="G644">
        <f t="shared" si="32"/>
        <v>-8.0291926254887969</v>
      </c>
    </row>
    <row r="645" spans="1:7" x14ac:dyDescent="0.3">
      <c r="A645" t="s">
        <v>577</v>
      </c>
      <c r="B645">
        <v>0.31776119402985081</v>
      </c>
      <c r="C645">
        <v>0.24158932992529331</v>
      </c>
      <c r="D645">
        <v>0.1918597668943812</v>
      </c>
      <c r="E645">
        <f t="shared" si="30"/>
        <v>38.455078773320594</v>
      </c>
      <c r="F645">
        <f t="shared" si="31"/>
        <v>48.263008777419991</v>
      </c>
      <c r="G645">
        <f t="shared" si="32"/>
        <v>-9.8079300040993971</v>
      </c>
    </row>
    <row r="646" spans="1:7" x14ac:dyDescent="0.3">
      <c r="A646" t="s">
        <v>577</v>
      </c>
      <c r="B646">
        <v>0.31776119402985081</v>
      </c>
      <c r="C646">
        <v>0.34164622902146002</v>
      </c>
      <c r="D646">
        <v>0.30133614869583653</v>
      </c>
      <c r="E646">
        <f t="shared" si="30"/>
        <v>41.412687435881679</v>
      </c>
      <c r="F646">
        <f t="shared" si="31"/>
        <v>46.779810196955779</v>
      </c>
      <c r="G646">
        <f t="shared" si="32"/>
        <v>-5.3671227610740999</v>
      </c>
    </row>
    <row r="647" spans="1:7" x14ac:dyDescent="0.3">
      <c r="A647" t="s">
        <v>577</v>
      </c>
      <c r="B647">
        <v>0.31776119402985081</v>
      </c>
      <c r="C647">
        <v>0.49467278219653538</v>
      </c>
      <c r="D647">
        <v>0.40897704164166487</v>
      </c>
      <c r="E647">
        <f t="shared" si="30"/>
        <v>39.582675690819329</v>
      </c>
      <c r="F647">
        <f t="shared" si="31"/>
        <v>45.190478231359414</v>
      </c>
      <c r="G647">
        <f t="shared" si="32"/>
        <v>-5.6078025405400851</v>
      </c>
    </row>
    <row r="648" spans="1:7" x14ac:dyDescent="0.3">
      <c r="A648" t="s">
        <v>578</v>
      </c>
      <c r="B648">
        <v>0.29204878048780492</v>
      </c>
      <c r="C648">
        <v>0.1358090004917723</v>
      </c>
      <c r="D648">
        <v>0.14726881867785011</v>
      </c>
      <c r="E648">
        <f t="shared" si="30"/>
        <v>47.318234884286483</v>
      </c>
      <c r="F648">
        <f t="shared" si="31"/>
        <v>51.212377020560432</v>
      </c>
      <c r="G648">
        <f t="shared" si="32"/>
        <v>-3.894142136273949</v>
      </c>
    </row>
    <row r="649" spans="1:7" x14ac:dyDescent="0.3">
      <c r="A649" t="s">
        <v>578</v>
      </c>
      <c r="B649">
        <v>0.29204878048780492</v>
      </c>
      <c r="C649">
        <v>0.26947126372272739</v>
      </c>
      <c r="D649">
        <v>0.26609179023950219</v>
      </c>
      <c r="E649">
        <f t="shared" si="30"/>
        <v>44.638460875468162</v>
      </c>
      <c r="F649">
        <f t="shared" si="31"/>
        <v>48.309776479963084</v>
      </c>
      <c r="G649">
        <f t="shared" si="32"/>
        <v>-3.6713156044949216</v>
      </c>
    </row>
    <row r="650" spans="1:7" x14ac:dyDescent="0.3">
      <c r="A650" t="s">
        <v>578</v>
      </c>
      <c r="B650">
        <v>0.29204878048780492</v>
      </c>
      <c r="C650">
        <v>0.35195144025969349</v>
      </c>
      <c r="D650">
        <v>0.33174256081654729</v>
      </c>
      <c r="E650">
        <f t="shared" si="30"/>
        <v>43.306923181359387</v>
      </c>
      <c r="F650">
        <f t="shared" si="31"/>
        <v>47.167609836261796</v>
      </c>
      <c r="G650">
        <f t="shared" si="32"/>
        <v>-3.860686654902409</v>
      </c>
    </row>
    <row r="651" spans="1:7" x14ac:dyDescent="0.3">
      <c r="A651" t="s">
        <v>579</v>
      </c>
      <c r="B651">
        <v>0.84</v>
      </c>
      <c r="C651">
        <v>0.19585906574890699</v>
      </c>
      <c r="D651">
        <v>0.21355530078614909</v>
      </c>
      <c r="E651">
        <f t="shared" si="30"/>
        <v>47.474971450134625</v>
      </c>
      <c r="F651">
        <f t="shared" si="31"/>
        <v>38.285523086386874</v>
      </c>
      <c r="G651">
        <f t="shared" si="32"/>
        <v>9.1894483637477506</v>
      </c>
    </row>
    <row r="652" spans="1:7" x14ac:dyDescent="0.3">
      <c r="A652" t="s">
        <v>579</v>
      </c>
      <c r="B652">
        <v>0.84</v>
      </c>
      <c r="C652">
        <v>0.37209134927274978</v>
      </c>
      <c r="D652">
        <v>0.35635527889173518</v>
      </c>
      <c r="E652">
        <f t="shared" si="30"/>
        <v>43.762475964649326</v>
      </c>
      <c r="F652">
        <f t="shared" si="31"/>
        <v>35.636793496001644</v>
      </c>
      <c r="G652">
        <f t="shared" si="32"/>
        <v>8.1256824686476818</v>
      </c>
    </row>
    <row r="653" spans="1:7" x14ac:dyDescent="0.3">
      <c r="A653" t="s">
        <v>579</v>
      </c>
      <c r="B653">
        <v>0.84</v>
      </c>
      <c r="C653">
        <v>0.72077774427056995</v>
      </c>
      <c r="D653">
        <v>0.61947840831657297</v>
      </c>
      <c r="E653">
        <f t="shared" si="30"/>
        <v>40.677684436920565</v>
      </c>
      <c r="F653">
        <f t="shared" si="31"/>
        <v>32.992125753561773</v>
      </c>
      <c r="G653">
        <f t="shared" si="32"/>
        <v>7.6855586833587921</v>
      </c>
    </row>
    <row r="654" spans="1:7" x14ac:dyDescent="0.3">
      <c r="A654" t="s">
        <v>580</v>
      </c>
      <c r="B654">
        <v>0.89</v>
      </c>
      <c r="C654">
        <v>0.35760523340576211</v>
      </c>
      <c r="D654">
        <v>0.30775319070044738</v>
      </c>
      <c r="E654">
        <f t="shared" si="30"/>
        <v>40.715114466185966</v>
      </c>
      <c r="F654">
        <f t="shared" si="31"/>
        <v>34.734073279354874</v>
      </c>
      <c r="G654">
        <f t="shared" si="32"/>
        <v>5.9810411868310922</v>
      </c>
    </row>
    <row r="655" spans="1:7" x14ac:dyDescent="0.3">
      <c r="A655" t="s">
        <v>580</v>
      </c>
      <c r="B655">
        <v>0.89</v>
      </c>
      <c r="C655">
        <v>0.69940489941506456</v>
      </c>
      <c r="D655">
        <v>0.54844559626883338</v>
      </c>
      <c r="E655">
        <f t="shared" si="30"/>
        <v>38.102135909993244</v>
      </c>
      <c r="F655">
        <f t="shared" si="31"/>
        <v>32.085520568664045</v>
      </c>
      <c r="G655">
        <f t="shared" si="32"/>
        <v>6.0166153413291994</v>
      </c>
    </row>
    <row r="656" spans="1:7" x14ac:dyDescent="0.3">
      <c r="A656" t="s">
        <v>581</v>
      </c>
      <c r="B656">
        <v>0.5</v>
      </c>
      <c r="C656">
        <v>0.21869456858996411</v>
      </c>
      <c r="D656">
        <v>0.28186964463641062</v>
      </c>
      <c r="E656">
        <f t="shared" si="30"/>
        <v>52.193139775781212</v>
      </c>
      <c r="F656">
        <f t="shared" si="31"/>
        <v>45.000760641921012</v>
      </c>
      <c r="G656">
        <f t="shared" si="32"/>
        <v>7.1923791338602001</v>
      </c>
    </row>
    <row r="657" spans="1:7" x14ac:dyDescent="0.3">
      <c r="A657" t="s">
        <v>581</v>
      </c>
      <c r="B657">
        <v>0.5</v>
      </c>
      <c r="C657">
        <v>0.39900966788489789</v>
      </c>
      <c r="D657">
        <v>0.42870397572128999</v>
      </c>
      <c r="E657">
        <f t="shared" si="30"/>
        <v>47.054610547019841</v>
      </c>
      <c r="F657">
        <f t="shared" si="31"/>
        <v>42.420316535654798</v>
      </c>
      <c r="G657">
        <f t="shared" si="32"/>
        <v>4.6342940113650428</v>
      </c>
    </row>
    <row r="658" spans="1:7" x14ac:dyDescent="0.3">
      <c r="A658" t="s">
        <v>581</v>
      </c>
      <c r="B658">
        <v>0.5</v>
      </c>
      <c r="C658">
        <v>0.58224499344534364</v>
      </c>
      <c r="D658">
        <v>0.57586629382301324</v>
      </c>
      <c r="E658">
        <f t="shared" si="30"/>
        <v>44.684426811549358</v>
      </c>
      <c r="F658">
        <f t="shared" si="31"/>
        <v>40.807934344077445</v>
      </c>
      <c r="G658">
        <f t="shared" si="32"/>
        <v>3.8764924674719126</v>
      </c>
    </row>
    <row r="659" spans="1:7" x14ac:dyDescent="0.3">
      <c r="A659" t="s">
        <v>581</v>
      </c>
      <c r="B659">
        <v>0.5</v>
      </c>
      <c r="C659">
        <v>0.78270781874133111</v>
      </c>
      <c r="D659">
        <v>0.75284704515998124</v>
      </c>
      <c r="E659">
        <f t="shared" si="30"/>
        <v>43.885952741758459</v>
      </c>
      <c r="F659">
        <f t="shared" si="31"/>
        <v>39.554583925465373</v>
      </c>
      <c r="G659">
        <f t="shared" si="32"/>
        <v>4.3313688162930859</v>
      </c>
    </row>
    <row r="660" spans="1:7" x14ac:dyDescent="0.3">
      <c r="A660" t="s">
        <v>582</v>
      </c>
      <c r="B660">
        <v>0.53</v>
      </c>
      <c r="C660">
        <v>0.39254119492446782</v>
      </c>
      <c r="D660">
        <v>0.3945194437392926</v>
      </c>
      <c r="E660">
        <f t="shared" si="30"/>
        <v>45.14401059291076</v>
      </c>
      <c r="F660">
        <f t="shared" si="31"/>
        <v>41.875792634163254</v>
      </c>
      <c r="G660">
        <f t="shared" si="32"/>
        <v>3.2682179587475062</v>
      </c>
    </row>
    <row r="661" spans="1:7" x14ac:dyDescent="0.3">
      <c r="A661" t="s">
        <v>582</v>
      </c>
      <c r="B661">
        <v>0.53</v>
      </c>
      <c r="C661">
        <v>0.58522594208650147</v>
      </c>
      <c r="D661">
        <v>0.55496218541667541</v>
      </c>
      <c r="E661">
        <f t="shared" si="30"/>
        <v>43.479568019435959</v>
      </c>
      <c r="F661">
        <f t="shared" si="31"/>
        <v>40.176427436657633</v>
      </c>
      <c r="G661">
        <f t="shared" si="32"/>
        <v>3.303140582778326</v>
      </c>
    </row>
    <row r="662" spans="1:7" x14ac:dyDescent="0.3">
      <c r="A662" t="s">
        <v>582</v>
      </c>
      <c r="B662">
        <v>0.53</v>
      </c>
      <c r="C662">
        <v>0.74202591123949591</v>
      </c>
      <c r="D662">
        <v>0.64355912319139352</v>
      </c>
      <c r="E662">
        <f t="shared" si="30"/>
        <v>40.935101403817399</v>
      </c>
      <c r="F662">
        <f t="shared" si="31"/>
        <v>39.17396067235746</v>
      </c>
      <c r="G662">
        <f t="shared" si="32"/>
        <v>1.761140731459939</v>
      </c>
    </row>
    <row r="663" spans="1:7" x14ac:dyDescent="0.3">
      <c r="A663" t="s">
        <v>583</v>
      </c>
      <c r="B663">
        <v>0.189</v>
      </c>
      <c r="C663">
        <v>0.73126200481223214</v>
      </c>
      <c r="D663">
        <v>0.72204814836362918</v>
      </c>
      <c r="E663">
        <f t="shared" si="30"/>
        <v>44.63675474676009</v>
      </c>
      <c r="F663">
        <f t="shared" si="31"/>
        <v>46.09065850627627</v>
      </c>
      <c r="G663">
        <f t="shared" si="32"/>
        <v>-1.4539037595161801</v>
      </c>
    </row>
    <row r="664" spans="1:7" x14ac:dyDescent="0.3">
      <c r="A664" t="s">
        <v>583</v>
      </c>
      <c r="B664">
        <v>0.189</v>
      </c>
      <c r="C664">
        <v>1.4243190405721999</v>
      </c>
      <c r="D664">
        <v>1.2908153384342369</v>
      </c>
      <c r="E664">
        <f t="shared" si="30"/>
        <v>42.185022164378275</v>
      </c>
      <c r="F664">
        <f t="shared" si="31"/>
        <v>43.227219930269932</v>
      </c>
      <c r="G664">
        <f t="shared" si="32"/>
        <v>-1.0421977658916575</v>
      </c>
    </row>
    <row r="665" spans="1:7" x14ac:dyDescent="0.3">
      <c r="A665" t="s">
        <v>583</v>
      </c>
      <c r="B665">
        <v>0.189</v>
      </c>
      <c r="C665">
        <v>2.777867470521338</v>
      </c>
      <c r="D665">
        <v>2.316787276315504</v>
      </c>
      <c r="E665">
        <f t="shared" si="30"/>
        <v>39.828663511686507</v>
      </c>
      <c r="F665">
        <f t="shared" si="31"/>
        <v>40.375825019097348</v>
      </c>
      <c r="G665">
        <f t="shared" si="32"/>
        <v>-0.54716150741084135</v>
      </c>
    </row>
    <row r="666" spans="1:7" x14ac:dyDescent="0.3">
      <c r="A666" t="s">
        <v>584</v>
      </c>
      <c r="B666">
        <v>0.24399999999999999</v>
      </c>
      <c r="C666">
        <v>0.7168615118633157</v>
      </c>
      <c r="D666">
        <v>0.69236771702666433</v>
      </c>
      <c r="E666">
        <f t="shared" si="30"/>
        <v>44.004243068220312</v>
      </c>
      <c r="F666">
        <f t="shared" si="31"/>
        <v>45.07582626010894</v>
      </c>
      <c r="G666">
        <f t="shared" si="32"/>
        <v>-1.0715831918886281</v>
      </c>
    </row>
    <row r="667" spans="1:7" x14ac:dyDescent="0.3">
      <c r="A667" t="s">
        <v>584</v>
      </c>
      <c r="B667">
        <v>0.24399999999999999</v>
      </c>
      <c r="C667">
        <v>1.4260916416972691</v>
      </c>
      <c r="D667">
        <v>1.301601955410516</v>
      </c>
      <c r="E667">
        <f t="shared" si="30"/>
        <v>42.386881185561634</v>
      </c>
      <c r="F667">
        <f t="shared" si="31"/>
        <v>42.125017751150466</v>
      </c>
      <c r="G667">
        <f t="shared" si="32"/>
        <v>0.26186343441116833</v>
      </c>
    </row>
    <row r="668" spans="1:7" x14ac:dyDescent="0.3">
      <c r="A668" t="s">
        <v>584</v>
      </c>
      <c r="B668">
        <v>0.24399999999999999</v>
      </c>
      <c r="C668">
        <v>2.7633142083217002</v>
      </c>
      <c r="D668">
        <v>2.306103762559617</v>
      </c>
      <c r="E668">
        <f t="shared" si="30"/>
        <v>39.846440944551041</v>
      </c>
      <c r="F668">
        <f t="shared" si="31"/>
        <v>39.315300367637263</v>
      </c>
      <c r="G668">
        <f t="shared" si="32"/>
        <v>0.53114057691377781</v>
      </c>
    </row>
    <row r="669" spans="1:7" x14ac:dyDescent="0.3">
      <c r="A669" t="s">
        <v>585</v>
      </c>
      <c r="B669">
        <v>0.28499999999999998</v>
      </c>
      <c r="C669">
        <v>0.71067479624003271</v>
      </c>
      <c r="D669">
        <v>0.66211408226593904</v>
      </c>
      <c r="E669">
        <f t="shared" si="30"/>
        <v>42.97407717643749</v>
      </c>
      <c r="F669">
        <f t="shared" si="31"/>
        <v>44.291460472032156</v>
      </c>
      <c r="G669">
        <f t="shared" si="32"/>
        <v>-1.3173832955946665</v>
      </c>
    </row>
    <row r="670" spans="1:7" x14ac:dyDescent="0.3">
      <c r="A670" t="s">
        <v>585</v>
      </c>
      <c r="B670">
        <v>0.28499999999999998</v>
      </c>
      <c r="C670">
        <v>1.43325004267852</v>
      </c>
      <c r="D670">
        <v>1.280486423226278</v>
      </c>
      <c r="E670">
        <f t="shared" si="30"/>
        <v>41.778064891997296</v>
      </c>
      <c r="F670">
        <f t="shared" si="31"/>
        <v>41.287414327332343</v>
      </c>
      <c r="G670">
        <f t="shared" si="32"/>
        <v>0.49065056466495349</v>
      </c>
    </row>
    <row r="671" spans="1:7" x14ac:dyDescent="0.3">
      <c r="A671" t="s">
        <v>585</v>
      </c>
      <c r="B671">
        <v>0.28499999999999998</v>
      </c>
      <c r="C671">
        <v>2.7374802160162059</v>
      </c>
      <c r="D671">
        <v>2.1893200949020462</v>
      </c>
      <c r="E671">
        <f t="shared" si="30"/>
        <v>38.651332112124287</v>
      </c>
      <c r="F671">
        <f t="shared" si="31"/>
        <v>38.551456685276733</v>
      </c>
      <c r="G671">
        <f t="shared" si="32"/>
        <v>9.9875426847553683E-2</v>
      </c>
    </row>
    <row r="672" spans="1:7" x14ac:dyDescent="0.3">
      <c r="A672" t="s">
        <v>586</v>
      </c>
      <c r="B672">
        <v>0.317</v>
      </c>
      <c r="C672">
        <v>0.69327381145327704</v>
      </c>
      <c r="D672">
        <v>0.62528307265142347</v>
      </c>
      <c r="E672">
        <f t="shared" si="30"/>
        <v>42.048185579950044</v>
      </c>
      <c r="F672">
        <f t="shared" si="31"/>
        <v>43.755749957046582</v>
      </c>
      <c r="G672">
        <f t="shared" si="32"/>
        <v>-1.7075643770965385</v>
      </c>
    </row>
    <row r="673" spans="1:7" x14ac:dyDescent="0.3">
      <c r="A673" t="s">
        <v>586</v>
      </c>
      <c r="B673">
        <v>0.317</v>
      </c>
      <c r="C673">
        <v>1.433869628613232</v>
      </c>
      <c r="D673">
        <v>1.2837634236247339</v>
      </c>
      <c r="E673">
        <f t="shared" si="30"/>
        <v>41.838527604993274</v>
      </c>
      <c r="F673">
        <f t="shared" si="31"/>
        <v>40.649385093578822</v>
      </c>
      <c r="G673">
        <f t="shared" si="32"/>
        <v>1.1891425114144525</v>
      </c>
    </row>
    <row r="674" spans="1:7" x14ac:dyDescent="0.3">
      <c r="A674" t="s">
        <v>586</v>
      </c>
      <c r="B674">
        <v>0.317</v>
      </c>
      <c r="C674">
        <v>2.7407355052465689</v>
      </c>
      <c r="D674">
        <v>2.2013316268255778</v>
      </c>
      <c r="E674">
        <f t="shared" si="30"/>
        <v>38.771085751162403</v>
      </c>
      <c r="F674">
        <f t="shared" si="31"/>
        <v>37.921773139257752</v>
      </c>
      <c r="G674">
        <f t="shared" si="32"/>
        <v>0.84931261190465079</v>
      </c>
    </row>
    <row r="675" spans="1:7" x14ac:dyDescent="0.3">
      <c r="A675" t="s">
        <v>587</v>
      </c>
      <c r="B675">
        <v>0.54400000000000004</v>
      </c>
      <c r="C675">
        <v>0.69470506372790042</v>
      </c>
      <c r="D675">
        <v>0.69490432250604239</v>
      </c>
      <c r="E675">
        <f t="shared" si="30"/>
        <v>45.008215752608841</v>
      </c>
      <c r="F675">
        <f t="shared" si="31"/>
        <v>39.167992481441274</v>
      </c>
      <c r="G675">
        <f t="shared" si="32"/>
        <v>5.8402232711675666</v>
      </c>
    </row>
    <row r="676" spans="1:7" x14ac:dyDescent="0.3">
      <c r="A676" t="s">
        <v>587</v>
      </c>
      <c r="B676">
        <v>0.54400000000000004</v>
      </c>
      <c r="C676">
        <v>1.117119745611431</v>
      </c>
      <c r="D676">
        <v>1.0020526552407869</v>
      </c>
      <c r="E676">
        <f t="shared" si="30"/>
        <v>41.891998564226334</v>
      </c>
      <c r="F676">
        <f t="shared" si="31"/>
        <v>37.184811121046749</v>
      </c>
      <c r="G676">
        <f t="shared" si="32"/>
        <v>4.7071874431795848</v>
      </c>
    </row>
    <row r="677" spans="1:7" x14ac:dyDescent="0.3">
      <c r="A677" t="s">
        <v>587</v>
      </c>
      <c r="B677">
        <v>0.54400000000000004</v>
      </c>
      <c r="C677">
        <v>1.80212314146477</v>
      </c>
      <c r="D677">
        <v>1.185785504305265</v>
      </c>
      <c r="E677">
        <f t="shared" si="30"/>
        <v>33.344660743642677</v>
      </c>
      <c r="F677">
        <f t="shared" si="31"/>
        <v>35.226375767279961</v>
      </c>
      <c r="G677">
        <f t="shared" si="32"/>
        <v>-1.8817150236372839</v>
      </c>
    </row>
    <row r="678" spans="1:7" x14ac:dyDescent="0.3">
      <c r="A678" t="s">
        <v>588</v>
      </c>
      <c r="B678">
        <v>0.86</v>
      </c>
      <c r="C678">
        <v>0.18022571329212059</v>
      </c>
      <c r="D678">
        <v>0.1629005926626175</v>
      </c>
      <c r="E678">
        <f t="shared" si="30"/>
        <v>42.109478374401867</v>
      </c>
      <c r="F678">
        <f t="shared" si="31"/>
        <v>38.196354290826022</v>
      </c>
      <c r="G678">
        <f t="shared" si="32"/>
        <v>3.9131240835758447</v>
      </c>
    </row>
    <row r="679" spans="1:7" x14ac:dyDescent="0.3">
      <c r="A679" t="s">
        <v>588</v>
      </c>
      <c r="B679">
        <v>0.84</v>
      </c>
      <c r="C679">
        <v>0.17905453499588531</v>
      </c>
      <c r="D679">
        <v>0.16052248182082751</v>
      </c>
      <c r="E679">
        <f t="shared" si="30"/>
        <v>41.87624271718262</v>
      </c>
      <c r="F679">
        <f t="shared" si="31"/>
        <v>38.661037795549454</v>
      </c>
      <c r="G679">
        <f t="shared" si="32"/>
        <v>3.2152049216331662</v>
      </c>
    </row>
    <row r="680" spans="1:7" x14ac:dyDescent="0.3">
      <c r="A680" t="s">
        <v>588</v>
      </c>
      <c r="B680">
        <v>0.82</v>
      </c>
      <c r="C680">
        <v>0.34495470761898378</v>
      </c>
      <c r="D680">
        <v>0.28197367386066358</v>
      </c>
      <c r="E680">
        <f t="shared" si="30"/>
        <v>39.26333026683929</v>
      </c>
      <c r="F680">
        <f t="shared" si="31"/>
        <v>36.370486249791789</v>
      </c>
      <c r="G680">
        <f t="shared" si="32"/>
        <v>2.8928440170475014</v>
      </c>
    </row>
    <row r="681" spans="1:7" x14ac:dyDescent="0.3">
      <c r="A681" t="s">
        <v>589</v>
      </c>
      <c r="B681">
        <v>0.309</v>
      </c>
      <c r="C681">
        <v>0.1869271146362598</v>
      </c>
      <c r="D681">
        <v>0.17800001040159119</v>
      </c>
      <c r="E681">
        <f t="shared" si="30"/>
        <v>43.598669791604365</v>
      </c>
      <c r="F681">
        <f t="shared" si="31"/>
        <v>49.529475217979318</v>
      </c>
      <c r="G681">
        <f t="shared" si="32"/>
        <v>-5.9308054263749526</v>
      </c>
    </row>
    <row r="682" spans="1:7" x14ac:dyDescent="0.3">
      <c r="A682" t="s">
        <v>589</v>
      </c>
      <c r="B682">
        <v>0.30399999999999999</v>
      </c>
      <c r="C682">
        <v>0.35461788364845809</v>
      </c>
      <c r="D682">
        <v>0.30918724954280602</v>
      </c>
      <c r="E682">
        <f t="shared" si="30"/>
        <v>41.084798492406506</v>
      </c>
      <c r="F682">
        <f t="shared" si="31"/>
        <v>46.89593126201553</v>
      </c>
      <c r="G682">
        <f t="shared" si="32"/>
        <v>-5.8111327696090243</v>
      </c>
    </row>
    <row r="683" spans="1:7" x14ac:dyDescent="0.3">
      <c r="A683" t="s">
        <v>589</v>
      </c>
      <c r="B683">
        <v>0.316</v>
      </c>
      <c r="C683">
        <v>0.52333220404288949</v>
      </c>
      <c r="D683">
        <v>0.42375766802455278</v>
      </c>
      <c r="E683">
        <f t="shared" si="30"/>
        <v>38.998122405904667</v>
      </c>
      <c r="F683">
        <f t="shared" si="31"/>
        <v>44.983863491263406</v>
      </c>
      <c r="G683">
        <f t="shared" si="32"/>
        <v>-5.9857410853587396</v>
      </c>
    </row>
    <row r="684" spans="1:7" x14ac:dyDescent="0.3">
      <c r="A684" t="s">
        <v>590</v>
      </c>
      <c r="B684">
        <v>0.55000000000000004</v>
      </c>
      <c r="C684">
        <v>0.46241909692131122</v>
      </c>
      <c r="D684">
        <v>0.47576226534748461</v>
      </c>
      <c r="E684">
        <f t="shared" si="30"/>
        <v>45.814827202925805</v>
      </c>
      <c r="F684">
        <f t="shared" si="31"/>
        <v>40.767592134121557</v>
      </c>
      <c r="G684">
        <f t="shared" si="32"/>
        <v>5.0472350688042482</v>
      </c>
    </row>
    <row r="685" spans="1:7" x14ac:dyDescent="0.3">
      <c r="A685" t="s">
        <v>590</v>
      </c>
      <c r="B685">
        <v>0.55000000000000004</v>
      </c>
      <c r="C685">
        <v>0.89454284042980148</v>
      </c>
      <c r="D685">
        <v>0.84865838405081673</v>
      </c>
      <c r="E685">
        <f t="shared" si="30"/>
        <v>43.492211483563715</v>
      </c>
      <c r="F685">
        <f t="shared" si="31"/>
        <v>37.987742197198415</v>
      </c>
      <c r="G685">
        <f t="shared" si="32"/>
        <v>5.5044692863652998</v>
      </c>
    </row>
    <row r="686" spans="1:7" x14ac:dyDescent="0.3">
      <c r="A686" t="s">
        <v>590</v>
      </c>
      <c r="B686">
        <v>0.55000000000000004</v>
      </c>
      <c r="C686">
        <v>1.6838266677317979</v>
      </c>
      <c r="D686">
        <v>1.4145654311521321</v>
      </c>
      <c r="E686">
        <f t="shared" si="30"/>
        <v>40.033272228238189</v>
      </c>
      <c r="F686">
        <f t="shared" si="31"/>
        <v>35.384437928758047</v>
      </c>
      <c r="G686">
        <f t="shared" si="32"/>
        <v>4.6488342994801428</v>
      </c>
    </row>
    <row r="687" spans="1:7" x14ac:dyDescent="0.3">
      <c r="A687" t="s">
        <v>590</v>
      </c>
      <c r="B687">
        <v>0.55000000000000004</v>
      </c>
      <c r="C687">
        <v>3.417234683087448</v>
      </c>
      <c r="D687">
        <v>2.8229024109929219</v>
      </c>
      <c r="E687">
        <f t="shared" si="30"/>
        <v>39.559363132043806</v>
      </c>
      <c r="F687">
        <f t="shared" si="31"/>
        <v>32.566990133805248</v>
      </c>
      <c r="G687">
        <f t="shared" si="32"/>
        <v>6.9923729982385581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9" customWidth="1"/>
    <col min="2" max="2" width="22" customWidth="1"/>
    <col min="3" max="3" width="5" customWidth="1"/>
    <col min="4" max="4" width="7" customWidth="1"/>
    <col min="5" max="7" width="8" customWidth="1"/>
    <col min="8" max="9" width="9" customWidth="1"/>
    <col min="10" max="10" width="12" customWidth="1"/>
    <col min="11" max="20" width="9" customWidth="1"/>
    <col min="21" max="23" width="8" customWidth="1"/>
    <col min="24" max="26" width="9" customWidth="1"/>
  </cols>
  <sheetData>
    <row r="1" spans="1:26" ht="57.6" x14ac:dyDescent="0.3">
      <c r="A1" s="1" t="s">
        <v>58</v>
      </c>
      <c r="B1" s="1" t="s">
        <v>59</v>
      </c>
      <c r="C1" s="1" t="s">
        <v>62</v>
      </c>
      <c r="D1" s="1" t="s">
        <v>67</v>
      </c>
      <c r="E1" s="1" t="s">
        <v>68</v>
      </c>
      <c r="F1" s="1" t="s">
        <v>69</v>
      </c>
      <c r="G1" s="1" t="s">
        <v>591</v>
      </c>
      <c r="H1" s="1" t="s">
        <v>592</v>
      </c>
      <c r="I1" s="1" t="s">
        <v>593</v>
      </c>
      <c r="J1" s="1" t="s">
        <v>594</v>
      </c>
      <c r="K1" s="1" t="s">
        <v>595</v>
      </c>
      <c r="L1" s="1" t="s">
        <v>596</v>
      </c>
      <c r="M1" s="1" t="s">
        <v>597</v>
      </c>
      <c r="N1" s="1" t="s">
        <v>598</v>
      </c>
      <c r="O1" s="1" t="s">
        <v>599</v>
      </c>
      <c r="P1" s="1" t="s">
        <v>600</v>
      </c>
      <c r="Q1" s="1" t="s">
        <v>601</v>
      </c>
      <c r="R1" s="1" t="s">
        <v>602</v>
      </c>
      <c r="S1" s="1" t="s">
        <v>603</v>
      </c>
      <c r="T1" s="1" t="s">
        <v>604</v>
      </c>
      <c r="U1" s="1" t="s">
        <v>71</v>
      </c>
      <c r="V1" s="1" t="s">
        <v>605</v>
      </c>
      <c r="W1" s="1" t="s">
        <v>606</v>
      </c>
      <c r="X1" s="1" t="s">
        <v>607</v>
      </c>
      <c r="Y1" s="1" t="s">
        <v>608</v>
      </c>
      <c r="Z1" s="1" t="s">
        <v>609</v>
      </c>
    </row>
    <row r="2" spans="1:26" x14ac:dyDescent="0.3">
      <c r="A2" t="s">
        <v>81</v>
      </c>
      <c r="B2" t="s">
        <v>82</v>
      </c>
      <c r="C2" t="s">
        <v>610</v>
      </c>
      <c r="D2">
        <v>0.31196844660194167</v>
      </c>
      <c r="E2">
        <v>0.49030000000000001</v>
      </c>
      <c r="F2">
        <v>2.2711999999999999</v>
      </c>
      <c r="G2">
        <f t="shared" ref="G2:G23" si="0">F2-E2</f>
        <v>1.7808999999999999</v>
      </c>
      <c r="J2">
        <f t="shared" ref="J2:J38" si="1">TAN(RADIANS(pe0-omega*D2))*sref^(1-m_)</f>
        <v>0.90949484234398448</v>
      </c>
      <c r="K2">
        <f t="shared" ref="K2:K23" si="2">2*E2-((2*E2)+(J2*(2*E2)^m_)*(m_*J2*(2*E2)^(m_-1))-(J2*(2*E2)^m_)*SQRT(1+(m_*J2*(2*E2)^(m_-1))^2)-(E2))*((2*E2)*0.000001)/(((2*E2+((2*E2)*0.000001))+(J2*(2*E2+((2*E2)*0.000001))^m_)*(m_*J2*(2*E2+((2*E2)*0.000001))^(m_-1))-(J2*(2*E2+((2*E2)*0.000001))^m_)*SQRT(1+(m_*J2*(2*E2+((2*E2)*0.000001))^(m_-1))^2)-(E2))-((2*E2)+(J2*(2*E2)^m_)*(m_*J2*(2*E2)^(m_-1))-(J2*(2*E2)^m_)*SQRT(1+(m_*J2*(2*E2)^(m_-1))^2)-(E2)))</f>
        <v>0.89081177993664806</v>
      </c>
      <c r="L2">
        <f t="shared" ref="L2:L23" si="3">K2-((K2)+(J2*(K2)^m_)*(m_*J2*(K2)^(m_-1))-(J2*(K2)^m_)*SQRT(1+(m_*J2*(K2)^(m_-1))^2)-(E2))*((K2)*0.000001)/(((K2+((K2)*0.000001))+(J2*(K2+((K2)*0.000001))^m_)*(m_*J2*(K2+((K2)*0.000001))^(m_-1))-(J2*(K2+((K2)*0.000001))^m_)*SQRT(1+(m_*J2*(K2+((K2)*0.000001))^(m_-1))^2)-(E2))-((K2)+(J2*(K2)^m_)*(m_*J2*(K2)^(m_-1))-(J2*(K2)^m_)*SQRT(1+(m_*J2*(K2)^(m_-1))^2)-(E2)))</f>
        <v>0.89060383738452831</v>
      </c>
      <c r="M2">
        <f t="shared" ref="M2:M23" si="4">L2-((L2)+(J2*(L2)^m_)*(m_*J2*(L2)^(m_-1))-(J2*(L2)^m_)*SQRT(1+(m_*J2*(L2)^(m_-1))^2)-(E2))*((L2)*0.000001)/(((L2+((L2)*0.000001))+(J2*(L2+((L2)*0.000001))^m_)*(m_*J2*(L2+((L2)*0.000001))^(m_-1))-(J2*(L2+((L2)*0.000001))^m_)*SQRT(1+(m_*J2*(L2+((L2)*0.000001))^(m_-1))^2)-(E2))-((L2)+(J2*(L2)^m_)*(m_*J2*(L2)^(m_-1))-(J2*(L2)^m_)*SQRT(1+(m_*J2*(L2)^(m_-1))^2)-(E2)))</f>
        <v>0.89060383619487915</v>
      </c>
      <c r="N2">
        <f t="shared" ref="N2:N23" si="5">M2-((M2)+(J2*(M2)^m_)*(m_*J2*(M2)^(m_-1))-(J2*(M2)^m_)*SQRT(1+(m_*J2*(M2)^(m_-1))^2)-(E2))*((M2)*0.000001)/(((M2+((M2)*0.000001))+(J2*(M2+((M2)*0.000001))^m_)*(m_*J2*(M2+((M2)*0.000001))^(m_-1))-(J2*(M2+((M2)*0.000001))^m_)*SQRT(1+(m_*J2*(M2+((M2)*0.000001))^(m_-1))^2)-(E2))-((M2)+(J2*(M2)^m_)*(m_*J2*(M2)^(m_-1))-(J2*(M2)^m_)*SQRT(1+(m_*J2*(M2)^(m_-1))^2)-(E2)))</f>
        <v>0.89060383619487926</v>
      </c>
      <c r="O2">
        <f t="shared" ref="O2:O23" si="6">N2-((N2)+(J2*(N2)^m_)*(m_*J2*(N2)^(m_-1))-(J2*(N2)^m_)*SQRT(1+(m_*J2*(N2)^(m_-1))^2)-(E2))*((N2)*0.000001)/(((N2+((N2)*0.000001))+(J2*(N2+((N2)*0.000001))^m_)*(m_*J2*(N2+((N2)*0.000001))^(m_-1))-(J2*(N2+((N2)*0.000001))^m_)*SQRT(1+(m_*J2*(N2+((N2)*0.000001))^(m_-1))^2)-(E2))-((N2)+(J2*(N2)^m_)*(m_*J2*(N2)^(m_-1))-(J2*(N2)^m_)*SQRT(1+(m_*J2*(N2)^(m_-1))^2)-(E2)))</f>
        <v>0.89060383619487893</v>
      </c>
      <c r="P2">
        <f t="shared" ref="P2:P23" si="7">O2-((O2)+(J2*(O2)^m_)*(m_*J2*(O2)^(m_-1))-(J2*(O2)^m_)*SQRT(1+(m_*J2*(O2)^(m_-1))^2)-(E2))*((O2)*0.000001)/(((O2+((O2)*0.000001))+(J2*(O2+((O2)*0.000001))^m_)*(m_*J2*(O2+((O2)*0.000001))^(m_-1))-(J2*(O2+((O2)*0.000001))^m_)*SQRT(1+(m_*J2*(O2+((O2)*0.000001))^(m_-1))^2)-(E2))-((O2)+(J2*(O2)^m_)*(m_*J2*(O2)^(m_-1))-(J2*(O2)^m_)*SQRT(1+(m_*J2*(O2)^(m_-1))^2)-(E2)))</f>
        <v>0.89060383619487904</v>
      </c>
      <c r="Q2">
        <f t="shared" ref="Q2:Q23" si="8">P2-((P2)+(J2*(P2)^m_)*(m_*J2*(P2)^(m_-1))-(J2*(P2)^m_)*SQRT(1+(m_*J2*(P2)^(m_-1))^2)-(E2))*((P2)*0.000001)/(((P2+((P2)*0.000001))+(J2*(P2+((P2)*0.000001))^m_)*(m_*J2*(P2+((P2)*0.000001))^(m_-1))-(J2*(P2+((P2)*0.000001))^m_)*SQRT(1+(m_*J2*(P2+((P2)*0.000001))^(m_-1))^2)-(E2))-((P2)+(J2*(P2)^m_)*(m_*J2*(P2)^(m_-1))-(J2*(P2)^m_)*SQRT(1+(m_*J2*(P2)^(m_-1))^2)-(E2)))</f>
        <v>0.89060383619487948</v>
      </c>
      <c r="R2">
        <f t="shared" ref="R2:R23" si="9">Q2-((Q2)+(J2*(Q2)^m_)*(m_*J2*(Q2)^(m_-1))-(J2*(Q2)^m_)*SQRT(1+(m_*J2*(Q2)^(m_-1))^2)-(E2))*((Q2)*0.000001)/(((Q2+((Q2)*0.000001))+(J2*(Q2+((Q2)*0.000001))^m_)*(m_*J2*(Q2+((Q2)*0.000001))^(m_-1))-(J2*(Q2+((Q2)*0.000001))^m_)*SQRT(1+(m_*J2*(Q2+((Q2)*0.000001))^(m_-1))^2)-(E2))-((Q2)+(J2*(Q2)^m_)*(m_*J2*(Q2)^(m_-1))-(J2*(Q2)^m_)*SQRT(1+(m_*J2*(Q2)^(m_-1))^2)-(E2)))</f>
        <v>0.89060383619487882</v>
      </c>
      <c r="S2">
        <f t="shared" ref="S2:S23" si="10">R2-((R2)+(J2*(R2)^m_)*(m_*J2*(R2)^(m_-1))-(J2*(R2)^m_)*SQRT(1+(m_*J2*(R2)^(m_-1))^2)-(E2))*((R2)*0.000001)/(((R2+((R2)*0.000001))+(J2*(R2+((R2)*0.000001))^m_)*(m_*J2*(R2+((R2)*0.000001))^(m_-1))-(J2*(R2+((R2)*0.000001))^m_)*SQRT(1+(m_*J2*(R2+((R2)*0.000001))^(m_-1))^2)-(E2))-((R2)+(J2*(R2)^m_)*(m_*J2*(R2)^(m_-1))-(J2*(R2)^m_)*SQRT(1+(m_*J2*(R2)^(m_-1))^2)-(E2)))</f>
        <v>0.89060383619487926</v>
      </c>
      <c r="T2">
        <f t="shared" ref="T2:T23" si="11">S2-((S2)+(J2*(S2)^m_)*(m_*J2*(S2)^(m_-1))-(J2*(S2)^m_)*SQRT(1+(m_*J2*(S2)^(m_-1))^2)-(E2))*((S2)*0.000001)/(((S2+((S2)*0.000001))+(J2*(S2+((S2)*0.000001))^m_)*(m_*J2*(S2+((S2)*0.000001))^(m_-1))-(J2*(S2+((S2)*0.000001))^m_)*SQRT(1+(m_*J2*(S2+((S2)*0.000001))^(m_-1))^2)-(E2))-((S2)+(J2*(S2)^m_)*(m_*J2*(S2)^(m_-1))-(J2*(S2)^m_)*SQRT(1+(m_*J2*(S2)^(m_-1))^2)-(E2)))</f>
        <v>0.89060383619487893</v>
      </c>
      <c r="U2">
        <f t="shared" ref="U2:U23" si="12">J2*T2^m_</f>
        <v>0.82419906559900558</v>
      </c>
      <c r="V2">
        <f t="shared" ref="V2:V23" si="13">m_*J2*T2^(m_-1)</f>
        <v>0.78662271291391395</v>
      </c>
      <c r="W2">
        <f t="shared" ref="W2:W23" si="14">U2*SQRT(1+V2^2)</f>
        <v>1.0486375411574818</v>
      </c>
      <c r="X2">
        <f t="shared" ref="X2:X23" si="15">2*W2</f>
        <v>2.0972750823149635</v>
      </c>
      <c r="Y2">
        <f t="shared" ref="Y2:Y23" si="16">LN(X2)-LN(G2)</f>
        <v>0.16352006779384309</v>
      </c>
      <c r="Z2">
        <f t="shared" ref="Z2:Z38" si="17">Y2^2</f>
        <v>2.673881257130304E-2</v>
      </c>
    </row>
    <row r="3" spans="1:26" x14ac:dyDescent="0.3">
      <c r="A3" t="s">
        <v>81</v>
      </c>
      <c r="B3" t="s">
        <v>82</v>
      </c>
      <c r="C3" t="s">
        <v>610</v>
      </c>
      <c r="D3">
        <v>0.31196844660194167</v>
      </c>
      <c r="E3">
        <v>0.49030000000000001</v>
      </c>
      <c r="F3">
        <v>2.1928000000000001</v>
      </c>
      <c r="G3">
        <f t="shared" si="0"/>
        <v>1.7025000000000001</v>
      </c>
      <c r="J3">
        <f t="shared" si="1"/>
        <v>0.90949484234398448</v>
      </c>
      <c r="K3">
        <f t="shared" si="2"/>
        <v>0.89081177993664806</v>
      </c>
      <c r="L3">
        <f t="shared" si="3"/>
        <v>0.89060383738452831</v>
      </c>
      <c r="M3">
        <f t="shared" si="4"/>
        <v>0.89060383619487915</v>
      </c>
      <c r="N3">
        <f t="shared" si="5"/>
        <v>0.89060383619487926</v>
      </c>
      <c r="O3">
        <f t="shared" si="6"/>
        <v>0.89060383619487893</v>
      </c>
      <c r="P3">
        <f t="shared" si="7"/>
        <v>0.89060383619487904</v>
      </c>
      <c r="Q3">
        <f t="shared" si="8"/>
        <v>0.89060383619487948</v>
      </c>
      <c r="R3">
        <f t="shared" si="9"/>
        <v>0.89060383619487882</v>
      </c>
      <c r="S3">
        <f t="shared" si="10"/>
        <v>0.89060383619487926</v>
      </c>
      <c r="T3">
        <f t="shared" si="11"/>
        <v>0.89060383619487893</v>
      </c>
      <c r="U3">
        <f t="shared" si="12"/>
        <v>0.82419906559900558</v>
      </c>
      <c r="V3">
        <f t="shared" si="13"/>
        <v>0.78662271291391395</v>
      </c>
      <c r="W3">
        <f t="shared" si="14"/>
        <v>1.0486375411574818</v>
      </c>
      <c r="X3">
        <f t="shared" si="15"/>
        <v>2.0972750823149635</v>
      </c>
      <c r="Y3">
        <f t="shared" si="16"/>
        <v>0.20854116325213556</v>
      </c>
      <c r="Z3">
        <f t="shared" si="17"/>
        <v>4.348941677055386E-2</v>
      </c>
    </row>
    <row r="4" spans="1:26" x14ac:dyDescent="0.3">
      <c r="A4" t="s">
        <v>81</v>
      </c>
      <c r="B4" t="s">
        <v>82</v>
      </c>
      <c r="C4" t="s">
        <v>610</v>
      </c>
      <c r="D4">
        <v>0.31196844660194167</v>
      </c>
      <c r="E4">
        <v>0.98070000000000002</v>
      </c>
      <c r="F4">
        <v>3.8972000000000002</v>
      </c>
      <c r="G4">
        <f t="shared" si="0"/>
        <v>2.9165000000000001</v>
      </c>
      <c r="J4">
        <f t="shared" si="1"/>
        <v>0.90949484234398448</v>
      </c>
      <c r="K4">
        <f t="shared" si="2"/>
        <v>1.7271247725472374</v>
      </c>
      <c r="L4">
        <f t="shared" si="3"/>
        <v>1.7264057006012408</v>
      </c>
      <c r="M4">
        <f t="shared" si="4"/>
        <v>1.7264056932320477</v>
      </c>
      <c r="N4">
        <f t="shared" si="5"/>
        <v>1.7264056932320471</v>
      </c>
      <c r="O4">
        <f t="shared" si="6"/>
        <v>1.7264056932320477</v>
      </c>
      <c r="P4">
        <f t="shared" si="7"/>
        <v>1.7264056932320471</v>
      </c>
      <c r="Q4">
        <f t="shared" si="8"/>
        <v>1.7264056932320477</v>
      </c>
      <c r="R4">
        <f t="shared" si="9"/>
        <v>1.7264056932320471</v>
      </c>
      <c r="S4">
        <f t="shared" si="10"/>
        <v>1.7264056932320477</v>
      </c>
      <c r="T4">
        <f t="shared" si="11"/>
        <v>1.7264056932320471</v>
      </c>
      <c r="U4">
        <f t="shared" si="12"/>
        <v>1.4466773140576976</v>
      </c>
      <c r="V4">
        <f t="shared" si="13"/>
        <v>0.71227505896770782</v>
      </c>
      <c r="W4">
        <f t="shared" si="14"/>
        <v>1.776137862409739</v>
      </c>
      <c r="X4">
        <f t="shared" si="15"/>
        <v>3.5522757248194781</v>
      </c>
      <c r="Y4">
        <f t="shared" si="16"/>
        <v>0.19720418013639485</v>
      </c>
      <c r="Z4">
        <f t="shared" si="17"/>
        <v>3.888948866326767E-2</v>
      </c>
    </row>
    <row r="5" spans="1:26" x14ac:dyDescent="0.3">
      <c r="A5" t="s">
        <v>81</v>
      </c>
      <c r="B5" t="s">
        <v>82</v>
      </c>
      <c r="C5" t="s">
        <v>610</v>
      </c>
      <c r="D5">
        <v>0.31196844660194167</v>
      </c>
      <c r="E5">
        <v>1.9613</v>
      </c>
      <c r="F5">
        <v>7.7786</v>
      </c>
      <c r="G5">
        <f t="shared" si="0"/>
        <v>5.8172999999999995</v>
      </c>
      <c r="J5">
        <f t="shared" si="1"/>
        <v>0.90949484234398448</v>
      </c>
      <c r="K5">
        <f t="shared" si="2"/>
        <v>3.3464893657703354</v>
      </c>
      <c r="L5">
        <f t="shared" si="3"/>
        <v>3.3443077337205156</v>
      </c>
      <c r="M5">
        <f t="shared" si="4"/>
        <v>3.344307698941495</v>
      </c>
      <c r="N5">
        <f t="shared" si="5"/>
        <v>3.344307698941495</v>
      </c>
      <c r="O5">
        <f t="shared" si="6"/>
        <v>3.344307698941495</v>
      </c>
      <c r="P5">
        <f t="shared" si="7"/>
        <v>3.344307698941495</v>
      </c>
      <c r="Q5">
        <f t="shared" si="8"/>
        <v>3.344307698941495</v>
      </c>
      <c r="R5">
        <f t="shared" si="9"/>
        <v>3.344307698941495</v>
      </c>
      <c r="S5">
        <f t="shared" si="10"/>
        <v>3.344307698941495</v>
      </c>
      <c r="T5">
        <f t="shared" si="11"/>
        <v>3.344307698941495</v>
      </c>
      <c r="U5">
        <f t="shared" si="12"/>
        <v>2.5378183595244952</v>
      </c>
      <c r="V5">
        <f t="shared" si="13"/>
        <v>0.64502007583769216</v>
      </c>
      <c r="W5">
        <f t="shared" si="14"/>
        <v>3.0199514896642721</v>
      </c>
      <c r="X5">
        <f t="shared" si="15"/>
        <v>6.0399029793285441</v>
      </c>
      <c r="Y5">
        <f t="shared" si="16"/>
        <v>3.7551712218091504E-2</v>
      </c>
      <c r="Z5">
        <f t="shared" si="17"/>
        <v>1.4101310905103627E-3</v>
      </c>
    </row>
    <row r="6" spans="1:26" x14ac:dyDescent="0.3">
      <c r="A6" t="s">
        <v>81</v>
      </c>
      <c r="B6" t="s">
        <v>82</v>
      </c>
      <c r="C6" t="s">
        <v>610</v>
      </c>
      <c r="D6">
        <v>0.31196844660194167</v>
      </c>
      <c r="E6">
        <v>1.9613</v>
      </c>
      <c r="F6">
        <v>8.2904999999999998</v>
      </c>
      <c r="G6">
        <f t="shared" si="0"/>
        <v>6.3292000000000002</v>
      </c>
      <c r="J6">
        <f t="shared" si="1"/>
        <v>0.90949484234398448</v>
      </c>
      <c r="K6">
        <f t="shared" si="2"/>
        <v>3.3464893657703354</v>
      </c>
      <c r="L6">
        <f t="shared" si="3"/>
        <v>3.3443077337205156</v>
      </c>
      <c r="M6">
        <f t="shared" si="4"/>
        <v>3.344307698941495</v>
      </c>
      <c r="N6">
        <f t="shared" si="5"/>
        <v>3.344307698941495</v>
      </c>
      <c r="O6">
        <f t="shared" si="6"/>
        <v>3.344307698941495</v>
      </c>
      <c r="P6">
        <f t="shared" si="7"/>
        <v>3.344307698941495</v>
      </c>
      <c r="Q6">
        <f t="shared" si="8"/>
        <v>3.344307698941495</v>
      </c>
      <c r="R6">
        <f t="shared" si="9"/>
        <v>3.344307698941495</v>
      </c>
      <c r="S6">
        <f t="shared" si="10"/>
        <v>3.344307698941495</v>
      </c>
      <c r="T6">
        <f t="shared" si="11"/>
        <v>3.344307698941495</v>
      </c>
      <c r="U6">
        <f t="shared" si="12"/>
        <v>2.5378183595244952</v>
      </c>
      <c r="V6">
        <f t="shared" si="13"/>
        <v>0.64502007583769216</v>
      </c>
      <c r="W6">
        <f t="shared" si="14"/>
        <v>3.0199514896642721</v>
      </c>
      <c r="X6">
        <f t="shared" si="15"/>
        <v>6.0399029793285441</v>
      </c>
      <c r="Y6">
        <f t="shared" si="16"/>
        <v>-4.6785897070054761E-2</v>
      </c>
      <c r="Z6">
        <f t="shared" si="17"/>
        <v>2.1889201646497587E-3</v>
      </c>
    </row>
    <row r="7" spans="1:26" x14ac:dyDescent="0.3">
      <c r="A7" t="s">
        <v>97</v>
      </c>
      <c r="B7" t="s">
        <v>98</v>
      </c>
      <c r="C7" t="s">
        <v>610</v>
      </c>
      <c r="D7">
        <v>0.3222733833484463</v>
      </c>
      <c r="E7">
        <v>9.8000000000000004E-2</v>
      </c>
      <c r="F7">
        <v>0.38100000000000001</v>
      </c>
      <c r="G7">
        <f t="shared" si="0"/>
        <v>0.28300000000000003</v>
      </c>
      <c r="J7">
        <f t="shared" si="1"/>
        <v>0.90294243728538248</v>
      </c>
      <c r="K7">
        <f t="shared" si="2"/>
        <v>0.19031212647425477</v>
      </c>
      <c r="L7">
        <f t="shared" si="3"/>
        <v>0.19030829280885597</v>
      </c>
      <c r="M7">
        <f t="shared" si="4"/>
        <v>0.19030829280699726</v>
      </c>
      <c r="N7">
        <f t="shared" si="5"/>
        <v>0.19030829280699721</v>
      </c>
      <c r="O7">
        <f t="shared" si="6"/>
        <v>0.19030829280699726</v>
      </c>
      <c r="P7">
        <f t="shared" si="7"/>
        <v>0.19030829280699721</v>
      </c>
      <c r="Q7">
        <f t="shared" si="8"/>
        <v>0.19030829280699726</v>
      </c>
      <c r="R7">
        <f t="shared" si="9"/>
        <v>0.19030829280699721</v>
      </c>
      <c r="S7">
        <f t="shared" si="10"/>
        <v>0.19030829280699726</v>
      </c>
      <c r="T7">
        <f t="shared" si="11"/>
        <v>0.19030829280699721</v>
      </c>
      <c r="U7">
        <f t="shared" si="12"/>
        <v>0.22039367221960857</v>
      </c>
      <c r="V7">
        <f t="shared" si="13"/>
        <v>0.98437445170428972</v>
      </c>
      <c r="W7">
        <f t="shared" si="14"/>
        <v>0.30925819305726937</v>
      </c>
      <c r="X7">
        <f t="shared" si="15"/>
        <v>0.61851638611453874</v>
      </c>
      <c r="Y7">
        <f t="shared" si="16"/>
        <v>0.78187678715208797</v>
      </c>
      <c r="Z7">
        <f t="shared" si="17"/>
        <v>0.6113313102872715</v>
      </c>
    </row>
    <row r="8" spans="1:26" x14ac:dyDescent="0.3">
      <c r="A8" t="s">
        <v>97</v>
      </c>
      <c r="B8" t="s">
        <v>98</v>
      </c>
      <c r="C8" t="s">
        <v>610</v>
      </c>
      <c r="D8">
        <v>0.3222733833484463</v>
      </c>
      <c r="E8">
        <v>0.39900000000000002</v>
      </c>
      <c r="F8">
        <v>1.917</v>
      </c>
      <c r="G8">
        <f t="shared" si="0"/>
        <v>1.518</v>
      </c>
      <c r="J8">
        <f t="shared" si="1"/>
        <v>0.90294243728538248</v>
      </c>
      <c r="K8">
        <f t="shared" si="2"/>
        <v>0.73001799983667193</v>
      </c>
      <c r="L8">
        <f t="shared" si="3"/>
        <v>0.72987231384537421</v>
      </c>
      <c r="M8">
        <f t="shared" si="4"/>
        <v>0.72987231313446022</v>
      </c>
      <c r="N8">
        <f t="shared" si="5"/>
        <v>0.72987231313446055</v>
      </c>
      <c r="O8">
        <f t="shared" si="6"/>
        <v>0.72987231313446022</v>
      </c>
      <c r="P8">
        <f t="shared" si="7"/>
        <v>0.72987231313446055</v>
      </c>
      <c r="Q8">
        <f t="shared" si="8"/>
        <v>0.72987231313446022</v>
      </c>
      <c r="R8">
        <f t="shared" si="9"/>
        <v>0.72987231313446055</v>
      </c>
      <c r="S8">
        <f t="shared" si="10"/>
        <v>0.72987231313446022</v>
      </c>
      <c r="T8">
        <f t="shared" si="11"/>
        <v>0.72987231313446055</v>
      </c>
      <c r="U8">
        <f t="shared" si="12"/>
        <v>0.6909075220075811</v>
      </c>
      <c r="V8">
        <f t="shared" si="13"/>
        <v>0.80462210052110028</v>
      </c>
      <c r="W8">
        <f t="shared" si="14"/>
        <v>0.88679177475802851</v>
      </c>
      <c r="X8">
        <f t="shared" si="15"/>
        <v>1.773583549516057</v>
      </c>
      <c r="Y8">
        <f t="shared" si="16"/>
        <v>0.15560842510958789</v>
      </c>
      <c r="Z8">
        <f t="shared" si="17"/>
        <v>2.4213981965086222E-2</v>
      </c>
    </row>
    <row r="9" spans="1:26" x14ac:dyDescent="0.3">
      <c r="A9" t="s">
        <v>97</v>
      </c>
      <c r="B9" t="s">
        <v>98</v>
      </c>
      <c r="C9" t="s">
        <v>610</v>
      </c>
      <c r="D9">
        <v>0.323565296766471</v>
      </c>
      <c r="E9">
        <v>1.2</v>
      </c>
      <c r="F9">
        <v>5.8470000000000004</v>
      </c>
      <c r="G9">
        <f t="shared" si="0"/>
        <v>4.6470000000000002</v>
      </c>
      <c r="J9">
        <f t="shared" si="1"/>
        <v>0.90212397180470849</v>
      </c>
      <c r="K9">
        <f t="shared" si="2"/>
        <v>2.0888524472795784</v>
      </c>
      <c r="L9">
        <f t="shared" si="3"/>
        <v>2.0878131047042259</v>
      </c>
      <c r="M9">
        <f t="shared" si="4"/>
        <v>2.0878130919897004</v>
      </c>
      <c r="N9">
        <f t="shared" si="5"/>
        <v>2.0878130919897009</v>
      </c>
      <c r="O9">
        <f t="shared" si="6"/>
        <v>2.0878130919897</v>
      </c>
      <c r="P9">
        <f t="shared" si="7"/>
        <v>2.0878130919897004</v>
      </c>
      <c r="Q9">
        <f t="shared" si="8"/>
        <v>2.0878130919897009</v>
      </c>
      <c r="R9">
        <f t="shared" si="9"/>
        <v>2.0878130919897</v>
      </c>
      <c r="S9">
        <f t="shared" si="10"/>
        <v>2.0878130919897004</v>
      </c>
      <c r="T9">
        <f t="shared" si="11"/>
        <v>2.0878130919897009</v>
      </c>
      <c r="U9">
        <f t="shared" si="12"/>
        <v>1.6865689374717163</v>
      </c>
      <c r="V9">
        <f t="shared" si="13"/>
        <v>0.686643647533</v>
      </c>
      <c r="W9">
        <f t="shared" si="14"/>
        <v>2.045884939031136</v>
      </c>
      <c r="X9">
        <f t="shared" si="15"/>
        <v>4.091769878062272</v>
      </c>
      <c r="Y9">
        <f t="shared" si="16"/>
        <v>-0.12724424062750272</v>
      </c>
      <c r="Z9">
        <f t="shared" si="17"/>
        <v>1.6191096772869815E-2</v>
      </c>
    </row>
    <row r="10" spans="1:26" x14ac:dyDescent="0.3">
      <c r="A10" t="s">
        <v>106</v>
      </c>
      <c r="B10" t="s">
        <v>107</v>
      </c>
      <c r="C10" t="s">
        <v>610</v>
      </c>
      <c r="D10">
        <v>0.33173131067961159</v>
      </c>
      <c r="E10">
        <v>0.98099999999999998</v>
      </c>
      <c r="F10">
        <v>4.8780000000000001</v>
      </c>
      <c r="G10">
        <f t="shared" si="0"/>
        <v>3.8970000000000002</v>
      </c>
      <c r="J10">
        <f t="shared" si="1"/>
        <v>0.89696588494761142</v>
      </c>
      <c r="K10">
        <f t="shared" si="2"/>
        <v>1.720384662269808</v>
      </c>
      <c r="L10">
        <f t="shared" si="3"/>
        <v>1.7196191755260906</v>
      </c>
      <c r="M10">
        <f t="shared" si="4"/>
        <v>1.7196191671441308</v>
      </c>
      <c r="N10">
        <f t="shared" si="5"/>
        <v>1.7196191671441305</v>
      </c>
      <c r="O10">
        <f t="shared" si="6"/>
        <v>1.7196191671441308</v>
      </c>
      <c r="P10">
        <f t="shared" si="7"/>
        <v>1.7196191671441305</v>
      </c>
      <c r="Q10">
        <f t="shared" si="8"/>
        <v>1.7196191671441308</v>
      </c>
      <c r="R10">
        <f t="shared" si="9"/>
        <v>1.7196191671441305</v>
      </c>
      <c r="S10">
        <f t="shared" si="10"/>
        <v>1.7196191671441308</v>
      </c>
      <c r="T10">
        <f t="shared" si="11"/>
        <v>1.7196191671441305</v>
      </c>
      <c r="U10">
        <f t="shared" si="12"/>
        <v>1.4219795840143017</v>
      </c>
      <c r="V10">
        <f t="shared" si="13"/>
        <v>0.70287809621213082</v>
      </c>
      <c r="W10">
        <f t="shared" si="14"/>
        <v>1.7380974700086207</v>
      </c>
      <c r="X10">
        <f t="shared" si="15"/>
        <v>3.4761949400172414</v>
      </c>
      <c r="Y10">
        <f t="shared" si="16"/>
        <v>-0.11426873881787958</v>
      </c>
      <c r="Z10">
        <f t="shared" si="17"/>
        <v>1.305734467102878E-2</v>
      </c>
    </row>
    <row r="11" spans="1:26" x14ac:dyDescent="0.3">
      <c r="A11" t="s">
        <v>106</v>
      </c>
      <c r="B11" t="s">
        <v>107</v>
      </c>
      <c r="C11" t="s">
        <v>610</v>
      </c>
      <c r="D11">
        <v>0.33173131067961159</v>
      </c>
      <c r="E11">
        <v>1.9610000000000001</v>
      </c>
      <c r="F11">
        <v>11.021000000000001</v>
      </c>
      <c r="G11">
        <f t="shared" si="0"/>
        <v>9.06</v>
      </c>
      <c r="J11">
        <f t="shared" si="1"/>
        <v>0.89696588494761142</v>
      </c>
      <c r="K11">
        <f t="shared" si="2"/>
        <v>3.3318478705810755</v>
      </c>
      <c r="L11">
        <f t="shared" si="3"/>
        <v>3.3295592763729771</v>
      </c>
      <c r="M11">
        <f t="shared" si="4"/>
        <v>3.329559237997636</v>
      </c>
      <c r="N11">
        <f t="shared" si="5"/>
        <v>3.3295592379976364</v>
      </c>
      <c r="O11">
        <f t="shared" si="6"/>
        <v>3.3295592379976369</v>
      </c>
      <c r="P11">
        <f t="shared" si="7"/>
        <v>3.3295592379976373</v>
      </c>
      <c r="Q11">
        <f t="shared" si="8"/>
        <v>3.3295592379976364</v>
      </c>
      <c r="R11">
        <f t="shared" si="9"/>
        <v>3.3295592379976369</v>
      </c>
      <c r="S11">
        <f t="shared" si="10"/>
        <v>3.3295592379976373</v>
      </c>
      <c r="T11">
        <f t="shared" si="11"/>
        <v>3.3295592379976364</v>
      </c>
      <c r="U11">
        <f t="shared" si="12"/>
        <v>2.4934729409108409</v>
      </c>
      <c r="V11">
        <f t="shared" si="13"/>
        <v>0.63655632721189603</v>
      </c>
      <c r="W11">
        <f t="shared" si="14"/>
        <v>2.9557952152660865</v>
      </c>
      <c r="X11">
        <f t="shared" si="15"/>
        <v>5.9115904305321729</v>
      </c>
      <c r="Y11">
        <f t="shared" si="16"/>
        <v>-0.42695421645896814</v>
      </c>
      <c r="Z11">
        <f t="shared" si="17"/>
        <v>0.18228990295209141</v>
      </c>
    </row>
    <row r="12" spans="1:26" x14ac:dyDescent="0.3">
      <c r="A12" t="s">
        <v>106</v>
      </c>
      <c r="B12" t="s">
        <v>107</v>
      </c>
      <c r="C12" t="s">
        <v>610</v>
      </c>
      <c r="D12">
        <v>0.33173131067961159</v>
      </c>
      <c r="E12">
        <v>2.452</v>
      </c>
      <c r="F12">
        <v>14.382</v>
      </c>
      <c r="G12">
        <f t="shared" si="0"/>
        <v>11.93</v>
      </c>
      <c r="J12">
        <f t="shared" si="1"/>
        <v>0.89696588494761142</v>
      </c>
      <c r="K12">
        <f t="shared" si="2"/>
        <v>4.123615824711484</v>
      </c>
      <c r="L12">
        <f t="shared" si="3"/>
        <v>4.1204215116219993</v>
      </c>
      <c r="M12">
        <f t="shared" si="4"/>
        <v>4.1204214515077418</v>
      </c>
      <c r="N12">
        <f t="shared" si="5"/>
        <v>4.12042145150774</v>
      </c>
      <c r="O12">
        <f t="shared" si="6"/>
        <v>4.12042145150774</v>
      </c>
      <c r="P12">
        <f t="shared" si="7"/>
        <v>4.12042145150774</v>
      </c>
      <c r="Q12">
        <f t="shared" si="8"/>
        <v>4.12042145150774</v>
      </c>
      <c r="R12">
        <f t="shared" si="9"/>
        <v>4.12042145150774</v>
      </c>
      <c r="S12">
        <f t="shared" si="10"/>
        <v>4.12042145150774</v>
      </c>
      <c r="T12">
        <f t="shared" si="11"/>
        <v>4.12042145150774</v>
      </c>
      <c r="U12">
        <f t="shared" si="12"/>
        <v>2.9886586787398928</v>
      </c>
      <c r="V12">
        <f t="shared" si="13"/>
        <v>0.61652913587257996</v>
      </c>
      <c r="W12">
        <f t="shared" si="14"/>
        <v>3.5110166041293329</v>
      </c>
      <c r="X12">
        <f t="shared" si="15"/>
        <v>7.0220332082586658</v>
      </c>
      <c r="Y12">
        <f t="shared" si="16"/>
        <v>-0.53000342920093191</v>
      </c>
      <c r="Z12">
        <f t="shared" si="17"/>
        <v>0.28090363496474724</v>
      </c>
    </row>
    <row r="13" spans="1:26" x14ac:dyDescent="0.3">
      <c r="A13" t="s">
        <v>106</v>
      </c>
      <c r="B13" t="s">
        <v>115</v>
      </c>
      <c r="C13" t="s">
        <v>610</v>
      </c>
      <c r="D13">
        <v>0.35743023255813949</v>
      </c>
      <c r="E13">
        <v>0.98099999999999998</v>
      </c>
      <c r="F13">
        <v>4.8010000000000002</v>
      </c>
      <c r="G13">
        <f t="shared" si="0"/>
        <v>3.8200000000000003</v>
      </c>
      <c r="J13">
        <f t="shared" si="1"/>
        <v>0.88090311761511675</v>
      </c>
      <c r="K13">
        <f t="shared" si="2"/>
        <v>1.7109735128005426</v>
      </c>
      <c r="L13">
        <f t="shared" si="3"/>
        <v>1.710146265043329</v>
      </c>
      <c r="M13">
        <f t="shared" si="4"/>
        <v>1.7101462552069653</v>
      </c>
      <c r="N13">
        <f t="shared" si="5"/>
        <v>1.7101462552069655</v>
      </c>
      <c r="O13">
        <f t="shared" si="6"/>
        <v>1.7101462552069651</v>
      </c>
      <c r="P13">
        <f t="shared" si="7"/>
        <v>1.7101462552069648</v>
      </c>
      <c r="Q13">
        <f t="shared" si="8"/>
        <v>1.7101462552069651</v>
      </c>
      <c r="R13">
        <f t="shared" si="9"/>
        <v>1.7101462552069648</v>
      </c>
      <c r="S13">
        <f t="shared" si="10"/>
        <v>1.7101462552069651</v>
      </c>
      <c r="T13">
        <f t="shared" si="11"/>
        <v>1.7101462552069648</v>
      </c>
      <c r="U13">
        <f t="shared" si="12"/>
        <v>1.3899731550431271</v>
      </c>
      <c r="V13">
        <f t="shared" si="13"/>
        <v>0.69086323943894123</v>
      </c>
      <c r="W13">
        <f t="shared" si="14"/>
        <v>1.6894276118332257</v>
      </c>
      <c r="X13">
        <f t="shared" si="15"/>
        <v>3.3788552236664513</v>
      </c>
      <c r="Y13">
        <f t="shared" si="16"/>
        <v>-0.12271346171532604</v>
      </c>
      <c r="Z13">
        <f t="shared" si="17"/>
        <v>1.5058593686158792E-2</v>
      </c>
    </row>
    <row r="14" spans="1:26" x14ac:dyDescent="0.3">
      <c r="A14" t="s">
        <v>106</v>
      </c>
      <c r="B14" t="s">
        <v>115</v>
      </c>
      <c r="C14" t="s">
        <v>610</v>
      </c>
      <c r="D14">
        <v>0.35743023255813949</v>
      </c>
      <c r="E14">
        <v>1.9610000000000001</v>
      </c>
      <c r="F14">
        <v>11.664</v>
      </c>
      <c r="G14">
        <f t="shared" si="0"/>
        <v>9.7029999999999994</v>
      </c>
      <c r="J14">
        <f t="shared" si="1"/>
        <v>0.88090311761511675</v>
      </c>
      <c r="K14">
        <f t="shared" si="2"/>
        <v>3.3134943705346611</v>
      </c>
      <c r="L14">
        <f t="shared" si="3"/>
        <v>3.3110633860836542</v>
      </c>
      <c r="M14">
        <f t="shared" si="4"/>
        <v>3.3110633426525271</v>
      </c>
      <c r="N14">
        <f t="shared" si="5"/>
        <v>3.3110633426525267</v>
      </c>
      <c r="O14">
        <f t="shared" si="6"/>
        <v>3.3110633426525262</v>
      </c>
      <c r="P14">
        <f t="shared" si="7"/>
        <v>3.3110633426525271</v>
      </c>
      <c r="Q14">
        <f t="shared" si="8"/>
        <v>3.3110633426525267</v>
      </c>
      <c r="R14">
        <f t="shared" si="9"/>
        <v>3.3110633426525262</v>
      </c>
      <c r="S14">
        <f t="shared" si="10"/>
        <v>3.3110633426525271</v>
      </c>
      <c r="T14">
        <f t="shared" si="11"/>
        <v>3.3110633426525267</v>
      </c>
      <c r="U14">
        <f t="shared" si="12"/>
        <v>2.4372524340269339</v>
      </c>
      <c r="V14">
        <f t="shared" si="13"/>
        <v>0.62567953389356246</v>
      </c>
      <c r="W14">
        <f t="shared" si="14"/>
        <v>2.8750023095554491</v>
      </c>
      <c r="X14">
        <f t="shared" si="15"/>
        <v>5.7500046191108982</v>
      </c>
      <c r="Y14">
        <f t="shared" si="16"/>
        <v>-0.52323445791059142</v>
      </c>
      <c r="Z14">
        <f t="shared" si="17"/>
        <v>0.27377429794499047</v>
      </c>
    </row>
    <row r="15" spans="1:26" x14ac:dyDescent="0.3">
      <c r="A15" t="s">
        <v>106</v>
      </c>
      <c r="B15" t="s">
        <v>115</v>
      </c>
      <c r="C15" t="s">
        <v>610</v>
      </c>
      <c r="D15">
        <v>0.35743023255813949</v>
      </c>
      <c r="E15">
        <v>2.452</v>
      </c>
      <c r="F15">
        <v>15.381</v>
      </c>
      <c r="G15">
        <f t="shared" si="0"/>
        <v>12.929</v>
      </c>
      <c r="J15">
        <f t="shared" si="1"/>
        <v>0.88090311761511675</v>
      </c>
      <c r="K15">
        <f t="shared" si="2"/>
        <v>4.1009029713588401</v>
      </c>
      <c r="L15">
        <f t="shared" si="3"/>
        <v>4.0975251655608975</v>
      </c>
      <c r="M15">
        <f t="shared" si="4"/>
        <v>4.0975250981759048</v>
      </c>
      <c r="N15">
        <f t="shared" si="5"/>
        <v>4.097525098175903</v>
      </c>
      <c r="O15">
        <f t="shared" si="6"/>
        <v>4.097525098175903</v>
      </c>
      <c r="P15">
        <f t="shared" si="7"/>
        <v>4.097525098175903</v>
      </c>
      <c r="Q15">
        <f t="shared" si="8"/>
        <v>4.097525098175903</v>
      </c>
      <c r="R15">
        <f t="shared" si="9"/>
        <v>4.097525098175903</v>
      </c>
      <c r="S15">
        <f t="shared" si="10"/>
        <v>4.097525098175903</v>
      </c>
      <c r="T15">
        <f t="shared" si="11"/>
        <v>4.097525098175903</v>
      </c>
      <c r="U15">
        <f t="shared" si="12"/>
        <v>2.9212688383573817</v>
      </c>
      <c r="V15">
        <f t="shared" si="13"/>
        <v>0.60599470487909102</v>
      </c>
      <c r="W15">
        <f t="shared" si="14"/>
        <v>3.4157985457487694</v>
      </c>
      <c r="X15">
        <f t="shared" si="15"/>
        <v>6.8315970914975388</v>
      </c>
      <c r="Y15">
        <f t="shared" si="16"/>
        <v>-0.63791436925210743</v>
      </c>
      <c r="Z15">
        <f t="shared" si="17"/>
        <v>0.40693474249831407</v>
      </c>
    </row>
    <row r="16" spans="1:26" x14ac:dyDescent="0.3">
      <c r="A16" t="s">
        <v>106</v>
      </c>
      <c r="B16" t="s">
        <v>123</v>
      </c>
      <c r="C16" t="s">
        <v>610</v>
      </c>
      <c r="D16">
        <v>0.33302551020408178</v>
      </c>
      <c r="E16">
        <v>0.97699999999999998</v>
      </c>
      <c r="F16">
        <v>5.0759999999999996</v>
      </c>
      <c r="G16">
        <f t="shared" si="0"/>
        <v>4.0989999999999993</v>
      </c>
      <c r="J16">
        <f t="shared" si="1"/>
        <v>0.89615081786741069</v>
      </c>
      <c r="K16">
        <f t="shared" si="2"/>
        <v>1.7132159442533259</v>
      </c>
      <c r="L16">
        <f t="shared" si="3"/>
        <v>1.7124525864123021</v>
      </c>
      <c r="M16">
        <f t="shared" si="4"/>
        <v>1.7124525780421895</v>
      </c>
      <c r="N16">
        <f t="shared" si="5"/>
        <v>1.7124525780421893</v>
      </c>
      <c r="O16">
        <f t="shared" si="6"/>
        <v>1.7124525780421895</v>
      </c>
      <c r="P16">
        <f t="shared" si="7"/>
        <v>1.7124525780421893</v>
      </c>
      <c r="Q16">
        <f t="shared" si="8"/>
        <v>1.7124525780421895</v>
      </c>
      <c r="R16">
        <f t="shared" si="9"/>
        <v>1.7124525780421893</v>
      </c>
      <c r="S16">
        <f t="shared" si="10"/>
        <v>1.7124525780421895</v>
      </c>
      <c r="T16">
        <f t="shared" si="11"/>
        <v>1.7124525780421893</v>
      </c>
      <c r="U16">
        <f t="shared" si="12"/>
        <v>1.4156532036370906</v>
      </c>
      <c r="V16">
        <f t="shared" si="13"/>
        <v>0.70267944264315918</v>
      </c>
      <c r="W16">
        <f t="shared" si="14"/>
        <v>1.730202982149903</v>
      </c>
      <c r="X16">
        <f t="shared" si="15"/>
        <v>3.460405964299806</v>
      </c>
      <c r="Y16">
        <f t="shared" si="16"/>
        <v>-0.16935712861279106</v>
      </c>
      <c r="Z16">
        <f t="shared" si="17"/>
        <v>2.8681837011969455E-2</v>
      </c>
    </row>
    <row r="17" spans="1:26" x14ac:dyDescent="0.3">
      <c r="A17" t="s">
        <v>106</v>
      </c>
      <c r="B17" t="s">
        <v>126</v>
      </c>
      <c r="C17" t="s">
        <v>610</v>
      </c>
      <c r="D17">
        <v>0.32678203240058901</v>
      </c>
      <c r="E17">
        <v>0.98199999999999998</v>
      </c>
      <c r="F17">
        <v>4.8049999999999997</v>
      </c>
      <c r="G17">
        <f t="shared" si="0"/>
        <v>3.8229999999999995</v>
      </c>
      <c r="J17">
        <f t="shared" si="1"/>
        <v>0.90008895846769765</v>
      </c>
      <c r="K17">
        <f t="shared" si="2"/>
        <v>1.7238740458815356</v>
      </c>
      <c r="L17">
        <f t="shared" si="3"/>
        <v>1.7231189304927363</v>
      </c>
      <c r="M17">
        <f t="shared" si="4"/>
        <v>1.7231189223522125</v>
      </c>
      <c r="N17">
        <f t="shared" si="5"/>
        <v>1.7231189223522121</v>
      </c>
      <c r="O17">
        <f t="shared" si="6"/>
        <v>1.7231189223522125</v>
      </c>
      <c r="P17">
        <f t="shared" si="7"/>
        <v>1.7231189223522121</v>
      </c>
      <c r="Q17">
        <f t="shared" si="8"/>
        <v>1.7231189223522125</v>
      </c>
      <c r="R17">
        <f t="shared" si="9"/>
        <v>1.7231189223522121</v>
      </c>
      <c r="S17">
        <f t="shared" si="10"/>
        <v>1.7231189223522125</v>
      </c>
      <c r="T17">
        <f t="shared" si="11"/>
        <v>1.7231189223522121</v>
      </c>
      <c r="U17">
        <f t="shared" si="12"/>
        <v>1.4293987503121985</v>
      </c>
      <c r="V17">
        <f t="shared" si="13"/>
        <v>0.70511032175701482</v>
      </c>
      <c r="W17">
        <f t="shared" si="14"/>
        <v>1.7490027351039212</v>
      </c>
      <c r="X17">
        <f t="shared" si="15"/>
        <v>3.4980054702078425</v>
      </c>
      <c r="Y17">
        <f t="shared" si="16"/>
        <v>-8.8842514308955733E-2</v>
      </c>
      <c r="Z17">
        <f t="shared" si="17"/>
        <v>7.8929923487370043E-3</v>
      </c>
    </row>
    <row r="18" spans="1:26" x14ac:dyDescent="0.3">
      <c r="A18" t="s">
        <v>129</v>
      </c>
      <c r="B18" t="s">
        <v>130</v>
      </c>
      <c r="C18" t="s">
        <v>610</v>
      </c>
      <c r="D18">
        <v>0.35400000000000009</v>
      </c>
      <c r="E18">
        <v>0.49030000000000001</v>
      </c>
      <c r="F18">
        <v>2.1280000000000001</v>
      </c>
      <c r="G18">
        <f t="shared" si="0"/>
        <v>1.6377000000000002</v>
      </c>
      <c r="J18">
        <f t="shared" si="1"/>
        <v>0.88303241388846498</v>
      </c>
      <c r="K18">
        <f t="shared" si="2"/>
        <v>0.88302433016873683</v>
      </c>
      <c r="L18">
        <f t="shared" si="3"/>
        <v>0.88277731892654454</v>
      </c>
      <c r="M18">
        <f t="shared" si="4"/>
        <v>0.88277731722904562</v>
      </c>
      <c r="N18">
        <f t="shared" si="5"/>
        <v>0.88277731722904551</v>
      </c>
      <c r="O18">
        <f t="shared" si="6"/>
        <v>0.88277731722904584</v>
      </c>
      <c r="P18">
        <f t="shared" si="7"/>
        <v>0.88277731722904573</v>
      </c>
      <c r="Q18">
        <f t="shared" si="8"/>
        <v>0.88277731722904562</v>
      </c>
      <c r="R18">
        <f t="shared" si="9"/>
        <v>0.88277731722904551</v>
      </c>
      <c r="S18">
        <f t="shared" si="10"/>
        <v>0.88277731722904584</v>
      </c>
      <c r="T18">
        <f t="shared" si="11"/>
        <v>0.88277731722904573</v>
      </c>
      <c r="U18">
        <f t="shared" si="12"/>
        <v>0.79423703906332821</v>
      </c>
      <c r="V18">
        <f t="shared" si="13"/>
        <v>0.76474720184577072</v>
      </c>
      <c r="W18">
        <f t="shared" si="14"/>
        <v>0.99986787045499603</v>
      </c>
      <c r="X18">
        <f t="shared" si="15"/>
        <v>1.9997357409099921</v>
      </c>
      <c r="Y18">
        <f t="shared" si="16"/>
        <v>0.19972222381137938</v>
      </c>
      <c r="Z18">
        <f t="shared" si="17"/>
        <v>3.9888966684162717E-2</v>
      </c>
    </row>
    <row r="19" spans="1:26" x14ac:dyDescent="0.3">
      <c r="A19" t="s">
        <v>129</v>
      </c>
      <c r="B19" t="s">
        <v>130</v>
      </c>
      <c r="C19" t="s">
        <v>610</v>
      </c>
      <c r="D19">
        <v>0.35400000000000009</v>
      </c>
      <c r="E19">
        <v>0.98070000000000002</v>
      </c>
      <c r="F19">
        <v>4.3698000000000006</v>
      </c>
      <c r="G19">
        <f t="shared" si="0"/>
        <v>3.3891000000000004</v>
      </c>
      <c r="J19">
        <f t="shared" si="1"/>
        <v>0.88303241388846498</v>
      </c>
      <c r="K19">
        <f t="shared" si="2"/>
        <v>1.7117293116112351</v>
      </c>
      <c r="L19">
        <f t="shared" si="3"/>
        <v>1.7109108377017135</v>
      </c>
      <c r="M19">
        <f t="shared" si="4"/>
        <v>1.7109108280761047</v>
      </c>
      <c r="N19">
        <f t="shared" si="5"/>
        <v>1.7109108280761045</v>
      </c>
      <c r="O19">
        <f t="shared" si="6"/>
        <v>1.7109108280761041</v>
      </c>
      <c r="P19">
        <f t="shared" si="7"/>
        <v>1.7109108280761038</v>
      </c>
      <c r="Q19">
        <f t="shared" si="8"/>
        <v>1.7109108280761036</v>
      </c>
      <c r="R19">
        <f t="shared" si="9"/>
        <v>1.7109108280761041</v>
      </c>
      <c r="S19">
        <f t="shared" si="10"/>
        <v>1.7109108280761038</v>
      </c>
      <c r="T19">
        <f t="shared" si="11"/>
        <v>1.7109108280761036</v>
      </c>
      <c r="U19">
        <f t="shared" si="12"/>
        <v>1.3938624365942738</v>
      </c>
      <c r="V19">
        <f t="shared" si="13"/>
        <v>0.69248674545908706</v>
      </c>
      <c r="W19">
        <f t="shared" si="14"/>
        <v>1.6954420904109457</v>
      </c>
      <c r="X19">
        <f t="shared" si="15"/>
        <v>3.3908841808218915</v>
      </c>
      <c r="Y19">
        <f t="shared" si="16"/>
        <v>5.263082672442021E-4</v>
      </c>
      <c r="Z19">
        <f t="shared" si="17"/>
        <v>2.7700039216959447E-7</v>
      </c>
    </row>
    <row r="20" spans="1:26" x14ac:dyDescent="0.3">
      <c r="A20" t="s">
        <v>129</v>
      </c>
      <c r="B20" t="s">
        <v>130</v>
      </c>
      <c r="C20" t="s">
        <v>610</v>
      </c>
      <c r="D20">
        <v>0.35400000000000009</v>
      </c>
      <c r="E20">
        <v>1.9613</v>
      </c>
      <c r="F20">
        <v>8.9848999999999997</v>
      </c>
      <c r="G20">
        <f t="shared" si="0"/>
        <v>7.0236000000000001</v>
      </c>
      <c r="J20">
        <f t="shared" si="1"/>
        <v>0.88303241388846498</v>
      </c>
      <c r="K20">
        <f t="shared" si="2"/>
        <v>3.3164248589096994</v>
      </c>
      <c r="L20">
        <f t="shared" si="3"/>
        <v>3.3140124959526296</v>
      </c>
      <c r="M20">
        <f t="shared" si="4"/>
        <v>3.3140124532063493</v>
      </c>
      <c r="N20">
        <f t="shared" si="5"/>
        <v>3.3140124532063493</v>
      </c>
      <c r="O20">
        <f t="shared" si="6"/>
        <v>3.3140124532063493</v>
      </c>
      <c r="P20">
        <f t="shared" si="7"/>
        <v>3.3140124532063493</v>
      </c>
      <c r="Q20">
        <f t="shared" si="8"/>
        <v>3.3140124532063493</v>
      </c>
      <c r="R20">
        <f t="shared" si="9"/>
        <v>3.3140124532063493</v>
      </c>
      <c r="S20">
        <f t="shared" si="10"/>
        <v>3.3140124532063493</v>
      </c>
      <c r="T20">
        <f t="shared" si="11"/>
        <v>3.3140124532063493</v>
      </c>
      <c r="U20">
        <f t="shared" si="12"/>
        <v>2.4449932324517354</v>
      </c>
      <c r="V20">
        <f t="shared" si="13"/>
        <v>0.62710815874371495</v>
      </c>
      <c r="W20">
        <f t="shared" si="14"/>
        <v>2.8859876573500007</v>
      </c>
      <c r="X20">
        <f t="shared" si="15"/>
        <v>5.7719753147000015</v>
      </c>
      <c r="Y20">
        <f t="shared" si="16"/>
        <v>-0.19626154293306075</v>
      </c>
      <c r="Z20">
        <f t="shared" si="17"/>
        <v>3.8518593234465645E-2</v>
      </c>
    </row>
    <row r="21" spans="1:26" x14ac:dyDescent="0.3">
      <c r="A21" t="s">
        <v>138</v>
      </c>
      <c r="B21" t="s">
        <v>139</v>
      </c>
      <c r="C21" t="s">
        <v>610</v>
      </c>
      <c r="D21">
        <v>0.28958640776699052</v>
      </c>
      <c r="E21">
        <v>0.49030000000000001</v>
      </c>
      <c r="F21">
        <v>2.1711999999999998</v>
      </c>
      <c r="G21">
        <f t="shared" si="0"/>
        <v>1.6808999999999998</v>
      </c>
      <c r="J21">
        <f t="shared" si="1"/>
        <v>0.92387517085815474</v>
      </c>
      <c r="K21">
        <f t="shared" si="2"/>
        <v>0.89495271160227863</v>
      </c>
      <c r="L21">
        <f t="shared" si="3"/>
        <v>0.89476417333215641</v>
      </c>
      <c r="M21">
        <f t="shared" si="4"/>
        <v>0.89476417236011696</v>
      </c>
      <c r="N21">
        <f t="shared" si="5"/>
        <v>0.89476417236011707</v>
      </c>
      <c r="O21">
        <f t="shared" si="6"/>
        <v>0.89476417236011641</v>
      </c>
      <c r="P21">
        <f t="shared" si="7"/>
        <v>0.89476417236011652</v>
      </c>
      <c r="Q21">
        <f t="shared" si="8"/>
        <v>0.89476417236011663</v>
      </c>
      <c r="R21">
        <f t="shared" si="9"/>
        <v>0.89476417236011674</v>
      </c>
      <c r="S21">
        <f t="shared" si="10"/>
        <v>0.89476417236011685</v>
      </c>
      <c r="T21">
        <f t="shared" si="11"/>
        <v>0.89476417236011652</v>
      </c>
      <c r="U21">
        <f t="shared" si="12"/>
        <v>0.84055395064832872</v>
      </c>
      <c r="V21">
        <f t="shared" si="13"/>
        <v>0.79850186241422916</v>
      </c>
      <c r="W21">
        <f t="shared" si="14"/>
        <v>1.0756480674124451</v>
      </c>
      <c r="X21">
        <f t="shared" si="15"/>
        <v>2.1512961348248902</v>
      </c>
      <c r="Y21">
        <f t="shared" si="16"/>
        <v>0.24674114964616967</v>
      </c>
      <c r="Z21">
        <f t="shared" si="17"/>
        <v>6.0881194928713495E-2</v>
      </c>
    </row>
    <row r="22" spans="1:26" x14ac:dyDescent="0.3">
      <c r="A22" t="s">
        <v>138</v>
      </c>
      <c r="B22" t="s">
        <v>139</v>
      </c>
      <c r="C22" t="s">
        <v>610</v>
      </c>
      <c r="D22">
        <v>0.28958640776699052</v>
      </c>
      <c r="E22">
        <v>0.98070000000000002</v>
      </c>
      <c r="F22">
        <v>4.4287000000000001</v>
      </c>
      <c r="G22">
        <f t="shared" si="0"/>
        <v>3.448</v>
      </c>
      <c r="J22">
        <f t="shared" si="1"/>
        <v>0.92387517085815474</v>
      </c>
      <c r="K22">
        <f t="shared" si="2"/>
        <v>1.7353341002271794</v>
      </c>
      <c r="L22">
        <f t="shared" si="3"/>
        <v>1.7346655914286797</v>
      </c>
      <c r="M22">
        <f t="shared" si="4"/>
        <v>1.7346655850890618</v>
      </c>
      <c r="N22">
        <f t="shared" si="5"/>
        <v>1.7346655850890611</v>
      </c>
      <c r="O22">
        <f t="shared" si="6"/>
        <v>1.7346655850890618</v>
      </c>
      <c r="P22">
        <f t="shared" si="7"/>
        <v>1.7346655850890611</v>
      </c>
      <c r="Q22">
        <f t="shared" si="8"/>
        <v>1.7346655850890618</v>
      </c>
      <c r="R22">
        <f t="shared" si="9"/>
        <v>1.7346655850890611</v>
      </c>
      <c r="S22">
        <f t="shared" si="10"/>
        <v>1.7346655850890618</v>
      </c>
      <c r="T22">
        <f t="shared" si="11"/>
        <v>1.7346655850890611</v>
      </c>
      <c r="U22">
        <f t="shared" si="12"/>
        <v>1.4755254125514272</v>
      </c>
      <c r="V22">
        <f t="shared" si="13"/>
        <v>0.72301924442936372</v>
      </c>
      <c r="W22">
        <f t="shared" si="14"/>
        <v>1.8207988540083195</v>
      </c>
      <c r="X22">
        <f t="shared" si="15"/>
        <v>3.6415977080166391</v>
      </c>
      <c r="Y22">
        <f t="shared" si="16"/>
        <v>5.4628163319071499E-2</v>
      </c>
      <c r="Z22">
        <f t="shared" si="17"/>
        <v>2.9842362276151489E-3</v>
      </c>
    </row>
    <row r="23" spans="1:26" x14ac:dyDescent="0.3">
      <c r="A23" t="s">
        <v>138</v>
      </c>
      <c r="B23" t="s">
        <v>139</v>
      </c>
      <c r="C23" t="s">
        <v>610</v>
      </c>
      <c r="D23">
        <v>0.28958640776699052</v>
      </c>
      <c r="E23">
        <v>1.9613</v>
      </c>
      <c r="F23">
        <v>8.6867000000000001</v>
      </c>
      <c r="G23">
        <f t="shared" si="0"/>
        <v>6.7254000000000005</v>
      </c>
      <c r="J23">
        <f t="shared" si="1"/>
        <v>0.92387517085815474</v>
      </c>
      <c r="K23">
        <f t="shared" si="2"/>
        <v>3.3625613353619674</v>
      </c>
      <c r="L23">
        <f t="shared" si="3"/>
        <v>3.3604991925096357</v>
      </c>
      <c r="M23">
        <f t="shared" si="4"/>
        <v>3.360499161533971</v>
      </c>
      <c r="N23">
        <f t="shared" si="5"/>
        <v>3.3604991615339701</v>
      </c>
      <c r="O23">
        <f t="shared" si="6"/>
        <v>3.360499161533971</v>
      </c>
      <c r="P23">
        <f t="shared" si="7"/>
        <v>3.3604991615339701</v>
      </c>
      <c r="Q23">
        <f t="shared" si="8"/>
        <v>3.360499161533971</v>
      </c>
      <c r="R23">
        <f t="shared" si="9"/>
        <v>3.3604991615339701</v>
      </c>
      <c r="S23">
        <f t="shared" si="10"/>
        <v>3.360499161533971</v>
      </c>
      <c r="T23">
        <f t="shared" si="11"/>
        <v>3.3604991615339701</v>
      </c>
      <c r="U23">
        <f t="shared" si="12"/>
        <v>2.5885497622755245</v>
      </c>
      <c r="V23">
        <f t="shared" si="13"/>
        <v>0.65474418893466924</v>
      </c>
      <c r="W23">
        <f t="shared" si="14"/>
        <v>3.0940370761520892</v>
      </c>
      <c r="X23">
        <f t="shared" si="15"/>
        <v>6.1880741523041785</v>
      </c>
      <c r="Y23">
        <f t="shared" si="16"/>
        <v>-8.3267487391512907E-2</v>
      </c>
      <c r="Z23">
        <f t="shared" si="17"/>
        <v>6.9334744564957607E-3</v>
      </c>
    </row>
    <row r="24" spans="1:26" x14ac:dyDescent="0.3">
      <c r="A24" t="s">
        <v>146</v>
      </c>
      <c r="B24" t="s">
        <v>147</v>
      </c>
      <c r="C24" t="s">
        <v>611</v>
      </c>
      <c r="D24">
        <v>0.3316666666666665</v>
      </c>
      <c r="H24">
        <v>0.3</v>
      </c>
      <c r="I24">
        <v>0.25569999999999998</v>
      </c>
      <c r="J24">
        <f t="shared" si="1"/>
        <v>0.89700661404402582</v>
      </c>
      <c r="U24">
        <f t="shared" ref="U24:U38" si="18">J24*H24^m_</f>
        <v>0.32236561504898442</v>
      </c>
      <c r="Y24">
        <f t="shared" ref="Y24:Y38" si="19">c_ds*(LN(U24)-LN(I24))</f>
        <v>0.38101984017666907</v>
      </c>
      <c r="Z24">
        <f t="shared" si="17"/>
        <v>0.14517611860825444</v>
      </c>
    </row>
    <row r="25" spans="1:26" x14ac:dyDescent="0.3">
      <c r="A25" t="s">
        <v>146</v>
      </c>
      <c r="B25" t="s">
        <v>147</v>
      </c>
      <c r="C25" t="s">
        <v>611</v>
      </c>
      <c r="D25">
        <v>0.3316666666666665</v>
      </c>
      <c r="H25">
        <v>0.6</v>
      </c>
      <c r="I25">
        <v>0.47610000000000002</v>
      </c>
      <c r="J25">
        <f t="shared" si="1"/>
        <v>0.89700661404402582</v>
      </c>
      <c r="U25">
        <f t="shared" si="18"/>
        <v>0.58106431938544412</v>
      </c>
      <c r="Y25">
        <f t="shared" si="19"/>
        <v>0.32765646464103992</v>
      </c>
      <c r="Z25">
        <f t="shared" si="17"/>
        <v>0.10735875882106505</v>
      </c>
    </row>
    <row r="26" spans="1:26" x14ac:dyDescent="0.3">
      <c r="A26" t="s">
        <v>146</v>
      </c>
      <c r="B26" t="s">
        <v>147</v>
      </c>
      <c r="C26" t="s">
        <v>611</v>
      </c>
      <c r="D26">
        <v>0.3316666666666665</v>
      </c>
      <c r="H26">
        <v>1.2</v>
      </c>
      <c r="I26">
        <v>0.99809999999999999</v>
      </c>
      <c r="J26">
        <f t="shared" si="1"/>
        <v>0.89700661404402582</v>
      </c>
      <c r="U26">
        <f t="shared" si="18"/>
        <v>1.0473689733055573</v>
      </c>
      <c r="Y26">
        <f t="shared" si="19"/>
        <v>7.9241176220636839E-2</v>
      </c>
      <c r="Z26">
        <f t="shared" si="17"/>
        <v>6.2791640088300212E-3</v>
      </c>
    </row>
    <row r="27" spans="1:26" x14ac:dyDescent="0.3">
      <c r="A27" t="s">
        <v>146</v>
      </c>
      <c r="B27" t="s">
        <v>153</v>
      </c>
      <c r="C27" t="s">
        <v>611</v>
      </c>
      <c r="D27">
        <v>0.40968245705361789</v>
      </c>
      <c r="H27">
        <v>0.3</v>
      </c>
      <c r="I27">
        <v>0.2281</v>
      </c>
      <c r="J27">
        <f t="shared" si="1"/>
        <v>0.84900992967220146</v>
      </c>
      <c r="U27">
        <f t="shared" si="18"/>
        <v>0.30511659989615331</v>
      </c>
      <c r="Y27">
        <f t="shared" si="19"/>
        <v>0.47842596991962733</v>
      </c>
      <c r="Z27">
        <f t="shared" si="17"/>
        <v>0.22889140869353616</v>
      </c>
    </row>
    <row r="28" spans="1:26" x14ac:dyDescent="0.3">
      <c r="A28" t="s">
        <v>146</v>
      </c>
      <c r="B28" t="s">
        <v>153</v>
      </c>
      <c r="C28" t="s">
        <v>611</v>
      </c>
      <c r="D28">
        <v>0.40968245705361789</v>
      </c>
      <c r="H28">
        <v>0.6</v>
      </c>
      <c r="I28">
        <v>0.46810000000000002</v>
      </c>
      <c r="J28">
        <f t="shared" si="1"/>
        <v>0.84900992967220146</v>
      </c>
      <c r="U28">
        <f t="shared" si="18"/>
        <v>0.54997295361330356</v>
      </c>
      <c r="Y28">
        <f t="shared" si="19"/>
        <v>0.26508595428007203</v>
      </c>
      <c r="Z28">
        <f t="shared" si="17"/>
        <v>7.027056315657644E-2</v>
      </c>
    </row>
    <row r="29" spans="1:26" x14ac:dyDescent="0.3">
      <c r="A29" t="s">
        <v>146</v>
      </c>
      <c r="B29" t="s">
        <v>153</v>
      </c>
      <c r="C29" t="s">
        <v>611</v>
      </c>
      <c r="D29">
        <v>0.40968245705361789</v>
      </c>
      <c r="H29">
        <v>1.2</v>
      </c>
      <c r="I29">
        <v>0.94510000000000005</v>
      </c>
      <c r="J29">
        <f t="shared" si="1"/>
        <v>0.84900992967220146</v>
      </c>
      <c r="U29">
        <f t="shared" si="18"/>
        <v>0.991326757734869</v>
      </c>
      <c r="Y29">
        <f t="shared" si="19"/>
        <v>7.8534623276141011E-2</v>
      </c>
      <c r="Z29">
        <f t="shared" si="17"/>
        <v>6.1676870531253893E-3</v>
      </c>
    </row>
    <row r="30" spans="1:26" x14ac:dyDescent="0.3">
      <c r="A30" t="s">
        <v>146</v>
      </c>
      <c r="B30" t="s">
        <v>157</v>
      </c>
      <c r="C30" t="s">
        <v>611</v>
      </c>
      <c r="D30">
        <v>0.26202473660100778</v>
      </c>
      <c r="H30">
        <v>0.3</v>
      </c>
      <c r="I30">
        <v>0.2195</v>
      </c>
      <c r="J30">
        <f t="shared" si="1"/>
        <v>0.94187079278629582</v>
      </c>
      <c r="U30">
        <f t="shared" si="18"/>
        <v>0.33848887250047255</v>
      </c>
      <c r="Y30">
        <f t="shared" si="19"/>
        <v>0.71233382475153628</v>
      </c>
      <c r="Z30">
        <f t="shared" si="17"/>
        <v>0.5074194778851524</v>
      </c>
    </row>
    <row r="31" spans="1:26" x14ac:dyDescent="0.3">
      <c r="A31" t="s">
        <v>146</v>
      </c>
      <c r="B31" t="s">
        <v>157</v>
      </c>
      <c r="C31" t="s">
        <v>611</v>
      </c>
      <c r="D31">
        <v>0.26202473660100778</v>
      </c>
      <c r="H31">
        <v>0.6</v>
      </c>
      <c r="I31">
        <v>0.46949999999999997</v>
      </c>
      <c r="J31">
        <f t="shared" si="1"/>
        <v>0.94187079278629582</v>
      </c>
      <c r="U31">
        <f t="shared" si="18"/>
        <v>0.61012650585933836</v>
      </c>
      <c r="Y31">
        <f t="shared" si="19"/>
        <v>0.43087798644339953</v>
      </c>
      <c r="Z31">
        <f t="shared" si="17"/>
        <v>0.1856558392015184</v>
      </c>
    </row>
    <row r="32" spans="1:26" x14ac:dyDescent="0.3">
      <c r="A32" t="s">
        <v>146</v>
      </c>
      <c r="B32" t="s">
        <v>157</v>
      </c>
      <c r="C32" t="s">
        <v>611</v>
      </c>
      <c r="D32">
        <v>0.26202473660100778</v>
      </c>
      <c r="H32">
        <v>1.2</v>
      </c>
      <c r="I32">
        <v>0.98429999999999995</v>
      </c>
      <c r="J32">
        <f t="shared" si="1"/>
        <v>0.94187079278629582</v>
      </c>
      <c r="U32">
        <f t="shared" si="18"/>
        <v>1.0997535913137162</v>
      </c>
      <c r="Y32">
        <f t="shared" si="19"/>
        <v>0.1824020547866872</v>
      </c>
      <c r="Z32">
        <f t="shared" si="17"/>
        <v>3.3270509590405638E-2</v>
      </c>
    </row>
    <row r="33" spans="1:26" x14ac:dyDescent="0.3">
      <c r="A33" t="s">
        <v>146</v>
      </c>
      <c r="B33" t="s">
        <v>161</v>
      </c>
      <c r="C33" t="s">
        <v>611</v>
      </c>
      <c r="D33">
        <v>0.32557306590257878</v>
      </c>
      <c r="H33">
        <v>0.3</v>
      </c>
      <c r="I33">
        <v>0.35630000000000001</v>
      </c>
      <c r="J33">
        <f t="shared" si="1"/>
        <v>0.90085330865627611</v>
      </c>
      <c r="U33">
        <f t="shared" si="18"/>
        <v>0.32374803749177239</v>
      </c>
      <c r="Y33">
        <f t="shared" si="19"/>
        <v>-0.15756360042755974</v>
      </c>
      <c r="Z33">
        <f t="shared" si="17"/>
        <v>2.4826288179695701E-2</v>
      </c>
    </row>
    <row r="34" spans="1:26" x14ac:dyDescent="0.3">
      <c r="A34" t="s">
        <v>146</v>
      </c>
      <c r="B34" t="s">
        <v>161</v>
      </c>
      <c r="C34" t="s">
        <v>611</v>
      </c>
      <c r="D34">
        <v>0.32557306590257878</v>
      </c>
      <c r="H34">
        <v>0.6</v>
      </c>
      <c r="I34">
        <v>0.62529999999999997</v>
      </c>
      <c r="J34">
        <f t="shared" si="1"/>
        <v>0.90085330865627611</v>
      </c>
      <c r="U34">
        <f t="shared" si="18"/>
        <v>0.58355613711761656</v>
      </c>
      <c r="Y34">
        <f t="shared" si="19"/>
        <v>-0.11362581593990442</v>
      </c>
      <c r="Z34">
        <f t="shared" si="17"/>
        <v>1.2910826048009038E-2</v>
      </c>
    </row>
    <row r="35" spans="1:26" x14ac:dyDescent="0.3">
      <c r="A35" t="s">
        <v>146</v>
      </c>
      <c r="B35" t="s">
        <v>161</v>
      </c>
      <c r="C35" t="s">
        <v>611</v>
      </c>
      <c r="D35">
        <v>0.32557306590257878</v>
      </c>
      <c r="H35">
        <v>1</v>
      </c>
      <c r="I35">
        <v>0.94730000000000003</v>
      </c>
      <c r="J35">
        <f t="shared" si="1"/>
        <v>0.90085330865627611</v>
      </c>
      <c r="U35">
        <f t="shared" si="18"/>
        <v>0.90085330865627611</v>
      </c>
      <c r="Y35">
        <f t="shared" si="19"/>
        <v>-8.267886987409126E-2</v>
      </c>
      <c r="Z35">
        <f t="shared" si="17"/>
        <v>6.8357955236569151E-3</v>
      </c>
    </row>
    <row r="36" spans="1:26" x14ac:dyDescent="0.3">
      <c r="A36" t="s">
        <v>146</v>
      </c>
      <c r="B36" t="s">
        <v>165</v>
      </c>
      <c r="C36" t="s">
        <v>611</v>
      </c>
      <c r="D36">
        <v>0.478973238667395</v>
      </c>
      <c r="H36">
        <v>0.3</v>
      </c>
      <c r="I36">
        <v>0.35389999999999999</v>
      </c>
      <c r="J36">
        <f t="shared" si="1"/>
        <v>0.80820364784314014</v>
      </c>
      <c r="U36">
        <f t="shared" si="18"/>
        <v>0.29045166662394234</v>
      </c>
      <c r="Y36">
        <f t="shared" si="19"/>
        <v>-0.3249324823198908</v>
      </c>
      <c r="Z36">
        <f t="shared" si="17"/>
        <v>0.10558111806656614</v>
      </c>
    </row>
    <row r="37" spans="1:26" x14ac:dyDescent="0.3">
      <c r="A37" t="s">
        <v>146</v>
      </c>
      <c r="B37" t="s">
        <v>165</v>
      </c>
      <c r="C37" t="s">
        <v>611</v>
      </c>
      <c r="D37">
        <v>0.478973238667395</v>
      </c>
      <c r="H37">
        <v>0.6</v>
      </c>
      <c r="I37">
        <v>0.63370000000000004</v>
      </c>
      <c r="J37">
        <f t="shared" si="1"/>
        <v>0.80820364784314014</v>
      </c>
      <c r="U37">
        <f t="shared" si="18"/>
        <v>0.52353939782182934</v>
      </c>
      <c r="Y37">
        <f t="shared" si="19"/>
        <v>-0.31405547015321872</v>
      </c>
      <c r="Z37">
        <f t="shared" si="17"/>
        <v>9.8630838333159249E-2</v>
      </c>
    </row>
    <row r="38" spans="1:26" x14ac:dyDescent="0.3">
      <c r="A38" t="s">
        <v>146</v>
      </c>
      <c r="B38" t="s">
        <v>165</v>
      </c>
      <c r="C38" t="s">
        <v>611</v>
      </c>
      <c r="D38">
        <v>0.478973238667395</v>
      </c>
      <c r="H38">
        <v>1.2</v>
      </c>
      <c r="I38">
        <v>1.0192000000000001</v>
      </c>
      <c r="J38">
        <f t="shared" si="1"/>
        <v>0.80820364784314014</v>
      </c>
      <c r="U38">
        <f t="shared" si="18"/>
        <v>0.94368024896383829</v>
      </c>
      <c r="Y38">
        <f t="shared" si="19"/>
        <v>-0.12660983894494562</v>
      </c>
      <c r="Z38">
        <f t="shared" si="17"/>
        <v>1.6030051317665071E-2</v>
      </c>
    </row>
    <row r="40" spans="1:26" x14ac:dyDescent="0.3">
      <c r="Y40" t="s">
        <v>612</v>
      </c>
      <c r="Z40" s="4">
        <f>SUM(Z2:Z38)</f>
        <v>3.6775576913826113</v>
      </c>
    </row>
    <row r="41" spans="1:26" x14ac:dyDescent="0.3">
      <c r="A41" t="s">
        <v>613</v>
      </c>
    </row>
    <row r="42" spans="1:26" x14ac:dyDescent="0.3">
      <c r="A42" t="s">
        <v>614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16" customWidth="1"/>
    <col min="3" max="5" width="10" customWidth="1"/>
    <col min="6" max="6" width="14" customWidth="1"/>
    <col min="7" max="7" width="10" customWidth="1"/>
    <col min="8" max="17" width="9" customWidth="1"/>
  </cols>
  <sheetData>
    <row r="1" spans="1:17" ht="28.8" x14ac:dyDescent="0.3">
      <c r="A1" s="1" t="s">
        <v>68</v>
      </c>
      <c r="B1" s="1" t="s">
        <v>615</v>
      </c>
      <c r="C1" s="1" t="s">
        <v>71</v>
      </c>
      <c r="D1" s="1" t="s">
        <v>616</v>
      </c>
      <c r="E1" s="1" t="s">
        <v>617</v>
      </c>
      <c r="F1" s="1" t="s">
        <v>618</v>
      </c>
      <c r="G1" s="1" t="s">
        <v>619</v>
      </c>
      <c r="H1" s="1" t="s">
        <v>620</v>
      </c>
      <c r="I1" s="1" t="s">
        <v>621</v>
      </c>
      <c r="J1" s="1" t="s">
        <v>622</v>
      </c>
      <c r="K1" s="1" t="s">
        <v>623</v>
      </c>
      <c r="L1" s="1" t="s">
        <v>624</v>
      </c>
      <c r="M1" s="1" t="s">
        <v>625</v>
      </c>
      <c r="N1" s="1" t="s">
        <v>626</v>
      </c>
      <c r="O1" s="1" t="s">
        <v>627</v>
      </c>
      <c r="P1" s="1" t="s">
        <v>628</v>
      </c>
      <c r="Q1" s="1" t="s">
        <v>629</v>
      </c>
    </row>
    <row r="2" spans="1:17" x14ac:dyDescent="0.3">
      <c r="A2">
        <v>0.1</v>
      </c>
      <c r="B2">
        <f>Q2</f>
        <v>0.18925056631640041</v>
      </c>
      <c r="C2">
        <f>TAN(RADIANS(pe0-omega*e_base))*sref^(1-m_)*B2^m_</f>
        <v>0.20043405735584935</v>
      </c>
      <c r="D2">
        <f>DEGREES(ATAN(m_*C2/B2))</f>
        <v>41.994477532294901</v>
      </c>
      <c r="E2">
        <f>(1-m_)*C2*1000</f>
        <v>30.065108603377407</v>
      </c>
      <c r="F2">
        <f>2*C2/COS(RADIANS(D2))</f>
        <v>0.53937444794767808</v>
      </c>
      <c r="G2">
        <f>TAN(RADIANS(pe0-omega*e_base))*sref^(1-m_)</f>
        <v>0.82506831318268914</v>
      </c>
      <c r="H2">
        <f>2*A2-((2*A2)+(G2*(2*A2)^m_)*(m_*G2*(2*A2)^(m_-1))-(G2*(2*A2)^m_)*SQRT(1+(m_*G2*(2*A2)^(m_-1))^2)-(A2))*((2*A2)*0.000001)/(((2*A2+((2*A2)*0.000001))+(G2*(2*A2+((2*A2)*0.000001))^m_)*(m_*G2*(2*A2+((2*A2)*0.000001))^(m_-1))-(G2*(2*A2+((2*A2)*0.000001))^m_)*SQRT(1+(m_*G2*(2*A2+((2*A2)*0.000001))^(m_-1))^2)-(A2))-((2*A2)+(G2*(2*A2)^m_)*(m_*G2*(2*A2)^(m_-1))-(G2*(2*A2)^m_)*SQRT(1+(m_*G2*(2*A2)^(m_-1))^2)-(A2)))</f>
        <v>0.18926453001808061</v>
      </c>
      <c r="I2">
        <f>H2-((H2)+(G2*(H2)^m_)*(m_*G2*(H2)^(m_-1))-(G2*(H2)^m_)*SQRT(1+(m_*G2*(H2)^(m_-1))^2)-(A2))*((H2)*0.000001)/(((H2+((H2)*0.000001))+(G2*(H2+((H2)*0.000001))^m_)*(m_*G2*(H2+((H2)*0.000001))^(m_-1))-(G2*(H2+((H2)*0.000001))^m_)*SQRT(1+(m_*G2*(H2+((H2)*0.000001))^(m_-1))^2)-(A2))-((H2)+(G2*(H2)^m_)*(m_*G2*(H2)^(m_-1))-(G2*(H2)^m_)*SQRT(1+(m_*G2*(H2)^(m_-1))^2)-(A2)))</f>
        <v>0.18925056634117152</v>
      </c>
      <c r="J2">
        <f>I2-((I2)+(G2*(I2)^m_)*(m_*G2*(I2)^(m_-1))-(G2*(I2)^m_)*SQRT(1+(m_*G2*(I2)^(m_-1))^2)-(A2))*((I2)*0.000001)/(((I2+((I2)*0.000001))+(G2*(I2+((I2)*0.000001))^m_)*(m_*G2*(I2+((I2)*0.000001))^(m_-1))-(G2*(I2+((I2)*0.000001))^m_)*SQRT(1+(m_*G2*(I2+((I2)*0.000001))^(m_-1))^2)-(A2))-((I2)+(G2*(I2)^m_)*(m_*G2*(I2)^(m_-1))-(G2*(I2)^m_)*SQRT(1+(m_*G2*(I2)^(m_-1))^2)-(A2)))</f>
        <v>0.18925056631640047</v>
      </c>
      <c r="K2">
        <f>J2-((J2)+(G2*(J2)^m_)*(m_*G2*(J2)^(m_-1))-(G2*(J2)^m_)*SQRT(1+(m_*G2*(J2)^(m_-1))^2)-(A2))*((J2)*0.000001)/(((J2+((J2)*0.000001))+(G2*(J2+((J2)*0.000001))^m_)*(m_*G2*(J2+((J2)*0.000001))^(m_-1))-(G2*(J2+((J2)*0.000001))^m_)*SQRT(1+(m_*G2*(J2+((J2)*0.000001))^(m_-1))^2)-(A2))-((J2)+(G2*(J2)^m_)*(m_*G2*(J2)^(m_-1))-(G2*(J2)^m_)*SQRT(1+(m_*G2*(J2)^(m_-1))^2)-(A2)))</f>
        <v>0.18925056631640041</v>
      </c>
      <c r="L2">
        <f>K2-((K2)+(G2*(K2)^m_)*(m_*G2*(K2)^(m_-1))-(G2*(K2)^m_)*SQRT(1+(m_*G2*(K2)^(m_-1))^2)-(A2))*((K2)*0.000001)/(((K2+((K2)*0.000001))+(G2*(K2+((K2)*0.000001))^m_)*(m_*G2*(K2+((K2)*0.000001))^(m_-1))-(G2*(K2+((K2)*0.000001))^m_)*SQRT(1+(m_*G2*(K2+((K2)*0.000001))^(m_-1))^2)-(A2))-((K2)+(G2*(K2)^m_)*(m_*G2*(K2)^(m_-1))-(G2*(K2)^m_)*SQRT(1+(m_*G2*(K2)^(m_-1))^2)-(A2)))</f>
        <v>0.18925056631640047</v>
      </c>
      <c r="M2">
        <f>L2-((L2)+(G2*(L2)^m_)*(m_*G2*(L2)^(m_-1))-(G2*(L2)^m_)*SQRT(1+(m_*G2*(L2)^(m_-1))^2)-(A2))*((L2)*0.000001)/(((L2+((L2)*0.000001))+(G2*(L2+((L2)*0.000001))^m_)*(m_*G2*(L2+((L2)*0.000001))^(m_-1))-(G2*(L2+((L2)*0.000001))^m_)*SQRT(1+(m_*G2*(L2+((L2)*0.000001))^(m_-1))^2)-(A2))-((L2)+(G2*(L2)^m_)*(m_*G2*(L2)^(m_-1))-(G2*(L2)^m_)*SQRT(1+(m_*G2*(L2)^(m_-1))^2)-(A2)))</f>
        <v>0.18925056631640041</v>
      </c>
      <c r="N2">
        <f>M2-((M2)+(G2*(M2)^m_)*(m_*G2*(M2)^(m_-1))-(G2*(M2)^m_)*SQRT(1+(m_*G2*(M2)^(m_-1))^2)-(A2))*((M2)*0.000001)/(((M2+((M2)*0.000001))+(G2*(M2+((M2)*0.000001))^m_)*(m_*G2*(M2+((M2)*0.000001))^(m_-1))-(G2*(M2+((M2)*0.000001))^m_)*SQRT(1+(m_*G2*(M2+((M2)*0.000001))^(m_-1))^2)-(A2))-((M2)+(G2*(M2)^m_)*(m_*G2*(M2)^(m_-1))-(G2*(M2)^m_)*SQRT(1+(m_*G2*(M2)^(m_-1))^2)-(A2)))</f>
        <v>0.18925056631640047</v>
      </c>
      <c r="O2">
        <f>N2-((N2)+(G2*(N2)^m_)*(m_*G2*(N2)^(m_-1))-(G2*(N2)^m_)*SQRT(1+(m_*G2*(N2)^(m_-1))^2)-(A2))*((N2)*0.000001)/(((N2+((N2)*0.000001))+(G2*(N2+((N2)*0.000001))^m_)*(m_*G2*(N2+((N2)*0.000001))^(m_-1))-(G2*(N2+((N2)*0.000001))^m_)*SQRT(1+(m_*G2*(N2+((N2)*0.000001))^(m_-1))^2)-(A2))-((N2)+(G2*(N2)^m_)*(m_*G2*(N2)^(m_-1))-(G2*(N2)^m_)*SQRT(1+(m_*G2*(N2)^(m_-1))^2)-(A2)))</f>
        <v>0.18925056631640041</v>
      </c>
      <c r="P2">
        <f>O2-((O2)+(G2*(O2)^m_)*(m_*G2*(O2)^(m_-1))-(G2*(O2)^m_)*SQRT(1+(m_*G2*(O2)^(m_-1))^2)-(A2))*((O2)*0.000001)/(((O2+((O2)*0.000001))+(G2*(O2+((O2)*0.000001))^m_)*(m_*G2*(O2+((O2)*0.000001))^(m_-1))-(G2*(O2+((O2)*0.000001))^m_)*SQRT(1+(m_*G2*(O2+((O2)*0.000001))^(m_-1))^2)-(A2))-((O2)+(G2*(O2)^m_)*(m_*G2*(O2)^(m_-1))-(G2*(O2)^m_)*SQRT(1+(m_*G2*(O2)^(m_-1))^2)-(A2)))</f>
        <v>0.18925056631640047</v>
      </c>
      <c r="Q2">
        <f>P2-((P2)+(G2*(P2)^m_)*(m_*G2*(P2)^(m_-1))-(G2*(P2)^m_)*SQRT(1+(m_*G2*(P2)^(m_-1))^2)-(A2))*((P2)*0.000001)/(((P2+((P2)*0.000001))+(G2*(P2+((P2)*0.000001))^m_)*(m_*G2*(P2+((P2)*0.000001))^(m_-1))-(G2*(P2+((P2)*0.000001))^m_)*SQRT(1+(m_*G2*(P2+((P2)*0.000001))^(m_-1))^2)-(A2))-((P2)+(G2*(P2)^m_)*(m_*G2*(P2)^(m_-1))-(G2*(P2)^m_)*SQRT(1+(m_*G2*(P2)^(m_-1))^2)-(A2)))</f>
        <v>0.18925056631640041</v>
      </c>
    </row>
    <row r="3" spans="1:17" x14ac:dyDescent="0.3">
      <c r="A3">
        <v>0.5</v>
      </c>
      <c r="B3">
        <f>Q3</f>
        <v>0.88116300222158317</v>
      </c>
      <c r="C3">
        <f>TAN(RADIANS(pe0-omega*e_base))*sref^(1-m_)*B3^m_</f>
        <v>0.74094798988531185</v>
      </c>
      <c r="D3">
        <f>DEGREES(ATAN(m_*C3/B3))</f>
        <v>35.555053332559361</v>
      </c>
      <c r="E3">
        <f>(1-m_)*C3*1000</f>
        <v>111.1421984827968</v>
      </c>
      <c r="F3">
        <f>2*C3/COS(RADIANS(D3))</f>
        <v>1.8215019661694254</v>
      </c>
      <c r="G3">
        <f>TAN(RADIANS(pe0-omega*e_base))*sref^(1-m_)</f>
        <v>0.82506831318268914</v>
      </c>
      <c r="H3">
        <f>2*A3-((2*A3)+(G3*(2*A3)^m_)*(m_*G3*(2*A3)^(m_-1))-(G3*(2*A3)^m_)*SQRT(1+(m_*G3*(2*A3)^(m_-1))^2)-(A3))*((2*A3)*0.000001)/(((2*A3+((2*A3)*0.000001))+(G3*(2*A3+((2*A3)*0.000001))^m_)*(m_*G3*(2*A3+((2*A3)*0.000001))^(m_-1))-(G3*(2*A3+((2*A3)*0.000001))^m_)*SQRT(1+(m_*G3*(2*A3+((2*A3)*0.000001))^(m_-1))^2)-(A3))-((2*A3)+(G3*(2*A3)^m_)*(m_*G3*(2*A3)^(m_-1))-(G3*(2*A3)^m_)*SQRT(1+(m_*G3*(2*A3)^(m_-1))^2)-(A3)))</f>
        <v>0.88152358682850118</v>
      </c>
      <c r="I3">
        <f>H3-((H3)+(G3*(H3)^m_)*(m_*G3*(H3)^(m_-1))-(G3*(H3)^m_)*SQRT(1+(m_*G3*(H3)^(m_-1))^2)-(A3))*((H3)*0.000001)/(((H3+((H3)*0.000001))+(G3*(H3+((H3)*0.000001))^m_)*(m_*G3*(H3+((H3)*0.000001))^(m_-1))-(G3*(H3+((H3)*0.000001))^m_)*SQRT(1+(m_*G3*(H3+((H3)*0.000001))^(m_-1))^2)-(A3))-((H3)+(G3*(H3)^m_)*(m_*G3*(H3)^(m_-1))-(G3*(H3)^m_)*SQRT(1+(m_*G3*(H3)^(m_-1))^2)-(A3)))</f>
        <v>0.88116300585216356</v>
      </c>
      <c r="J3">
        <f>I3-((I3)+(G3*(I3)^m_)*(m_*G3*(I3)^(m_-1))-(G3*(I3)^m_)*SQRT(1+(m_*G3*(I3)^(m_-1))^2)-(A3))*((I3)*0.000001)/(((I3+((I3)*0.000001))+(G3*(I3+((I3)*0.000001))^m_)*(m_*G3*(I3+((I3)*0.000001))^(m_-1))-(G3*(I3+((I3)*0.000001))^m_)*SQRT(1+(m_*G3*(I3+((I3)*0.000001))^(m_-1))^2)-(A3))-((I3)+(G3*(I3)^m_)*(m_*G3*(I3)^(m_-1))-(G3*(I3)^m_)*SQRT(1+(m_*G3*(I3)^(m_-1))^2)-(A3)))</f>
        <v>0.88116300222158317</v>
      </c>
      <c r="K3">
        <f>J3-((J3)+(G3*(J3)^m_)*(m_*G3*(J3)^(m_-1))-(G3*(J3)^m_)*SQRT(1+(m_*G3*(J3)^(m_-1))^2)-(A3))*((J3)*0.000001)/(((J3+((J3)*0.000001))+(G3*(J3+((J3)*0.000001))^m_)*(m_*G3*(J3+((J3)*0.000001))^(m_-1))-(G3*(J3+((J3)*0.000001))^m_)*SQRT(1+(m_*G3*(J3+((J3)*0.000001))^(m_-1))^2)-(A3))-((J3)+(G3*(J3)^m_)*(m_*G3*(J3)^(m_-1))-(G3*(J3)^m_)*SQRT(1+(m_*G3*(J3)^(m_-1))^2)-(A3)))</f>
        <v>0.88116300222158317</v>
      </c>
      <c r="L3">
        <f>K3-((K3)+(G3*(K3)^m_)*(m_*G3*(K3)^(m_-1))-(G3*(K3)^m_)*SQRT(1+(m_*G3*(K3)^(m_-1))^2)-(A3))*((K3)*0.000001)/(((K3+((K3)*0.000001))+(G3*(K3+((K3)*0.000001))^m_)*(m_*G3*(K3+((K3)*0.000001))^(m_-1))-(G3*(K3+((K3)*0.000001))^m_)*SQRT(1+(m_*G3*(K3+((K3)*0.000001))^(m_-1))^2)-(A3))-((K3)+(G3*(K3)^m_)*(m_*G3*(K3)^(m_-1))-(G3*(K3)^m_)*SQRT(1+(m_*G3*(K3)^(m_-1))^2)-(A3)))</f>
        <v>0.88116300222158317</v>
      </c>
      <c r="M3">
        <f>L3-((L3)+(G3*(L3)^m_)*(m_*G3*(L3)^(m_-1))-(G3*(L3)^m_)*SQRT(1+(m_*G3*(L3)^(m_-1))^2)-(A3))*((L3)*0.000001)/(((L3+((L3)*0.000001))+(G3*(L3+((L3)*0.000001))^m_)*(m_*G3*(L3+((L3)*0.000001))^(m_-1))-(G3*(L3+((L3)*0.000001))^m_)*SQRT(1+(m_*G3*(L3+((L3)*0.000001))^(m_-1))^2)-(A3))-((L3)+(G3*(L3)^m_)*(m_*G3*(L3)^(m_-1))-(G3*(L3)^m_)*SQRT(1+(m_*G3*(L3)^(m_-1))^2)-(A3)))</f>
        <v>0.88116300222158317</v>
      </c>
      <c r="N3">
        <f>M3-((M3)+(G3*(M3)^m_)*(m_*G3*(M3)^(m_-1))-(G3*(M3)^m_)*SQRT(1+(m_*G3*(M3)^(m_-1))^2)-(A3))*((M3)*0.000001)/(((M3+((M3)*0.000001))+(G3*(M3+((M3)*0.000001))^m_)*(m_*G3*(M3+((M3)*0.000001))^(m_-1))-(G3*(M3+((M3)*0.000001))^m_)*SQRT(1+(m_*G3*(M3+((M3)*0.000001))^(m_-1))^2)-(A3))-((M3)+(G3*(M3)^m_)*(m_*G3*(M3)^(m_-1))-(G3*(M3)^m_)*SQRT(1+(m_*G3*(M3)^(m_-1))^2)-(A3)))</f>
        <v>0.88116300222158317</v>
      </c>
      <c r="O3">
        <f>N3-((N3)+(G3*(N3)^m_)*(m_*G3*(N3)^(m_-1))-(G3*(N3)^m_)*SQRT(1+(m_*G3*(N3)^(m_-1))^2)-(A3))*((N3)*0.000001)/(((N3+((N3)*0.000001))+(G3*(N3+((N3)*0.000001))^m_)*(m_*G3*(N3+((N3)*0.000001))^(m_-1))-(G3*(N3+((N3)*0.000001))^m_)*SQRT(1+(m_*G3*(N3+((N3)*0.000001))^(m_-1))^2)-(A3))-((N3)+(G3*(N3)^m_)*(m_*G3*(N3)^(m_-1))-(G3*(N3)^m_)*SQRT(1+(m_*G3*(N3)^(m_-1))^2)-(A3)))</f>
        <v>0.88116300222158317</v>
      </c>
      <c r="P3">
        <f>O3-((O3)+(G3*(O3)^m_)*(m_*G3*(O3)^(m_-1))-(G3*(O3)^m_)*SQRT(1+(m_*G3*(O3)^(m_-1))^2)-(A3))*((O3)*0.000001)/(((O3+((O3)*0.000001))+(G3*(O3+((O3)*0.000001))^m_)*(m_*G3*(O3+((O3)*0.000001))^(m_-1))-(G3*(O3+((O3)*0.000001))^m_)*SQRT(1+(m_*G3*(O3+((O3)*0.000001))^(m_-1))^2)-(A3))-((O3)+(G3*(O3)^m_)*(m_*G3*(O3)^(m_-1))-(G3*(O3)^m_)*SQRT(1+(m_*G3*(O3)^(m_-1))^2)-(A3)))</f>
        <v>0.88116300222158317</v>
      </c>
      <c r="Q3">
        <f>P3-((P3)+(G3*(P3)^m_)*(m_*G3*(P3)^(m_-1))-(G3*(P3)^m_)*SQRT(1+(m_*G3*(P3)^(m_-1))^2)-(A3))*((P3)*0.000001)/(((P3+((P3)*0.000001))+(G3*(P3+((P3)*0.000001))^m_)*(m_*G3*(P3+((P3)*0.000001))^(m_-1))-(G3*(P3+((P3)*0.000001))^m_)*SQRT(1+(m_*G3*(P3+((P3)*0.000001))^(m_-1))^2)-(A3))-((P3)+(G3*(P3)^m_)*(m_*G3*(P3)^(m_-1))-(G3*(P3)^m_)*SQRT(1+(m_*G3*(P3)^(m_-1))^2)-(A3)))</f>
        <v>0.88116300222158317</v>
      </c>
    </row>
    <row r="4" spans="1:17" x14ac:dyDescent="0.3">
      <c r="A4">
        <v>1</v>
      </c>
      <c r="B4">
        <f>Q4</f>
        <v>1.7070495198064357</v>
      </c>
      <c r="C4">
        <f>TAN(RADIANS(pe0-omega*e_base))*sref^(1-m_)*B4^m_</f>
        <v>1.2998675738816059</v>
      </c>
      <c r="D4">
        <f>DEGREES(ATAN(m_*C4/B4))</f>
        <v>32.912954597641175</v>
      </c>
      <c r="E4">
        <f>(1-m_)*C4*1000</f>
        <v>194.9801360822409</v>
      </c>
      <c r="F4">
        <f>2*C4/COS(RADIANS(D4))</f>
        <v>3.09677705981158</v>
      </c>
      <c r="G4">
        <f>TAN(RADIANS(pe0-omega*e_base))*sref^(1-m_)</f>
        <v>0.82506831318268914</v>
      </c>
      <c r="H4">
        <f>2*A4-((2*A4)+(G4*(2*A4)^m_)*(m_*G4*(2*A4)^(m_-1))-(G4*(2*A4)^m_)*SQRT(1+(m_*G4*(2*A4)^(m_-1))^2)-(A4))*((2*A4)*0.000001)/(((2*A4+((2*A4)*0.000001))+(G4*(2*A4+((2*A4)*0.000001))^m_)*(m_*G4*(2*A4+((2*A4)*0.000001))^(m_-1))-(G4*(2*A4+((2*A4)*0.000001))^m_)*SQRT(1+(m_*G4*(2*A4+((2*A4)*0.000001))^(m_-1))^2)-(A4))-((2*A4)+(G4*(2*A4)^m_)*(m_*G4*(2*A4)^(m_-1))-(G4*(2*A4)^m_)*SQRT(1+(m_*G4*(2*A4)^(m_-1))^2)-(A4)))</f>
        <v>1.7081477238810305</v>
      </c>
      <c r="I4">
        <f>H4-((H4)+(G4*(H4)^m_)*(m_*G4*(H4)^(m_-1))-(G4*(H4)^m_)*SQRT(1+(m_*G4*(H4)^(m_-1))^2)-(A4))*((H4)*0.000001)/(((H4+((H4)*0.000001))+(G4*(H4+((H4)*0.000001))^m_)*(m_*G4*(H4+((H4)*0.000001))^(m_-1))-(G4*(H4+((H4)*0.000001))^m_)*SQRT(1+(m_*G4*(H4+((H4)*0.000001))^(m_-1))^2)-(A4))-((H4)+(G4*(H4)^m_)*(m_*G4*(H4)^(m_-1))-(G4*(H4)^m_)*SQRT(1+(m_*G4*(H4)^(m_-1))^2)-(A4)))</f>
        <v>1.7070495370781611</v>
      </c>
      <c r="J4">
        <f>I4-((I4)+(G4*(I4)^m_)*(m_*G4*(I4)^(m_-1))-(G4*(I4)^m_)*SQRT(1+(m_*G4*(I4)^(m_-1))^2)-(A4))*((I4)*0.000001)/(((I4+((I4)*0.000001))+(G4*(I4+((I4)*0.000001))^m_)*(m_*G4*(I4+((I4)*0.000001))^(m_-1))-(G4*(I4+((I4)*0.000001))^m_)*SQRT(1+(m_*G4*(I4+((I4)*0.000001))^(m_-1))^2)-(A4))-((I4)+(G4*(I4)^m_)*(m_*G4*(I4)^(m_-1))-(G4*(I4)^m_)*SQRT(1+(m_*G4*(I4)^(m_-1))^2)-(A4)))</f>
        <v>1.7070495198064359</v>
      </c>
      <c r="K4">
        <f>J4-((J4)+(G4*(J4)^m_)*(m_*G4*(J4)^(m_-1))-(G4*(J4)^m_)*SQRT(1+(m_*G4*(J4)^(m_-1))^2)-(A4))*((J4)*0.000001)/(((J4+((J4)*0.000001))+(G4*(J4+((J4)*0.000001))^m_)*(m_*G4*(J4+((J4)*0.000001))^(m_-1))-(G4*(J4+((J4)*0.000001))^m_)*SQRT(1+(m_*G4*(J4+((J4)*0.000001))^(m_-1))^2)-(A4))-((J4)+(G4*(J4)^m_)*(m_*G4*(J4)^(m_-1))-(G4*(J4)^m_)*SQRT(1+(m_*G4*(J4)^(m_-1))^2)-(A4)))</f>
        <v>1.7070495198064355</v>
      </c>
      <c r="L4">
        <f>K4-((K4)+(G4*(K4)^m_)*(m_*G4*(K4)^(m_-1))-(G4*(K4)^m_)*SQRT(1+(m_*G4*(K4)^(m_-1))^2)-(A4))*((K4)*0.000001)/(((K4+((K4)*0.000001))+(G4*(K4+((K4)*0.000001))^m_)*(m_*G4*(K4+((K4)*0.000001))^(m_-1))-(G4*(K4+((K4)*0.000001))^m_)*SQRT(1+(m_*G4*(K4+((K4)*0.000001))^(m_-1))^2)-(A4))-((K4)+(G4*(K4)^m_)*(m_*G4*(K4)^(m_-1))-(G4*(K4)^m_)*SQRT(1+(m_*G4*(K4)^(m_-1))^2)-(A4)))</f>
        <v>1.707049519806435</v>
      </c>
      <c r="M4">
        <f>L4-((L4)+(G4*(L4)^m_)*(m_*G4*(L4)^(m_-1))-(G4*(L4)^m_)*SQRT(1+(m_*G4*(L4)^(m_-1))^2)-(A4))*((L4)*0.000001)/(((L4+((L4)*0.000001))+(G4*(L4+((L4)*0.000001))^m_)*(m_*G4*(L4+((L4)*0.000001))^(m_-1))-(G4*(L4+((L4)*0.000001))^m_)*SQRT(1+(m_*G4*(L4+((L4)*0.000001))^(m_-1))^2)-(A4))-((L4)+(G4*(L4)^m_)*(m_*G4*(L4)^(m_-1))-(G4*(L4)^m_)*SQRT(1+(m_*G4*(L4)^(m_-1))^2)-(A4)))</f>
        <v>1.7070495198064357</v>
      </c>
      <c r="N4">
        <f>M4-((M4)+(G4*(M4)^m_)*(m_*G4*(M4)^(m_-1))-(G4*(M4)^m_)*SQRT(1+(m_*G4*(M4)^(m_-1))^2)-(A4))*((M4)*0.000001)/(((M4+((M4)*0.000001))+(G4*(M4+((M4)*0.000001))^m_)*(m_*G4*(M4+((M4)*0.000001))^(m_-1))-(G4*(M4+((M4)*0.000001))^m_)*SQRT(1+(m_*G4*(M4+((M4)*0.000001))^(m_-1))^2)-(A4))-((M4)+(G4*(M4)^m_)*(m_*G4*(M4)^(m_-1))-(G4*(M4)^m_)*SQRT(1+(m_*G4*(M4)^(m_-1))^2)-(A4)))</f>
        <v>1.7070495198064362</v>
      </c>
      <c r="O4">
        <f>N4-((N4)+(G4*(N4)^m_)*(m_*G4*(N4)^(m_-1))-(G4*(N4)^m_)*SQRT(1+(m_*G4*(N4)^(m_-1))^2)-(A4))*((N4)*0.000001)/(((N4+((N4)*0.000001))+(G4*(N4+((N4)*0.000001))^m_)*(m_*G4*(N4+((N4)*0.000001))^(m_-1))-(G4*(N4+((N4)*0.000001))^m_)*SQRT(1+(m_*G4*(N4+((N4)*0.000001))^(m_-1))^2)-(A4))-((N4)+(G4*(N4)^m_)*(m_*G4*(N4)^(m_-1))-(G4*(N4)^m_)*SQRT(1+(m_*G4*(N4)^(m_-1))^2)-(A4)))</f>
        <v>1.7070495198064355</v>
      </c>
      <c r="P4">
        <f>O4-((O4)+(G4*(O4)^m_)*(m_*G4*(O4)^(m_-1))-(G4*(O4)^m_)*SQRT(1+(m_*G4*(O4)^(m_-1))^2)-(A4))*((O4)*0.000001)/(((O4+((O4)*0.000001))+(G4*(O4+((O4)*0.000001))^m_)*(m_*G4*(O4+((O4)*0.000001))^(m_-1))-(G4*(O4+((O4)*0.000001))^m_)*SQRT(1+(m_*G4*(O4+((O4)*0.000001))^(m_-1))^2)-(A4))-((O4)+(G4*(O4)^m_)*(m_*G4*(O4)^(m_-1))-(G4*(O4)^m_)*SQRT(1+(m_*G4*(O4)^(m_-1))^2)-(A4)))</f>
        <v>1.707049519806435</v>
      </c>
      <c r="Q4">
        <f>P4-((P4)+(G4*(P4)^m_)*(m_*G4*(P4)^(m_-1))-(G4*(P4)^m_)*SQRT(1+(m_*G4*(P4)^(m_-1))^2)-(A4))*((P4)*0.000001)/(((P4+((P4)*0.000001))+(G4*(P4+((P4)*0.000001))^m_)*(m_*G4*(P4+((P4)*0.000001))^(m_-1))-(G4*(P4+((P4)*0.000001))^m_)*SQRT(1+(m_*G4*(P4+((P4)*0.000001))^(m_-1))^2)-(A4))-((P4)+(G4*(P4)^m_)*(m_*G4*(P4)^(m_-1))-(G4*(P4)^m_)*SQRT(1+(m_*G4*(P4)^(m_-1))^2)-(A4)))</f>
        <v>1.7070495198064357</v>
      </c>
    </row>
    <row r="5" spans="1:17" x14ac:dyDescent="0.3">
      <c r="A5">
        <v>2</v>
      </c>
      <c r="B5">
        <f>Q5</f>
        <v>3.3064165035757909</v>
      </c>
      <c r="C5">
        <f>TAN(RADIANS(pe0-omega*e_base))*sref^(1-m_)*B5^m_</f>
        <v>2.2800471829933913</v>
      </c>
      <c r="D5">
        <f>DEGREES(ATAN(m_*C5/B5))</f>
        <v>30.3764943222385</v>
      </c>
      <c r="E5">
        <f>(1-m_)*C5*1000</f>
        <v>342.00707744900876</v>
      </c>
      <c r="F5">
        <f>2*C5/COS(RADIANS(D5))</f>
        <v>5.2857103523958102</v>
      </c>
      <c r="G5">
        <f>TAN(RADIANS(pe0-omega*e_base))*sref^(1-m_)</f>
        <v>0.82506831318268914</v>
      </c>
      <c r="H5">
        <f>2*A5-((2*A5)+(G5*(2*A5)^m_)*(m_*G5*(2*A5)^(m_-1))-(G5*(2*A5)^m_)*SQRT(1+(m_*G5*(2*A5)^(m_-1))^2)-(A5))*((2*A5)*0.000001)/(((2*A5+((2*A5)*0.000001))+(G5*(2*A5+((2*A5)*0.000001))^m_)*(m_*G5*(2*A5+((2*A5)*0.000001))^(m_-1))-(G5*(2*A5+((2*A5)*0.000001))^m_)*SQRT(1+(m_*G5*(2*A5+((2*A5)*0.000001))^(m_-1))^2)-(A5))-((2*A5)+(G5*(2*A5)^m_)*(m_*G5*(2*A5)^(m_-1))-(G5*(2*A5)^m_)*SQRT(1+(m_*G5*(2*A5)^(m_-1))^2)-(A5)))</f>
        <v>3.3094663765609202</v>
      </c>
      <c r="I5">
        <f>H5-((H5)+(G5*(H5)^m_)*(m_*G5*(H5)^(m_-1))-(G5*(H5)^m_)*SQRT(1+(m_*G5*(H5)^(m_-1))^2)-(A5))*((H5)*0.000001)/(((H5+((H5)*0.000001))+(G5*(H5+((H5)*0.000001))^m_)*(m_*G5*(H5+((H5)*0.000001))^(m_-1))-(G5*(H5+((H5)*0.000001))^m_)*SQRT(1+(m_*G5*(H5+((H5)*0.000001))^(m_-1))^2)-(A5))-((H5)+(G5*(H5)^m_)*(m_*G5*(H5)^(m_-1))-(G5*(H5)^m_)*SQRT(1+(m_*G5*(H5)^(m_-1))^2)-(A5)))</f>
        <v>3.3064165711893949</v>
      </c>
      <c r="J5">
        <f>I5-((I5)+(G5*(I5)^m_)*(m_*G5*(I5)^(m_-1))-(G5*(I5)^m_)*SQRT(1+(m_*G5*(I5)^(m_-1))^2)-(A5))*((I5)*0.000001)/(((I5+((I5)*0.000001))+(G5*(I5+((I5)*0.000001))^m_)*(m_*G5*(I5+((I5)*0.000001))^(m_-1))-(G5*(I5+((I5)*0.000001))^m_)*SQRT(1+(m_*G5*(I5+((I5)*0.000001))^(m_-1))^2)-(A5))-((I5)+(G5*(I5)^m_)*(m_*G5*(I5)^(m_-1))-(G5*(I5)^m_)*SQRT(1+(m_*G5*(I5)^(m_-1))^2)-(A5)))</f>
        <v>3.3064165035757922</v>
      </c>
      <c r="K5">
        <f>J5-((J5)+(G5*(J5)^m_)*(m_*G5*(J5)^(m_-1))-(G5*(J5)^m_)*SQRT(1+(m_*G5*(J5)^(m_-1))^2)-(A5))*((J5)*0.000001)/(((J5+((J5)*0.000001))+(G5*(J5+((J5)*0.000001))^m_)*(m_*G5*(J5+((J5)*0.000001))^(m_-1))-(G5*(J5+((J5)*0.000001))^m_)*SQRT(1+(m_*G5*(J5+((J5)*0.000001))^(m_-1))^2)-(A5))-((J5)+(G5*(J5)^m_)*(m_*G5*(J5)^(m_-1))-(G5*(J5)^m_)*SQRT(1+(m_*G5*(J5)^(m_-1))^2)-(A5)))</f>
        <v>3.30641650357579</v>
      </c>
      <c r="L5">
        <f>K5-((K5)+(G5*(K5)^m_)*(m_*G5*(K5)^(m_-1))-(G5*(K5)^m_)*SQRT(1+(m_*G5*(K5)^(m_-1))^2)-(A5))*((K5)*0.000001)/(((K5+((K5)*0.000001))+(G5*(K5+((K5)*0.000001))^m_)*(m_*G5*(K5+((K5)*0.000001))^(m_-1))-(G5*(K5+((K5)*0.000001))^m_)*SQRT(1+(m_*G5*(K5+((K5)*0.000001))^(m_-1))^2)-(A5))-((K5)+(G5*(K5)^m_)*(m_*G5*(K5)^(m_-1))-(G5*(K5)^m_)*SQRT(1+(m_*G5*(K5)^(m_-1))^2)-(A5)))</f>
        <v>3.3064165035757909</v>
      </c>
      <c r="M5">
        <f>L5-((L5)+(G5*(L5)^m_)*(m_*G5*(L5)^(m_-1))-(G5*(L5)^m_)*SQRT(1+(m_*G5*(L5)^(m_-1))^2)-(A5))*((L5)*0.000001)/(((L5+((L5)*0.000001))+(G5*(L5+((L5)*0.000001))^m_)*(m_*G5*(L5+((L5)*0.000001))^(m_-1))-(G5*(L5+((L5)*0.000001))^m_)*SQRT(1+(m_*G5*(L5+((L5)*0.000001))^(m_-1))^2)-(A5))-((L5)+(G5*(L5)^m_)*(m_*G5*(L5)^(m_-1))-(G5*(L5)^m_)*SQRT(1+(m_*G5*(L5)^(m_-1))^2)-(A5)))</f>
        <v>3.3064165035757909</v>
      </c>
      <c r="N5">
        <f>M5-((M5)+(G5*(M5)^m_)*(m_*G5*(M5)^(m_-1))-(G5*(M5)^m_)*SQRT(1+(m_*G5*(M5)^(m_-1))^2)-(A5))*((M5)*0.000001)/(((M5+((M5)*0.000001))+(G5*(M5+((M5)*0.000001))^m_)*(m_*G5*(M5+((M5)*0.000001))^(m_-1))-(G5*(M5+((M5)*0.000001))^m_)*SQRT(1+(m_*G5*(M5+((M5)*0.000001))^(m_-1))^2)-(A5))-((M5)+(G5*(M5)^m_)*(m_*G5*(M5)^(m_-1))-(G5*(M5)^m_)*SQRT(1+(m_*G5*(M5)^(m_-1))^2)-(A5)))</f>
        <v>3.3064165035757909</v>
      </c>
      <c r="O5">
        <f>N5-((N5)+(G5*(N5)^m_)*(m_*G5*(N5)^(m_-1))-(G5*(N5)^m_)*SQRT(1+(m_*G5*(N5)^(m_-1))^2)-(A5))*((N5)*0.000001)/(((N5+((N5)*0.000001))+(G5*(N5+((N5)*0.000001))^m_)*(m_*G5*(N5+((N5)*0.000001))^(m_-1))-(G5*(N5+((N5)*0.000001))^m_)*SQRT(1+(m_*G5*(N5+((N5)*0.000001))^(m_-1))^2)-(A5))-((N5)+(G5*(N5)^m_)*(m_*G5*(N5)^(m_-1))-(G5*(N5)^m_)*SQRT(1+(m_*G5*(N5)^(m_-1))^2)-(A5)))</f>
        <v>3.3064165035757909</v>
      </c>
      <c r="P5">
        <f>O5-((O5)+(G5*(O5)^m_)*(m_*G5*(O5)^(m_-1))-(G5*(O5)^m_)*SQRT(1+(m_*G5*(O5)^(m_-1))^2)-(A5))*((O5)*0.000001)/(((O5+((O5)*0.000001))+(G5*(O5+((O5)*0.000001))^m_)*(m_*G5*(O5+((O5)*0.000001))^(m_-1))-(G5*(O5+((O5)*0.000001))^m_)*SQRT(1+(m_*G5*(O5+((O5)*0.000001))^(m_-1))^2)-(A5))-((O5)+(G5*(O5)^m_)*(m_*G5*(O5)^(m_-1))-(G5*(O5)^m_)*SQRT(1+(m_*G5*(O5)^(m_-1))^2)-(A5)))</f>
        <v>3.3064165035757909</v>
      </c>
      <c r="Q5">
        <f>P5-((P5)+(G5*(P5)^m_)*(m_*G5*(P5)^(m_-1))-(G5*(P5)^m_)*SQRT(1+(m_*G5*(P5)^(m_-1))^2)-(A5))*((P5)*0.000001)/(((P5+((P5)*0.000001))+(G5*(P5+((P5)*0.000001))^m_)*(m_*G5*(P5+((P5)*0.000001))^(m_-1))-(G5*(P5+((P5)*0.000001))^m_)*SQRT(1+(m_*G5*(P5+((P5)*0.000001))^(m_-1))^2)-(A5))-((P5)+(G5*(P5)^m_)*(m_*G5*(P5)^(m_-1))-(G5*(P5)^m_)*SQRT(1+(m_*G5*(P5)^(m_-1))^2)-(A5)))</f>
        <v>3.3064165035757909</v>
      </c>
    </row>
    <row r="6" spans="1:17" x14ac:dyDescent="0.3">
      <c r="A6">
        <v>5</v>
      </c>
      <c r="B6">
        <f>Q6</f>
        <v>7.9256015198750704</v>
      </c>
      <c r="C6">
        <f>TAN(RADIANS(pe0-omega*e_base))*sref^(1-m_)*B6^m_</f>
        <v>4.7936608722008645</v>
      </c>
      <c r="D6">
        <f>DEGREES(ATAN(m_*C6/B6))</f>
        <v>27.208039027081039</v>
      </c>
      <c r="E6">
        <f>(1-m_)*C6*1000</f>
        <v>719.0491308301298</v>
      </c>
      <c r="F6">
        <f>2*C6/COS(RADIANS(D6))</f>
        <v>10.780117728442946</v>
      </c>
      <c r="G6">
        <f>TAN(RADIANS(pe0-omega*e_base))*sref^(1-m_)</f>
        <v>0.82506831318268914</v>
      </c>
      <c r="H6">
        <f>2*A6-((2*A6)+(G6*(2*A6)^m_)*(m_*G6*(2*A6)^(m_-1))-(G6*(2*A6)^m_)*SQRT(1+(m_*G6*(2*A6)^(m_-1))^2)-(A6))*((2*A6)*0.000001)/(((2*A6+((2*A6)*0.000001))+(G6*(2*A6+((2*A6)*0.000001))^m_)*(m_*G6*(2*A6+((2*A6)*0.000001))^(m_-1))-(G6*(2*A6+((2*A6)*0.000001))^m_)*SQRT(1+(m_*G6*(2*A6+((2*A6)*0.000001))^(m_-1))^2)-(A6))-((2*A6)+(G6*(2*A6)^m_)*(m_*G6*(2*A6)^(m_-1))-(G6*(2*A6)^m_)*SQRT(1+(m_*G6*(2*A6)^(m_-1))^2)-(A6)))</f>
        <v>7.9362119242455451</v>
      </c>
      <c r="I6">
        <f>H6-((H6)+(G6*(H6)^m_)*(m_*G6*(H6)^(m_-1))-(G6*(H6)^m_)*SQRT(1+(m_*G6*(H6)^(m_-1))^2)-(A6))*((H6)*0.000001)/(((H6+((H6)*0.000001))+(G6*(H6+((H6)*0.000001))^m_)*(m_*G6*(H6+((H6)*0.000001))^(m_-1))-(G6*(H6+((H6)*0.000001))^m_)*SQRT(1+(m_*G6*(H6+((H6)*0.000001))^(m_-1))^2)-(A6))-((H6)+(G6*(H6)^m_)*(m_*G6*(H6)^(m_-1))-(G6*(H6)^m_)*SQRT(1+(m_*G6*(H6)^(m_-1))^2)-(A6)))</f>
        <v>7.9256018487485687</v>
      </c>
      <c r="J6">
        <f>I6-((I6)+(G6*(I6)^m_)*(m_*G6*(I6)^(m_-1))-(G6*(I6)^m_)*SQRT(1+(m_*G6*(I6)^(m_-1))^2)-(A6))*((I6)*0.000001)/(((I6+((I6)*0.000001))+(G6*(I6+((I6)*0.000001))^m_)*(m_*G6*(I6+((I6)*0.000001))^(m_-1))-(G6*(I6+((I6)*0.000001))^m_)*SQRT(1+(m_*G6*(I6+((I6)*0.000001))^(m_-1))^2)-(A6))-((I6)+(G6*(I6)^m_)*(m_*G6*(I6)^(m_-1))-(G6*(I6)^m_)*SQRT(1+(m_*G6*(I6)^(m_-1))^2)-(A6)))</f>
        <v>7.9256015198750775</v>
      </c>
      <c r="K6">
        <f>J6-((J6)+(G6*(J6)^m_)*(m_*G6*(J6)^(m_-1))-(G6*(J6)^m_)*SQRT(1+(m_*G6*(J6)^(m_-1))^2)-(A6))*((J6)*0.000001)/(((J6+((J6)*0.000001))+(G6*(J6+((J6)*0.000001))^m_)*(m_*G6*(J6+((J6)*0.000001))^(m_-1))-(G6*(J6+((J6)*0.000001))^m_)*SQRT(1+(m_*G6*(J6+((J6)*0.000001))^(m_-1))^2)-(A6))-((J6)+(G6*(J6)^m_)*(m_*G6*(J6)^(m_-1))-(G6*(J6)^m_)*SQRT(1+(m_*G6*(J6)^(m_-1))^2)-(A6)))</f>
        <v>7.9256015198750704</v>
      </c>
      <c r="L6">
        <f>K6-((K6)+(G6*(K6)^m_)*(m_*G6*(K6)^(m_-1))-(G6*(K6)^m_)*SQRT(1+(m_*G6*(K6)^(m_-1))^2)-(A6))*((K6)*0.000001)/(((K6+((K6)*0.000001))+(G6*(K6+((K6)*0.000001))^m_)*(m_*G6*(K6+((K6)*0.000001))^(m_-1))-(G6*(K6+((K6)*0.000001))^m_)*SQRT(1+(m_*G6*(K6+((K6)*0.000001))^(m_-1))^2)-(A6))-((K6)+(G6*(K6)^m_)*(m_*G6*(K6)^(m_-1))-(G6*(K6)^m_)*SQRT(1+(m_*G6*(K6)^(m_-1))^2)-(A6)))</f>
        <v>7.9256015198750704</v>
      </c>
      <c r="M6">
        <f>L6-((L6)+(G6*(L6)^m_)*(m_*G6*(L6)^(m_-1))-(G6*(L6)^m_)*SQRT(1+(m_*G6*(L6)^(m_-1))^2)-(A6))*((L6)*0.000001)/(((L6+((L6)*0.000001))+(G6*(L6+((L6)*0.000001))^m_)*(m_*G6*(L6+((L6)*0.000001))^(m_-1))-(G6*(L6+((L6)*0.000001))^m_)*SQRT(1+(m_*G6*(L6+((L6)*0.000001))^(m_-1))^2)-(A6))-((L6)+(G6*(L6)^m_)*(m_*G6*(L6)^(m_-1))-(G6*(L6)^m_)*SQRT(1+(m_*G6*(L6)^(m_-1))^2)-(A6)))</f>
        <v>7.9256015198750704</v>
      </c>
      <c r="N6">
        <f>M6-((M6)+(G6*(M6)^m_)*(m_*G6*(M6)^(m_-1))-(G6*(M6)^m_)*SQRT(1+(m_*G6*(M6)^(m_-1))^2)-(A6))*((M6)*0.000001)/(((M6+((M6)*0.000001))+(G6*(M6+((M6)*0.000001))^m_)*(m_*G6*(M6+((M6)*0.000001))^(m_-1))-(G6*(M6+((M6)*0.000001))^m_)*SQRT(1+(m_*G6*(M6+((M6)*0.000001))^(m_-1))^2)-(A6))-((M6)+(G6*(M6)^m_)*(m_*G6*(M6)^(m_-1))-(G6*(M6)^m_)*SQRT(1+(m_*G6*(M6)^(m_-1))^2)-(A6)))</f>
        <v>7.9256015198750704</v>
      </c>
      <c r="O6">
        <f>N6-((N6)+(G6*(N6)^m_)*(m_*G6*(N6)^(m_-1))-(G6*(N6)^m_)*SQRT(1+(m_*G6*(N6)^(m_-1))^2)-(A6))*((N6)*0.000001)/(((N6+((N6)*0.000001))+(G6*(N6+((N6)*0.000001))^m_)*(m_*G6*(N6+((N6)*0.000001))^(m_-1))-(G6*(N6+((N6)*0.000001))^m_)*SQRT(1+(m_*G6*(N6+((N6)*0.000001))^(m_-1))^2)-(A6))-((N6)+(G6*(N6)^m_)*(m_*G6*(N6)^(m_-1))-(G6*(N6)^m_)*SQRT(1+(m_*G6*(N6)^(m_-1))^2)-(A6)))</f>
        <v>7.9256015198750704</v>
      </c>
      <c r="P6">
        <f>O6-((O6)+(G6*(O6)^m_)*(m_*G6*(O6)^(m_-1))-(G6*(O6)^m_)*SQRT(1+(m_*G6*(O6)^(m_-1))^2)-(A6))*((O6)*0.000001)/(((O6+((O6)*0.000001))+(G6*(O6+((O6)*0.000001))^m_)*(m_*G6*(O6+((O6)*0.000001))^(m_-1))-(G6*(O6+((O6)*0.000001))^m_)*SQRT(1+(m_*G6*(O6+((O6)*0.000001))^(m_-1))^2)-(A6))-((O6)+(G6*(O6)^m_)*(m_*G6*(O6)^(m_-1))-(G6*(O6)^m_)*SQRT(1+(m_*G6*(O6)^(m_-1))^2)-(A6)))</f>
        <v>7.9256015198750704</v>
      </c>
      <c r="Q6">
        <f>P6-((P6)+(G6*(P6)^m_)*(m_*G6*(P6)^(m_-1))-(G6*(P6)^m_)*SQRT(1+(m_*G6*(P6)^(m_-1))^2)-(A6))*((P6)*0.000001)/(((P6+((P6)*0.000001))+(G6*(P6+((P6)*0.000001))^m_)*(m_*G6*(P6+((P6)*0.000001))^(m_-1))-(G6*(P6+((P6)*0.000001))^m_)*SQRT(1+(m_*G6*(P6+((P6)*0.000001))^(m_-1))^2)-(A6))-((P6)+(G6*(P6)^m_)*(m_*G6*(P6)^(m_-1))-(G6*(P6)^m_)*SQRT(1+(m_*G6*(P6)^(m_-1))^2)-(A6)))</f>
        <v>7.9256015198750704</v>
      </c>
    </row>
    <row r="8" spans="1:17" x14ac:dyDescent="0.3">
      <c r="A8" t="s">
        <v>630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50" customWidth="1"/>
    <col min="3" max="3" width="10" customWidth="1"/>
    <col min="4" max="4" width="8" customWidth="1"/>
    <col min="5" max="6" width="7" customWidth="1"/>
    <col min="7" max="7" width="8" customWidth="1"/>
  </cols>
  <sheetData>
    <row r="1" spans="1:7" x14ac:dyDescent="0.3">
      <c r="A1" s="1" t="s">
        <v>631</v>
      </c>
      <c r="B1" s="1" t="s">
        <v>58</v>
      </c>
      <c r="C1" s="1" t="s">
        <v>632</v>
      </c>
      <c r="D1" s="1" t="s">
        <v>633</v>
      </c>
      <c r="E1" s="1" t="s">
        <v>634</v>
      </c>
      <c r="F1" s="1" t="s">
        <v>635</v>
      </c>
      <c r="G1" s="1" t="s">
        <v>336</v>
      </c>
    </row>
    <row r="2" spans="1:7" x14ac:dyDescent="0.3">
      <c r="A2" t="s">
        <v>636</v>
      </c>
      <c r="B2" t="s">
        <v>637</v>
      </c>
      <c r="C2">
        <v>20</v>
      </c>
      <c r="D2">
        <v>2.9000000000000001E-2</v>
      </c>
      <c r="E2">
        <v>2.75</v>
      </c>
      <c r="F2">
        <v>9.81</v>
      </c>
      <c r="G2">
        <f t="shared" ref="G2:G7" si="0">E2*F2*(1+D2)/C2-1</f>
        <v>0.38799237500000006</v>
      </c>
    </row>
    <row r="3" spans="1:7" x14ac:dyDescent="0.3">
      <c r="A3" t="s">
        <v>636</v>
      </c>
      <c r="B3" t="s">
        <v>638</v>
      </c>
      <c r="C3">
        <v>19.600000000000001</v>
      </c>
      <c r="D3">
        <v>2.9000000000000001E-2</v>
      </c>
      <c r="E3">
        <v>2.75</v>
      </c>
      <c r="F3">
        <v>9.81</v>
      </c>
      <c r="G3">
        <f t="shared" si="0"/>
        <v>0.41631874999999985</v>
      </c>
    </row>
    <row r="4" spans="1:7" x14ac:dyDescent="0.3">
      <c r="A4" t="s">
        <v>636</v>
      </c>
      <c r="B4" t="s">
        <v>639</v>
      </c>
      <c r="C4">
        <v>20.75</v>
      </c>
      <c r="D4">
        <v>2.9000000000000001E-2</v>
      </c>
      <c r="E4">
        <v>2.75</v>
      </c>
      <c r="F4">
        <v>9.81</v>
      </c>
      <c r="G4">
        <f t="shared" si="0"/>
        <v>0.33782397590361435</v>
      </c>
    </row>
    <row r="5" spans="1:7" x14ac:dyDescent="0.3">
      <c r="A5" t="s">
        <v>640</v>
      </c>
      <c r="B5" t="s">
        <v>641</v>
      </c>
      <c r="C5">
        <v>21.66</v>
      </c>
      <c r="D5">
        <v>2.8000000000000001E-2</v>
      </c>
      <c r="E5">
        <v>2.75</v>
      </c>
      <c r="F5">
        <v>9.81</v>
      </c>
      <c r="G5">
        <f t="shared" si="0"/>
        <v>0.2803725761772855</v>
      </c>
    </row>
    <row r="6" spans="1:7" x14ac:dyDescent="0.3">
      <c r="A6" t="s">
        <v>640</v>
      </c>
      <c r="B6" t="s">
        <v>642</v>
      </c>
      <c r="C6">
        <v>22</v>
      </c>
      <c r="D6">
        <v>2.8000000000000001E-2</v>
      </c>
      <c r="E6">
        <v>2.75</v>
      </c>
      <c r="F6">
        <v>9.81</v>
      </c>
      <c r="G6">
        <f t="shared" si="0"/>
        <v>0.26058500000000007</v>
      </c>
    </row>
    <row r="7" spans="1:7" x14ac:dyDescent="0.3">
      <c r="A7" t="s">
        <v>643</v>
      </c>
      <c r="B7" t="s">
        <v>644</v>
      </c>
      <c r="C7">
        <v>22</v>
      </c>
      <c r="D7">
        <v>2.9000000000000001E-2</v>
      </c>
      <c r="E7">
        <v>2.75</v>
      </c>
      <c r="F7">
        <v>9.81</v>
      </c>
      <c r="G7">
        <f t="shared" si="0"/>
        <v>0.26181125000000005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" customWidth="1"/>
    <col min="2" max="2" width="16" customWidth="1"/>
    <col min="3" max="3" width="10" customWidth="1"/>
    <col min="4" max="4" width="16" customWidth="1"/>
    <col min="5" max="5" width="10" customWidth="1"/>
  </cols>
  <sheetData>
    <row r="1" spans="1:8" ht="28.8" x14ac:dyDescent="0.3">
      <c r="A1" s="1" t="s">
        <v>645</v>
      </c>
      <c r="B1" s="1" t="s">
        <v>646</v>
      </c>
      <c r="C1" s="1" t="s">
        <v>319</v>
      </c>
      <c r="D1" s="1" t="s">
        <v>647</v>
      </c>
      <c r="E1" s="1" t="s">
        <v>321</v>
      </c>
      <c r="G1" t="s">
        <v>648</v>
      </c>
      <c r="H1" t="s">
        <v>649</v>
      </c>
    </row>
    <row r="2" spans="1:8" x14ac:dyDescent="0.3">
      <c r="A2">
        <v>0</v>
      </c>
      <c r="B2">
        <v>0</v>
      </c>
      <c r="C2">
        <v>0.45</v>
      </c>
      <c r="D2">
        <v>0</v>
      </c>
      <c r="E2">
        <v>0.45</v>
      </c>
      <c r="G2">
        <v>0</v>
      </c>
      <c r="H2">
        <v>1.84</v>
      </c>
    </row>
    <row r="3" spans="1:8" x14ac:dyDescent="0.3">
      <c r="A3">
        <v>10</v>
      </c>
      <c r="B3">
        <v>0.19798780774950439</v>
      </c>
      <c r="C3">
        <v>0.40532823920915267</v>
      </c>
      <c r="D3">
        <v>0.19611342236322671</v>
      </c>
      <c r="E3">
        <v>0.43820080091533192</v>
      </c>
      <c r="G3">
        <v>40</v>
      </c>
      <c r="H3">
        <v>1.9</v>
      </c>
    </row>
    <row r="4" spans="1:8" x14ac:dyDescent="0.3">
      <c r="A4">
        <v>20</v>
      </c>
      <c r="B4">
        <v>0.40132155047883089</v>
      </c>
      <c r="C4">
        <v>0.38239293084376758</v>
      </c>
      <c r="D4">
        <v>0.39384209913928392</v>
      </c>
      <c r="E4">
        <v>0.42640160183066372</v>
      </c>
      <c r="G4">
        <v>80</v>
      </c>
      <c r="H4">
        <v>1.95</v>
      </c>
    </row>
    <row r="5" spans="1:8" x14ac:dyDescent="0.3">
      <c r="A5">
        <v>30</v>
      </c>
      <c r="B5">
        <v>0.60724990355649378</v>
      </c>
      <c r="C5">
        <v>0.36894846699602668</v>
      </c>
      <c r="D5">
        <v>0.5932128589795993</v>
      </c>
      <c r="E5">
        <v>0.41460240274599558</v>
      </c>
      <c r="G5">
        <v>120</v>
      </c>
      <c r="H5">
        <v>2</v>
      </c>
    </row>
    <row r="6" spans="1:8" x14ac:dyDescent="0.3">
      <c r="A6">
        <v>40</v>
      </c>
      <c r="B6">
        <v>0.81489380991508076</v>
      </c>
      <c r="C6">
        <v>0.35940122838566518</v>
      </c>
      <c r="D6">
        <v>0.79425320455487969</v>
      </c>
      <c r="E6">
        <v>0.40280320366132738</v>
      </c>
      <c r="G6">
        <v>160</v>
      </c>
      <c r="H6">
        <v>2.0499999999999998</v>
      </c>
    </row>
    <row r="7" spans="1:8" x14ac:dyDescent="0.3">
      <c r="A7">
        <v>50</v>
      </c>
      <c r="B7">
        <v>1.023832382745292</v>
      </c>
      <c r="C7">
        <v>0.35158478665782722</v>
      </c>
      <c r="D7">
        <v>0.99681725339710814</v>
      </c>
      <c r="E7">
        <v>0.39352520096227211</v>
      </c>
      <c r="G7">
        <v>200</v>
      </c>
      <c r="H7">
        <v>2.1</v>
      </c>
    </row>
    <row r="8" spans="1:8" x14ac:dyDescent="0.3">
      <c r="A8">
        <v>60</v>
      </c>
      <c r="B8">
        <v>1.2341206753324809</v>
      </c>
      <c r="C8">
        <v>0.34229057357706733</v>
      </c>
      <c r="D8">
        <v>1.200734249563864</v>
      </c>
      <c r="E8">
        <v>0.38424719826321679</v>
      </c>
      <c r="G8">
        <v>240</v>
      </c>
      <c r="H8">
        <v>2.14</v>
      </c>
    </row>
    <row r="9" spans="1:8" x14ac:dyDescent="0.3">
      <c r="A9">
        <v>70</v>
      </c>
      <c r="B9">
        <v>1.44575688453215</v>
      </c>
      <c r="C9">
        <v>0.33441590335600607</v>
      </c>
      <c r="D9">
        <v>1.4060223876112981</v>
      </c>
      <c r="E9">
        <v>0.37496919556416147</v>
      </c>
      <c r="G9">
        <v>280</v>
      </c>
      <c r="H9">
        <v>2.1800000000000002</v>
      </c>
    </row>
    <row r="10" spans="1:8" x14ac:dyDescent="0.3">
      <c r="A10">
        <v>80</v>
      </c>
      <c r="B10">
        <v>1.658562308470221</v>
      </c>
      <c r="C10">
        <v>0.32758386864512418</v>
      </c>
      <c r="D10">
        <v>1.61270023160457</v>
      </c>
      <c r="E10">
        <v>0.36569119286510621</v>
      </c>
      <c r="G10">
        <v>320</v>
      </c>
      <c r="H10">
        <v>2.21</v>
      </c>
    </row>
    <row r="11" spans="1:8" x14ac:dyDescent="0.3">
      <c r="A11">
        <v>90</v>
      </c>
      <c r="B11">
        <v>1.872401613339894</v>
      </c>
      <c r="C11">
        <v>0.32155024653613912</v>
      </c>
      <c r="D11">
        <v>1.820752968889046</v>
      </c>
      <c r="E11">
        <v>0.35687709030100362</v>
      </c>
      <c r="G11">
        <v>360</v>
      </c>
      <c r="H11">
        <v>2.2400000000000002</v>
      </c>
    </row>
    <row r="12" spans="1:8" x14ac:dyDescent="0.3">
      <c r="A12">
        <v>100</v>
      </c>
      <c r="B12">
        <v>2.0871685956265011</v>
      </c>
      <c r="C12">
        <v>0.3161477068656508</v>
      </c>
      <c r="D12">
        <v>2.0301613830371412</v>
      </c>
      <c r="E12">
        <v>0.34806298773690098</v>
      </c>
      <c r="G12">
        <v>400</v>
      </c>
      <c r="H12">
        <v>2.27</v>
      </c>
    </row>
    <row r="13" spans="1:8" x14ac:dyDescent="0.3">
      <c r="A13">
        <v>110</v>
      </c>
      <c r="B13">
        <v>2.302777594004227</v>
      </c>
      <c r="C13">
        <v>0.31125657565488157</v>
      </c>
      <c r="D13">
        <v>2.2409432572367369</v>
      </c>
      <c r="E13">
        <v>0.33924888517279839</v>
      </c>
      <c r="G13">
        <v>440</v>
      </c>
      <c r="H13">
        <v>2.2999999999999998</v>
      </c>
    </row>
    <row r="14" spans="1:8" x14ac:dyDescent="0.3">
      <c r="A14">
        <v>120</v>
      </c>
      <c r="B14">
        <v>2.519157992461281</v>
      </c>
      <c r="C14">
        <v>0.30678829609199931</v>
      </c>
      <c r="D14">
        <v>2.453116726895475</v>
      </c>
      <c r="E14">
        <v>0.3304347826086958</v>
      </c>
      <c r="G14">
        <v>480</v>
      </c>
      <c r="H14">
        <v>2.3199999999999998</v>
      </c>
    </row>
    <row r="15" spans="1:8" x14ac:dyDescent="0.3">
      <c r="A15">
        <v>130</v>
      </c>
      <c r="B15">
        <v>2.7362505342034709</v>
      </c>
      <c r="C15">
        <v>0.30267549516530867</v>
      </c>
      <c r="D15">
        <v>2.6666673294476282</v>
      </c>
      <c r="E15">
        <v>0.3220506362672324</v>
      </c>
      <c r="G15">
        <v>520</v>
      </c>
      <c r="H15">
        <v>2.34</v>
      </c>
    </row>
    <row r="16" spans="1:8" x14ac:dyDescent="0.3">
      <c r="A16">
        <v>140</v>
      </c>
      <c r="B16">
        <v>2.954004755070506</v>
      </c>
      <c r="C16">
        <v>0.29886572283489959</v>
      </c>
      <c r="D16">
        <v>2.8815763226764521</v>
      </c>
      <c r="E16">
        <v>0.31366648992576901</v>
      </c>
      <c r="G16">
        <v>560</v>
      </c>
      <c r="H16">
        <v>2.355</v>
      </c>
    </row>
    <row r="17" spans="1:8" x14ac:dyDescent="0.3">
      <c r="A17">
        <v>150</v>
      </c>
      <c r="B17">
        <v>3.1723771400979381</v>
      </c>
      <c r="C17">
        <v>0.29531734594885972</v>
      </c>
      <c r="D17">
        <v>3.0978610986577482</v>
      </c>
      <c r="E17">
        <v>0.30528234358430562</v>
      </c>
      <c r="G17">
        <v>600</v>
      </c>
      <c r="H17">
        <v>2.37</v>
      </c>
    </row>
    <row r="18" spans="1:8" x14ac:dyDescent="0.3">
      <c r="A18">
        <v>160</v>
      </c>
      <c r="B18">
        <v>3.3913297644883071</v>
      </c>
      <c r="C18">
        <v>0.29199676401319469</v>
      </c>
      <c r="D18">
        <v>3.3155393856381798</v>
      </c>
      <c r="E18">
        <v>0.29689819724284222</v>
      </c>
    </row>
    <row r="19" spans="1:8" x14ac:dyDescent="0.3">
      <c r="A19">
        <v>170</v>
      </c>
      <c r="B19">
        <v>3.6108292691793258</v>
      </c>
      <c r="C19">
        <v>0.2888764669034084</v>
      </c>
      <c r="D19">
        <v>3.5345970545611678</v>
      </c>
      <c r="E19">
        <v>0.288913295965258</v>
      </c>
    </row>
    <row r="20" spans="1:8" x14ac:dyDescent="0.3">
      <c r="A20">
        <v>180</v>
      </c>
      <c r="B20">
        <v>3.8308460736762768</v>
      </c>
      <c r="C20">
        <v>0.28593364633738699</v>
      </c>
      <c r="D20">
        <v>3.7550158138224088</v>
      </c>
      <c r="E20">
        <v>0.28092839468767378</v>
      </c>
    </row>
    <row r="21" spans="1:8" x14ac:dyDescent="0.3">
      <c r="A21">
        <v>190</v>
      </c>
      <c r="B21">
        <v>4.0513537609971593</v>
      </c>
      <c r="C21">
        <v>0.28314918182466808</v>
      </c>
      <c r="D21">
        <v>3.9768126831926378</v>
      </c>
      <c r="E21">
        <v>0.27294349341008961</v>
      </c>
    </row>
    <row r="22" spans="1:8" x14ac:dyDescent="0.3">
      <c r="A22">
        <v>200</v>
      </c>
      <c r="B22">
        <v>4.2723285899759436</v>
      </c>
      <c r="C22">
        <v>0.28050688607419699</v>
      </c>
      <c r="D22">
        <v>4.2000050036880427</v>
      </c>
      <c r="E22">
        <v>0.26495859213250528</v>
      </c>
    </row>
    <row r="23" spans="1:8" x14ac:dyDescent="0.3">
      <c r="A23">
        <v>210</v>
      </c>
      <c r="B23">
        <v>4.4937491034741424</v>
      </c>
      <c r="C23">
        <v>0.27799293405871423</v>
      </c>
      <c r="D23">
        <v>4.4244524252664119</v>
      </c>
      <c r="E23">
        <v>0.25883932199454363</v>
      </c>
    </row>
    <row r="24" spans="1:8" x14ac:dyDescent="0.3">
      <c r="A24">
        <v>220</v>
      </c>
      <c r="B24">
        <v>4.7155958099518944</v>
      </c>
      <c r="C24">
        <v>0.27559542457587372</v>
      </c>
      <c r="D24">
        <v>4.6499934244274694</v>
      </c>
      <c r="E24">
        <v>0.25272005185658181</v>
      </c>
    </row>
    <row r="25" spans="1:8" x14ac:dyDescent="0.3">
      <c r="A25">
        <v>230</v>
      </c>
      <c r="B25">
        <v>4.9378509219395621</v>
      </c>
      <c r="C25">
        <v>0.27330403903784151</v>
      </c>
      <c r="D25">
        <v>4.8766387098681472</v>
      </c>
      <c r="E25">
        <v>0.24660078171861999</v>
      </c>
    </row>
    <row r="26" spans="1:8" x14ac:dyDescent="0.3">
      <c r="A26">
        <v>240</v>
      </c>
      <c r="B26">
        <v>5.1604981392014819</v>
      </c>
      <c r="C26">
        <v>0.27110977271003261</v>
      </c>
      <c r="D26">
        <v>5.1043991483546352</v>
      </c>
      <c r="E26">
        <v>0.24048151158065831</v>
      </c>
    </row>
    <row r="27" spans="1:8" x14ac:dyDescent="0.3">
      <c r="A27">
        <v>250</v>
      </c>
      <c r="B27">
        <v>5.3835224674043474</v>
      </c>
      <c r="C27">
        <v>0.26900472068826881</v>
      </c>
      <c r="D27">
        <v>5.3332660082993231</v>
      </c>
      <c r="E27">
        <v>0.23458680181473179</v>
      </c>
    </row>
    <row r="28" spans="1:8" x14ac:dyDescent="0.3">
      <c r="A28">
        <v>260</v>
      </c>
      <c r="B28">
        <v>5.6069100652846151</v>
      </c>
      <c r="C28">
        <v>0.2669819057577047</v>
      </c>
      <c r="D28">
        <v>5.5632281136408244</v>
      </c>
      <c r="E28">
        <v>0.22869209204880539</v>
      </c>
    </row>
    <row r="29" spans="1:8" x14ac:dyDescent="0.3">
      <c r="A29">
        <v>270</v>
      </c>
      <c r="B29">
        <v>5.8306481149087954</v>
      </c>
      <c r="C29">
        <v>0.26503513866760781</v>
      </c>
      <c r="D29">
        <v>5.7942959974281072</v>
      </c>
      <c r="E29">
        <v>0.22279738228287899</v>
      </c>
    </row>
    <row r="30" spans="1:8" x14ac:dyDescent="0.3">
      <c r="A30">
        <v>280</v>
      </c>
      <c r="B30">
        <v>6.0547247108088644</v>
      </c>
      <c r="C30">
        <v>0.26315890376178952</v>
      </c>
      <c r="D30">
        <v>6.0264803453901683</v>
      </c>
      <c r="E30">
        <v>0.21690267251695261</v>
      </c>
    </row>
    <row r="31" spans="1:8" x14ac:dyDescent="0.3">
      <c r="A31">
        <v>290</v>
      </c>
      <c r="B31">
        <v>6.2791287646689602</v>
      </c>
      <c r="C31">
        <v>0.26134826463586441</v>
      </c>
      <c r="D31">
        <v>6.2596445765044173</v>
      </c>
      <c r="E31">
        <v>0.2126216728905671</v>
      </c>
    </row>
    <row r="32" spans="1:8" x14ac:dyDescent="0.3">
      <c r="A32">
        <v>300</v>
      </c>
      <c r="B32">
        <v>6.5038499229195343</v>
      </c>
      <c r="C32">
        <v>0.25959878575501749</v>
      </c>
      <c r="D32">
        <v>6.4936333473419694</v>
      </c>
      <c r="E32">
        <v>0.20834067326418171</v>
      </c>
    </row>
    <row r="33" spans="1:5" x14ac:dyDescent="0.3">
      <c r="A33">
        <v>310</v>
      </c>
      <c r="B33">
        <v>6.7288784951180256</v>
      </c>
      <c r="C33">
        <v>0.25790646689778218</v>
      </c>
      <c r="D33">
        <v>6.7284525102517101</v>
      </c>
      <c r="E33">
        <v>0.2040596736377962</v>
      </c>
    </row>
    <row r="34" spans="1:5" x14ac:dyDescent="0.3">
      <c r="A34">
        <v>320</v>
      </c>
      <c r="B34">
        <v>6.9542053914009303</v>
      </c>
      <c r="C34">
        <v>0.25626768798682631</v>
      </c>
      <c r="D34">
        <v>6.9641079801119616</v>
      </c>
      <c r="E34">
        <v>0.19977867401141081</v>
      </c>
    </row>
    <row r="35" spans="1:5" x14ac:dyDescent="0.3">
      <c r="A35">
        <v>330</v>
      </c>
      <c r="B35">
        <v>7.1798220676100897</v>
      </c>
      <c r="C35">
        <v>0.25467916239227423</v>
      </c>
      <c r="D35">
        <v>7.2005949675622096</v>
      </c>
      <c r="E35">
        <v>0.19561234401787489</v>
      </c>
    </row>
    <row r="36" spans="1:5" x14ac:dyDescent="0.3">
      <c r="A36">
        <v>340</v>
      </c>
      <c r="B36">
        <v>7.4057204769470983</v>
      </c>
      <c r="C36">
        <v>0.25313789719254309</v>
      </c>
      <c r="D36">
        <v>7.4379074051656424</v>
      </c>
      <c r="E36">
        <v>0.191446014024339</v>
      </c>
    </row>
    <row r="37" spans="1:5" x14ac:dyDescent="0.3">
      <c r="A37">
        <v>350</v>
      </c>
      <c r="B37">
        <v>7.6318930272096663</v>
      </c>
      <c r="C37">
        <v>0.2516411591846065</v>
      </c>
      <c r="D37">
        <v>7.676051075526054</v>
      </c>
      <c r="E37">
        <v>0.18727968403080311</v>
      </c>
    </row>
    <row r="38" spans="1:5" x14ac:dyDescent="0.3">
      <c r="A38">
        <v>360</v>
      </c>
      <c r="B38">
        <v>7.8583325428240638</v>
      </c>
      <c r="C38">
        <v>0.25018644567347459</v>
      </c>
      <c r="D38">
        <v>7.915031822225024</v>
      </c>
      <c r="E38">
        <v>0.1831133540372672</v>
      </c>
    </row>
    <row r="39" spans="1:5" x14ac:dyDescent="0.3">
      <c r="A39">
        <v>370</v>
      </c>
      <c r="B39">
        <v>8.0850322310171965</v>
      </c>
      <c r="C39">
        <v>0.24877145925647601</v>
      </c>
      <c r="D39">
        <v>8.1548449171903652</v>
      </c>
      <c r="E39">
        <v>0.17905714730347241</v>
      </c>
    </row>
    <row r="40" spans="1:5" x14ac:dyDescent="0.3">
      <c r="A40">
        <v>380</v>
      </c>
      <c r="B40">
        <v>8.311985651577114</v>
      </c>
      <c r="C40">
        <v>0.24739408596414411</v>
      </c>
      <c r="D40">
        <v>8.3954843720619454</v>
      </c>
      <c r="E40">
        <v>0.1750009405696776</v>
      </c>
    </row>
    <row r="41" spans="1:5" x14ac:dyDescent="0.3">
      <c r="A41">
        <v>390</v>
      </c>
      <c r="B41">
        <v>8.5391866897366686</v>
      </c>
      <c r="C41">
        <v>0.24605237623538559</v>
      </c>
      <c r="D41">
        <v>8.6369559015617394</v>
      </c>
      <c r="E41">
        <v>0.1709447338358828</v>
      </c>
    </row>
    <row r="42" spans="1:5" x14ac:dyDescent="0.3">
      <c r="A42">
        <v>400</v>
      </c>
      <c r="B42">
        <v>8.766629531785858</v>
      </c>
      <c r="C42">
        <v>0.24474452829704241</v>
      </c>
      <c r="D42">
        <v>8.8792652798980196</v>
      </c>
      <c r="E42">
        <v>0.16688852710208801</v>
      </c>
    </row>
    <row r="43" spans="1:5" x14ac:dyDescent="0.3">
      <c r="A43">
        <v>410</v>
      </c>
      <c r="B43">
        <v>8.9943086430767476</v>
      </c>
      <c r="C43">
        <v>0.24346887359215871</v>
      </c>
      <c r="D43">
        <v>9.1224078386927001</v>
      </c>
      <c r="E43">
        <v>0.16293813445700081</v>
      </c>
    </row>
    <row r="44" spans="1:5" x14ac:dyDescent="0.3">
      <c r="A44">
        <v>420</v>
      </c>
      <c r="B44">
        <v>9.2222187481335975</v>
      </c>
      <c r="C44">
        <v>0.2422238639611822</v>
      </c>
      <c r="D44">
        <v>9.3663776665490435</v>
      </c>
      <c r="E44">
        <v>0.15898774181191369</v>
      </c>
    </row>
    <row r="45" spans="1:5" x14ac:dyDescent="0.3">
      <c r="A45">
        <v>430</v>
      </c>
      <c r="B45">
        <v>9.4503548126212067</v>
      </c>
      <c r="C45">
        <v>0.24100806032897429</v>
      </c>
      <c r="D45">
        <v>9.6111804120975073</v>
      </c>
      <c r="E45">
        <v>0.1550373491668266</v>
      </c>
    </row>
    <row r="46" spans="1:5" x14ac:dyDescent="0.3">
      <c r="A46">
        <v>440</v>
      </c>
      <c r="B46">
        <v>9.6787120269586886</v>
      </c>
      <c r="C46">
        <v>0.2398201226902244</v>
      </c>
      <c r="D46">
        <v>9.8568217820204591</v>
      </c>
      <c r="E46">
        <v>0.15108695652173951</v>
      </c>
    </row>
    <row r="47" spans="1:5" x14ac:dyDescent="0.3">
      <c r="A47">
        <v>450</v>
      </c>
      <c r="B47">
        <v>9.9072857913944521</v>
      </c>
      <c r="C47">
        <v>0.23865880121844171</v>
      </c>
      <c r="D47">
        <v>10.10316754522467</v>
      </c>
      <c r="E47">
        <v>0.1485101199400303</v>
      </c>
    </row>
    <row r="48" spans="1:5" x14ac:dyDescent="0.3">
      <c r="A48">
        <v>460</v>
      </c>
      <c r="B48">
        <v>10.1360717023825</v>
      </c>
      <c r="C48">
        <v>0.23752292835056321</v>
      </c>
      <c r="D48">
        <v>10.350066608336959</v>
      </c>
      <c r="E48">
        <v>0.1459332833583212</v>
      </c>
    </row>
    <row r="49" spans="1:5" x14ac:dyDescent="0.3">
      <c r="A49">
        <v>470</v>
      </c>
      <c r="B49">
        <v>10.365065540120661</v>
      </c>
      <c r="C49">
        <v>0.23641141172146091</v>
      </c>
      <c r="D49">
        <v>10.59752146240945</v>
      </c>
      <c r="E49">
        <v>0.143356446776612</v>
      </c>
    </row>
    <row r="50" spans="1:5" x14ac:dyDescent="0.3">
      <c r="A50">
        <v>480</v>
      </c>
      <c r="B50">
        <v>10.594263257129111</v>
      </c>
      <c r="C50">
        <v>0.23532322784113421</v>
      </c>
      <c r="D50">
        <v>10.84553461535493</v>
      </c>
      <c r="E50">
        <v>0.1407796101949029</v>
      </c>
    </row>
    <row r="51" spans="1:5" x14ac:dyDescent="0.3">
      <c r="A51">
        <v>490</v>
      </c>
      <c r="B51">
        <v>10.82366096776229</v>
      </c>
      <c r="C51">
        <v>0.23425741642282949</v>
      </c>
      <c r="D51">
        <v>11.094104024607461</v>
      </c>
      <c r="E51">
        <v>0.13824682210176989</v>
      </c>
    </row>
    <row r="52" spans="1:5" x14ac:dyDescent="0.3">
      <c r="A52">
        <v>500</v>
      </c>
      <c r="B52">
        <v>11.05325493856056</v>
      </c>
      <c r="C52">
        <v>0.233213075283289</v>
      </c>
      <c r="D52">
        <v>11.343227127735091</v>
      </c>
      <c r="E52">
        <v>0.13571403400863699</v>
      </c>
    </row>
    <row r="53" spans="1:5" x14ac:dyDescent="0.3">
      <c r="A53">
        <v>510</v>
      </c>
      <c r="B53">
        <v>11.28304157935885</v>
      </c>
      <c r="C53">
        <v>0.2321893557472389</v>
      </c>
      <c r="D53">
        <v>11.59290639697657</v>
      </c>
      <c r="E53">
        <v>0.13318124591550401</v>
      </c>
    </row>
    <row r="54" spans="1:5" x14ac:dyDescent="0.3">
      <c r="A54">
        <v>520</v>
      </c>
      <c r="B54">
        <v>11.513017435079171</v>
      </c>
      <c r="C54">
        <v>0.23118545849744551</v>
      </c>
      <c r="D54">
        <v>11.843144321165539</v>
      </c>
      <c r="E54">
        <v>0.13064845782237111</v>
      </c>
    </row>
    <row r="55" spans="1:5" x14ac:dyDescent="0.3">
      <c r="A55">
        <v>530</v>
      </c>
      <c r="B55">
        <v>11.743179178142279</v>
      </c>
      <c r="C55">
        <v>0.23020062981948</v>
      </c>
      <c r="D55">
        <v>12.09387361268945</v>
      </c>
      <c r="E55">
        <v>0.12877709846693519</v>
      </c>
    </row>
    <row r="56" spans="1:5" x14ac:dyDescent="0.3">
      <c r="A56">
        <v>540</v>
      </c>
      <c r="B56">
        <v>11.973523601440929</v>
      </c>
      <c r="C56">
        <v>0.2292341581969804</v>
      </c>
      <c r="D56">
        <v>12.34501890716365</v>
      </c>
      <c r="E56">
        <v>0.12690573911149941</v>
      </c>
    </row>
    <row r="57" spans="1:5" x14ac:dyDescent="0.3">
      <c r="A57">
        <v>550</v>
      </c>
      <c r="B57">
        <v>12.204047611823549</v>
      </c>
      <c r="C57">
        <v>0.2282853712188706</v>
      </c>
      <c r="D57">
        <v>12.596581587323289</v>
      </c>
      <c r="E57">
        <v>0.1250343797560636</v>
      </c>
    </row>
    <row r="58" spans="1:5" x14ac:dyDescent="0.3">
      <c r="A58">
        <v>560</v>
      </c>
      <c r="B58">
        <v>12.43474822404265</v>
      </c>
      <c r="C58">
        <v>0.22735363276485199</v>
      </c>
      <c r="D58">
        <v>12.848563042809049</v>
      </c>
      <c r="E58">
        <v>0.12316302040062781</v>
      </c>
    </row>
    <row r="59" spans="1:5" x14ac:dyDescent="0.3">
      <c r="A59">
        <v>570</v>
      </c>
      <c r="B59">
        <v>12.665622555127021</v>
      </c>
      <c r="C59">
        <v>0.22643834043965189</v>
      </c>
      <c r="D59">
        <v>13.10096213820832</v>
      </c>
      <c r="E59">
        <v>0.12131534913829881</v>
      </c>
    </row>
    <row r="60" spans="1:5" x14ac:dyDescent="0.3">
      <c r="A60">
        <v>580</v>
      </c>
      <c r="B60">
        <v>12.89666781914125</v>
      </c>
      <c r="C60">
        <v>0.2255389232301013</v>
      </c>
      <c r="D60">
        <v>13.353777455556971</v>
      </c>
      <c r="E60">
        <v>0.1194676778759698</v>
      </c>
    </row>
    <row r="61" spans="1:5" x14ac:dyDescent="0.3">
      <c r="A61">
        <v>590</v>
      </c>
      <c r="B61">
        <v>13.12788132229957</v>
      </c>
      <c r="C61">
        <v>0.22465483936221539</v>
      </c>
      <c r="D61">
        <v>13.60701036987507</v>
      </c>
      <c r="E61">
        <v>0.1176200066136409</v>
      </c>
    </row>
    <row r="62" spans="1:5" x14ac:dyDescent="0.3">
      <c r="A62">
        <v>600</v>
      </c>
      <c r="B62">
        <v>13.35926045840449</v>
      </c>
      <c r="C62">
        <v>0.22378557433813109</v>
      </c>
      <c r="D62">
        <v>13.860662263007629</v>
      </c>
      <c r="E62">
        <v>0.1157723353513119</v>
      </c>
    </row>
    <row r="63" spans="1:5" x14ac:dyDescent="0.3">
      <c r="A63">
        <v>610</v>
      </c>
      <c r="B63">
        <v>13.590802704583639</v>
      </c>
      <c r="C63">
        <v>0.22293063913508479</v>
      </c>
      <c r="D63">
        <v>14.114534617631669</v>
      </c>
    </row>
    <row r="64" spans="1:5" x14ac:dyDescent="0.3">
      <c r="A64">
        <v>620</v>
      </c>
      <c r="B64">
        <v>13.82250561730061</v>
      </c>
      <c r="C64">
        <v>0.2220895685506388</v>
      </c>
      <c r="D64">
        <v>14.3684069722557</v>
      </c>
    </row>
    <row r="65" spans="1:4" x14ac:dyDescent="0.3">
      <c r="A65">
        <v>630</v>
      </c>
      <c r="B65">
        <v>14.054366828618249</v>
      </c>
      <c r="C65">
        <v>0.22126191968013389</v>
      </c>
      <c r="D65">
        <v>14.62227932687974</v>
      </c>
    </row>
    <row r="66" spans="1:4" x14ac:dyDescent="0.3">
      <c r="A66">
        <v>640</v>
      </c>
      <c r="B66">
        <v>14.286384042694401</v>
      </c>
      <c r="C66">
        <v>0.22044727051388591</v>
      </c>
      <c r="D66">
        <v>14.87615168150378</v>
      </c>
    </row>
    <row r="67" spans="1:4" x14ac:dyDescent="0.3">
      <c r="A67">
        <v>650</v>
      </c>
      <c r="B67">
        <v>14.518555032492509</v>
      </c>
      <c r="C67">
        <v>0.21964521864300129</v>
      </c>
      <c r="D67">
        <v>15.130024036127811</v>
      </c>
    </row>
    <row r="68" spans="1:4" x14ac:dyDescent="0.3">
      <c r="A68">
        <v>660</v>
      </c>
      <c r="B68">
        <v>14.7508776366906</v>
      </c>
      <c r="C68">
        <v>0.21885538006387131</v>
      </c>
      <c r="D68">
        <v>15.38389639075185</v>
      </c>
    </row>
    <row r="69" spans="1:4" x14ac:dyDescent="0.3">
      <c r="A69">
        <v>670</v>
      </c>
      <c r="B69">
        <v>14.98334975677392</v>
      </c>
      <c r="C69">
        <v>0.21807738807245131</v>
      </c>
      <c r="D69">
        <v>15.63776874537588</v>
      </c>
    </row>
    <row r="70" spans="1:4" x14ac:dyDescent="0.3">
      <c r="A70">
        <v>680</v>
      </c>
      <c r="B70">
        <v>15.21596935429776</v>
      </c>
      <c r="C70">
        <v>0.21731089224035399</v>
      </c>
      <c r="D70">
        <v>15.891641099999919</v>
      </c>
    </row>
    <row r="71" spans="1:4" x14ac:dyDescent="0.3">
      <c r="A71">
        <v>690</v>
      </c>
      <c r="B71">
        <v>15.44873444830808</v>
      </c>
      <c r="C71">
        <v>0.21655555746559549</v>
      </c>
      <c r="D71">
        <v>16.145513454623959</v>
      </c>
    </row>
    <row r="72" spans="1:4" x14ac:dyDescent="0.3">
      <c r="A72">
        <v>700</v>
      </c>
      <c r="B72">
        <v>15.6816431129088</v>
      </c>
      <c r="C72">
        <v>0.21581106309155851</v>
      </c>
      <c r="D72">
        <v>16.399385809247999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40" customWidth="1"/>
    <col min="2" max="2" width="12" customWidth="1"/>
    <col min="3" max="3" width="8" customWidth="1"/>
    <col min="4" max="5" width="14" customWidth="1"/>
    <col min="6" max="7" width="10" customWidth="1"/>
  </cols>
  <sheetData>
    <row r="1" spans="1:7" ht="28.8" x14ac:dyDescent="0.3">
      <c r="A1" s="1" t="s">
        <v>650</v>
      </c>
      <c r="B1" s="1" t="s">
        <v>651</v>
      </c>
      <c r="C1" s="1" t="s">
        <v>67</v>
      </c>
      <c r="D1" s="1" t="s">
        <v>652</v>
      </c>
      <c r="E1" s="1" t="s">
        <v>653</v>
      </c>
      <c r="F1" s="1" t="s">
        <v>654</v>
      </c>
      <c r="G1" s="1" t="s">
        <v>655</v>
      </c>
    </row>
    <row r="2" spans="1:7" x14ac:dyDescent="0.3">
      <c r="A2" t="s">
        <v>656</v>
      </c>
      <c r="B2">
        <v>600</v>
      </c>
      <c r="C2">
        <v>0.42499999999999999</v>
      </c>
      <c r="D2">
        <v>7.309585955514436E-2</v>
      </c>
      <c r="E2">
        <v>7.3085778044489014E-2</v>
      </c>
      <c r="F2">
        <v>0.29597487956098639</v>
      </c>
      <c r="G2">
        <v>0.26841719579495199</v>
      </c>
    </row>
    <row r="3" spans="1:7" x14ac:dyDescent="0.3">
      <c r="A3" t="s">
        <v>657</v>
      </c>
      <c r="B3">
        <v>1000</v>
      </c>
      <c r="C3">
        <v>0.23799999999999999</v>
      </c>
      <c r="D3">
        <v>1.701348389860784E-2</v>
      </c>
      <c r="E3">
        <v>5.492262591998575E-2</v>
      </c>
      <c r="F3">
        <v>0.38495369058618623</v>
      </c>
      <c r="G3">
        <v>0.36441978763930882</v>
      </c>
    </row>
    <row r="4" spans="1:7" x14ac:dyDescent="0.3">
      <c r="A4" t="s">
        <v>658</v>
      </c>
      <c r="B4">
        <v>1000</v>
      </c>
      <c r="C4">
        <v>0.23799999999999999</v>
      </c>
      <c r="D4">
        <v>2.0117992281968221E-2</v>
      </c>
      <c r="E4">
        <v>4.7932226940812138E-2</v>
      </c>
      <c r="F4">
        <v>0.38636274448480051</v>
      </c>
      <c r="G4">
        <v>0.36847564768008501</v>
      </c>
    </row>
    <row r="5" spans="1:7" x14ac:dyDescent="0.3">
      <c r="A5" t="s">
        <v>659</v>
      </c>
      <c r="B5">
        <v>949.7</v>
      </c>
      <c r="C5">
        <v>0.28599999999999998</v>
      </c>
      <c r="D5">
        <v>3.2908761310861477E-2</v>
      </c>
      <c r="E5">
        <v>0.1224388060872296</v>
      </c>
      <c r="F5">
        <v>0.30961752741683851</v>
      </c>
      <c r="G5">
        <v>0.2628450713159432</v>
      </c>
    </row>
    <row r="6" spans="1:7" x14ac:dyDescent="0.3">
      <c r="A6" t="s">
        <v>660</v>
      </c>
      <c r="B6">
        <v>241</v>
      </c>
      <c r="C6">
        <v>0.45500000000000002</v>
      </c>
      <c r="D6">
        <v>7.4743382134965577E-2</v>
      </c>
      <c r="E6">
        <v>0.1145612523015702</v>
      </c>
      <c r="F6">
        <v>0.25959878575501749</v>
      </c>
      <c r="G6">
        <v>0.21581106309155851</v>
      </c>
    </row>
    <row r="7" spans="1:7" x14ac:dyDescent="0.3">
      <c r="A7" t="s">
        <v>661</v>
      </c>
      <c r="B7">
        <v>240</v>
      </c>
      <c r="C7">
        <v>0.317</v>
      </c>
      <c r="D7">
        <v>1.336012795759243E-2</v>
      </c>
      <c r="E7">
        <v>9.4475272392763057E-2</v>
      </c>
      <c r="F7">
        <v>0.35844214938818869</v>
      </c>
      <c r="G7">
        <v>0.32271315191405292</v>
      </c>
    </row>
    <row r="8" spans="1:7" x14ac:dyDescent="0.3">
      <c r="A8" t="s">
        <v>662</v>
      </c>
      <c r="B8">
        <v>240</v>
      </c>
      <c r="C8">
        <v>0.53200000000000003</v>
      </c>
      <c r="D8">
        <v>0.11818204600257599</v>
      </c>
      <c r="E8">
        <v>0.10689038507713509</v>
      </c>
      <c r="F8">
        <v>0.20742846115809699</v>
      </c>
      <c r="G8">
        <v>0.16654564589192031</v>
      </c>
    </row>
    <row r="9" spans="1:7" x14ac:dyDescent="0.3">
      <c r="A9" t="s">
        <v>663</v>
      </c>
      <c r="B9">
        <v>240</v>
      </c>
      <c r="C9">
        <v>0.17799999999999999</v>
      </c>
      <c r="D9">
        <v>1.6700159946990631E-2</v>
      </c>
      <c r="E9">
        <v>4.0293858763092702E-2</v>
      </c>
      <c r="F9">
        <v>0.39687251452333122</v>
      </c>
      <c r="G9">
        <v>0.38187094018634182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8" customWidth="1"/>
    <col min="3" max="3" width="12" customWidth="1"/>
    <col min="4" max="5" width="22" customWidth="1"/>
    <col min="6" max="6" width="10" customWidth="1"/>
    <col min="7" max="7" width="12" customWidth="1"/>
  </cols>
  <sheetData>
    <row r="1" spans="1:7" ht="28.8" x14ac:dyDescent="0.3">
      <c r="A1" s="1" t="s">
        <v>664</v>
      </c>
      <c r="B1" s="1" t="s">
        <v>665</v>
      </c>
      <c r="C1" s="1" t="s">
        <v>666</v>
      </c>
      <c r="D1" s="1" t="s">
        <v>667</v>
      </c>
      <c r="E1" s="1" t="s">
        <v>668</v>
      </c>
      <c r="F1" s="1" t="s">
        <v>669</v>
      </c>
      <c r="G1" s="1" t="s">
        <v>670</v>
      </c>
    </row>
    <row r="2" spans="1:7" x14ac:dyDescent="0.3">
      <c r="A2">
        <v>178</v>
      </c>
      <c r="B2">
        <v>4</v>
      </c>
      <c r="C2">
        <v>1000</v>
      </c>
      <c r="D2">
        <f t="shared" ref="D2:D10" si="0">(A2/C2)^(3/B2)</f>
        <v>0.27404065806123584</v>
      </c>
      <c r="E2">
        <f t="shared" ref="E2:E10" si="1">D2^(1-m_)</f>
        <v>0.82351639595500925</v>
      </c>
      <c r="F2">
        <f t="shared" ref="F2:F10" si="2">DEGREES(ATAN(E2*TAN(RADIANS(pe0-omega*e_base))))</f>
        <v>34.142850190326755</v>
      </c>
      <c r="G2">
        <f t="shared" ref="G2:G10" si="3">F2-(pe0-omega*e_base)</f>
        <v>-5.3276271485080287</v>
      </c>
    </row>
    <row r="3" spans="1:7" x14ac:dyDescent="0.3">
      <c r="A3">
        <v>178</v>
      </c>
      <c r="B3">
        <v>6.6666999999999996</v>
      </c>
      <c r="C3">
        <v>1000</v>
      </c>
      <c r="D3">
        <f t="shared" si="0"/>
        <v>0.45992888719984359</v>
      </c>
      <c r="E3">
        <f t="shared" si="1"/>
        <v>0.89002786373907172</v>
      </c>
      <c r="F3">
        <f t="shared" si="2"/>
        <v>36.238152693684285</v>
      </c>
      <c r="G3">
        <f t="shared" si="3"/>
        <v>-3.2323246451504986</v>
      </c>
    </row>
    <row r="4" spans="1:7" x14ac:dyDescent="0.3">
      <c r="A4">
        <v>178</v>
      </c>
      <c r="B4">
        <v>10</v>
      </c>
      <c r="C4">
        <v>1000</v>
      </c>
      <c r="D4">
        <f t="shared" si="0"/>
        <v>0.59583498646035493</v>
      </c>
      <c r="E4">
        <f t="shared" si="1"/>
        <v>0.92527089231131165</v>
      </c>
      <c r="F4">
        <f t="shared" si="2"/>
        <v>37.305010608492132</v>
      </c>
      <c r="G4">
        <f t="shared" si="3"/>
        <v>-2.1654667303426507</v>
      </c>
    </row>
    <row r="5" spans="1:7" x14ac:dyDescent="0.3">
      <c r="A5">
        <v>102</v>
      </c>
      <c r="B5">
        <v>4</v>
      </c>
      <c r="C5">
        <v>1000</v>
      </c>
      <c r="D5">
        <f t="shared" si="0"/>
        <v>0.18048874652523206</v>
      </c>
      <c r="E5">
        <f t="shared" si="1"/>
        <v>0.77351282595692483</v>
      </c>
      <c r="F5">
        <f t="shared" si="2"/>
        <v>32.495736282329489</v>
      </c>
      <c r="G5">
        <f t="shared" si="3"/>
        <v>-6.9747410565052945</v>
      </c>
    </row>
    <row r="6" spans="1:7" x14ac:dyDescent="0.3">
      <c r="A6">
        <v>102</v>
      </c>
      <c r="B6">
        <v>6.6666999999999996</v>
      </c>
      <c r="C6">
        <v>1000</v>
      </c>
      <c r="D6">
        <f t="shared" si="0"/>
        <v>0.35799116440134543</v>
      </c>
      <c r="E6">
        <f t="shared" si="1"/>
        <v>0.85719740215933482</v>
      </c>
      <c r="F6">
        <f t="shared" si="2"/>
        <v>35.217407311724536</v>
      </c>
      <c r="G6">
        <f t="shared" si="3"/>
        <v>-4.2530700271102475</v>
      </c>
    </row>
    <row r="7" spans="1:7" x14ac:dyDescent="0.3">
      <c r="A7">
        <v>102</v>
      </c>
      <c r="B7">
        <v>10</v>
      </c>
      <c r="C7">
        <v>1000</v>
      </c>
      <c r="D7">
        <f t="shared" si="0"/>
        <v>0.50417354255664815</v>
      </c>
      <c r="E7">
        <f t="shared" si="1"/>
        <v>0.9023749021522427</v>
      </c>
      <c r="F7">
        <f t="shared" si="2"/>
        <v>36.615297481059628</v>
      </c>
      <c r="G7">
        <f t="shared" si="3"/>
        <v>-2.8551798577751555</v>
      </c>
    </row>
    <row r="8" spans="1:7" x14ac:dyDescent="0.3">
      <c r="A8">
        <v>25</v>
      </c>
      <c r="B8">
        <v>4</v>
      </c>
      <c r="C8">
        <v>1000</v>
      </c>
      <c r="D8">
        <f t="shared" si="0"/>
        <v>6.2871671484146768E-2</v>
      </c>
      <c r="E8">
        <f t="shared" si="1"/>
        <v>0.66034098159857313</v>
      </c>
      <c r="F8">
        <f t="shared" si="2"/>
        <v>28.536103997806748</v>
      </c>
      <c r="G8">
        <f t="shared" si="3"/>
        <v>-10.934373341028035</v>
      </c>
    </row>
    <row r="9" spans="1:7" x14ac:dyDescent="0.3">
      <c r="A9">
        <v>25</v>
      </c>
      <c r="B9">
        <v>6.6666999999999996</v>
      </c>
      <c r="C9">
        <v>1000</v>
      </c>
      <c r="D9">
        <f t="shared" si="0"/>
        <v>0.19014136552141067</v>
      </c>
      <c r="E9">
        <f t="shared" si="1"/>
        <v>0.77958144042922084</v>
      </c>
      <c r="F9">
        <f t="shared" si="2"/>
        <v>32.698960801118204</v>
      </c>
      <c r="G9">
        <f t="shared" si="3"/>
        <v>-6.7715165377165789</v>
      </c>
    </row>
    <row r="10" spans="1:7" x14ac:dyDescent="0.3">
      <c r="A10">
        <v>25</v>
      </c>
      <c r="B10">
        <v>10</v>
      </c>
      <c r="C10">
        <v>1000</v>
      </c>
      <c r="D10">
        <f t="shared" si="0"/>
        <v>0.3306602597747843</v>
      </c>
      <c r="E10">
        <f t="shared" si="1"/>
        <v>0.8470465938155527</v>
      </c>
      <c r="F10">
        <f t="shared" si="2"/>
        <v>34.896490233525917</v>
      </c>
      <c r="G10">
        <f t="shared" si="3"/>
        <v>-4.5739871053088663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Leame</vt:lpstr>
      <vt:lpstr>Parametros</vt:lpstr>
      <vt:lpstr>Ensayos</vt:lpstr>
      <vt:lpstr>Curva</vt:lpstr>
      <vt:lpstr>phi1_vs_e</vt:lpstr>
      <vt:lpstr>Hipotesis_m</vt:lpstr>
      <vt:lpstr>Base_mundial</vt:lpstr>
      <vt:lpstr>Ajuste</vt:lpstr>
      <vt:lpstr>FLAC_tangente</vt:lpstr>
      <vt:lpstr>Relacion_vacios</vt:lpstr>
      <vt:lpstr>Perfiles_e</vt:lpstr>
      <vt:lpstr>Edometros</vt:lpstr>
      <vt:lpstr>Tamano_particula</vt:lpstr>
      <vt:lpstr>c_ds</vt:lpstr>
      <vt:lpstr>cc_alto</vt:lpstr>
      <vt:lpstr>cc_bajo</vt:lpstr>
      <vt:lpstr>e_base</vt:lpstr>
      <vt:lpstr>m_</vt:lpstr>
      <vt:lpstr>omega</vt:lpstr>
      <vt:lpstr>pa</vt:lpstr>
      <vt:lpstr>pe0</vt:lpstr>
      <vt:lpstr>sref</vt:lpstr>
      <vt:lpstr>sv_piso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Wilson Arturo Anticona Islado</cp:lastModifiedBy>
  <dcterms:created xsi:type="dcterms:W3CDTF">2026-10-13T00:34:17Z</dcterms:created>
  <dcterms:modified xsi:type="dcterms:W3CDTF">2026-10-13T00:34:44Z</dcterms:modified>
</cp:coreProperties>
</file>