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Rotura_Bg" sheetId="8" state="visible" r:id="rId8"/>
    <sheet xmlns:r="http://schemas.openxmlformats.org/officeDocument/2006/relationships" name="Hipotesis_m" sheetId="9" state="visible" r:id="rId9"/>
    <sheet xmlns:r="http://schemas.openxmlformats.org/officeDocument/2006/relationships" name="Base_mundial" sheetId="10" state="visible" r:id="rId10"/>
    <sheet xmlns:r="http://schemas.openxmlformats.org/officeDocument/2006/relationships" name="Ajuste" sheetId="11" state="visible" r:id="rId11"/>
    <sheet xmlns:r="http://schemas.openxmlformats.org/officeDocument/2006/relationships" name="FLAC_tangente" sheetId="12" state="visible" r:id="rId12"/>
    <sheet xmlns:r="http://schemas.openxmlformats.org/officeDocument/2006/relationships" name="Relacion_vacios" sheetId="13" state="visible" r:id="rId13"/>
    <sheet xmlns:r="http://schemas.openxmlformats.org/officeDocument/2006/relationships" name="Perfiles_e" sheetId="14" state="visible" r:id="rId14"/>
    <sheet xmlns:r="http://schemas.openxmlformats.org/officeDocument/2006/relationships" name="Edometros" sheetId="15" state="visible" r:id="rId15"/>
    <sheet xmlns:r="http://schemas.openxmlformats.org/officeDocument/2006/relationships" name="Tamano_particula" sheetId="16" state="visible" r:id="rId16"/>
    <sheet xmlns:r="http://schemas.openxmlformats.org/officeDocument/2006/relationships" name="Datos_figuras" sheetId="17" state="visible" r:id="rId17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8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167</row>
      <rowOff>0</rowOff>
    </from>
    <ext cx="6120000" cy="50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199</row>
      <rowOff>0</rowOff>
    </from>
    <ext cx="6120000" cy="396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225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257</row>
      <rowOff>0</rowOff>
    </from>
    <ext cx="306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9</col>
      <colOff>0</colOff>
      <row>257</row>
      <rowOff>0</rowOff>
    </from>
    <ext cx="45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Rotura_Bg: índice de rotura de Marsal (Bg) de todos los ensayos con su fuente, página y uso en la figura del memo.</t>
        </is>
      </c>
    </row>
    <row r="20">
      <c r="A20" t="inlineStr">
        <is>
          <t xml:space="preserve">  Edometros: edómetros de desmonte de Antamina y e resultante con la ley del perfil A.</t>
        </is>
      </c>
    </row>
    <row r="21">
      <c r="A21" t="inlineStr">
        <is>
          <t xml:space="preserve">  Tamano_particula: sensibilidad al tamaño (Frossard et al. 2012).</t>
        </is>
      </c>
    </row>
    <row r="22">
      <c r="A22" t="inlineStr"/>
    </row>
    <row r="23">
      <c r="A23" t="inlineStr">
        <is>
          <t>Fuentes: base de ensayos de Antamina verificada contra los PDF (datos_antamina/base, verificacion_ocr); base mundial de Cylwik et al. (2025);</t>
        </is>
      </c>
    </row>
    <row r="24">
      <c r="A24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5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Curva propuesta y su banda de incertidumbre, con los ensayos del ajuste y la base mundial llevados a e base</t>
        </is>
      </c>
    </row>
    <row r="167">
      <c r="B167" s="2" t="inlineStr">
        <is>
          <t>Figura 5. Contraste de la curva propuesta con los triaxiales CU de desmonte ROM no usados en el ajuste</t>
        </is>
      </c>
    </row>
    <row r="199">
      <c r="B199" s="2" t="inlineStr">
        <is>
          <t>Figura 6. Índice de rotura de Marsal (1967) en los triaxiales drenados del ajuste</t>
        </is>
      </c>
    </row>
    <row r="225">
      <c r="B225" s="2" t="inlineStr">
        <is>
          <t>Figura 7. Curva propuesta y su banda de incertidumbre en τ–σ′n</t>
        </is>
      </c>
    </row>
    <row r="257">
      <c r="B257" s="2" t="inlineStr">
        <is>
          <t>Figura 8.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  <row r="25">
      <c r="A25" t="inlineStr">
        <is>
          <t>Sensibilidad: φ′e=0 sin los 4 triaxiales de hornfels de 1 m a alta presión</t>
        </is>
      </c>
      <c r="B25" t="n">
        <v>47.71893564033366</v>
      </c>
      <c r="C25" t="inlineStr">
        <is>
          <t>°</t>
        </is>
      </c>
      <c r="D25" t="inlineStr">
        <is>
          <t>Golder Associates Perú (2022), IDIEM, σ′3 = 1.96 y 2.45 MPa; cada set conserva su ensayo a 0.98 MPa (a39; memo, sec. 5.2)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curva, con tope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MIN(tope,DEGREES(ATAN(TAN(RADIANS(pe0-omega*J2))*(M2/sref)^(m_-1))))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MIN(tope,DEGREES(ATAN(TAN(RADIANS(pe0-omega*J3))*(M3/sref)^(m_-1))))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MIN(tope,DEGREES(ATAN(TAN(RADIANS(pe0-omega*J4))*(M4/sref)^(m_-1))))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MIN(tope,DEGREES(ATAN(TAN(RADIANS(pe0-omega*J5))*(M5/sref)^(m_-1))))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MIN(tope,DEGREES(ATAN(TAN(RADIANS(pe0-omega*J6))*(M6/sref)^(m_-1))))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MIN(tope,DEGREES(ATAN(TAN(RADIANS(pe0-omega*J7))*(M7/sref)^(m_-1))))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MIN(tope,DEGREES(ATAN(TAN(RADIANS(pe0-omega*J8))*(M8/sref)^(m_-1))))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MIN(tope,DEGREES(ATAN(TAN(RADIANS(pe0-omega*J9))*(M9/sref)^(m_-1))))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MIN(tope,DEGREES(ATAN(TAN(RADIANS(pe0-omega*J10))*(M10/sref)^(m_-1))))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MIN(tope,DEGREES(ATAN(TAN(RADIANS(pe0-omega*J11))*(M11/sref)^(m_-1))))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MIN(tope,DEGREES(ATAN(TAN(RADIANS(pe0-omega*J12))*(M12/sref)^(m_-1))))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MIN(tope,DEGREES(ATAN(TAN(RADIANS(pe0-omega*J13))*(M13/sref)^(m_-1))))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MIN(tope,DEGREES(ATAN(TAN(RADIANS(pe0-omega*J14))*(M14/sref)^(m_-1))))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MIN(tope,DEGREES(ATAN(TAN(RADIANS(pe0-omega*J15))*(M15/sref)^(m_-1))))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MIN(tope,DEGREES(ATAN(TAN(RADIANS(pe0-omega*J16))*(M16/sref)^(m_-1))))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MIN(tope,DEGREES(ATAN(TAN(RADIANS(pe0-omega*J17))*(M17/sref)^(m_-1))))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MIN(tope,DEGREES(ATAN(TAN(RADIANS(pe0-omega*J18))*(M18/sref)^(m_-1))))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MIN(tope,DEGREES(ATAN(TAN(RADIANS(pe0-omega*J19))*(M19/sref)^(m_-1))))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MIN(tope,DEGREES(ATAN(TAN(RADIANS(pe0-omega*J20))*(M20/sref)^(m_-1))))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MIN(tope,DEGREES(ATAN(TAN(RADIANS(pe0-omega*J21))*(M21/sref)^(m_-1))))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MIN(tope,DEGREES(ATAN(TAN(RADIANS(pe0-omega*J22))*(M22/sref)^(m_-1))))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MIN(tope,DEGREES(ATAN(TAN(RADIANS(pe0-omega*J23))*(M23/sref)^(m_-1))))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MIN(tope,DEGREES(ATAN(TAN(RADIANS(pe0-omega*J24))*(M24/sref)^(m_-1))))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MIN(tope,DEGREES(ATAN(TAN(RADIANS(pe0-omega*J25))*(M25/sref)^(m_-1))))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MIN(tope,DEGREES(ATAN(TAN(RADIANS(pe0-omega*J26))*(M26/sref)^(m_-1))))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MIN(tope,DEGREES(ATAN(TAN(RADIANS(pe0-omega*J27))*(M27/sref)^(m_-1))))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MIN(tope,DEGREES(ATAN(TAN(RADIANS(pe0-omega*J28))*(M28/sref)^(m_-1))))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MIN(tope,DEGREES(ATAN(TAN(RADIANS(pe0-omega*J29))*(M29/sref)^(m_-1))))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MIN(tope,DEGREES(ATAN(TAN(RADIANS(pe0-omega*J30))*(M30/sref)^(m_-1))))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MIN(tope,DEGREES(ATAN(TAN(RADIANS(pe0-omega*J31))*(M31/sref)^(m_-1))))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MIN(tope,DEGREES(ATAN(TAN(RADIANS(pe0-omega*J32))*(M32/sref)^(m_-1))))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MIN(tope,DEGREES(ATAN(TAN(RADIANS(pe0-omega*J33))*(M33/sref)^(m_-1))))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MIN(tope,DEGREES(ATAN(TAN(RADIANS(pe0-omega*J34))*(M34/sref)^(m_-1))))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MIN(tope,DEGREES(ATAN(TAN(RADIANS(pe0-omega*J35))*(M35/sref)^(m_-1))))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MIN(tope,DEGREES(ATAN(TAN(RADIANS(pe0-omega*J36))*(M36/sref)^(m_-1))))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MIN(tope,DEGREES(ATAN(TAN(RADIANS(pe0-omega*J37))*(M37/sref)^(m_-1))))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MIN(tope,DEGREES(ATAN(TAN(RADIANS(pe0-omega*J38))*(M38/sref)^(m_-1))))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MIN(tope,DEGREES(ATAN(TAN(RADIANS(pe0-omega*J39))*(M39/sref)^(m_-1))))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MIN(tope,DEGREES(ATAN(TAN(RADIANS(pe0-omega*J40))*(M40/sref)^(m_-1))))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MIN(tope,DEGREES(ATAN(TAN(RADIANS(pe0-omega*J41))*(M41/sref)^(m_-1))))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MIN(tope,DEGREES(ATAN(TAN(RADIANS(pe0-omega*J42))*(M42/sref)^(m_-1))))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MIN(tope,DEGREES(ATAN(TAN(RADIANS(pe0-omega*J43))*(M43/sref)^(m_-1))))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MIN(tope,DEGREES(ATAN(TAN(RADIANS(pe0-omega*J44))*(M44/sref)^(m_-1))))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MIN(tope,DEGREES(ATAN(TAN(RADIANS(pe0-omega*J45))*(M45/sref)^(m_-1))))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MIN(tope,DEGREES(ATAN(TAN(RADIANS(pe0-omega*J46))*(M46/sref)^(m_-1))))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MIN(tope,DEGREES(ATAN(TAN(RADIANS(pe0-omega*J47))*(M47/sref)^(m_-1))))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MIN(tope,DEGREES(ATAN(TAN(RADIANS(pe0-omega*J48))*(M48/sref)^(m_-1))))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MIN(tope,DEGREES(ATAN(TAN(RADIANS(pe0-omega*J49))*(M49/sref)^(m_-1))))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MIN(tope,DEGREES(ATAN(TAN(RADIANS(pe0-omega*J50))*(M50/sref)^(m_-1))))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MIN(tope,DEGREES(ATAN(TAN(RADIANS(pe0-omega*J51))*(M51/sref)^(m_-1))))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MIN(tope,DEGREES(ATAN(TAN(RADIANS(pe0-omega*J52))*(M52/sref)^(m_-1))))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MIN(tope,DEGREES(ATAN(TAN(RADIANS(pe0-omega*J53))*(M53/sref)^(m_-1))))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MIN(tope,DEGREES(ATAN(TAN(RADIANS(pe0-omega*J54))*(M54/sref)^(m_-1))))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MIN(tope,DEGREES(ATAN(TAN(RADIANS(pe0-omega*J55))*(M55/sref)^(m_-1))))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MIN(tope,DEGREES(ATAN(TAN(RADIANS(pe0-omega*J56))*(M56/sref)^(m_-1))))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MIN(tope,DEGREES(ATAN(TAN(RADIANS(pe0-omega*J57))*(M57/sref)^(m_-1))))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MIN(tope,DEGREES(ATAN(TAN(RADIANS(pe0-omega*J58))*(M58/sref)^(m_-1))))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MIN(tope,DEGREES(ATAN(TAN(RADIANS(pe0-omega*J59))*(M59/sref)^(m_-1))))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MIN(tope,DEGREES(ATAN(TAN(RADIANS(pe0-omega*J60))*(M60/sref)^(m_-1))))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MIN(tope,DEGREES(ATAN(TAN(RADIANS(pe0-omega*J61))*(M61/sref)^(m_-1))))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MIN(tope,DEGREES(ATAN(TAN(RADIANS(pe0-omega*J62))*(M62/sref)^(m_-1))))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MIN(tope,DEGREES(ATAN(TAN(RADIANS(pe0-omega*J63))*(M63/sref)^(m_-1))))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MIN(tope,DEGREES(ATAN(TAN(RADIANS(pe0-omega*J64))*(M64/sref)^(m_-1))))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MIN(tope,DEGREES(ATAN(TAN(RADIANS(pe0-omega*J65))*(M65/sref)^(m_-1))))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MIN(tope,DEGREES(ATAN(TAN(RADIANS(pe0-omega*J66))*(M66/sref)^(m_-1))))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MIN(tope,DEGREES(ATAN(TAN(RADIANS(pe0-omega*J67))*(M67/sref)^(m_-1))))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MIN(tope,DEGREES(ATAN(TAN(RADIANS(pe0-omega*J68))*(M68/sref)^(m_-1))))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MIN(tope,DEGREES(ATAN(TAN(RADIANS(pe0-omega*J69))*(M69/sref)^(m_-1))))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MIN(tope,DEGREES(ATAN(TAN(RADIANS(pe0-omega*J70))*(M70/sref)^(m_-1))))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MIN(tope,DEGREES(ATAN(TAN(RADIANS(pe0-omega*J71))*(M71/sref)^(m_-1))))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MIN(tope,DEGREES(ATAN(TAN(RADIANS(pe0-omega*J72))*(M72/sref)^(m_-1))))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MIN(tope,DEGREES(ATAN(TAN(RADIANS(pe0-omega*J73))*(M73/sref)^(m_-1))))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MIN(tope,DEGREES(ATAN(TAN(RADIANS(pe0-omega*J74))*(M74/sref)^(m_-1))))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MIN(tope,DEGREES(ATAN(TAN(RADIANS(pe0-omega*J75))*(M75/sref)^(m_-1))))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MIN(tope,DEGREES(ATAN(TAN(RADIANS(pe0-omega*J76))*(M76/sref)^(m_-1))))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MIN(tope,DEGREES(ATAN(TAN(RADIANS(pe0-omega*J77))*(M77/sref)^(m_-1))))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MIN(tope,DEGREES(ATAN(TAN(RADIANS(pe0-omega*J78))*(M78/sref)^(m_-1))))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MIN(tope,DEGREES(ATAN(TAN(RADIANS(pe0-omega*J79))*(M79/sref)^(m_-1))))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MIN(tope,DEGREES(ATAN(TAN(RADIANS(pe0-omega*J80))*(M80/sref)^(m_-1))))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MIN(tope,DEGREES(ATAN(TAN(RADIANS(pe0-omega*J81))*(M81/sref)^(m_-1))))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MIN(tope,DEGREES(ATAN(TAN(RADIANS(pe0-omega*J82))*(M82/sref)^(m_-1))))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MIN(tope,DEGREES(ATAN(TAN(RADIANS(pe0-omega*J83))*(M83/sref)^(m_-1))))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MIN(tope,DEGREES(ATAN(TAN(RADIANS(pe0-omega*J84))*(M84/sref)^(m_-1))))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MIN(tope,DEGREES(ATAN(TAN(RADIANS(pe0-omega*J85))*(M85/sref)^(m_-1))))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MIN(tope,DEGREES(ATAN(TAN(RADIANS(pe0-omega*J86))*(M86/sref)^(m_-1))))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MIN(tope,DEGREES(ATAN(TAN(RADIANS(pe0-omega*J87))*(M87/sref)^(m_-1))))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MIN(tope,DEGREES(ATAN(TAN(RADIANS(pe0-omega*J88))*(M88/sref)^(m_-1))))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MIN(tope,DEGREES(ATAN(TAN(RADIANS(pe0-omega*J89))*(M89/sref)^(m_-1))))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MIN(tope,DEGREES(ATAN(TAN(RADIANS(pe0-omega*J90))*(M90/sref)^(m_-1))))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MIN(tope,DEGREES(ATAN(TAN(RADIANS(pe0-omega*J91))*(M91/sref)^(m_-1))))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MIN(tope,DEGREES(ATAN(TAN(RADIANS(pe0-omega*J92))*(M92/sref)^(m_-1))))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MIN(tope,DEGREES(ATAN(TAN(RADIANS(pe0-omega*J93))*(M93/sref)^(m_-1))))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MIN(tope,DEGREES(ATAN(TAN(RADIANS(pe0-omega*J94))*(M94/sref)^(m_-1))))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MIN(tope,DEGREES(ATAN(TAN(RADIANS(pe0-omega*J95))*(M95/sref)^(m_-1))))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MIN(tope,DEGREES(ATAN(TAN(RADIANS(pe0-omega*J96))*(M96/sref)^(m_-1))))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MIN(tope,DEGREES(ATAN(TAN(RADIANS(pe0-omega*J97))*(M97/sref)^(m_-1))))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MIN(tope,DEGREES(ATAN(TAN(RADIANS(pe0-omega*J98))*(M98/sref)^(m_-1))))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MIN(tope,DEGREES(ATAN(TAN(RADIANS(pe0-omega*J99))*(M99/sref)^(m_-1))))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MIN(tope,DEGREES(ATAN(TAN(RADIANS(pe0-omega*J100))*(M100/sref)^(m_-1))))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MIN(tope,DEGREES(ATAN(TAN(RADIANS(pe0-omega*J101))*(M101/sref)^(m_-1))))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MIN(tope,DEGREES(ATAN(TAN(RADIANS(pe0-omega*J102))*(M102/sref)^(m_-1))))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MIN(tope,DEGREES(ATAN(TAN(RADIANS(pe0-omega*J103))*(M103/sref)^(m_-1))))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MIN(tope,DEGREES(ATAN(TAN(RADIANS(pe0-omega*J104))*(M104/sref)^(m_-1))))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MIN(tope,DEGREES(ATAN(TAN(RADIANS(pe0-omega*J105))*(M105/sref)^(m_-1))))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MIN(tope,DEGREES(ATAN(TAN(RADIANS(pe0-omega*J106))*(M106/sref)^(m_-1))))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MIN(tope,DEGREES(ATAN(TAN(RADIANS(pe0-omega*J107))*(M107/sref)^(m_-1))))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MIN(tope,DEGREES(ATAN(TAN(RADIANS(pe0-omega*J108))*(M108/sref)^(m_-1))))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MIN(tope,DEGREES(ATAN(TAN(RADIANS(pe0-omega*J109))*(M109/sref)^(m_-1))))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MIN(tope,DEGREES(ATAN(TAN(RADIANS(pe0-omega*J110))*(M110/sref)^(m_-1))))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MIN(tope,DEGREES(ATAN(TAN(RADIANS(pe0-omega*J111))*(M111/sref)^(m_-1))))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MIN(tope,DEGREES(ATAN(TAN(RADIANS(pe0-omega*J112))*(M112/sref)^(m_-1))))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MIN(tope,DEGREES(ATAN(TAN(RADIANS(pe0-omega*J113))*(M113/sref)^(m_-1))))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MIN(tope,DEGREES(ATAN(TAN(RADIANS(pe0-omega*J114))*(M114/sref)^(m_-1))))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MIN(tope,DEGREES(ATAN(TAN(RADIANS(pe0-omega*J115))*(M115/sref)^(m_-1))))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MIN(tope,DEGREES(ATAN(TAN(RADIANS(pe0-omega*J116))*(M116/sref)^(m_-1))))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MIN(tope,DEGREES(ATAN(TAN(RADIANS(pe0-omega*J117))*(M117/sref)^(m_-1))))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MIN(tope,DEGREES(ATAN(TAN(RADIANS(pe0-omega*J118))*(M118/sref)^(m_-1))))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MIN(tope,DEGREES(ATAN(TAN(RADIANS(pe0-omega*J119))*(M119/sref)^(m_-1))))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MIN(tope,DEGREES(ATAN(TAN(RADIANS(pe0-omega*J120))*(M120/sref)^(m_-1))))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MIN(tope,DEGREES(ATAN(TAN(RADIANS(pe0-omega*J121))*(M121/sref)^(m_-1))))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0" customWidth="1" min="3" max="3"/>
    <col width="15" customWidth="1" min="4" max="4"/>
    <col width="11" customWidth="1" min="5" max="5"/>
    <col width="12" customWidth="1" min="6" max="6"/>
    <col width="12" customWidth="1" min="7" max="7"/>
    <col width="9" customWidth="1" min="8" max="8"/>
    <col width="12" customWidth="1" min="9" max="9"/>
    <col width="46" customWidth="1" min="10" max="10"/>
    <col width="11" customWidth="1" min="11" max="11"/>
    <col width="60" customWidth="1" min="12" max="12"/>
    <col width="10" customWidth="1" min="13" max="1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Probeta</t>
        </is>
      </c>
      <c r="D1" s="3" t="inlineStr">
        <is>
          <t>Tipo</t>
        </is>
      </c>
      <c r="E1" s="3" t="inlineStr">
        <is>
          <t>Litología</t>
        </is>
      </c>
      <c r="F1" s="3" t="inlineStr">
        <is>
          <t>Escala de la probeta</t>
        </is>
      </c>
      <c r="G1" s="3" t="inlineStr">
        <is>
          <t>σ′3 o σ′v máx. (MPa)</t>
        </is>
      </c>
      <c r="H1" s="3" t="inlineStr">
        <is>
          <t>Bg (%)</t>
        </is>
      </c>
      <c r="I1" s="3" t="inlineStr">
        <is>
          <t>Σ|ΔW| informado (%)</t>
        </is>
      </c>
      <c r="J1" s="3" t="inlineStr">
        <is>
          <t>Origen del valor</t>
        </is>
      </c>
      <c r="K1" s="3" t="inlineStr">
        <is>
          <t>Página del PDF</t>
        </is>
      </c>
      <c r="L1" s="3" t="inlineStr">
        <is>
          <t>Nota</t>
        </is>
      </c>
      <c r="M1" s="3" t="inlineStr">
        <is>
          <t>En la Fig. del memo</t>
        </is>
      </c>
    </row>
    <row r="2">
      <c r="A2" t="inlineStr">
        <is>
          <t>Golder Associates Perú (2012)</t>
        </is>
      </c>
      <c r="B2" t="inlineStr">
        <is>
          <t>G2012-MN-C</t>
        </is>
      </c>
      <c r="C2" t="inlineStr">
        <is>
          <t>Test 1 (monótono)</t>
        </is>
      </c>
      <c r="D2" t="inlineStr">
        <is>
          <t>Triaxial drenado</t>
        </is>
      </c>
      <c r="E2" t="inlineStr">
        <is>
          <t>Mármol</t>
        </is>
      </c>
      <c r="F2" t="inlineStr">
        <is>
          <t>1.0 m</t>
        </is>
      </c>
      <c r="G2" t="n">
        <v>0.4903</v>
      </c>
      <c r="I2" t="n">
        <v>26.8</v>
      </c>
      <c r="J2" t="inlineStr">
        <is>
          <t>informado (Tabla 5)</t>
        </is>
      </c>
      <c r="K2" t="inlineStr">
        <is>
          <t>17</t>
        </is>
      </c>
      <c r="L2" t="inlineStr">
        <is>
          <t>Valor = Σ|ΔW| = 2·Bg; el propio texto define Bg como suma de diferencias positivas</t>
        </is>
      </c>
      <c r="M2" t="inlineStr"/>
    </row>
    <row r="3">
      <c r="A3" t="inlineStr">
        <is>
          <t>Golder Associates Perú (2012)</t>
        </is>
      </c>
      <c r="B3" t="inlineStr">
        <is>
          <t>G2012-MN-C</t>
        </is>
      </c>
      <c r="C3" t="inlineStr">
        <is>
          <t>Test 1 (monótono)</t>
        </is>
      </c>
      <c r="D3" t="inlineStr">
        <is>
          <t>Triaxial drenado</t>
        </is>
      </c>
      <c r="E3" t="inlineStr">
        <is>
          <t>Mármol</t>
        </is>
      </c>
      <c r="F3" t="inlineStr">
        <is>
          <t>1.0 m</t>
        </is>
      </c>
      <c r="G3" t="n">
        <v>0.4903</v>
      </c>
      <c r="H3">
        <f>I2/2</f>
        <v/>
      </c>
      <c r="I3">
        <f>I2</f>
        <v/>
      </c>
      <c r="J3" t="inlineStr">
        <is>
          <t>calculado (Marsal, granulometrías IDIEM antes/después)</t>
        </is>
      </c>
      <c r="K3" t="inlineStr">
        <is>
          <t>27;28</t>
        </is>
      </c>
      <c r="L3" t="inlineStr">
        <is>
          <t>Σ|ΔW| calculado = 26.8</t>
        </is>
      </c>
      <c r="M3" t="inlineStr">
        <is>
          <t>sí</t>
        </is>
      </c>
    </row>
    <row r="4">
      <c r="A4" t="inlineStr">
        <is>
          <t>Golder Associates Perú (2012)</t>
        </is>
      </c>
      <c r="B4" t="inlineStr">
        <is>
          <t>G2012-MN-C</t>
        </is>
      </c>
      <c r="C4" t="inlineStr">
        <is>
          <t>Test 2 (carga-descarga)</t>
        </is>
      </c>
      <c r="D4" t="inlineStr">
        <is>
          <t>Triaxial drenado</t>
        </is>
      </c>
      <c r="E4" t="inlineStr">
        <is>
          <t>Mármol</t>
        </is>
      </c>
      <c r="F4" t="inlineStr">
        <is>
          <t>1.0 m</t>
        </is>
      </c>
      <c r="G4" t="n">
        <v>0.4903</v>
      </c>
      <c r="I4" t="n">
        <v>28.6</v>
      </c>
      <c r="J4" t="inlineStr">
        <is>
          <t>informado (Tabla 5)</t>
        </is>
      </c>
      <c r="K4" t="inlineStr">
        <is>
          <t>17</t>
        </is>
      </c>
      <c r="L4" t="inlineStr">
        <is>
          <t>Valor = Σ|ΔW| = 2·Bg; el propio texto define Bg como suma de diferencias positivas</t>
        </is>
      </c>
      <c r="M4" t="inlineStr"/>
    </row>
    <row r="5">
      <c r="A5" t="inlineStr">
        <is>
          <t>Golder Associates Perú (2012)</t>
        </is>
      </c>
      <c r="B5" t="inlineStr">
        <is>
          <t>G2012-MN-C</t>
        </is>
      </c>
      <c r="C5" t="inlineStr">
        <is>
          <t>Test 2 (carga-descarga)</t>
        </is>
      </c>
      <c r="D5" t="inlineStr">
        <is>
          <t>Triaxial drenado</t>
        </is>
      </c>
      <c r="E5" t="inlineStr">
        <is>
          <t>Mármol</t>
        </is>
      </c>
      <c r="F5" t="inlineStr">
        <is>
          <t>1.0 m</t>
        </is>
      </c>
      <c r="G5" t="n">
        <v>0.4903</v>
      </c>
      <c r="H5">
        <f>I4/2</f>
        <v/>
      </c>
      <c r="I5">
        <f>I4</f>
        <v/>
      </c>
      <c r="J5" t="inlineStr">
        <is>
          <t>calculado (Marsal, granulometrías IDIEM antes/después)</t>
        </is>
      </c>
      <c r="K5" t="inlineStr">
        <is>
          <t>27;28</t>
        </is>
      </c>
      <c r="L5" t="inlineStr">
        <is>
          <t>Σ|ΔW| calculado = 28.6</t>
        </is>
      </c>
      <c r="M5" t="inlineStr">
        <is>
          <t>sí</t>
        </is>
      </c>
    </row>
    <row r="6">
      <c r="A6" t="inlineStr">
        <is>
          <t>Golder Associates Perú (2012)</t>
        </is>
      </c>
      <c r="B6" t="inlineStr">
        <is>
          <t>G2012-MN-C</t>
        </is>
      </c>
      <c r="C6" t="inlineStr">
        <is>
          <t>Test 3 (carga-descarga)</t>
        </is>
      </c>
      <c r="D6" t="inlineStr">
        <is>
          <t>Triaxial drenado</t>
        </is>
      </c>
      <c r="E6" t="inlineStr">
        <is>
          <t>Mármol</t>
        </is>
      </c>
      <c r="F6" t="inlineStr">
        <is>
          <t>1.0 m</t>
        </is>
      </c>
      <c r="G6" t="n">
        <v>0.9807</v>
      </c>
      <c r="I6" t="n">
        <v>40.8</v>
      </c>
      <c r="J6" t="inlineStr">
        <is>
          <t>informado (Tabla 5)</t>
        </is>
      </c>
      <c r="K6" t="inlineStr">
        <is>
          <t>17</t>
        </is>
      </c>
      <c r="L6" t="inlineStr">
        <is>
          <t>Valor = Σ|ΔW| = 2·Bg; el propio texto define Bg como suma de diferencias positivas</t>
        </is>
      </c>
      <c r="M6" t="inlineStr"/>
    </row>
    <row r="7">
      <c r="A7" t="inlineStr">
        <is>
          <t>Golder Associates Perú (2012)</t>
        </is>
      </c>
      <c r="B7" t="inlineStr">
        <is>
          <t>G2012-MN-C</t>
        </is>
      </c>
      <c r="C7" t="inlineStr">
        <is>
          <t>Test 3 (carga-descarga)</t>
        </is>
      </c>
      <c r="D7" t="inlineStr">
        <is>
          <t>Triaxial drenado</t>
        </is>
      </c>
      <c r="E7" t="inlineStr">
        <is>
          <t>Mármol</t>
        </is>
      </c>
      <c r="F7" t="inlineStr">
        <is>
          <t>1.0 m</t>
        </is>
      </c>
      <c r="G7" t="n">
        <v>0.9807</v>
      </c>
      <c r="H7">
        <f>I6/2</f>
        <v/>
      </c>
      <c r="I7">
        <f>I6</f>
        <v/>
      </c>
      <c r="J7" t="inlineStr">
        <is>
          <t>calculado (Marsal, granulometrías IDIEM antes/después)</t>
        </is>
      </c>
      <c r="K7" t="inlineStr">
        <is>
          <t>27;28</t>
        </is>
      </c>
      <c r="L7" t="inlineStr">
        <is>
          <t>Σ|ΔW| calculado = 40.8</t>
        </is>
      </c>
      <c r="M7" t="inlineStr">
        <is>
          <t>sí</t>
        </is>
      </c>
    </row>
    <row r="8">
      <c r="A8" t="inlineStr">
        <is>
          <t>Golder Associates Perú (2012)</t>
        </is>
      </c>
      <c r="B8" t="inlineStr">
        <is>
          <t>G2012-MN-C</t>
        </is>
      </c>
      <c r="C8" t="inlineStr">
        <is>
          <t>Test 4 (monótono)</t>
        </is>
      </c>
      <c r="D8" t="inlineStr">
        <is>
          <t>Triaxial drenado</t>
        </is>
      </c>
      <c r="E8" t="inlineStr">
        <is>
          <t>Mármol</t>
        </is>
      </c>
      <c r="F8" t="inlineStr">
        <is>
          <t>1.0 m</t>
        </is>
      </c>
      <c r="G8" t="n">
        <v>1.9613</v>
      </c>
      <c r="I8" t="n">
        <v>50.2</v>
      </c>
      <c r="J8" t="inlineStr">
        <is>
          <t>informado (Tabla 5)</t>
        </is>
      </c>
      <c r="K8" t="inlineStr">
        <is>
          <t>17</t>
        </is>
      </c>
      <c r="L8" t="inlineStr">
        <is>
          <t>Valor = Σ|ΔW| = 2·Bg; el propio texto define Bg como suma de diferencias positivas</t>
        </is>
      </c>
      <c r="M8" t="inlineStr"/>
    </row>
    <row r="9">
      <c r="A9" t="inlineStr">
        <is>
          <t>Golder Associates Perú (2012)</t>
        </is>
      </c>
      <c r="B9" t="inlineStr">
        <is>
          <t>G2012-MN-C</t>
        </is>
      </c>
      <c r="C9" t="inlineStr">
        <is>
          <t>Test 4 (monótono)</t>
        </is>
      </c>
      <c r="D9" t="inlineStr">
        <is>
          <t>Triaxial drenado</t>
        </is>
      </c>
      <c r="E9" t="inlineStr">
        <is>
          <t>Mármol</t>
        </is>
      </c>
      <c r="F9" t="inlineStr">
        <is>
          <t>1.0 m</t>
        </is>
      </c>
      <c r="G9" t="n">
        <v>1.9613</v>
      </c>
      <c r="H9">
        <f>I8/2</f>
        <v/>
      </c>
      <c r="I9">
        <f>I8</f>
        <v/>
      </c>
      <c r="J9" t="inlineStr">
        <is>
          <t>calculado (Marsal, granulometrías IDIEM antes/después)</t>
        </is>
      </c>
      <c r="K9" t="inlineStr">
        <is>
          <t>27;28</t>
        </is>
      </c>
      <c r="L9" t="inlineStr">
        <is>
          <t>Σ|ΔW| calculado = 50.2</t>
        </is>
      </c>
      <c r="M9" t="inlineStr">
        <is>
          <t>sí</t>
        </is>
      </c>
    </row>
    <row r="10">
      <c r="A10" t="inlineStr">
        <is>
          <t>Golder Associates Perú (2012)</t>
        </is>
      </c>
      <c r="B10" t="inlineStr">
        <is>
          <t>G2012-MN-C</t>
        </is>
      </c>
      <c r="C10" t="inlineStr">
        <is>
          <t>Test 5 (carga-descarga)</t>
        </is>
      </c>
      <c r="D10" t="inlineStr">
        <is>
          <t>Triaxial drenado</t>
        </is>
      </c>
      <c r="E10" t="inlineStr">
        <is>
          <t>Mármol</t>
        </is>
      </c>
      <c r="F10" t="inlineStr">
        <is>
          <t>1.0 m</t>
        </is>
      </c>
      <c r="G10" t="n">
        <v>1.9613</v>
      </c>
      <c r="I10" t="n">
        <v>55.4</v>
      </c>
      <c r="J10" t="inlineStr">
        <is>
          <t>informado (Tabla 5)</t>
        </is>
      </c>
      <c r="K10" t="inlineStr">
        <is>
          <t>17</t>
        </is>
      </c>
      <c r="L10" t="inlineStr">
        <is>
          <t>Valor = Σ|ΔW| = 2·Bg; el propio texto define Bg como suma de diferencias positivas</t>
        </is>
      </c>
      <c r="M10" t="inlineStr"/>
    </row>
    <row r="11">
      <c r="A11" t="inlineStr">
        <is>
          <t>Golder Associates Perú (2012)</t>
        </is>
      </c>
      <c r="B11" t="inlineStr">
        <is>
          <t>G2012-MN-C</t>
        </is>
      </c>
      <c r="C11" t="inlineStr">
        <is>
          <t>Test 5 (carga-descarga)</t>
        </is>
      </c>
      <c r="D11" t="inlineStr">
        <is>
          <t>Triaxial drenado</t>
        </is>
      </c>
      <c r="E11" t="inlineStr">
        <is>
          <t>Mármol</t>
        </is>
      </c>
      <c r="F11" t="inlineStr">
        <is>
          <t>1.0 m</t>
        </is>
      </c>
      <c r="G11" t="n">
        <v>1.9613</v>
      </c>
      <c r="H11">
        <f>I10/2</f>
        <v/>
      </c>
      <c r="I11">
        <f>I10</f>
        <v/>
      </c>
      <c r="J11" t="inlineStr">
        <is>
          <t>calculado (Marsal, granulometrías IDIEM antes/después)</t>
        </is>
      </c>
      <c r="K11" t="inlineStr">
        <is>
          <t>27;28</t>
        </is>
      </c>
      <c r="L11" t="inlineStr">
        <is>
          <t>Σ|ΔW| calculado = 55.4</t>
        </is>
      </c>
      <c r="M11" t="inlineStr">
        <is>
          <t>sí</t>
        </is>
      </c>
    </row>
    <row r="12">
      <c r="A12" t="inlineStr">
        <is>
          <t>Golder Associates Perú (2012)</t>
        </is>
      </c>
      <c r="B12" t="inlineStr">
        <is>
          <t>G2012-MN-C</t>
        </is>
      </c>
      <c r="C12" t="inlineStr">
        <is>
          <t>Probeta 6 edómetro (σv 60 kg/cm²)</t>
        </is>
      </c>
      <c r="D12" t="inlineStr">
        <is>
          <t>Edómetro</t>
        </is>
      </c>
      <c r="E12" t="inlineStr">
        <is>
          <t>Mármol</t>
        </is>
      </c>
      <c r="F12" t="inlineStr">
        <is>
          <t>1.0 m</t>
        </is>
      </c>
      <c r="G12" t="n">
        <v>5.884</v>
      </c>
      <c r="I12" t="n">
        <v>28.8</v>
      </c>
      <c r="J12" t="inlineStr">
        <is>
          <t>informado (Tabla 5)</t>
        </is>
      </c>
      <c r="K12" t="inlineStr">
        <is>
          <t>17</t>
        </is>
      </c>
      <c r="L12" t="inlineStr">
        <is>
          <t>edómetro, no triaxial; σ = σv máx 60 kg/cm² nominal</t>
        </is>
      </c>
      <c r="M12" t="inlineStr"/>
    </row>
    <row r="13">
      <c r="A13" t="inlineStr">
        <is>
          <t>Golder Associates Perú (2012)</t>
        </is>
      </c>
      <c r="B13" t="inlineStr">
        <is>
          <t>G2012-MN-C</t>
        </is>
      </c>
      <c r="C13" t="inlineStr">
        <is>
          <t>Probeta 6 edómetro (σv 60 kg/cm²)</t>
        </is>
      </c>
      <c r="D13" t="inlineStr">
        <is>
          <t>Edómetro</t>
        </is>
      </c>
      <c r="E13" t="inlineStr">
        <is>
          <t>Mármol</t>
        </is>
      </c>
      <c r="F13" t="inlineStr">
        <is>
          <t>1.0 m</t>
        </is>
      </c>
      <c r="G13" t="n">
        <v>5.884</v>
      </c>
      <c r="H13">
        <f>I12/2</f>
        <v/>
      </c>
      <c r="I13">
        <f>I12</f>
        <v/>
      </c>
      <c r="J13" t="inlineStr">
        <is>
          <t>calculado</t>
        </is>
      </c>
      <c r="K13" t="inlineStr">
        <is>
          <t>27;28</t>
        </is>
      </c>
      <c r="L13" t="inlineStr">
        <is>
          <t>edómetro</t>
        </is>
      </c>
      <c r="M13" t="inlineStr"/>
    </row>
    <row r="14">
      <c r="A14" t="inlineStr">
        <is>
          <t>Golder Associates Perú (2022)</t>
        </is>
      </c>
      <c r="B14" t="inlineStr">
        <is>
          <t>HF-1.0m-IDIEM-mono</t>
        </is>
      </c>
      <c r="C14" t="inlineStr">
        <is>
          <t>Hornfels P1 (B.2 P1)</t>
        </is>
      </c>
      <c r="D14" t="inlineStr">
        <is>
          <t>Triaxial drenado</t>
        </is>
      </c>
      <c r="E14" t="inlineStr">
        <is>
          <t>Hornfels</t>
        </is>
      </c>
      <c r="F14" t="inlineStr">
        <is>
          <t>1.0 m</t>
        </is>
      </c>
      <c r="G14" t="n">
        <v>0.9807</v>
      </c>
      <c r="H14" t="n">
        <v>20</v>
      </c>
      <c r="J14" t="inlineStr">
        <is>
          <t>informado (Tabla 7)</t>
        </is>
      </c>
      <c r="K14" t="inlineStr">
        <is>
          <t>41</t>
        </is>
      </c>
      <c r="M14" t="inlineStr">
        <is>
          <t>sí</t>
        </is>
      </c>
    </row>
    <row r="15">
      <c r="A15" t="inlineStr">
        <is>
          <t>Golder Associates Perú (2022)</t>
        </is>
      </c>
      <c r="B15" t="inlineStr">
        <is>
          <t>HF-1.0m-IDIEM-mono</t>
        </is>
      </c>
      <c r="C15" t="inlineStr">
        <is>
          <t>Hornfels P1 (B.2 P1)</t>
        </is>
      </c>
      <c r="D15" t="inlineStr">
        <is>
          <t>Triaxial drenado</t>
        </is>
      </c>
      <c r="E15" t="inlineStr">
        <is>
          <t>Hornfels</t>
        </is>
      </c>
      <c r="F15" t="inlineStr">
        <is>
          <t>1.0 m</t>
        </is>
      </c>
      <c r="G15" t="n">
        <v>0.9807</v>
      </c>
      <c r="H15" t="n">
        <v>20.3</v>
      </c>
      <c r="J15" t="inlineStr">
        <is>
          <t>calculado (Marsal; inicial p62 col.1)</t>
        </is>
      </c>
      <c r="K15" t="inlineStr">
        <is>
          <t>62;63</t>
        </is>
      </c>
      <c r="L15" t="inlineStr">
        <is>
          <t>62 col.3</t>
        </is>
      </c>
      <c r="M15" t="inlineStr"/>
    </row>
    <row r="16">
      <c r="A16" t="inlineStr">
        <is>
          <t>Golder Associates Perú (2022)</t>
        </is>
      </c>
      <c r="B16" t="inlineStr">
        <is>
          <t>HF-1.0m-IDIEM-mono</t>
        </is>
      </c>
      <c r="C16" t="inlineStr">
        <is>
          <t>Hornfels P2 (B.2 P2)</t>
        </is>
      </c>
      <c r="D16" t="inlineStr">
        <is>
          <t>Triaxial drenado</t>
        </is>
      </c>
      <c r="E16" t="inlineStr">
        <is>
          <t>Hornfels</t>
        </is>
      </c>
      <c r="F16" t="inlineStr">
        <is>
          <t>1.0 m</t>
        </is>
      </c>
      <c r="G16" t="n">
        <v>1.9613</v>
      </c>
      <c r="H16" t="n">
        <v>29</v>
      </c>
      <c r="J16" t="inlineStr">
        <is>
          <t>informado (Tabla 7)</t>
        </is>
      </c>
      <c r="K16" t="inlineStr">
        <is>
          <t>41</t>
        </is>
      </c>
      <c r="M16" t="inlineStr">
        <is>
          <t>sí</t>
        </is>
      </c>
    </row>
    <row r="17">
      <c r="A17" t="inlineStr">
        <is>
          <t>Golder Associates Perú (2022)</t>
        </is>
      </c>
      <c r="B17" t="inlineStr">
        <is>
          <t>HF-1.0m-IDIEM-mono</t>
        </is>
      </c>
      <c r="C17" t="inlineStr">
        <is>
          <t>Hornfels P2 (B.2 P2)</t>
        </is>
      </c>
      <c r="D17" t="inlineStr">
        <is>
          <t>Triaxial drenado</t>
        </is>
      </c>
      <c r="E17" t="inlineStr">
        <is>
          <t>Hornfels</t>
        </is>
      </c>
      <c r="F17" t="inlineStr">
        <is>
          <t>1.0 m</t>
        </is>
      </c>
      <c r="G17" t="n">
        <v>1.9613</v>
      </c>
      <c r="H17" t="n">
        <v>29.3</v>
      </c>
      <c r="J17" t="inlineStr">
        <is>
          <t>calculado (Marsal; inicial p62 col.1)</t>
        </is>
      </c>
      <c r="K17" t="inlineStr">
        <is>
          <t>62;63</t>
        </is>
      </c>
      <c r="L17" t="inlineStr">
        <is>
          <t>63 col.1 (asignación por coincidencia con Tabla 7; rótulo solo dice 20 kgf/cm²)</t>
        </is>
      </c>
      <c r="M17" t="inlineStr"/>
    </row>
    <row r="18">
      <c r="A18" t="inlineStr">
        <is>
          <t>Golder Associates Perú (2022)</t>
        </is>
      </c>
      <c r="B18" t="inlineStr">
        <is>
          <t>HF-1.0m-IDIEM-mono</t>
        </is>
      </c>
      <c r="C18" t="inlineStr">
        <is>
          <t>Hornfels P3 (B.2 P3)</t>
        </is>
      </c>
      <c r="D18" t="inlineStr">
        <is>
          <t>Triaxial drenado</t>
        </is>
      </c>
      <c r="E18" t="inlineStr">
        <is>
          <t>Hornfels</t>
        </is>
      </c>
      <c r="F18" t="inlineStr">
        <is>
          <t>1.0 m</t>
        </is>
      </c>
      <c r="G18" t="n">
        <v>2.4517</v>
      </c>
      <c r="H18" t="n">
        <v>37</v>
      </c>
      <c r="J18" t="inlineStr">
        <is>
          <t>informado (Tabla 7)</t>
        </is>
      </c>
      <c r="K18" t="inlineStr">
        <is>
          <t>41</t>
        </is>
      </c>
      <c r="M18" t="inlineStr">
        <is>
          <t>sí</t>
        </is>
      </c>
    </row>
    <row r="19">
      <c r="A19" t="inlineStr">
        <is>
          <t>Golder Associates Perú (2022)</t>
        </is>
      </c>
      <c r="B19" t="inlineStr">
        <is>
          <t>HF-1.0m-IDIEM-mono</t>
        </is>
      </c>
      <c r="C19" t="inlineStr">
        <is>
          <t>Hornfels P3 (B.2 P3)</t>
        </is>
      </c>
      <c r="D19" t="inlineStr">
        <is>
          <t>Triaxial drenado</t>
        </is>
      </c>
      <c r="E19" t="inlineStr">
        <is>
          <t>Hornfels</t>
        </is>
      </c>
      <c r="F19" t="inlineStr">
        <is>
          <t>1.0 m</t>
        </is>
      </c>
      <c r="G19" t="n">
        <v>2.4517</v>
      </c>
      <c r="H19" t="n">
        <v>36.5</v>
      </c>
      <c r="J19" t="inlineStr">
        <is>
          <t>calculado (Marsal; inicial p62 col.1)</t>
        </is>
      </c>
      <c r="K19" t="inlineStr">
        <is>
          <t>62;63</t>
        </is>
      </c>
      <c r="L19" t="inlineStr">
        <is>
          <t>63 col.3</t>
        </is>
      </c>
      <c r="M19" t="inlineStr"/>
    </row>
    <row r="20">
      <c r="A20" t="inlineStr">
        <is>
          <t>Golder Associates Perú (2022)</t>
        </is>
      </c>
      <c r="B20" t="inlineStr">
        <is>
          <t>HF-1.0m-IDIEM-cd</t>
        </is>
      </c>
      <c r="C20" t="inlineStr">
        <is>
          <t>Hornfels P4 (E P1, carga-descarga)</t>
        </is>
      </c>
      <c r="D20" t="inlineStr">
        <is>
          <t>Triaxial drenado</t>
        </is>
      </c>
      <c r="E20" t="inlineStr">
        <is>
          <t>Hornfels</t>
        </is>
      </c>
      <c r="F20" t="inlineStr">
        <is>
          <t>1.0 m</t>
        </is>
      </c>
      <c r="G20" t="n">
        <v>0.9807</v>
      </c>
      <c r="H20" t="n">
        <v>24</v>
      </c>
      <c r="J20" t="inlineStr">
        <is>
          <t>informado (Tabla 7)</t>
        </is>
      </c>
      <c r="K20" t="inlineStr">
        <is>
          <t>41</t>
        </is>
      </c>
      <c r="M20" t="inlineStr">
        <is>
          <t>sí</t>
        </is>
      </c>
    </row>
    <row r="21">
      <c r="A21" t="inlineStr">
        <is>
          <t>Golder Associates Perú (2022)</t>
        </is>
      </c>
      <c r="B21" t="inlineStr">
        <is>
          <t>HF-1.0m-IDIEM-cd</t>
        </is>
      </c>
      <c r="C21" t="inlineStr">
        <is>
          <t>Hornfels P4 (E P1, carga-descarga)</t>
        </is>
      </c>
      <c r="D21" t="inlineStr">
        <is>
          <t>Triaxial drenado</t>
        </is>
      </c>
      <c r="E21" t="inlineStr">
        <is>
          <t>Hornfels</t>
        </is>
      </c>
      <c r="F21" t="inlineStr">
        <is>
          <t>1.0 m</t>
        </is>
      </c>
      <c r="G21" t="n">
        <v>0.9807</v>
      </c>
      <c r="H21" t="n">
        <v>24.2</v>
      </c>
      <c r="J21" t="inlineStr">
        <is>
          <t>calculado (Marsal; inicial p62 col.1)</t>
        </is>
      </c>
      <c r="K21" t="inlineStr">
        <is>
          <t>62;63</t>
        </is>
      </c>
      <c r="L21" t="inlineStr">
        <is>
          <t>62 col.4</t>
        </is>
      </c>
      <c r="M21" t="inlineStr"/>
    </row>
    <row r="22">
      <c r="A22" t="inlineStr">
        <is>
          <t>Golder Associates Perú (2022)</t>
        </is>
      </c>
      <c r="B22" t="inlineStr">
        <is>
          <t>HF-1.0m-IDIEM-cd</t>
        </is>
      </c>
      <c r="C22" t="inlineStr">
        <is>
          <t>Hornfels P5 (E P2, carga-descarga)</t>
        </is>
      </c>
      <c r="D22" t="inlineStr">
        <is>
          <t>Triaxial drenado</t>
        </is>
      </c>
      <c r="E22" t="inlineStr">
        <is>
          <t>Hornfels</t>
        </is>
      </c>
      <c r="F22" t="inlineStr">
        <is>
          <t>1.0 m</t>
        </is>
      </c>
      <c r="G22" t="n">
        <v>1.9613</v>
      </c>
      <c r="H22" t="n">
        <v>36</v>
      </c>
      <c r="J22" t="inlineStr">
        <is>
          <t>informado (Tabla 7)</t>
        </is>
      </c>
      <c r="K22" t="inlineStr">
        <is>
          <t>41</t>
        </is>
      </c>
      <c r="M22" t="inlineStr">
        <is>
          <t>sí</t>
        </is>
      </c>
    </row>
    <row r="23">
      <c r="A23" t="inlineStr">
        <is>
          <t>Golder Associates Perú (2022)</t>
        </is>
      </c>
      <c r="B23" t="inlineStr">
        <is>
          <t>HF-1.0m-IDIEM-cd</t>
        </is>
      </c>
      <c r="C23" t="inlineStr">
        <is>
          <t>Hornfels P5 (E P2, carga-descarga)</t>
        </is>
      </c>
      <c r="D23" t="inlineStr">
        <is>
          <t>Triaxial drenado</t>
        </is>
      </c>
      <c r="E23" t="inlineStr">
        <is>
          <t>Hornfels</t>
        </is>
      </c>
      <c r="F23" t="inlineStr">
        <is>
          <t>1.0 m</t>
        </is>
      </c>
      <c r="G23" t="n">
        <v>1.9613</v>
      </c>
      <c r="H23" t="n">
        <v>35.5</v>
      </c>
      <c r="J23" t="inlineStr">
        <is>
          <t>calculado (Marsal; inicial p62 col.1)</t>
        </is>
      </c>
      <c r="K23" t="inlineStr">
        <is>
          <t>62;63</t>
        </is>
      </c>
      <c r="L23" t="inlineStr">
        <is>
          <t>63 col.2 (asignación por coincidencia con Tabla 7)</t>
        </is>
      </c>
      <c r="M23" t="inlineStr"/>
    </row>
    <row r="24">
      <c r="A24" t="inlineStr">
        <is>
          <t>Golder Associates Perú (2022)</t>
        </is>
      </c>
      <c r="B24" t="inlineStr">
        <is>
          <t>HF-1.0m-IDIEM-cd</t>
        </is>
      </c>
      <c r="C24" t="inlineStr">
        <is>
          <t>Hornfels P6 (E P3, carga-descarga)</t>
        </is>
      </c>
      <c r="D24" t="inlineStr">
        <is>
          <t>Triaxial drenado</t>
        </is>
      </c>
      <c r="E24" t="inlineStr">
        <is>
          <t>Hornfels</t>
        </is>
      </c>
      <c r="F24" t="inlineStr">
        <is>
          <t>1.0 m</t>
        </is>
      </c>
      <c r="G24" t="n">
        <v>2.4517</v>
      </c>
      <c r="H24" t="n">
        <v>39</v>
      </c>
      <c r="J24" t="inlineStr">
        <is>
          <t>informado (Tabla 7)</t>
        </is>
      </c>
      <c r="K24" t="inlineStr">
        <is>
          <t>41</t>
        </is>
      </c>
      <c r="M24" t="inlineStr">
        <is>
          <t>sí</t>
        </is>
      </c>
    </row>
    <row r="25">
      <c r="A25" t="inlineStr">
        <is>
          <t>Golder Associates Perú (2022)</t>
        </is>
      </c>
      <c r="B25" t="inlineStr">
        <is>
          <t>HF-1.0m-IDIEM-cd</t>
        </is>
      </c>
      <c r="C25" t="inlineStr">
        <is>
          <t>Hornfels P6 (E P3, carga-descarga)</t>
        </is>
      </c>
      <c r="D25" t="inlineStr">
        <is>
          <t>Triaxial drenado</t>
        </is>
      </c>
      <c r="E25" t="inlineStr">
        <is>
          <t>Hornfels</t>
        </is>
      </c>
      <c r="F25" t="inlineStr">
        <is>
          <t>1.0 m</t>
        </is>
      </c>
      <c r="G25" t="n">
        <v>2.4517</v>
      </c>
      <c r="H25" t="n">
        <v>38.9</v>
      </c>
      <c r="J25" t="inlineStr">
        <is>
          <t>calculado (Marsal; inicial p62 col.1)</t>
        </is>
      </c>
      <c r="K25" t="inlineStr">
        <is>
          <t>62;63</t>
        </is>
      </c>
      <c r="L25" t="inlineStr">
        <is>
          <t>63 col.4</t>
        </is>
      </c>
      <c r="M25" t="inlineStr"/>
    </row>
    <row r="26">
      <c r="A26" t="inlineStr">
        <is>
          <t>Golder Associates Perú (2022)</t>
        </is>
      </c>
      <c r="B26" t="inlineStr">
        <is>
          <t>HF-edo-1.0m</t>
        </is>
      </c>
      <c r="C26" t="inlineStr">
        <is>
          <t>Hornfels edómetro 1.0 m</t>
        </is>
      </c>
      <c r="D26" t="inlineStr">
        <is>
          <t>Edómetro</t>
        </is>
      </c>
      <c r="E26" t="inlineStr">
        <is>
          <t>Hornfels</t>
        </is>
      </c>
      <c r="F26" t="inlineStr">
        <is>
          <t>1.0 m</t>
        </is>
      </c>
      <c r="G26" t="n">
        <v>6.8</v>
      </c>
      <c r="H26" t="n">
        <v>23</v>
      </c>
      <c r="J26" t="inlineStr">
        <is>
          <t>informado (Tabla 7)</t>
        </is>
      </c>
      <c r="K26" t="inlineStr">
        <is>
          <t>41</t>
        </is>
      </c>
      <c r="L26" t="inlineStr">
        <is>
          <t>edómetro; σ nominal de Tabla 7</t>
        </is>
      </c>
      <c r="M26" t="inlineStr"/>
    </row>
    <row r="27">
      <c r="A27" t="inlineStr">
        <is>
          <t>Golder Associates Perú (2022)</t>
        </is>
      </c>
      <c r="B27" t="inlineStr">
        <is>
          <t>HF-edo-1.0m</t>
        </is>
      </c>
      <c r="C27" t="inlineStr">
        <is>
          <t>Hornfels edómetro 1.0 m</t>
        </is>
      </c>
      <c r="D27" t="inlineStr">
        <is>
          <t>Edómetro</t>
        </is>
      </c>
      <c r="E27" t="inlineStr">
        <is>
          <t>Hornfels</t>
        </is>
      </c>
      <c r="F27" t="inlineStr">
        <is>
          <t>1.0 m</t>
        </is>
      </c>
      <c r="G27" t="n">
        <v>6.8</v>
      </c>
      <c r="H27" t="n">
        <v>23</v>
      </c>
      <c r="J27" t="inlineStr">
        <is>
          <t>calculado</t>
        </is>
      </c>
      <c r="K27" t="inlineStr">
        <is>
          <t>62</t>
        </is>
      </c>
      <c r="L27" t="inlineStr">
        <is>
          <t>edómetro</t>
        </is>
      </c>
      <c r="M27" t="inlineStr"/>
    </row>
    <row r="28">
      <c r="A28" t="inlineStr">
        <is>
          <t>Golder Associates Perú (2022)</t>
        </is>
      </c>
      <c r="B28" t="inlineStr">
        <is>
          <t>HF-0.15m-Golder</t>
        </is>
      </c>
      <c r="C28" t="inlineStr">
        <is>
          <t>Hornfels P7 Golder 6" (carga-descarga)</t>
        </is>
      </c>
      <c r="D28" t="inlineStr">
        <is>
          <t>Triaxial drenado</t>
        </is>
      </c>
      <c r="E28" t="inlineStr">
        <is>
          <t>Hornfels</t>
        </is>
      </c>
      <c r="F28" t="inlineStr">
        <is>
          <t>6 in</t>
        </is>
      </c>
      <c r="G28" t="n">
        <v>0.977</v>
      </c>
      <c r="H28" t="n">
        <v>15</v>
      </c>
      <c r="J28" t="inlineStr">
        <is>
          <t>informado (Tabla 7)</t>
        </is>
      </c>
      <c r="K28" t="inlineStr">
        <is>
          <t>41</t>
        </is>
      </c>
      <c r="L28" t="inlineStr">
        <is>
          <t>sin granulometrías tabuladas para recalcular</t>
        </is>
      </c>
      <c r="M28" t="inlineStr">
        <is>
          <t>sí</t>
        </is>
      </c>
    </row>
    <row r="29">
      <c r="A29" t="inlineStr">
        <is>
          <t>Golder Associates Perú (2022)</t>
        </is>
      </c>
      <c r="B29" t="inlineStr">
        <is>
          <t>HF-cic</t>
        </is>
      </c>
      <c r="C29" t="inlineStr">
        <is>
          <t>Hornfels P8-P10 cíclicos 0.15/0.10 m (un solo valor)</t>
        </is>
      </c>
      <c r="D29" t="inlineStr">
        <is>
          <t>Triaxial cíclico</t>
        </is>
      </c>
      <c r="E29" t="inlineStr">
        <is>
          <t>Hornfels</t>
        </is>
      </c>
      <c r="F29" t="inlineStr">
        <is>
          <t>0.10–0.15 m</t>
        </is>
      </c>
      <c r="G29" t="n">
        <v>0.35</v>
      </c>
      <c r="H29" t="n">
        <v>8</v>
      </c>
      <c r="J29" t="inlineStr">
        <is>
          <t>informado (Tabla 7)</t>
        </is>
      </c>
      <c r="K29" t="inlineStr">
        <is>
          <t>41</t>
        </is>
      </c>
      <c r="L29" t="inlineStr">
        <is>
          <t>sin granulometrías tabuladas para recalcular</t>
        </is>
      </c>
      <c r="M29" t="inlineStr"/>
    </row>
    <row r="30">
      <c r="A30" t="inlineStr">
        <is>
          <t>Golder Associates Perú (2022)</t>
        </is>
      </c>
      <c r="B30" t="inlineStr">
        <is>
          <t>HF-edo-0.24m</t>
        </is>
      </c>
      <c r="C30" t="inlineStr">
        <is>
          <t>Hornfels edómetro 0.24 m 2.3 t/m³</t>
        </is>
      </c>
      <c r="D30" t="inlineStr">
        <is>
          <t>Edómetro</t>
        </is>
      </c>
      <c r="E30" t="inlineStr">
        <is>
          <t>Hornfels</t>
        </is>
      </c>
      <c r="F30" t="inlineStr">
        <is>
          <t>0.24 m</t>
        </is>
      </c>
      <c r="G30" t="n">
        <v>4.8</v>
      </c>
      <c r="H30" t="n">
        <v>12</v>
      </c>
      <c r="J30" t="inlineStr">
        <is>
          <t>informado (Tabla 7)</t>
        </is>
      </c>
      <c r="K30" t="inlineStr">
        <is>
          <t>41</t>
        </is>
      </c>
      <c r="L30" t="inlineStr">
        <is>
          <t>sin granulometrías tabuladas para recalcular</t>
        </is>
      </c>
      <c r="M30" t="inlineStr"/>
    </row>
    <row r="31">
      <c r="A31" t="inlineStr">
        <is>
          <t>Golder Associates Perú (2022)</t>
        </is>
      </c>
      <c r="B31" t="inlineStr">
        <is>
          <t>HF-edo-0.24m</t>
        </is>
      </c>
      <c r="C31" t="inlineStr">
        <is>
          <t>Hornfels edómetro 0.24 m 1.8 t/m³</t>
        </is>
      </c>
      <c r="D31" t="inlineStr">
        <is>
          <t>Edómetro</t>
        </is>
      </c>
      <c r="E31" t="inlineStr">
        <is>
          <t>Hornfels</t>
        </is>
      </c>
      <c r="F31" t="inlineStr">
        <is>
          <t>0.24 m</t>
        </is>
      </c>
      <c r="G31" t="n">
        <v>4.8</v>
      </c>
      <c r="H31" t="n">
        <v>8</v>
      </c>
      <c r="J31" t="inlineStr">
        <is>
          <t>informado (Tabla 7)</t>
        </is>
      </c>
      <c r="K31" t="inlineStr">
        <is>
          <t>41</t>
        </is>
      </c>
      <c r="L31" t="inlineStr">
        <is>
          <t>sin granulometrías tabuladas para recalcular</t>
        </is>
      </c>
      <c r="M31" t="inlineStr"/>
    </row>
    <row r="32">
      <c r="A32" t="inlineStr">
        <is>
          <t>Golder Associates Perú (2022)</t>
        </is>
      </c>
      <c r="B32" t="inlineStr">
        <is>
          <t>MN-1.0m-2011</t>
        </is>
      </c>
      <c r="C32" t="inlineStr">
        <is>
          <t>Mármol P1 monótono 490 (=G2012 Test 1)</t>
        </is>
      </c>
      <c r="D32" t="inlineStr">
        <is>
          <t>Triaxial drenado</t>
        </is>
      </c>
      <c r="E32" t="inlineStr">
        <is>
          <t>Mármol</t>
        </is>
      </c>
      <c r="F32" t="inlineStr">
        <is>
          <t>1.0 m</t>
        </is>
      </c>
      <c r="G32" t="n">
        <v>0.49</v>
      </c>
      <c r="H32" t="n">
        <v>13</v>
      </c>
      <c r="J32" t="inlineStr">
        <is>
          <t>informado (Tabla 7)</t>
        </is>
      </c>
      <c r="K32" t="inlineStr">
        <is>
          <t>41</t>
        </is>
      </c>
      <c r="M32" t="inlineStr"/>
    </row>
    <row r="33">
      <c r="A33" t="inlineStr">
        <is>
          <t>Golder Associates Perú (2022)</t>
        </is>
      </c>
      <c r="B33" t="inlineStr">
        <is>
          <t>MN-1.0m-2011</t>
        </is>
      </c>
      <c r="C33" t="inlineStr">
        <is>
          <t>Mármol P2 monótono 1961 (=G2012 Test 4)</t>
        </is>
      </c>
      <c r="D33" t="inlineStr">
        <is>
          <t>Triaxial drenado</t>
        </is>
      </c>
      <c r="E33" t="inlineStr">
        <is>
          <t>Mármol</t>
        </is>
      </c>
      <c r="F33" t="inlineStr">
        <is>
          <t>1.0 m</t>
        </is>
      </c>
      <c r="G33" t="n">
        <v>1.961</v>
      </c>
      <c r="H33" t="n">
        <v>25</v>
      </c>
      <c r="J33" t="inlineStr">
        <is>
          <t>informado (Tabla 7)</t>
        </is>
      </c>
      <c r="K33" t="inlineStr">
        <is>
          <t>41</t>
        </is>
      </c>
      <c r="M33" t="inlineStr"/>
    </row>
    <row r="34">
      <c r="A34" t="inlineStr">
        <is>
          <t>Golder Associates Perú (2022)</t>
        </is>
      </c>
      <c r="B34" t="inlineStr">
        <is>
          <t>MN-1.0m-2011</t>
        </is>
      </c>
      <c r="C34" t="inlineStr">
        <is>
          <t>Mármol P3 c-d 490 (=G2012 Test 2)</t>
        </is>
      </c>
      <c r="D34" t="inlineStr">
        <is>
          <t>Triaxial drenado</t>
        </is>
      </c>
      <c r="E34" t="inlineStr">
        <is>
          <t>Mármol</t>
        </is>
      </c>
      <c r="F34" t="inlineStr">
        <is>
          <t>1.0 m</t>
        </is>
      </c>
      <c r="G34" t="n">
        <v>0.49</v>
      </c>
      <c r="H34" t="n">
        <v>14</v>
      </c>
      <c r="J34" t="inlineStr">
        <is>
          <t>informado (Tabla 7)</t>
        </is>
      </c>
      <c r="K34" t="inlineStr">
        <is>
          <t>41</t>
        </is>
      </c>
      <c r="M34" t="inlineStr"/>
    </row>
    <row r="35">
      <c r="A35" t="inlineStr">
        <is>
          <t>Golder Associates Perú (2022)</t>
        </is>
      </c>
      <c r="B35" t="inlineStr">
        <is>
          <t>MN-1.0m-2011</t>
        </is>
      </c>
      <c r="C35" t="inlineStr">
        <is>
          <t>Mármol P4 c-d 981 (=G2012 Test 3)</t>
        </is>
      </c>
      <c r="D35" t="inlineStr">
        <is>
          <t>Triaxial drenado</t>
        </is>
      </c>
      <c r="E35" t="inlineStr">
        <is>
          <t>Mármol</t>
        </is>
      </c>
      <c r="F35" t="inlineStr">
        <is>
          <t>1.0 m</t>
        </is>
      </c>
      <c r="G35" t="n">
        <v>0.981</v>
      </c>
      <c r="H35" t="n">
        <v>20</v>
      </c>
      <c r="J35" t="inlineStr">
        <is>
          <t>informado (Tabla 7)</t>
        </is>
      </c>
      <c r="K35" t="inlineStr">
        <is>
          <t>41</t>
        </is>
      </c>
      <c r="M35" t="inlineStr"/>
    </row>
    <row r="36">
      <c r="A36" t="inlineStr">
        <is>
          <t>Golder Associates Perú (2022)</t>
        </is>
      </c>
      <c r="B36" t="inlineStr">
        <is>
          <t>MN-1.0m-2011</t>
        </is>
      </c>
      <c r="C36" t="inlineStr">
        <is>
          <t>Mármol P5 c-d 1961 (=G2012 Test 5)</t>
        </is>
      </c>
      <c r="D36" t="inlineStr">
        <is>
          <t>Triaxial drenado</t>
        </is>
      </c>
      <c r="E36" t="inlineStr">
        <is>
          <t>Mármol</t>
        </is>
      </c>
      <c r="F36" t="inlineStr">
        <is>
          <t>1.0 m</t>
        </is>
      </c>
      <c r="G36" t="n">
        <v>1.961</v>
      </c>
      <c r="H36" t="n">
        <v>28</v>
      </c>
      <c r="J36" t="inlineStr">
        <is>
          <t>informado (Tabla 7)</t>
        </is>
      </c>
      <c r="K36" t="inlineStr">
        <is>
          <t>41</t>
        </is>
      </c>
      <c r="M36" t="inlineStr"/>
    </row>
    <row r="37">
      <c r="A37" t="inlineStr">
        <is>
          <t>Golder Associates Perú (2022)</t>
        </is>
      </c>
      <c r="B37" t="inlineStr">
        <is>
          <t>MN-0.15m-Golder</t>
        </is>
      </c>
      <c r="C37" t="inlineStr">
        <is>
          <t>Mármol P6 Golder 6" (carga-descarga)</t>
        </is>
      </c>
      <c r="D37" t="inlineStr">
        <is>
          <t>Triaxial drenado</t>
        </is>
      </c>
      <c r="E37" t="inlineStr">
        <is>
          <t>Mármol</t>
        </is>
      </c>
      <c r="F37" t="inlineStr">
        <is>
          <t>6 in</t>
        </is>
      </c>
      <c r="G37" t="n">
        <v>0.982</v>
      </c>
      <c r="H37" t="n">
        <v>30</v>
      </c>
      <c r="J37" t="inlineStr">
        <is>
          <t>informado (Tabla 7)</t>
        </is>
      </c>
      <c r="K37" t="inlineStr">
        <is>
          <t>41</t>
        </is>
      </c>
      <c r="L37" t="inlineStr">
        <is>
          <t>sin granulometrías tabuladas para recalcular</t>
        </is>
      </c>
      <c r="M37" t="inlineStr">
        <is>
          <t>sí</t>
        </is>
      </c>
    </row>
    <row r="38">
      <c r="A38" t="inlineStr">
        <is>
          <t>Golder Associates Perú (2022)</t>
        </is>
      </c>
      <c r="B38" t="inlineStr">
        <is>
          <t>MN-cic</t>
        </is>
      </c>
      <c r="C38" t="inlineStr">
        <is>
          <t>Mármol P7-P9 cíclicos (un solo valor)</t>
        </is>
      </c>
      <c r="D38" t="inlineStr">
        <is>
          <t>Triaxial cíclico</t>
        </is>
      </c>
      <c r="E38" t="inlineStr">
        <is>
          <t>Mármol</t>
        </is>
      </c>
      <c r="F38" t="inlineStr">
        <is>
          <t>0.10–0.15 m</t>
        </is>
      </c>
      <c r="G38" t="n">
        <v>0.35</v>
      </c>
      <c r="H38" t="n">
        <v>6</v>
      </c>
      <c r="J38" t="inlineStr">
        <is>
          <t>informado (Tabla 7)</t>
        </is>
      </c>
      <c r="K38" t="inlineStr">
        <is>
          <t>41</t>
        </is>
      </c>
      <c r="L38" t="inlineStr">
        <is>
          <t>sin granulometrías tabuladas para recalcular</t>
        </is>
      </c>
      <c r="M38" t="inlineStr"/>
    </row>
    <row r="39">
      <c r="A39" t="inlineStr">
        <is>
          <t>Golder Associates Perú (2022)</t>
        </is>
      </c>
      <c r="B39" t="inlineStr">
        <is>
          <t>MN-edo</t>
        </is>
      </c>
      <c r="C39" t="inlineStr">
        <is>
          <t>Mármol edómetro 1.0 m 2011</t>
        </is>
      </c>
      <c r="D39" t="inlineStr">
        <is>
          <t>Edómetro</t>
        </is>
      </c>
      <c r="E39" t="inlineStr">
        <is>
          <t>Mármol</t>
        </is>
      </c>
      <c r="F39" t="inlineStr">
        <is>
          <t>1.0 m</t>
        </is>
      </c>
      <c r="G39" t="n">
        <v>6.8</v>
      </c>
      <c r="H39" t="n">
        <v>14</v>
      </c>
      <c r="J39" t="inlineStr">
        <is>
          <t>informado (Tabla 7)</t>
        </is>
      </c>
      <c r="K39" t="inlineStr">
        <is>
          <t>41</t>
        </is>
      </c>
      <c r="M39" t="inlineStr"/>
    </row>
    <row r="40">
      <c r="A40" t="inlineStr">
        <is>
          <t>Golder Associates Perú (2022)</t>
        </is>
      </c>
      <c r="B40" t="inlineStr">
        <is>
          <t>MN-edo</t>
        </is>
      </c>
      <c r="C40" t="inlineStr">
        <is>
          <t>Mármol edómetro 1.0 m 2021</t>
        </is>
      </c>
      <c r="D40" t="inlineStr">
        <is>
          <t>Edómetro</t>
        </is>
      </c>
      <c r="E40" t="inlineStr">
        <is>
          <t>Mármol</t>
        </is>
      </c>
      <c r="F40" t="inlineStr">
        <is>
          <t>1.0 m</t>
        </is>
      </c>
      <c r="G40" t="n">
        <v>6.8</v>
      </c>
      <c r="H40" t="n">
        <v>45</v>
      </c>
      <c r="J40" t="inlineStr">
        <is>
          <t>informado (Tabla 7)</t>
        </is>
      </c>
      <c r="K40" t="inlineStr">
        <is>
          <t>41</t>
        </is>
      </c>
      <c r="M40" t="inlineStr"/>
    </row>
    <row r="41">
      <c r="A41" t="inlineStr">
        <is>
          <t>Golder Associates Perú (2022)</t>
        </is>
      </c>
      <c r="B41" t="inlineStr">
        <is>
          <t>MN-edo</t>
        </is>
      </c>
      <c r="C41" t="inlineStr">
        <is>
          <t>Mármol edómetro 0.24 m 2.3 t/m³</t>
        </is>
      </c>
      <c r="D41" t="inlineStr">
        <is>
          <t>Edómetro</t>
        </is>
      </c>
      <c r="E41" t="inlineStr">
        <is>
          <t>Mármol</t>
        </is>
      </c>
      <c r="F41" t="inlineStr">
        <is>
          <t>0.24 m</t>
        </is>
      </c>
      <c r="G41" t="n">
        <v>4.8</v>
      </c>
      <c r="J41" t="inlineStr">
        <is>
          <t>informado (Tabla 7)</t>
        </is>
      </c>
      <c r="K41" t="inlineStr">
        <is>
          <t>41</t>
        </is>
      </c>
      <c r="L41" t="inlineStr">
        <is>
          <t>sin granulometrías tabuladas para recalcular</t>
        </is>
      </c>
      <c r="M41" t="inlineStr"/>
    </row>
    <row r="42">
      <c r="A42" t="inlineStr">
        <is>
          <t>Golder Associates Perú (2022)</t>
        </is>
      </c>
      <c r="B42" t="inlineStr">
        <is>
          <t>MN-edo</t>
        </is>
      </c>
      <c r="C42" t="inlineStr">
        <is>
          <t>Mármol edómetro 0.24 m 1.8 t/m³</t>
        </is>
      </c>
      <c r="D42" t="inlineStr">
        <is>
          <t>Edómetro</t>
        </is>
      </c>
      <c r="E42" t="inlineStr">
        <is>
          <t>Mármol</t>
        </is>
      </c>
      <c r="F42" t="inlineStr">
        <is>
          <t>0.24 m</t>
        </is>
      </c>
      <c r="G42" t="n">
        <v>4.8</v>
      </c>
      <c r="H42" t="n">
        <v>21</v>
      </c>
      <c r="J42" t="inlineStr">
        <is>
          <t>informado (Tabla 7)</t>
        </is>
      </c>
      <c r="K42" t="inlineStr">
        <is>
          <t>41</t>
        </is>
      </c>
      <c r="L42" t="inlineStr">
        <is>
          <t>sin granulometrías tabuladas para recalcular</t>
        </is>
      </c>
      <c r="M42" t="inlineStr"/>
    </row>
    <row r="43">
      <c r="A43" t="inlineStr">
        <is>
          <t>WSP Perú (2024)</t>
        </is>
      </c>
      <c r="B43" t="inlineStr">
        <is>
          <t>WSP24_C4_MON</t>
        </is>
      </c>
      <c r="C43" t="inlineStr">
        <is>
          <t>Probeta 1</t>
        </is>
      </c>
      <c r="D43" t="inlineStr">
        <is>
          <t>Triaxial drenado</t>
        </is>
      </c>
      <c r="E43" t="inlineStr">
        <is>
          <t>Intrusivo</t>
        </is>
      </c>
      <c r="F43" t="inlineStr">
        <is>
          <t>0.6 m</t>
        </is>
      </c>
      <c r="G43" t="n">
        <v>0.49</v>
      </c>
      <c r="H43" t="n">
        <v>8.300000000000001</v>
      </c>
      <c r="J43" t="inlineStr">
        <is>
          <t>informado (Tabla 15)</t>
        </is>
      </c>
      <c r="K43" t="inlineStr">
        <is>
          <t>36</t>
        </is>
      </c>
      <c r="L43" t="inlineStr">
        <is>
          <t>sin relave</t>
        </is>
      </c>
      <c r="M43" t="inlineStr">
        <is>
          <t>sí</t>
        </is>
      </c>
    </row>
    <row r="44">
      <c r="A44" t="inlineStr">
        <is>
          <t>WSP Perú (2024)</t>
        </is>
      </c>
      <c r="B44" t="inlineStr">
        <is>
          <t>WSP24_C4_MON</t>
        </is>
      </c>
      <c r="C44" t="inlineStr">
        <is>
          <t>Probeta 2</t>
        </is>
      </c>
      <c r="D44" t="inlineStr">
        <is>
          <t>Triaxial drenado</t>
        </is>
      </c>
      <c r="E44" t="inlineStr">
        <is>
          <t>Intrusivo</t>
        </is>
      </c>
      <c r="F44" t="inlineStr">
        <is>
          <t>0.6 m</t>
        </is>
      </c>
      <c r="G44" t="n">
        <v>0.98</v>
      </c>
      <c r="H44" t="n">
        <v>8.5</v>
      </c>
      <c r="J44" t="inlineStr">
        <is>
          <t>informado (Tabla 15)</t>
        </is>
      </c>
      <c r="K44" t="inlineStr">
        <is>
          <t>36</t>
        </is>
      </c>
      <c r="L44" t="inlineStr">
        <is>
          <t>sin relave</t>
        </is>
      </c>
      <c r="M44" t="inlineStr">
        <is>
          <t>sí</t>
        </is>
      </c>
    </row>
    <row r="45">
      <c r="A45" t="inlineStr">
        <is>
          <t>WSP Perú (2024)</t>
        </is>
      </c>
      <c r="B45" t="inlineStr">
        <is>
          <t>WSP24_C4_MON</t>
        </is>
      </c>
      <c r="C45" t="inlineStr">
        <is>
          <t>Probeta 3</t>
        </is>
      </c>
      <c r="D45" t="inlineStr">
        <is>
          <t>Triaxial drenado</t>
        </is>
      </c>
      <c r="E45" t="inlineStr">
        <is>
          <t>Intrusivo</t>
        </is>
      </c>
      <c r="F45" t="inlineStr">
        <is>
          <t>0.6 m</t>
        </is>
      </c>
      <c r="G45" t="n">
        <v>1.96</v>
      </c>
      <c r="H45" t="n">
        <v>17.6</v>
      </c>
      <c r="J45" t="inlineStr">
        <is>
          <t>informado (Tabla 15)</t>
        </is>
      </c>
      <c r="K45" t="inlineStr">
        <is>
          <t>36</t>
        </is>
      </c>
      <c r="L45" t="inlineStr">
        <is>
          <t>sin relave</t>
        </is>
      </c>
      <c r="M45" t="inlineStr">
        <is>
          <t>sí</t>
        </is>
      </c>
    </row>
    <row r="46">
      <c r="A46" t="inlineStr">
        <is>
          <t>WSP Perú (2024)</t>
        </is>
      </c>
      <c r="B46" t="inlineStr">
        <is>
          <t>WSP24_C4_EDO</t>
        </is>
      </c>
      <c r="C46" t="inlineStr">
        <is>
          <t>edómetro 0.60 m</t>
        </is>
      </c>
      <c r="D46" t="inlineStr">
        <is>
          <t>Edómetro</t>
        </is>
      </c>
      <c r="E46" t="inlineStr">
        <is>
          <t>Intrusivo</t>
        </is>
      </c>
      <c r="F46" t="inlineStr">
        <is>
          <t>0.6 m</t>
        </is>
      </c>
      <c r="G46" t="n">
        <v>5.88</v>
      </c>
      <c r="H46" t="n">
        <v>9.199999999999999</v>
      </c>
      <c r="J46" t="inlineStr">
        <is>
          <t>informado (Tabla 15)</t>
        </is>
      </c>
      <c r="K46" t="inlineStr">
        <is>
          <t>36</t>
        </is>
      </c>
      <c r="L46" t="inlineStr">
        <is>
          <t>sin relave</t>
        </is>
      </c>
      <c r="M46" t="inlineStr"/>
    </row>
    <row r="47">
      <c r="A47" t="inlineStr">
        <is>
          <t>WSP Perú (2024)</t>
        </is>
      </c>
      <c r="B47" t="inlineStr">
        <is>
          <t>WSP24_C4_MON</t>
        </is>
      </c>
      <c r="C47" t="inlineStr">
        <is>
          <t>Probeta 1</t>
        </is>
      </c>
      <c r="D47" t="inlineStr">
        <is>
          <t>Triaxial drenado</t>
        </is>
      </c>
      <c r="E47" t="inlineStr">
        <is>
          <t>Intrusivo</t>
        </is>
      </c>
      <c r="F47" t="inlineStr">
        <is>
          <t>0.6 m</t>
        </is>
      </c>
      <c r="G47" t="n">
        <v>0.4903</v>
      </c>
      <c r="H47" t="n">
        <v>8.300000000000001</v>
      </c>
      <c r="J47" t="inlineStr">
        <is>
          <t>calculado (inicial = desmonte p93 truncado a 4" y renormalizado; supuesto)</t>
        </is>
      </c>
      <c r="K47" t="inlineStr">
        <is>
          <t>93;108;120</t>
        </is>
      </c>
      <c r="L47" t="inlineStr">
        <is>
          <t>la curva inicial de montaje solo está en gráfico (p108); Bg calculado aproximado</t>
        </is>
      </c>
      <c r="M47" t="inlineStr"/>
    </row>
    <row r="48">
      <c r="A48" t="inlineStr">
        <is>
          <t>WSP Perú (2024)</t>
        </is>
      </c>
      <c r="B48" t="inlineStr">
        <is>
          <t>WSP24_C4_MON</t>
        </is>
      </c>
      <c r="C48" t="inlineStr">
        <is>
          <t>Probeta 2</t>
        </is>
      </c>
      <c r="D48" t="inlineStr">
        <is>
          <t>Triaxial drenado</t>
        </is>
      </c>
      <c r="E48" t="inlineStr">
        <is>
          <t>Intrusivo</t>
        </is>
      </c>
      <c r="F48" t="inlineStr">
        <is>
          <t>0.6 m</t>
        </is>
      </c>
      <c r="G48" t="n">
        <v>0.9807</v>
      </c>
      <c r="H48" t="n">
        <v>8.5</v>
      </c>
      <c r="J48" t="inlineStr">
        <is>
          <t>calculado (inicial = desmonte p93 truncado a 4" y renormalizado; supuesto)</t>
        </is>
      </c>
      <c r="K48" t="inlineStr">
        <is>
          <t>93;108;120</t>
        </is>
      </c>
      <c r="L48" t="inlineStr">
        <is>
          <t>la curva inicial de montaje solo está en gráfico (p108); Bg calculado aproximado</t>
        </is>
      </c>
      <c r="M48" t="inlineStr"/>
    </row>
    <row r="49">
      <c r="A49" t="inlineStr">
        <is>
          <t>WSP Perú (2024)</t>
        </is>
      </c>
      <c r="B49" t="inlineStr">
        <is>
          <t>WSP24_C4_MON</t>
        </is>
      </c>
      <c r="C49" t="inlineStr">
        <is>
          <t>Probeta 3</t>
        </is>
      </c>
      <c r="D49" t="inlineStr">
        <is>
          <t>Triaxial drenado</t>
        </is>
      </c>
      <c r="E49" t="inlineStr">
        <is>
          <t>Intrusivo</t>
        </is>
      </c>
      <c r="F49" t="inlineStr">
        <is>
          <t>0.6 m</t>
        </is>
      </c>
      <c r="G49" t="n">
        <v>1.9613</v>
      </c>
      <c r="H49" t="n">
        <v>17.6</v>
      </c>
      <c r="J49" t="inlineStr">
        <is>
          <t>calculado (inicial = desmonte p93 truncado a 4" y renormalizado; supuesto)</t>
        </is>
      </c>
      <c r="K49" t="inlineStr">
        <is>
          <t>93;108;120</t>
        </is>
      </c>
      <c r="L49" t="inlineStr">
        <is>
          <t>la curva inicial de montaje solo está en gráfico (p108); Bg calculado aproximado</t>
        </is>
      </c>
      <c r="M49" t="inlineStr"/>
    </row>
    <row r="50">
      <c r="A50" t="inlineStr">
        <is>
          <t>Golder Associates Perú (2021)</t>
        </is>
      </c>
      <c r="B50" t="inlineStr">
        <is>
          <t>todos</t>
        </is>
      </c>
      <c r="C50" t="inlineStr">
        <is>
          <t>—</t>
        </is>
      </c>
      <c r="D50" t="inlineStr">
        <is>
          <t>—</t>
        </is>
      </c>
      <c r="E50" t="inlineStr">
        <is>
          <t>—</t>
        </is>
      </c>
      <c r="F50" t="inlineStr">
        <is>
          <t>—</t>
        </is>
      </c>
      <c r="J50" t="inlineStr">
        <is>
          <t>—</t>
        </is>
      </c>
      <c r="K50" t="inlineStr">
        <is>
          <t>—</t>
        </is>
      </c>
      <c r="L50" t="inlineStr">
        <is>
          <t>G2021 no informa granulometrías post-ensayo ni Bg</t>
        </is>
      </c>
      <c r="M50" t="inlineStr"/>
    </row>
    <row r="51">
      <c r="A51" t="inlineStr">
        <is>
          <t>IDIEM (2025)</t>
        </is>
      </c>
      <c r="B51" t="inlineStr">
        <is>
          <t>Codisposal 1 (100% Intrusivo)</t>
        </is>
      </c>
      <c r="C51" t="inlineStr">
        <is>
          <t>P1-P3</t>
        </is>
      </c>
      <c r="D51" t="inlineStr">
        <is>
          <t>—</t>
        </is>
      </c>
      <c r="E51" t="inlineStr">
        <is>
          <t>Intrusivo</t>
        </is>
      </c>
      <c r="F51" t="inlineStr">
        <is>
          <t>—</t>
        </is>
      </c>
      <c r="J51" t="inlineStr">
        <is>
          <t>—</t>
        </is>
      </c>
      <c r="K51" t="inlineStr">
        <is>
          <t>4;29</t>
        </is>
      </c>
      <c r="L51" t="inlineStr">
        <is>
          <t>Granulometrías post-TX figuran en el programa (Tabla 1, ítems 29-31) con «---» (no ensayadas en este informe)</t>
        </is>
      </c>
      <c r="M51" t="inlineStr"/>
    </row>
    <row r="53">
      <c r="A53" t="inlineStr">
        <is>
          <t>Bg: índice de rotura de Marsal (1967), suma de las diferencias positivas entre las granulometrías antes y después del ensayo, en %. Golder (2012, Tabla 5) informa la suma de las diferencias en valor absoluto, Σ|ΔW| = 2·Bg; su Bg se calcula como Σ|ΔW|/2 (columna H, fórmula).</t>
        </is>
      </c>
    </row>
    <row r="54">
      <c r="A54" t="inlineStr">
        <is>
          <t>Fuente: datos_antamina/verificacion_ocr/rotura_bg.csv, verificado contra las páginas citadas. Sin las mezclas con relave. «sí» en la última columna: ensayos de la figura del índice de rotura del memo (triaxiales drenados del ajuste, valor adoptado).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E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Bg: índice de rotura de Marsal (fórmulas; hoja Rotura_Bg)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>
        <f>Rotura_Bg!G3</f>
        <v/>
      </c>
      <c r="CS3">
        <f>Rotura_Bg!H3</f>
        <v/>
      </c>
      <c r="CW3">
        <f>Rotura_Bg!H3</f>
        <v/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7" t="n">
        <v>0.02358024345332574</v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>
        <f>Rotura_Bg!G5</f>
        <v/>
      </c>
      <c r="CS4">
        <f>Rotura_Bg!H5</f>
        <v/>
      </c>
      <c r="CW4">
        <f>Rotura_Bg!H5</f>
        <v/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7" t="n">
        <v>7.391092456504922</v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>
        <f>Rotura_Bg!G7</f>
        <v/>
      </c>
      <c r="CS5">
        <f>Rotura_Bg!H7</f>
        <v/>
      </c>
      <c r="CW5">
        <f>Rotura_Bg!H7</f>
        <v/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>
        <f>Rotura_Bg!G9</f>
        <v/>
      </c>
      <c r="CS6">
        <f>Rotura_Bg!H9</f>
        <v/>
      </c>
      <c r="CW6">
        <f>Rotura_Bg!H9</f>
        <v/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>
        <f>Rotura_Bg!G11</f>
        <v/>
      </c>
      <c r="CS7">
        <f>Rotura_Bg!H11</f>
        <v/>
      </c>
      <c r="CW7">
        <f>Rotura_Bg!H11</f>
        <v/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>
        <f>Rotura_Bg!G14</f>
        <v/>
      </c>
      <c r="CS8">
        <f>Rotura_Bg!H14</f>
        <v/>
      </c>
      <c r="CT8">
        <f>Rotura_Bg!H14</f>
        <v/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>
        <f>Rotura_Bg!G16</f>
        <v/>
      </c>
      <c r="CS9">
        <f>Rotura_Bg!H16</f>
        <v/>
      </c>
      <c r="CT9">
        <f>Rotura_Bg!H16</f>
        <v/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>
        <f>Rotura_Bg!G18</f>
        <v/>
      </c>
      <c r="CS10">
        <f>Rotura_Bg!H18</f>
        <v/>
      </c>
      <c r="CT10">
        <f>Rotura_Bg!H18</f>
        <v/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>
        <f>Rotura_Bg!G20</f>
        <v/>
      </c>
      <c r="CS11">
        <f>Rotura_Bg!H20</f>
        <v/>
      </c>
      <c r="CT11">
        <f>Rotura_Bg!H20</f>
        <v/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>
        <f>Rotura_Bg!G22</f>
        <v/>
      </c>
      <c r="CS12">
        <f>Rotura_Bg!H22</f>
        <v/>
      </c>
      <c r="CT12">
        <f>Rotura_Bg!H22</f>
        <v/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>
        <f>Rotura_Bg!G24</f>
        <v/>
      </c>
      <c r="CS13">
        <f>Rotura_Bg!H24</f>
        <v/>
      </c>
      <c r="CT13">
        <f>Rotura_Bg!H24</f>
        <v/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>
        <f>Rotura_Bg!G28</f>
        <v/>
      </c>
      <c r="CS14">
        <f>Rotura_Bg!H28</f>
        <v/>
      </c>
      <c r="CU14">
        <f>Rotura_Bg!H28</f>
        <v/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>
        <f>Rotura_Bg!G37</f>
        <v/>
      </c>
      <c r="CS15">
        <f>Rotura_Bg!H37</f>
        <v/>
      </c>
      <c r="CX15">
        <f>Rotura_Bg!H37</f>
        <v/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>
        <f>Rotura_Bg!G43</f>
        <v/>
      </c>
      <c r="CS16">
        <f>Rotura_Bg!H43</f>
        <v/>
      </c>
      <c r="CV16">
        <f>Rotura_Bg!H43</f>
        <v/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>
        <f>Rotura_Bg!G44</f>
        <v/>
      </c>
      <c r="CS17">
        <f>Rotura_Bg!H44</f>
        <v/>
      </c>
      <c r="CV17">
        <f>Rotura_Bg!H44</f>
        <v/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>
        <f>Rotura_Bg!G45</f>
        <v/>
      </c>
      <c r="CS18">
        <f>Rotura_Bg!H45</f>
        <v/>
      </c>
      <c r="CV18">
        <f>Rotura_Bg!H45</f>
        <v/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2026-10-13T22:53:26Z</dcterms:created>
  <dcterms:modified xmlns:dcterms="http://purl.org/dc/terms/" xmlns:xsi="http://www.w3.org/2001/XMLSchema-instance" xsi:type="dcterms:W3CDTF">2026-10-13T22:53:28Z</dcterms:modified>
</cp:coreProperties>
</file>