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ame" sheetId="1" state="visible" r:id="rId1"/>
    <sheet xmlns:r="http://schemas.openxmlformats.org/officeDocument/2006/relationships" name="Parametros" sheetId="2" state="visible" r:id="rId2"/>
    <sheet xmlns:r="http://schemas.openxmlformats.org/officeDocument/2006/relationships" name="Ensayos" sheetId="3" state="visible" r:id="rId3"/>
    <sheet xmlns:r="http://schemas.openxmlformats.org/officeDocument/2006/relationships" name="Curva" sheetId="4" state="visible" r:id="rId4"/>
    <sheet xmlns:r="http://schemas.openxmlformats.org/officeDocument/2006/relationships" name="phi1_vs_e" sheetId="5" state="visible" r:id="rId5"/>
    <sheet xmlns:r="http://schemas.openxmlformats.org/officeDocument/2006/relationships" name="Hipotesis_m" sheetId="6" state="visible" r:id="rId6"/>
    <sheet xmlns:r="http://schemas.openxmlformats.org/officeDocument/2006/relationships" name="Base_mundial" sheetId="7" state="visible" r:id="rId7"/>
    <sheet xmlns:r="http://schemas.openxmlformats.org/officeDocument/2006/relationships" name="Ajuste" sheetId="8" state="visible" r:id="rId8"/>
    <sheet xmlns:r="http://schemas.openxmlformats.org/officeDocument/2006/relationships" name="FLAC_tangente" sheetId="9" state="visible" r:id="rId9"/>
    <sheet xmlns:r="http://schemas.openxmlformats.org/officeDocument/2006/relationships" name="Relacion_vacios" sheetId="10" state="visible" r:id="rId10"/>
    <sheet xmlns:r="http://schemas.openxmlformats.org/officeDocument/2006/relationships" name="Perfiles_e" sheetId="11" state="visible" r:id="rId11"/>
    <sheet xmlns:r="http://schemas.openxmlformats.org/officeDocument/2006/relationships" name="Edometros" sheetId="12" state="visible" r:id="rId12"/>
    <sheet xmlns:r="http://schemas.openxmlformats.org/officeDocument/2006/relationships" name="Tamano_particula" sheetId="13" state="visible" r:id="rId13"/>
  </sheets>
  <definedNames>
    <definedName name="pe0">Parametros!$B$2</definedName>
    <definedName name="omega">Parametros!$B$3</definedName>
    <definedName name="m_">Parametros!$B$4</definedName>
    <definedName name="e_base">Parametros!$B$5</definedName>
    <definedName name="pa">Parametros!$B$6</definedName>
    <definedName name="sref">Parametros!$B$7</definedName>
    <definedName name="tope">Parametros!$B$9</definedName>
    <definedName name="cc_bajo">Parametros!$B$19</definedName>
    <definedName name="cc_alto">Parametros!$B$20</definedName>
    <definedName name="sv_piso">Parametros!$B$21</definedName>
    <definedName name="c_ds">Parametros!$B$22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color rgb="001F4E9E"/>
    </font>
    <font/>
  </fonts>
  <fills count="4">
    <fill>
      <patternFill/>
    </fill>
    <fill>
      <patternFill patternType="gray125"/>
    </fill>
    <fill>
      <patternFill patternType="solid">
        <fgColor rgb="00E8E6F2"/>
      </patternFill>
    </fill>
    <fill>
      <patternFill patternType="solid">
        <fgColor rgb="00EAF1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3" borderId="0" pivotButton="0" quotePrefix="0" xfId="0"/>
    <xf numFmtId="0" fontId="3" fillId="0" borderId="0" pivotButton="0" quotePrefix="0" xfId="0"/>
    <xf numFmtId="0" fontId="1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Ángulo de fricción secante a e base</a:t>
            </a:r>
          </a:p>
        </rich>
      </tx>
    </title>
    <plotArea>
      <scatterChart>
        <ser>
          <idx val="0"/>
          <order val="0"/>
          <tx>
            <v>Curva propuesta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'Curva'!$A$7:$A$30</f>
            </numRef>
          </xVal>
          <yVal>
            <numRef>
              <f>'Curva'!$D$7:$D$30</f>
            </numRef>
          </yVal>
        </ser>
        <ser>
          <idx val="1"/>
          <order val="1"/>
          <tx>
            <v>Banda inferior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'Curva'!$A$7:$A$30</f>
            </numRef>
          </xVal>
          <yVal>
            <numRef>
              <f>'Curva'!$E$7:$E$30</f>
            </numRef>
          </yVal>
        </ser>
        <ser>
          <idx val="2"/>
          <order val="2"/>
          <tx>
            <v>Banda superior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'Curva'!$A$7:$A$30</f>
            </numRef>
          </xVal>
          <yVal>
            <numRef>
              <f>'Curva'!$F$7:$F$30</f>
            </numRef>
          </yVal>
        </ser>
        <ser>
          <idx val="3"/>
          <order val="3"/>
          <tx>
            <v>Cota de Indraratna et al. (1993)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'Curva'!$A$7:$A$30</f>
            </numRef>
          </xVal>
          <yVal>
            <numRef>
              <f>'Curva'!$O$7:$O$30</f>
            </numRef>
          </yVal>
        </ser>
        <ser>
          <idx val="4"/>
          <order val="4"/>
          <tx>
            <v>Cota de Hawley y Cunning (2017)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'Curva'!$A$7:$A$30</f>
            </numRef>
          </xVal>
          <yVal>
            <numRef>
              <f>'Curva'!$P$7:$P$30</f>
            </numRef>
          </yVal>
        </ser>
        <ser>
          <idx val="5"/>
          <order val="5"/>
          <tx>
            <v>Ensayos del ajuste, a e base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pPr>
              <a:ln xmlns:a="http://schemas.openxmlformats.org/drawingml/2006/main">
                <a:prstDash val="solid"/>
              </a:ln>
            </spPr>
          </marker>
          <xVal>
            <numRef>
              <f>'Ensayos'!$M$2:$M$38</f>
            </numRef>
          </xVal>
          <yVal>
            <numRef>
              <f>'Ensayos'!$P$2:$P$38</f>
            </numRef>
          </yVal>
        </ser>
        <axId val="10"/>
        <axId val="20"/>
      </scatterChart>
      <valAx>
        <axId val="10"/>
        <scaling>
          <logBase val="10"/>
          <orientation val="minMax"/>
          <max val="15"/>
          <min val="0.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σ′n (MPa)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  <max val="56"/>
          <min val="22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φ′s (°)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τ–σ′n a e base</a:t>
            </a:r>
          </a:p>
        </rich>
      </tx>
    </title>
    <plotArea>
      <scatterChart>
        <ser>
          <idx val="0"/>
          <order val="0"/>
          <tx>
            <v>Curva propuesta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'Curva'!$A$2:$A$30</f>
            </numRef>
          </xVal>
          <yVal>
            <numRef>
              <f>'Curva'!$C$2:$C$30</f>
            </numRef>
          </yVal>
        </ser>
        <ser>
          <idx val="1"/>
          <order val="1"/>
          <tx>
            <v>Banda inferior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'Curva'!$A$2:$A$30</f>
            </numRef>
          </xVal>
          <yVal>
            <numRef>
              <f>'Curva'!$G$2:$G$30</f>
            </numRef>
          </yVal>
        </ser>
        <ser>
          <idx val="2"/>
          <order val="2"/>
          <tx>
            <v>Banda superior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'Curva'!$A$2:$A$30</f>
            </numRef>
          </xVal>
          <yVal>
            <numRef>
              <f>'Curva'!$H$2:$H$30</f>
            </numRef>
          </yVal>
        </ser>
        <ser>
          <idx val="3"/>
          <order val="3"/>
          <tx>
            <v>Indraratna et al. (1993)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'Curva'!$A$2:$A$30</f>
            </numRef>
          </xVal>
          <yVal>
            <numRef>
              <f>'Curva'!$Q$2:$Q$30</f>
            </numRef>
          </yVal>
        </ser>
        <ser>
          <idx val="4"/>
          <order val="4"/>
          <tx>
            <v>Hawley y Cunning (2017)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'Curva'!$A$2:$A$30</f>
            </numRef>
          </xVal>
          <yVal>
            <numRef>
              <f>'Curva'!$R$2:$R$30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σ′n (MPa)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τ (MPa)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φ′1 contra relación de vacíos</a:t>
            </a:r>
          </a:p>
        </rich>
      </tx>
    </title>
    <plotArea>
      <scatterChart>
        <ser>
          <idx val="0"/>
          <order val="0"/>
          <tx>
            <v>Ensayos de Antamina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pPr>
              <a:ln xmlns:a="http://schemas.openxmlformats.org/drawingml/2006/main">
                <a:prstDash val="solid"/>
              </a:ln>
            </spPr>
          </marker>
          <xVal>
            <numRef>
              <f>'Ensayos'!$J$2:$J$38</f>
            </numRef>
          </xVal>
          <yVal>
            <numRef>
              <f>'Ensayos'!$V$2:$V$38</f>
            </numRef>
          </yVal>
        </ser>
        <ser>
          <idx val="1"/>
          <order val="1"/>
          <tx>
            <v>Promedio por set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pPr>
              <a:ln xmlns:a="http://schemas.openxmlformats.org/drawingml/2006/main">
                <a:prstDash val="solid"/>
              </a:ln>
            </spPr>
          </marker>
          <xVal>
            <numRef>
              <f>'phi1_vs_e'!$D$2:$D$14</f>
            </numRef>
          </xVal>
          <yVal>
            <numRef>
              <f>'phi1_vs_e'!$E$2:$E$14</f>
            </numRef>
          </yVal>
        </ser>
        <ser>
          <idx val="2"/>
          <order val="2"/>
          <tx>
            <v>Curva propuesta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'phi1_vs_e'!$G$2:$G$18</f>
            </numRef>
          </xVal>
          <yVal>
            <numRef>
              <f>'phi1_vs_e'!$H$2:$H$18</f>
            </numRef>
          </yVal>
        </ser>
        <ser>
          <idx val="3"/>
          <order val="3"/>
          <tx>
            <v>Leps (1970), superior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'phi1_vs_e'!$G$2:$G$18</f>
            </numRef>
          </xVal>
          <yVal>
            <numRef>
              <f>'phi1_vs_e'!$I$2:$I$18</f>
            </numRef>
          </yVal>
        </ser>
        <ser>
          <idx val="4"/>
          <order val="4"/>
          <tx>
            <v>Leps (1970), media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'phi1_vs_e'!$G$2:$G$18</f>
            </numRef>
          </xVal>
          <yVal>
            <numRef>
              <f>'phi1_vs_e'!$J$2:$J$18</f>
            </numRef>
          </yVal>
        </ser>
        <ser>
          <idx val="5"/>
          <order val="5"/>
          <tx>
            <v>Leps (1970), inferior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'phi1_vs_e'!$G$2:$G$18</f>
            </numRef>
          </xVal>
          <yVal>
            <numRef>
              <f>'phi1_vs_e'!$K$2:$K$18</f>
            </numRef>
          </yVal>
        </ser>
        <ser>
          <idx val="6"/>
          <order val="6"/>
          <tx>
            <v>Indraratna et al. (1993)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'phi1_vs_e'!$G$2:$G$18</f>
            </numRef>
          </xVal>
          <yVal>
            <numRef>
              <f>'phi1_vs_e'!$L$2:$L$18</f>
            </numRef>
          </yVal>
        </ser>
        <axId val="10"/>
        <axId val="20"/>
      </scatterChart>
      <valAx>
        <axId val="10"/>
        <scaling>
          <orientation val="minMax"/>
          <max val="0.8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 (relación de vacíos)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  <max val="55"/>
          <min val="2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φ′1 (°)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21</col>
      <colOff>0</colOff>
      <row>1</row>
      <rowOff>0</rowOff>
    </from>
    <ext cx="720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21</col>
      <colOff>0</colOff>
      <row>25</row>
      <rowOff>0</rowOff>
    </from>
    <ext cx="7200000" cy="39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12</col>
      <colOff>0</colOff>
      <row>1</row>
      <rowOff>0</rowOff>
    </from>
    <ext cx="648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t="inlineStr">
        <is>
          <t>Curva de resistencia Leps 2.0 del desmonte ROM de Antamina: datos, cálculos y curvas (memo de Stantec, 12 de octubre de 2026)</t>
        </is>
      </c>
    </row>
    <row r="2">
      <c r="A2" t="inlineStr"/>
    </row>
    <row r="3">
      <c r="A3" t="inlineStr">
        <is>
          <t>Las celdas en azul de la hoja Parametros son las entradas; todo lo demás se calcula con fórmulas a partir de ellas (nombres definidos: pe0, omega, m_, e_base, sref, tope).</t>
        </is>
      </c>
    </row>
    <row r="4">
      <c r="A4" t="inlineStr">
        <is>
          <t>Leps 2.0 (Cylwik et al. 2025, Ec. 26): τ = tan(φ′e=0 − ω·e)·(10pa)^(1−m)·σ′n^m; φ′s = atan(τ/σ′n). La curva se aplica con un tope de 40° en φ′s (τ ≤ σ′n·tan 40°).</t>
        </is>
      </c>
    </row>
    <row r="5">
      <c r="A5" t="inlineStr">
        <is>
          <t>Unidades: esfuerzos en MPa; ángulos en grados.</t>
        </is>
      </c>
    </row>
    <row r="6">
      <c r="A6" t="inlineStr"/>
    </row>
    <row r="7">
      <c r="A7" t="inlineStr">
        <is>
          <t>Hojas:</t>
        </is>
      </c>
    </row>
    <row r="8">
      <c r="A8" t="inlineStr">
        <is>
          <t xml:space="preserve">  Parametros: parámetros de la curva propuesta, hipótesis de curvatura y controles con la composición del DDE y la de LE2.</t>
        </is>
      </c>
    </row>
    <row r="9">
      <c r="A9" t="inlineStr">
        <is>
          <t xml:space="preserve">  Ensayos: los 120 ensayos de resistencia con su uso (ajuste, contraste, no usado), esfuerzos de falla, conversión de Leps 2.0 (fórmula) y corrección a e base (Ec. 27).</t>
        </is>
      </c>
    </row>
    <row r="10">
      <c r="A10" t="inlineStr">
        <is>
          <t xml:space="preserve">  Curva: curva propuesta a e base, 0.55, 0.65 y perfiles A y V; tope de 40° en todas las curvas de Leps 2.0; banda de incertidumbre (sin tope); cotas de Indraratna et al. (1993) y Hawley y Cunning (2017); recta de 37°; sensibilidad del DDE; gráficos.</t>
        </is>
      </c>
    </row>
    <row r="11">
      <c r="A11" t="inlineStr">
        <is>
          <t xml:space="preserve">  phi1_vs_e: φ′1 de cada ensayo y por set contra e, φ′e=0 por set y su media (el nivel de la curva), con la recta de la curva propuesta, las envolventes de Leps (1970) y la cota de Indraratna et al. (1993).</t>
        </is>
      </c>
    </row>
    <row r="12">
      <c r="A12" t="inlineStr">
        <is>
          <t xml:space="preserve">  Hipotesis_m: φ′s según la hipótesis de curvatura (m del intervalo al 90 % y P10–P90 entre materiales de la base mundial, y m = 1 de Antamina sola como sensibilidad).</t>
        </is>
      </c>
    </row>
    <row r="13">
      <c r="A13" t="inlineStr">
        <is>
          <t xml:space="preserve">  Base_mundial: los ensayos de la base de Leps 2.0 (sin los censurados, como en el memo) frente a la curva evaluada a su propia e (Δφ′s) y conteos por rango de esfuerzo.</t>
        </is>
      </c>
    </row>
    <row r="14">
      <c r="A14" t="inlineStr">
        <is>
          <t xml:space="preserve">  FLAC_tangente: Mohr-Coulomb tangente a la curva según σ′3 (para verificar la implementación en FLAC2D).</t>
        </is>
      </c>
    </row>
    <row r="15">
      <c r="A15" t="inlineStr">
        <is>
          <t xml:space="preserve">  Relacion_vacios: e de colocación calculada con los pesos unitarios de los estudios de Antamina.</t>
        </is>
      </c>
    </row>
    <row r="16">
      <c r="A16" t="inlineStr">
        <is>
          <t xml:space="preserve">  Perfiles_e: e y σ′v con la profundidad (perfiles A y V).</t>
        </is>
      </c>
    </row>
    <row r="17">
      <c r="A17" t="inlineStr">
        <is>
          <t xml:space="preserve">  Edometros: edómetros de desmonte de Antamina y e resultante con la ley del perfil A.</t>
        </is>
      </c>
    </row>
    <row r="18">
      <c r="A18" t="inlineStr">
        <is>
          <t xml:space="preserve">  Tamano_particula: sensibilidad al tamaño (Frossard et al. 2012).</t>
        </is>
      </c>
    </row>
    <row r="19">
      <c r="A19" t="inlineStr"/>
    </row>
    <row r="20">
      <c r="A20" t="inlineStr">
        <is>
          <t>Fuentes: base de ensayos de Antamina verificada contra los PDF (datos_antamina/base, verificacion_ocr); base mundial de Cylwik et al. (2025);</t>
        </is>
      </c>
    </row>
    <row r="21">
      <c r="A21" t="inlineStr">
        <is>
          <t>Informe final de estudio del DDE (Stantec 2026, IFF-115-G-0001 Rev. B) para la composición de control y la sensibilidad de 33°/30°.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90" customWidth="1" min="4" max="4"/>
  </cols>
  <sheetData>
    <row r="1">
      <c r="A1" s="1" t="inlineStr">
        <is>
          <t>Parámetro</t>
        </is>
      </c>
      <c r="B1" s="1" t="inlineStr">
        <is>
          <t>Valor</t>
        </is>
      </c>
      <c r="C1" s="1" t="inlineStr">
        <is>
          <t>Unidad</t>
        </is>
      </c>
      <c r="D1" s="1" t="inlineStr">
        <is>
          <t>Nota</t>
        </is>
      </c>
    </row>
    <row r="2">
      <c r="A2" t="inlineStr">
        <is>
          <t>φ′e=0, curva propuesta</t>
        </is>
      </c>
      <c r="B2" s="2" t="n">
        <v>48.47048190770352</v>
      </c>
      <c r="C2" t="inlineStr">
        <is>
          <t>°</t>
        </is>
      </c>
      <c r="D2" t="inlineStr">
        <is>
          <t>Media de φ′1 + 20·e0 de los 13 sets con m = 0.85, todos con igual peso (a33; ver phi1_vs_e)</t>
        </is>
      </c>
    </row>
    <row r="3">
      <c r="A3" t="inlineStr">
        <is>
          <t>ω</t>
        </is>
      </c>
      <c r="B3" s="2" t="n">
        <v>20</v>
      </c>
      <c r="C3" t="inlineStr">
        <is>
          <t>°</t>
        </is>
      </c>
      <c r="D3" t="inlineStr">
        <is>
          <t>Leps 2.0, Ec. 25</t>
        </is>
      </c>
    </row>
    <row r="4">
      <c r="A4" t="inlineStr">
        <is>
          <t>m (curvatura)</t>
        </is>
      </c>
      <c r="B4" s="2" t="n">
        <v>0.85</v>
      </c>
      <c r="C4" t="inlineStr">
        <is>
          <t>-</t>
        </is>
      </c>
      <c r="D4" t="inlineStr">
        <is>
          <t>Sin sesgo en los ensayos mundiales de mayor esfuerzo (a31; IC 90 % 0.834–0.862)</t>
        </is>
      </c>
    </row>
    <row r="5">
      <c r="A5" t="inlineStr">
        <is>
          <t>e base de colocación</t>
        </is>
      </c>
      <c r="B5" s="2" t="n">
        <v>0.45</v>
      </c>
      <c r="C5" t="inlineStr">
        <is>
          <t>-</t>
        </is>
      </c>
      <c r="D5" t="inlineStr">
        <is>
          <t>Desmonte ROM (sección 7 del memo)</t>
        </is>
      </c>
    </row>
    <row r="6">
      <c r="A6" t="inlineStr">
        <is>
          <t>pa</t>
        </is>
      </c>
      <c r="B6" s="2" t="n">
        <v>0.1013</v>
      </c>
      <c r="C6" t="inlineStr">
        <is>
          <t>MPa</t>
        </is>
      </c>
      <c r="D6" t="inlineStr">
        <is>
          <t>Presión atmosférica</t>
        </is>
      </c>
    </row>
    <row r="7">
      <c r="A7" t="inlineStr">
        <is>
          <t>10·pa</t>
        </is>
      </c>
      <c r="B7" s="3">
        <f>10*pa</f>
        <v/>
      </c>
      <c r="C7" t="inlineStr">
        <is>
          <t>MPa</t>
        </is>
      </c>
      <c r="D7" t="inlineStr">
        <is>
          <t>Esfuerzo de referencia</t>
        </is>
      </c>
    </row>
    <row r="8">
      <c r="A8" t="inlineStr">
        <is>
          <t>φ′1 a e base</t>
        </is>
      </c>
      <c r="B8">
        <f>pe0-omega*e_base</f>
        <v/>
      </c>
      <c r="C8" t="inlineStr">
        <is>
          <t>°</t>
        </is>
      </c>
    </row>
    <row r="9">
      <c r="A9" t="inlineStr">
        <is>
          <t>Tope de φ′s</t>
        </is>
      </c>
      <c r="B9" s="2" t="n">
        <v>40</v>
      </c>
      <c r="C9" t="inlineStr">
        <is>
          <t>°</t>
        </is>
      </c>
      <c r="D9" t="inlineStr">
        <is>
          <t>Ángulo secante máximo de la curva (bajo confinamiento; sección 7 del memo)</t>
        </is>
      </c>
    </row>
    <row r="10">
      <c r="A10" s="4" t="inlineStr">
        <is>
          <t>Hipótesis de curvatura</t>
        </is>
      </c>
    </row>
    <row r="11">
      <c r="A11" t="inlineStr">
        <is>
          <t>Hipótesis</t>
        </is>
      </c>
      <c r="B11" t="inlineStr">
        <is>
          <t>m</t>
        </is>
      </c>
      <c r="C11" t="inlineStr">
        <is>
          <t>φ′e=0 (°)</t>
        </is>
      </c>
      <c r="D11" t="inlineStr">
        <is>
          <t>Nota</t>
        </is>
      </c>
      <c r="E11" t="inlineStr">
        <is>
          <t>φ′e=0 P5 (°)</t>
        </is>
      </c>
      <c r="F11" t="inlineStr">
        <is>
          <t>φ′e=0 P95 (°)</t>
        </is>
      </c>
    </row>
    <row r="12">
      <c r="A12" t="inlineStr">
        <is>
          <t>m P90 entre materiales</t>
        </is>
      </c>
      <c r="B12" t="n">
        <v>0.923</v>
      </c>
      <c r="C12" t="n">
        <v>48.24035893291905</v>
      </c>
      <c r="D12" t="inlineStr">
        <is>
          <t>Nivel reajustado a los ensayos de Antamina con esa m (a33)</t>
        </is>
      </c>
      <c r="E12" t="n">
        <v>46.5623440480554</v>
      </c>
      <c r="F12" t="n">
        <v>50.02548039308512</v>
      </c>
    </row>
    <row r="13">
      <c r="A13" t="inlineStr">
        <is>
          <t>m alto (IC 90 %)</t>
        </is>
      </c>
      <c r="B13" t="n">
        <v>0.862</v>
      </c>
      <c r="C13" t="n">
        <v>48.43051857138057</v>
      </c>
      <c r="D13" t="inlineStr">
        <is>
          <t>Nivel reajustado a los ensayos de Antamina con esa m (a33)</t>
        </is>
      </c>
      <c r="E13" t="n">
        <v>46.51306505838177</v>
      </c>
      <c r="F13" t="n">
        <v>50.43221557042018</v>
      </c>
    </row>
    <row r="14">
      <c r="A14" t="inlineStr">
        <is>
          <t>Curva propuesta</t>
        </is>
      </c>
      <c r="B14" t="n">
        <v>0.85</v>
      </c>
      <c r="C14" t="n">
        <v>48.47048190770352</v>
      </c>
      <c r="D14" t="inlineStr">
        <is>
          <t>Nivel reajustado a los ensayos de Antamina con esa m (a33)</t>
        </is>
      </c>
      <c r="E14" t="n">
        <v>46.35652201010235</v>
      </c>
      <c r="F14" t="n">
        <v>50.52661718305876</v>
      </c>
    </row>
    <row r="15">
      <c r="A15" t="inlineStr">
        <is>
          <t>m bajo (IC 90 %)</t>
        </is>
      </c>
      <c r="B15" t="n">
        <v>0.834</v>
      </c>
      <c r="C15" t="n">
        <v>48.52514813219322</v>
      </c>
      <c r="D15" t="inlineStr">
        <is>
          <t>Nivel reajustado a los ensayos de Antamina con esa m (a33)</t>
        </is>
      </c>
      <c r="E15" t="n">
        <v>46.39820472858209</v>
      </c>
      <c r="F15" t="n">
        <v>50.63382438516361</v>
      </c>
    </row>
    <row r="16">
      <c r="A16" t="inlineStr">
        <is>
          <t>m P10 entre materiales</t>
        </is>
      </c>
      <c r="B16" t="n">
        <v>0.787</v>
      </c>
      <c r="C16" t="n">
        <v>48.6953452579273</v>
      </c>
      <c r="D16" t="inlineStr">
        <is>
          <t>Nivel reajustado a los ensayos de Antamina con esa m (a33)</t>
        </is>
      </c>
      <c r="E16" t="n">
        <v>46.30383995626894</v>
      </c>
      <c r="F16" t="n">
        <v>51.12412447634013</v>
      </c>
    </row>
    <row r="17">
      <c r="A17" t="inlineStr">
        <is>
          <t>Antamina sola (m = 1), sensibilidad</t>
        </is>
      </c>
      <c r="B17" t="n">
        <v>1</v>
      </c>
      <c r="C17" t="n">
        <v>48.02892682288794</v>
      </c>
      <c r="D17" t="inlineStr">
        <is>
          <t>Nivel reajustado a los ensayos de Antamina con esa m (a33)</t>
        </is>
      </c>
      <c r="E17" t="n">
        <v>46.49327318786349</v>
      </c>
      <c r="F17" t="n">
        <v>49.64224486767613</v>
      </c>
    </row>
    <row r="19">
      <c r="A19" t="inlineStr">
        <is>
          <t>Cc perfil A, 0.2–0.8 MPa</t>
        </is>
      </c>
      <c r="B19" s="2" t="n">
        <v>0.07474338213496551</v>
      </c>
      <c r="C19" t="inlineStr">
        <is>
          <t>-</t>
        </is>
      </c>
      <c r="D19" t="inlineStr">
        <is>
          <t>Edómetro de mármol suelto (a13)</t>
        </is>
      </c>
    </row>
    <row r="20">
      <c r="A20" t="inlineStr">
        <is>
          <t>Cc perfil A, 1.2–4.8 MPa</t>
        </is>
      </c>
      <c r="B20" s="2" t="n">
        <v>0.1145612523015702</v>
      </c>
      <c r="C20" t="inlineStr">
        <is>
          <t>-</t>
        </is>
      </c>
      <c r="D20" t="inlineStr">
        <is>
          <t>Edómetro de mármol suelto (a13)</t>
        </is>
      </c>
    </row>
    <row r="21">
      <c r="A21" t="inlineStr">
        <is>
          <t>σ′v mínima de la ley del perfil A</t>
        </is>
      </c>
      <c r="B21" s="2" t="n">
        <v>0.05</v>
      </c>
      <c r="C21" t="inlineStr">
        <is>
          <t>MPa</t>
        </is>
      </c>
      <c r="D21" t="inlineStr">
        <is>
          <t>a13</t>
        </is>
      </c>
    </row>
    <row r="22">
      <c r="A22" t="inlineStr">
        <is>
          <t>Peso del residuo del corte directo</t>
        </is>
      </c>
      <c r="B22" s="2" t="n">
        <v>1.64458487283376</v>
      </c>
      <c r="C22" t="inlineStr">
        <is>
          <t>-</t>
        </is>
      </c>
      <c r="D22" t="inlineStr">
        <is>
          <t>Iguala la sensibilidad al ángulo de ln q y ln τ (a9)</t>
        </is>
      </c>
    </row>
    <row r="23">
      <c r="A23" t="inlineStr">
        <is>
          <t>Control: φ′e=0 con la composición del DDE (44/56)</t>
        </is>
      </c>
      <c r="B23" t="n">
        <v>48.42184409138804</v>
      </c>
      <c r="C23" t="inlineStr">
        <is>
          <t>°</t>
        </is>
      </c>
      <c r="D23" t="inlineStr">
        <is>
          <t>IFF-115-G-0001 Rev. B, Tabla 3-1: intrusivo y exoskarn 44 %, hornfels y mármol 56 % (repartido por igual)</t>
        </is>
      </c>
    </row>
    <row r="24">
      <c r="A24" t="inlineStr">
        <is>
          <t>Control: φ′e=0 con la composición de LE2</t>
        </is>
      </c>
      <c r="B24" t="n">
        <v>47.08993869594659</v>
      </c>
      <c r="C24" t="inlineStr">
        <is>
          <t>°</t>
        </is>
      </c>
      <c r="D24" t="inlineStr">
        <is>
          <t>MR2024, períodos ≥2035: mármol 37.8 %, hornfels 15.5 %, intrusivo 17.0 %, caliza y margas 29.6 % (sin ensayos; asimiladas al mármol)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30" customWidth="1" min="3" max="3"/>
    <col width="11" customWidth="1" min="4" max="4"/>
    <col width="18" customWidth="1" min="5" max="5"/>
    <col width="26" customWidth="1" min="6" max="6"/>
    <col width="34" customWidth="1" min="7" max="7"/>
    <col width="7" customWidth="1" min="8" max="8"/>
    <col width="8" customWidth="1" min="9" max="9"/>
    <col width="7" customWidth="1" min="10" max="10"/>
    <col width="9" customWidth="1" min="11" max="11"/>
    <col width="9" customWidth="1" min="12" max="12"/>
    <col width="9" customWidth="1" min="13" max="13"/>
    <col width="9" customWidth="1" min="14" max="14"/>
    <col width="8" customWidth="1" min="15" max="15"/>
    <col width="9" customWidth="1" min="16" max="16"/>
    <col width="14" customWidth="1" min="17" max="17"/>
    <col width="9" customWidth="1" min="18" max="18"/>
    <col width="7" customWidth="1" min="19" max="19"/>
    <col width="34" customWidth="1" min="20" max="20"/>
    <col width="7" customWidth="1" min="21" max="21"/>
    <col width="11" customWidth="1" min="22" max="22"/>
    <col width="11" customWidth="1" min="23" max="23"/>
  </cols>
  <sheetData>
    <row r="1">
      <c r="A1" s="1" t="inlineStr">
        <is>
          <t>Fuente</t>
        </is>
      </c>
      <c r="B1" s="1" t="inlineStr">
        <is>
          <t>Set</t>
        </is>
      </c>
      <c r="C1" s="1" t="inlineStr">
        <is>
          <t>Ensayo (id)</t>
        </is>
      </c>
      <c r="D1" s="1" t="inlineStr">
        <is>
          <t>Litología</t>
        </is>
      </c>
      <c r="E1" s="1" t="inlineStr">
        <is>
          <t>Tipo</t>
        </is>
      </c>
      <c r="F1" s="1" t="inlineStr">
        <is>
          <t>Uso</t>
        </is>
      </c>
      <c r="G1" s="1" t="inlineStr">
        <is>
          <t>Motivo</t>
        </is>
      </c>
      <c r="H1" s="1" t="inlineStr">
        <is>
          <t>D (m)</t>
        </is>
      </c>
      <c r="I1" s="1" t="inlineStr">
        <is>
          <t>Dmax (mm)</t>
        </is>
      </c>
      <c r="J1" s="1" t="inlineStr">
        <is>
          <t>e0</t>
        </is>
      </c>
      <c r="K1" s="1" t="inlineStr">
        <is>
          <t>σ′3 (MPa)</t>
        </is>
      </c>
      <c r="L1" s="1" t="inlineStr">
        <is>
          <t>σ′1 (MPa)</t>
        </is>
      </c>
      <c r="M1" s="1" t="inlineStr">
        <is>
          <t>σ′n (MPa)</t>
        </is>
      </c>
      <c r="N1" s="1" t="inlineStr">
        <is>
          <t>τ (MPa)</t>
        </is>
      </c>
      <c r="O1" s="1" t="inlineStr">
        <is>
          <t>φ′s (°)</t>
        </is>
      </c>
      <c r="P1" s="1" t="inlineStr">
        <is>
          <t>φ′s a e base (°)</t>
        </is>
      </c>
      <c r="Q1" s="1" t="inlineStr">
        <is>
          <t>φ′s predicha por la curva (mismo σ′n y e0 del ensayo) (°)</t>
        </is>
      </c>
      <c r="R1" s="1" t="inlineStr">
        <is>
          <t>Δφ′s ensayo − curva (°)</t>
        </is>
      </c>
      <c r="S1" s="1" t="inlineStr">
        <is>
          <t>εa (%)</t>
        </is>
      </c>
      <c r="T1" s="1" t="inlineStr">
        <is>
          <t>Criterio de falla</t>
        </is>
      </c>
      <c r="U1" s="1" t="inlineStr">
        <is>
          <t>Página</t>
        </is>
      </c>
      <c r="V1" s="1" t="inlineStr">
        <is>
          <t>φ′1 del ensayo a su e0 (°)</t>
        </is>
      </c>
      <c r="W1" s="1" t="inlineStr">
        <is>
          <t>φ′1 del ensayo a e base (°)</t>
        </is>
      </c>
    </row>
    <row r="2">
      <c r="A2" t="inlineStr">
        <is>
          <t>G2012</t>
        </is>
      </c>
      <c r="B2" t="inlineStr">
        <is>
          <t>G2012-MN-C</t>
        </is>
      </c>
      <c r="C2" t="inlineStr">
        <is>
          <t>Test 1 / Probeta 1 (σ'c = 5 kg/cm²)</t>
        </is>
      </c>
      <c r="D2" t="inlineStr">
        <is>
          <t>Mármol</t>
        </is>
      </c>
      <c r="E2" t="inlineStr">
        <is>
          <t>Triaxial CD</t>
        </is>
      </c>
      <c r="F2" t="inlineStr">
        <is>
          <t>Ajuste de la curva propuesta</t>
        </is>
      </c>
      <c r="G2" t="inlineStr"/>
      <c r="H2" t="n">
        <v>1</v>
      </c>
      <c r="I2" t="n">
        <v>177.8</v>
      </c>
      <c r="J2" t="n">
        <v>0.3119684466019417</v>
      </c>
      <c r="K2" t="n">
        <v>0.4903</v>
      </c>
      <c r="L2" t="n">
        <v>2.2712</v>
      </c>
      <c r="M2">
        <f>(L2+K2)/2-(L2-K2)/2*((SQRT(4*m_*(m_-1)*(L2-K2)^2+(L2+K2)^2)-(L2+K2))/(2*(m_-1)*(L2-K2)))</f>
        <v/>
      </c>
      <c r="N2">
        <f>(L2-K2)/2*SQRT(1-((SQRT(4*m_*(m_-1)*(L2-K2)^2+(L2+K2)^2)-(L2+K2))/(2*(m_-1)*(L2-K2)))^2)</f>
        <v/>
      </c>
      <c r="O2">
        <f>DEGREES(ATAN(N2/M2))</f>
        <v/>
      </c>
      <c r="P2">
        <f>O2-omega*(e_base-J2)</f>
        <v/>
      </c>
      <c r="Q2">
        <f>DEGREES(ATAN(TAN(RADIANS(pe0-omega*J2))*(M2/sref)^(m_-1)))</f>
        <v/>
      </c>
      <c r="R2">
        <f>O2-Q2</f>
        <v/>
      </c>
      <c r="S2" t="n">
        <v>17.27</v>
      </c>
      <c r="T2" t="inlineStr">
        <is>
          <t>CD: máximo desviador</t>
        </is>
      </c>
      <c r="U2" t="inlineStr">
        <is>
          <t>7;29;27;28;17;10</t>
        </is>
      </c>
      <c r="V2">
        <f>DEGREES(ATAN(TAN(RADIANS(O2))*(M2/sref)^(1-m_)))</f>
        <v/>
      </c>
      <c r="W2">
        <f>V2-omega*(e_base-J2)</f>
        <v/>
      </c>
    </row>
    <row r="3">
      <c r="A3" t="inlineStr">
        <is>
          <t>G2012</t>
        </is>
      </c>
      <c r="B3" t="inlineStr">
        <is>
          <t>G2012-MN-C</t>
        </is>
      </c>
      <c r="C3" t="inlineStr">
        <is>
          <t>Test 2 / Probeta 2 (σ'c = 5 kg/cm²)</t>
        </is>
      </c>
      <c r="D3" t="inlineStr">
        <is>
          <t>Mármol</t>
        </is>
      </c>
      <c r="E3" t="inlineStr">
        <is>
          <t>Triaxial CD</t>
        </is>
      </c>
      <c r="F3" t="inlineStr">
        <is>
          <t>Ajuste de la curva propuesta</t>
        </is>
      </c>
      <c r="G3" t="inlineStr"/>
      <c r="H3" t="n">
        <v>1</v>
      </c>
      <c r="I3" t="n">
        <v>177.8</v>
      </c>
      <c r="J3" t="n">
        <v>0.3119684466019417</v>
      </c>
      <c r="K3" t="n">
        <v>0.4903</v>
      </c>
      <c r="L3" t="n">
        <v>2.1928</v>
      </c>
      <c r="M3">
        <f>(L3+K3)/2-(L3-K3)/2*((SQRT(4*m_*(m_-1)*(L3-K3)^2+(L3+K3)^2)-(L3+K3))/(2*(m_-1)*(L3-K3)))</f>
        <v/>
      </c>
      <c r="N3">
        <f>(L3-K3)/2*SQRT(1-((SQRT(4*m_*(m_-1)*(L3-K3)^2+(L3+K3)^2)-(L3+K3))/(2*(m_-1)*(L3-K3)))^2)</f>
        <v/>
      </c>
      <c r="O3">
        <f>DEGREES(ATAN(N3/M3))</f>
        <v/>
      </c>
      <c r="P3">
        <f>O3-omega*(e_base-J3)</f>
        <v/>
      </c>
      <c r="Q3">
        <f>DEGREES(ATAN(TAN(RADIANS(pe0-omega*J3))*(M3/sref)^(m_-1)))</f>
        <v/>
      </c>
      <c r="R3">
        <f>O3-Q3</f>
        <v/>
      </c>
      <c r="S3" t="n">
        <v>18.26</v>
      </c>
      <c r="T3" t="inlineStr">
        <is>
          <t>CD: máximo desviador</t>
        </is>
      </c>
      <c r="U3" t="inlineStr">
        <is>
          <t>7;40;27;28;17;10</t>
        </is>
      </c>
      <c r="V3">
        <f>DEGREES(ATAN(TAN(RADIANS(O3))*(M3/sref)^(1-m_)))</f>
        <v/>
      </c>
      <c r="W3">
        <f>V3-omega*(e_base-J3)</f>
        <v/>
      </c>
    </row>
    <row r="4">
      <c r="A4" t="inlineStr">
        <is>
          <t>G2012</t>
        </is>
      </c>
      <c r="B4" t="inlineStr">
        <is>
          <t>G2012-MN-C</t>
        </is>
      </c>
      <c r="C4" t="inlineStr">
        <is>
          <t>Test 3 / Probeta 3 (σ'c = 10 kg/cm²)</t>
        </is>
      </c>
      <c r="D4" t="inlineStr">
        <is>
          <t>Mármol</t>
        </is>
      </c>
      <c r="E4" t="inlineStr">
        <is>
          <t>Triaxial CD</t>
        </is>
      </c>
      <c r="F4" t="inlineStr">
        <is>
          <t>Ajuste de la curva propuesta</t>
        </is>
      </c>
      <c r="G4" t="inlineStr"/>
      <c r="H4" t="n">
        <v>1</v>
      </c>
      <c r="I4" t="n">
        <v>177.8</v>
      </c>
      <c r="J4" t="n">
        <v>0.3119684466019417</v>
      </c>
      <c r="K4" t="n">
        <v>0.9807</v>
      </c>
      <c r="L4" t="n">
        <v>3.8972</v>
      </c>
      <c r="M4">
        <f>(L4+K4)/2-(L4-K4)/2*((SQRT(4*m_*(m_-1)*(L4-K4)^2+(L4+K4)^2)-(L4+K4))/(2*(m_-1)*(L4-K4)))</f>
        <v/>
      </c>
      <c r="N4">
        <f>(L4-K4)/2*SQRT(1-((SQRT(4*m_*(m_-1)*(L4-K4)^2+(L4+K4)^2)-(L4+K4))/(2*(m_-1)*(L4-K4)))^2)</f>
        <v/>
      </c>
      <c r="O4">
        <f>DEGREES(ATAN(N4/M4))</f>
        <v/>
      </c>
      <c r="P4">
        <f>O4-omega*(e_base-J4)</f>
        <v/>
      </c>
      <c r="Q4">
        <f>DEGREES(ATAN(TAN(RADIANS(pe0-omega*J4))*(M4/sref)^(m_-1)))</f>
        <v/>
      </c>
      <c r="R4">
        <f>O4-Q4</f>
        <v/>
      </c>
      <c r="S4" t="n">
        <v>18</v>
      </c>
      <c r="T4" t="inlineStr">
        <is>
          <t>CD: máximo desviador</t>
        </is>
      </c>
      <c r="U4" t="inlineStr">
        <is>
          <t>7;52;27;28;17;10</t>
        </is>
      </c>
      <c r="V4">
        <f>DEGREES(ATAN(TAN(RADIANS(O4))*(M4/sref)^(1-m_)))</f>
        <v/>
      </c>
      <c r="W4">
        <f>V4-omega*(e_base-J4)</f>
        <v/>
      </c>
    </row>
    <row r="5">
      <c r="A5" t="inlineStr">
        <is>
          <t>G2012</t>
        </is>
      </c>
      <c r="B5" t="inlineStr">
        <is>
          <t>G2012-MN-C</t>
        </is>
      </c>
      <c r="C5" t="inlineStr">
        <is>
          <t>Test 4 / Probeta 4 (σ'c = 20 kg/cm²)</t>
        </is>
      </c>
      <c r="D5" t="inlineStr">
        <is>
          <t>Mármol</t>
        </is>
      </c>
      <c r="E5" t="inlineStr">
        <is>
          <t>Triaxial CD</t>
        </is>
      </c>
      <c r="F5" t="inlineStr">
        <is>
          <t>Ajuste de la curva propuesta</t>
        </is>
      </c>
      <c r="G5" t="inlineStr"/>
      <c r="H5" t="n">
        <v>1</v>
      </c>
      <c r="I5" t="n">
        <v>177.8</v>
      </c>
      <c r="J5" t="n">
        <v>0.3119684466019417</v>
      </c>
      <c r="K5" t="n">
        <v>1.9613</v>
      </c>
      <c r="L5" t="n">
        <v>7.7786</v>
      </c>
      <c r="M5">
        <f>(L5+K5)/2-(L5-K5)/2*((SQRT(4*m_*(m_-1)*(L5-K5)^2+(L5+K5)^2)-(L5+K5))/(2*(m_-1)*(L5-K5)))</f>
        <v/>
      </c>
      <c r="N5">
        <f>(L5-K5)/2*SQRT(1-((SQRT(4*m_*(m_-1)*(L5-K5)^2+(L5+K5)^2)-(L5+K5))/(2*(m_-1)*(L5-K5)))^2)</f>
        <v/>
      </c>
      <c r="O5">
        <f>DEGREES(ATAN(N5/M5))</f>
        <v/>
      </c>
      <c r="P5">
        <f>O5-omega*(e_base-J5)</f>
        <v/>
      </c>
      <c r="Q5">
        <f>DEGREES(ATAN(TAN(RADIANS(pe0-omega*J5))*(M5/sref)^(m_-1)))</f>
        <v/>
      </c>
      <c r="R5">
        <f>O5-Q5</f>
        <v/>
      </c>
      <c r="S5" t="n">
        <v>19.59</v>
      </c>
      <c r="T5" t="inlineStr">
        <is>
          <t>CD: máximo desviador</t>
        </is>
      </c>
      <c r="U5" t="inlineStr">
        <is>
          <t>7;55;27;28;17;10</t>
        </is>
      </c>
      <c r="V5">
        <f>DEGREES(ATAN(TAN(RADIANS(O5))*(M5/sref)^(1-m_)))</f>
        <v/>
      </c>
      <c r="W5">
        <f>V5-omega*(e_base-J5)</f>
        <v/>
      </c>
    </row>
    <row r="6">
      <c r="A6" t="inlineStr">
        <is>
          <t>G2012</t>
        </is>
      </c>
      <c r="B6" t="inlineStr">
        <is>
          <t>G2012-MN-C</t>
        </is>
      </c>
      <c r="C6" t="inlineStr">
        <is>
          <t>Test 5 / Probeta 5 (σ'c = 20 kg/cm²)</t>
        </is>
      </c>
      <c r="D6" t="inlineStr">
        <is>
          <t>Mármol</t>
        </is>
      </c>
      <c r="E6" t="inlineStr">
        <is>
          <t>Triaxial CD</t>
        </is>
      </c>
      <c r="F6" t="inlineStr">
        <is>
          <t>Ajuste de la curva propuesta</t>
        </is>
      </c>
      <c r="G6" t="inlineStr"/>
      <c r="H6" t="n">
        <v>1</v>
      </c>
      <c r="I6" t="n">
        <v>177.8</v>
      </c>
      <c r="J6" t="n">
        <v>0.3119684466019417</v>
      </c>
      <c r="K6" t="n">
        <v>1.9613</v>
      </c>
      <c r="L6" t="n">
        <v>8.2905</v>
      </c>
      <c r="M6">
        <f>(L6+K6)/2-(L6-K6)/2*((SQRT(4*m_*(m_-1)*(L6-K6)^2+(L6+K6)^2)-(L6+K6))/(2*(m_-1)*(L6-K6)))</f>
        <v/>
      </c>
      <c r="N6">
        <f>(L6-K6)/2*SQRT(1-((SQRT(4*m_*(m_-1)*(L6-K6)^2+(L6+K6)^2)-(L6+K6))/(2*(m_-1)*(L6-K6)))^2)</f>
        <v/>
      </c>
      <c r="O6">
        <f>DEGREES(ATAN(N6/M6))</f>
        <v/>
      </c>
      <c r="P6">
        <f>O6-omega*(e_base-J6)</f>
        <v/>
      </c>
      <c r="Q6">
        <f>DEGREES(ATAN(TAN(RADIANS(pe0-omega*J6))*(M6/sref)^(m_-1)))</f>
        <v/>
      </c>
      <c r="R6">
        <f>O6-Q6</f>
        <v/>
      </c>
      <c r="S6" t="n">
        <v>17.78</v>
      </c>
      <c r="T6" t="inlineStr">
        <is>
          <t>CD: máximo desviador</t>
        </is>
      </c>
      <c r="U6" t="inlineStr">
        <is>
          <t>7;70;27;28;17;10</t>
        </is>
      </c>
      <c r="V6">
        <f>DEGREES(ATAN(TAN(RADIANS(O6))*(M6/sref)^(1-m_)))</f>
        <v/>
      </c>
      <c r="W6">
        <f>V6-omega*(e_base-J6)</f>
        <v/>
      </c>
    </row>
    <row r="7">
      <c r="A7" t="inlineStr">
        <is>
          <t>G2021</t>
        </is>
      </c>
      <c r="B7" t="inlineStr">
        <is>
          <t>G21-DESM-COMP</t>
        </is>
      </c>
      <c r="C7" t="inlineStr">
        <is>
          <t>II0471-E1</t>
        </is>
      </c>
      <c r="D7" t="inlineStr">
        <is>
          <t>Mezcla</t>
        </is>
      </c>
      <c r="E7" t="inlineStr">
        <is>
          <t>Triaxial CD</t>
        </is>
      </c>
      <c r="F7" t="inlineStr">
        <is>
          <t>Ajuste de la curva propuesta</t>
        </is>
      </c>
      <c r="G7" t="inlineStr"/>
      <c r="H7" t="n">
        <v>0.1524</v>
      </c>
      <c r="I7" t="n">
        <v>25.4</v>
      </c>
      <c r="J7" t="n">
        <v>0.3222733833484463</v>
      </c>
      <c r="K7" t="n">
        <v>0.098</v>
      </c>
      <c r="L7" t="n">
        <v>0.381</v>
      </c>
      <c r="M7">
        <f>(L7+K7)/2-(L7-K7)/2*((SQRT(4*m_*(m_-1)*(L7-K7)^2+(L7+K7)^2)-(L7+K7))/(2*(m_-1)*(L7-K7)))</f>
        <v/>
      </c>
      <c r="N7">
        <f>(L7-K7)/2*SQRT(1-((SQRT(4*m_*(m_-1)*(L7-K7)^2+(L7+K7)^2)-(L7+K7))/(2*(m_-1)*(L7-K7)))^2)</f>
        <v/>
      </c>
      <c r="O7">
        <f>DEGREES(ATAN(N7/M7))</f>
        <v/>
      </c>
      <c r="P7">
        <f>O7-omega*(e_base-J7)</f>
        <v/>
      </c>
      <c r="Q7">
        <f>DEGREES(ATAN(TAN(RADIANS(pe0-omega*J7))*(M7/sref)^(m_-1)))</f>
        <v/>
      </c>
      <c r="R7">
        <f>O7-Q7</f>
        <v/>
      </c>
      <c r="S7" t="n">
        <v>3.99</v>
      </c>
      <c r="T7" t="inlineStr">
        <is>
          <t>CD: máximo desviador</t>
        </is>
      </c>
      <c r="U7" t="inlineStr">
        <is>
          <t>20;108;46</t>
        </is>
      </c>
      <c r="V7">
        <f>DEGREES(ATAN(TAN(RADIANS(O7))*(M7/sref)^(1-m_)))</f>
        <v/>
      </c>
      <c r="W7">
        <f>V7-omega*(e_base-J7)</f>
        <v/>
      </c>
    </row>
    <row r="8">
      <c r="A8" t="inlineStr">
        <is>
          <t>G2021</t>
        </is>
      </c>
      <c r="B8" t="inlineStr">
        <is>
          <t>G21-DESM-COMP</t>
        </is>
      </c>
      <c r="C8" t="inlineStr">
        <is>
          <t>II0471-E2</t>
        </is>
      </c>
      <c r="D8" t="inlineStr">
        <is>
          <t>Mezcla</t>
        </is>
      </c>
      <c r="E8" t="inlineStr">
        <is>
          <t>Triaxial CD</t>
        </is>
      </c>
      <c r="F8" t="inlineStr">
        <is>
          <t>Ajuste de la curva propuesta</t>
        </is>
      </c>
      <c r="G8" t="inlineStr"/>
      <c r="H8" t="n">
        <v>0.1524</v>
      </c>
      <c r="I8" t="n">
        <v>25.4</v>
      </c>
      <c r="J8" t="n">
        <v>0.3222733833484463</v>
      </c>
      <c r="K8" t="n">
        <v>0.399</v>
      </c>
      <c r="L8" t="n">
        <v>1.917</v>
      </c>
      <c r="M8">
        <f>(L8+K8)/2-(L8-K8)/2*((SQRT(4*m_*(m_-1)*(L8-K8)^2+(L8+K8)^2)-(L8+K8))/(2*(m_-1)*(L8-K8)))</f>
        <v/>
      </c>
      <c r="N8">
        <f>(L8-K8)/2*SQRT(1-((SQRT(4*m_*(m_-1)*(L8-K8)^2+(L8+K8)^2)-(L8+K8))/(2*(m_-1)*(L8-K8)))^2)</f>
        <v/>
      </c>
      <c r="O8">
        <f>DEGREES(ATAN(N8/M8))</f>
        <v/>
      </c>
      <c r="P8">
        <f>O8-omega*(e_base-J8)</f>
        <v/>
      </c>
      <c r="Q8">
        <f>DEGREES(ATAN(TAN(RADIANS(pe0-omega*J8))*(M8/sref)^(m_-1)))</f>
        <v/>
      </c>
      <c r="R8">
        <f>O8-Q8</f>
        <v/>
      </c>
      <c r="S8" t="n">
        <v>20.21</v>
      </c>
      <c r="T8" t="inlineStr">
        <is>
          <t>CD: máximo desviador</t>
        </is>
      </c>
      <c r="U8" t="inlineStr">
        <is>
          <t>20;109;46</t>
        </is>
      </c>
      <c r="V8">
        <f>DEGREES(ATAN(TAN(RADIANS(O8))*(M8/sref)^(1-m_)))</f>
        <v/>
      </c>
      <c r="W8">
        <f>V8-omega*(e_base-J8)</f>
        <v/>
      </c>
    </row>
    <row r="9">
      <c r="A9" t="inlineStr">
        <is>
          <t>G2021</t>
        </is>
      </c>
      <c r="B9" t="inlineStr">
        <is>
          <t>G21-DESM-COMP</t>
        </is>
      </c>
      <c r="C9" t="inlineStr">
        <is>
          <t>II0471-E3</t>
        </is>
      </c>
      <c r="D9" t="inlineStr">
        <is>
          <t>Mezcla</t>
        </is>
      </c>
      <c r="E9" t="inlineStr">
        <is>
          <t>Triaxial CD</t>
        </is>
      </c>
      <c r="F9" t="inlineStr">
        <is>
          <t>Ajuste de la curva propuesta</t>
        </is>
      </c>
      <c r="G9" t="inlineStr"/>
      <c r="H9" t="n">
        <v>0.1524</v>
      </c>
      <c r="I9" t="n">
        <v>25.4</v>
      </c>
      <c r="J9" t="n">
        <v>0.323565296766471</v>
      </c>
      <c r="K9" t="n">
        <v>1.2</v>
      </c>
      <c r="L9" t="n">
        <v>5.847</v>
      </c>
      <c r="M9">
        <f>(L9+K9)/2-(L9-K9)/2*((SQRT(4*m_*(m_-1)*(L9-K9)^2+(L9+K9)^2)-(L9+K9))/(2*(m_-1)*(L9-K9)))</f>
        <v/>
      </c>
      <c r="N9">
        <f>(L9-K9)/2*SQRT(1-((SQRT(4*m_*(m_-1)*(L9-K9)^2+(L9+K9)^2)-(L9+K9))/(2*(m_-1)*(L9-K9)))^2)</f>
        <v/>
      </c>
      <c r="O9">
        <f>DEGREES(ATAN(N9/M9))</f>
        <v/>
      </c>
      <c r="P9">
        <f>O9-omega*(e_base-J9)</f>
        <v/>
      </c>
      <c r="Q9">
        <f>DEGREES(ATAN(TAN(RADIANS(pe0-omega*J9))*(M9/sref)^(m_-1)))</f>
        <v/>
      </c>
      <c r="R9">
        <f>O9-Q9</f>
        <v/>
      </c>
      <c r="S9" t="n">
        <v>12.09</v>
      </c>
      <c r="T9" t="inlineStr">
        <is>
          <t>CD: máximo desviador</t>
        </is>
      </c>
      <c r="U9" t="inlineStr">
        <is>
          <t>20;110;46</t>
        </is>
      </c>
      <c r="V9">
        <f>DEGREES(ATAN(TAN(RADIANS(O9))*(M9/sref)^(1-m_)))</f>
        <v/>
      </c>
      <c r="W9">
        <f>V9-omega*(e_base-J9)</f>
        <v/>
      </c>
    </row>
    <row r="10">
      <c r="A10" t="inlineStr">
        <is>
          <t>W2022</t>
        </is>
      </c>
      <c r="B10" t="inlineStr">
        <is>
          <t>HF-1.0m-IDIEM-mono</t>
        </is>
      </c>
      <c r="C10" t="inlineStr">
        <is>
          <t>Tabla 3 Hornfels Probeta 1 = IDIEM 1.555.677-B.2 PROBETA 1</t>
        </is>
      </c>
      <c r="D10" t="inlineStr">
        <is>
          <t>Hornfels</t>
        </is>
      </c>
      <c r="E10" t="inlineStr">
        <is>
          <t>Triaxial CD</t>
        </is>
      </c>
      <c r="F10" t="inlineStr">
        <is>
          <t>Ajuste de la curva propuesta</t>
        </is>
      </c>
      <c r="G10" t="inlineStr"/>
      <c r="H10" t="n">
        <v>1</v>
      </c>
      <c r="I10" t="n">
        <v>177.8</v>
      </c>
      <c r="J10" t="n">
        <v>0.3317313106796116</v>
      </c>
      <c r="K10" t="n">
        <v>0.981</v>
      </c>
      <c r="L10" t="n">
        <v>4.878</v>
      </c>
      <c r="M10">
        <f>(L10+K10)/2-(L10-K10)/2*((SQRT(4*m_*(m_-1)*(L10-K10)^2+(L10+K10)^2)-(L10+K10))/(2*(m_-1)*(L10-K10)))</f>
        <v/>
      </c>
      <c r="N10">
        <f>(L10-K10)/2*SQRT(1-((SQRT(4*m_*(m_-1)*(L10-K10)^2+(L10+K10)^2)-(L10+K10))/(2*(m_-1)*(L10-K10)))^2)</f>
        <v/>
      </c>
      <c r="O10">
        <f>DEGREES(ATAN(N10/M10))</f>
        <v/>
      </c>
      <c r="P10">
        <f>O10-omega*(e_base-J10)</f>
        <v/>
      </c>
      <c r="Q10">
        <f>DEGREES(ATAN(TAN(RADIANS(pe0-omega*J10))*(M10/sref)^(m_-1)))</f>
        <v/>
      </c>
      <c r="R10">
        <f>O10-Q10</f>
        <v/>
      </c>
      <c r="S10" t="n">
        <v>13.13</v>
      </c>
      <c r="T10" t="inlineStr">
        <is>
          <t>CD: máximo desviador</t>
        </is>
      </c>
      <c r="U10" t="inlineStr">
        <is>
          <t>10;233-236;62-63;41</t>
        </is>
      </c>
      <c r="V10">
        <f>DEGREES(ATAN(TAN(RADIANS(O10))*(M10/sref)^(1-m_)))</f>
        <v/>
      </c>
      <c r="W10">
        <f>V10-omega*(e_base-J10)</f>
        <v/>
      </c>
    </row>
    <row r="11">
      <c r="A11" t="inlineStr">
        <is>
          <t>W2022</t>
        </is>
      </c>
      <c r="B11" t="inlineStr">
        <is>
          <t>HF-1.0m-IDIEM-mono</t>
        </is>
      </c>
      <c r="C11" t="inlineStr">
        <is>
          <t>Tabla 3 Hornfels Probeta 2 = IDIEM 1.555.677-B.2 PROBETA 2</t>
        </is>
      </c>
      <c r="D11" t="inlineStr">
        <is>
          <t>Hornfels</t>
        </is>
      </c>
      <c r="E11" t="inlineStr">
        <is>
          <t>Triaxial CD</t>
        </is>
      </c>
      <c r="F11" t="inlineStr">
        <is>
          <t>Ajuste de la curva propuesta</t>
        </is>
      </c>
      <c r="G11" t="inlineStr"/>
      <c r="H11" t="n">
        <v>1</v>
      </c>
      <c r="I11" t="n">
        <v>177.8</v>
      </c>
      <c r="J11" t="n">
        <v>0.3317313106796116</v>
      </c>
      <c r="K11" t="n">
        <v>1.961</v>
      </c>
      <c r="L11" t="n">
        <v>11.021</v>
      </c>
      <c r="M11">
        <f>(L11+K11)/2-(L11-K11)/2*((SQRT(4*m_*(m_-1)*(L11-K11)^2+(L11+K11)^2)-(L11+K11))/(2*(m_-1)*(L11-K11)))</f>
        <v/>
      </c>
      <c r="N11">
        <f>(L11-K11)/2*SQRT(1-((SQRT(4*m_*(m_-1)*(L11-K11)^2+(L11+K11)^2)-(L11+K11))/(2*(m_-1)*(L11-K11)))^2)</f>
        <v/>
      </c>
      <c r="O11">
        <f>DEGREES(ATAN(N11/M11))</f>
        <v/>
      </c>
      <c r="P11">
        <f>O11-omega*(e_base-J11)</f>
        <v/>
      </c>
      <c r="Q11">
        <f>DEGREES(ATAN(TAN(RADIANS(pe0-omega*J11))*(M11/sref)^(m_-1)))</f>
        <v/>
      </c>
      <c r="R11">
        <f>O11-Q11</f>
        <v/>
      </c>
      <c r="S11" t="n">
        <v>19.04</v>
      </c>
      <c r="T11" t="inlineStr">
        <is>
          <t>CD: máximo desviador</t>
        </is>
      </c>
      <c r="U11" t="inlineStr">
        <is>
          <t>10;238-243;62-63;41</t>
        </is>
      </c>
      <c r="V11">
        <f>DEGREES(ATAN(TAN(RADIANS(O11))*(M11/sref)^(1-m_)))</f>
        <v/>
      </c>
      <c r="W11">
        <f>V11-omega*(e_base-J11)</f>
        <v/>
      </c>
    </row>
    <row r="12">
      <c r="A12" t="inlineStr">
        <is>
          <t>W2022</t>
        </is>
      </c>
      <c r="B12" t="inlineStr">
        <is>
          <t>HF-1.0m-IDIEM-mono</t>
        </is>
      </c>
      <c r="C12" t="inlineStr">
        <is>
          <t>Tabla 3 Hornfels Probeta 3 = IDIEM 1.555.677-B.2 PROBETA 3</t>
        </is>
      </c>
      <c r="D12" t="inlineStr">
        <is>
          <t>Hornfels</t>
        </is>
      </c>
      <c r="E12" t="inlineStr">
        <is>
          <t>Triaxial CD</t>
        </is>
      </c>
      <c r="F12" t="inlineStr">
        <is>
          <t>Ajuste de la curva propuesta</t>
        </is>
      </c>
      <c r="G12" t="inlineStr"/>
      <c r="H12" t="n">
        <v>1</v>
      </c>
      <c r="I12" t="n">
        <v>177.8</v>
      </c>
      <c r="J12" t="n">
        <v>0.3317313106796116</v>
      </c>
      <c r="K12" t="n">
        <v>2.452</v>
      </c>
      <c r="L12" t="n">
        <v>14.382</v>
      </c>
      <c r="M12">
        <f>(L12+K12)/2-(L12-K12)/2*((SQRT(4*m_*(m_-1)*(L12-K12)^2+(L12+K12)^2)-(L12+K12))/(2*(m_-1)*(L12-K12)))</f>
        <v/>
      </c>
      <c r="N12">
        <f>(L12-K12)/2*SQRT(1-((SQRT(4*m_*(m_-1)*(L12-K12)^2+(L12+K12)^2)-(L12+K12))/(2*(m_-1)*(L12-K12)))^2)</f>
        <v/>
      </c>
      <c r="O12">
        <f>DEGREES(ATAN(N12/M12))</f>
        <v/>
      </c>
      <c r="P12">
        <f>O12-omega*(e_base-J12)</f>
        <v/>
      </c>
      <c r="Q12">
        <f>DEGREES(ATAN(TAN(RADIANS(pe0-omega*J12))*(M12/sref)^(m_-1)))</f>
        <v/>
      </c>
      <c r="R12">
        <f>O12-Q12</f>
        <v/>
      </c>
      <c r="S12" t="n">
        <v>17.83</v>
      </c>
      <c r="T12" t="inlineStr">
        <is>
          <t>CD: máximo desviador</t>
        </is>
      </c>
      <c r="U12" t="inlineStr">
        <is>
          <t>10;245-250;62-63;41</t>
        </is>
      </c>
      <c r="V12">
        <f>DEGREES(ATAN(TAN(RADIANS(O12))*(M12/sref)^(1-m_)))</f>
        <v/>
      </c>
      <c r="W12">
        <f>V12-omega*(e_base-J12)</f>
        <v/>
      </c>
    </row>
    <row r="13">
      <c r="A13" t="inlineStr">
        <is>
          <t>W2022</t>
        </is>
      </c>
      <c r="B13" t="inlineStr">
        <is>
          <t>HF-1.0m-IDIEM-cd</t>
        </is>
      </c>
      <c r="C13" t="inlineStr">
        <is>
          <t>Tabla 3 Hornfels Probeta 4 = IDIEM 1.555.677-E PROBETA 1</t>
        </is>
      </c>
      <c r="D13" t="inlineStr">
        <is>
          <t>Hornfels</t>
        </is>
      </c>
      <c r="E13" t="inlineStr">
        <is>
          <t>Triaxial CD carga-descarga</t>
        </is>
      </c>
      <c r="F13" t="inlineStr">
        <is>
          <t>Ajuste de la curva propuesta</t>
        </is>
      </c>
      <c r="G13" t="inlineStr"/>
      <c r="H13" t="n">
        <v>1</v>
      </c>
      <c r="I13" t="n">
        <v>177.8</v>
      </c>
      <c r="J13" t="n">
        <v>0.3574302325581395</v>
      </c>
      <c r="K13" t="n">
        <v>0.981</v>
      </c>
      <c r="L13" t="n">
        <v>4.801</v>
      </c>
      <c r="M13">
        <f>(L13+K13)/2-(L13-K13)/2*((SQRT(4*m_*(m_-1)*(L13-K13)^2+(L13+K13)^2)-(L13+K13))/(2*(m_-1)*(L13-K13)))</f>
        <v/>
      </c>
      <c r="N13">
        <f>(L13-K13)/2*SQRT(1-((SQRT(4*m_*(m_-1)*(L13-K13)^2+(L13+K13)^2)-(L13+K13))/(2*(m_-1)*(L13-K13)))^2)</f>
        <v/>
      </c>
      <c r="O13">
        <f>DEGREES(ATAN(N13/M13))</f>
        <v/>
      </c>
      <c r="P13">
        <f>O13-omega*(e_base-J13)</f>
        <v/>
      </c>
      <c r="Q13">
        <f>DEGREES(ATAN(TAN(RADIANS(pe0-omega*J13))*(M13/sref)^(m_-1)))</f>
        <v/>
      </c>
      <c r="R13">
        <f>O13-Q13</f>
        <v/>
      </c>
      <c r="S13" t="n">
        <v>19.15</v>
      </c>
      <c r="T13" t="inlineStr">
        <is>
          <t>CD: máximo desviador</t>
        </is>
      </c>
      <c r="U13" t="inlineStr">
        <is>
          <t>10;106-117;62-63;41</t>
        </is>
      </c>
      <c r="V13">
        <f>DEGREES(ATAN(TAN(RADIANS(O13))*(M13/sref)^(1-m_)))</f>
        <v/>
      </c>
      <c r="W13">
        <f>V13-omega*(e_base-J13)</f>
        <v/>
      </c>
    </row>
    <row r="14">
      <c r="A14" t="inlineStr">
        <is>
          <t>W2022</t>
        </is>
      </c>
      <c r="B14" t="inlineStr">
        <is>
          <t>HF-1.0m-IDIEM-cd</t>
        </is>
      </c>
      <c r="C14" t="inlineStr">
        <is>
          <t>Tabla 3 Hornfels Probeta 5 = IDIEM 1.555.677-E PROBETA 2</t>
        </is>
      </c>
      <c r="D14" t="inlineStr">
        <is>
          <t>Hornfels</t>
        </is>
      </c>
      <c r="E14" t="inlineStr">
        <is>
          <t>Triaxial CD carga-descarga</t>
        </is>
      </c>
      <c r="F14" t="inlineStr">
        <is>
          <t>Ajuste de la curva propuesta</t>
        </is>
      </c>
      <c r="G14" t="inlineStr"/>
      <c r="H14" t="n">
        <v>1</v>
      </c>
      <c r="I14" t="n">
        <v>177.8</v>
      </c>
      <c r="J14" t="n">
        <v>0.3574302325581395</v>
      </c>
      <c r="K14" t="n">
        <v>1.961</v>
      </c>
      <c r="L14" t="n">
        <v>11.664</v>
      </c>
      <c r="M14">
        <f>(L14+K14)/2-(L14-K14)/2*((SQRT(4*m_*(m_-1)*(L14-K14)^2+(L14+K14)^2)-(L14+K14))/(2*(m_-1)*(L14-K14)))</f>
        <v/>
      </c>
      <c r="N14">
        <f>(L14-K14)/2*SQRT(1-((SQRT(4*m_*(m_-1)*(L14-K14)^2+(L14+K14)^2)-(L14+K14))/(2*(m_-1)*(L14-K14)))^2)</f>
        <v/>
      </c>
      <c r="O14">
        <f>DEGREES(ATAN(N14/M14))</f>
        <v/>
      </c>
      <c r="P14">
        <f>O14-omega*(e_base-J14)</f>
        <v/>
      </c>
      <c r="Q14">
        <f>DEGREES(ATAN(TAN(RADIANS(pe0-omega*J14))*(M14/sref)^(m_-1)))</f>
        <v/>
      </c>
      <c r="R14">
        <f>O14-Q14</f>
        <v/>
      </c>
      <c r="S14" t="n">
        <v>18.8</v>
      </c>
      <c r="T14" t="inlineStr">
        <is>
          <t>CD: máximo desviador</t>
        </is>
      </c>
      <c r="U14" t="inlineStr">
        <is>
          <t>10;119-167;62-63;41</t>
        </is>
      </c>
      <c r="V14">
        <f>DEGREES(ATAN(TAN(RADIANS(O14))*(M14/sref)^(1-m_)))</f>
        <v/>
      </c>
      <c r="W14">
        <f>V14-omega*(e_base-J14)</f>
        <v/>
      </c>
    </row>
    <row r="15">
      <c r="A15" t="inlineStr">
        <is>
          <t>W2022</t>
        </is>
      </c>
      <c r="B15" t="inlineStr">
        <is>
          <t>HF-1.0m-IDIEM-cd</t>
        </is>
      </c>
      <c r="C15" t="inlineStr">
        <is>
          <t>Tabla 3 Hornfels Probeta 6 = IDIEM 1.555.677-E PROBETA 3</t>
        </is>
      </c>
      <c r="D15" t="inlineStr">
        <is>
          <t>Hornfels</t>
        </is>
      </c>
      <c r="E15" t="inlineStr">
        <is>
          <t>Triaxial CD carga-descarga</t>
        </is>
      </c>
      <c r="F15" t="inlineStr">
        <is>
          <t>Ajuste de la curva propuesta</t>
        </is>
      </c>
      <c r="G15" t="inlineStr"/>
      <c r="H15" t="n">
        <v>1</v>
      </c>
      <c r="I15" t="n">
        <v>177.8</v>
      </c>
      <c r="J15" t="n">
        <v>0.3574302325581395</v>
      </c>
      <c r="K15" t="n">
        <v>2.452</v>
      </c>
      <c r="L15" t="n">
        <v>15.381</v>
      </c>
      <c r="M15">
        <f>(L15+K15)/2-(L15-K15)/2*((SQRT(4*m_*(m_-1)*(L15-K15)^2+(L15+K15)^2)-(L15+K15))/(2*(m_-1)*(L15-K15)))</f>
        <v/>
      </c>
      <c r="N15">
        <f>(L15-K15)/2*SQRT(1-((SQRT(4*m_*(m_-1)*(L15-K15)^2+(L15+K15)^2)-(L15+K15))/(2*(m_-1)*(L15-K15)))^2)</f>
        <v/>
      </c>
      <c r="O15">
        <f>DEGREES(ATAN(N15/M15))</f>
        <v/>
      </c>
      <c r="P15">
        <f>O15-omega*(e_base-J15)</f>
        <v/>
      </c>
      <c r="Q15">
        <f>DEGREES(ATAN(TAN(RADIANS(pe0-omega*J15))*(M15/sref)^(m_-1)))</f>
        <v/>
      </c>
      <c r="R15">
        <f>O15-Q15</f>
        <v/>
      </c>
      <c r="S15" t="n">
        <v>18.98</v>
      </c>
      <c r="T15" t="inlineStr">
        <is>
          <t>CD: máximo desviador</t>
        </is>
      </c>
      <c r="U15" t="inlineStr">
        <is>
          <t>10;169-227;62-63;41</t>
        </is>
      </c>
      <c r="V15">
        <f>DEGREES(ATAN(TAN(RADIANS(O15))*(M15/sref)^(1-m_)))</f>
        <v/>
      </c>
      <c r="W15">
        <f>V15-omega*(e_base-J15)</f>
        <v/>
      </c>
    </row>
    <row r="16">
      <c r="A16" t="inlineStr">
        <is>
          <t>W2022</t>
        </is>
      </c>
      <c r="B16" t="inlineStr">
        <is>
          <t>HF-0.15m-Golder</t>
        </is>
      </c>
      <c r="C16" t="inlineStr">
        <is>
          <t>Tabla 3 Hornfels Probeta 7 = CID 6" HR (Golder B21-132)</t>
        </is>
      </c>
      <c r="D16" t="inlineStr">
        <is>
          <t>Hornfels</t>
        </is>
      </c>
      <c r="E16" t="inlineStr">
        <is>
          <t>Triaxial CD carga-descarga</t>
        </is>
      </c>
      <c r="F16" t="inlineStr">
        <is>
          <t>Ajuste de la curva propuesta</t>
        </is>
      </c>
      <c r="G16" t="inlineStr"/>
      <c r="H16" t="n">
        <v>0.152</v>
      </c>
      <c r="I16" t="n">
        <v>25.4</v>
      </c>
      <c r="J16" t="n">
        <v>0.3330255102040818</v>
      </c>
      <c r="K16" t="n">
        <v>0.977</v>
      </c>
      <c r="L16" t="n">
        <v>5.076</v>
      </c>
      <c r="M16">
        <f>(L16+K16)/2-(L16-K16)/2*((SQRT(4*m_*(m_-1)*(L16-K16)^2+(L16+K16)^2)-(L16+K16))/(2*(m_-1)*(L16-K16)))</f>
        <v/>
      </c>
      <c r="N16">
        <f>(L16-K16)/2*SQRT(1-((SQRT(4*m_*(m_-1)*(L16-K16)^2+(L16+K16)^2)-(L16+K16))/(2*(m_-1)*(L16-K16)))^2)</f>
        <v/>
      </c>
      <c r="O16">
        <f>DEGREES(ATAN(N16/M16))</f>
        <v/>
      </c>
      <c r="P16">
        <f>O16-omega*(e_base-J16)</f>
        <v/>
      </c>
      <c r="Q16">
        <f>DEGREES(ATAN(TAN(RADIANS(pe0-omega*J16))*(M16/sref)^(m_-1)))</f>
        <v/>
      </c>
      <c r="R16">
        <f>O16-Q16</f>
        <v/>
      </c>
      <c r="S16" t="n">
        <v>11.44</v>
      </c>
      <c r="T16" t="inlineStr">
        <is>
          <t>CD: máximo desviador</t>
        </is>
      </c>
      <c r="U16" t="inlineStr">
        <is>
          <t>10;350;353;351;6;41</t>
        </is>
      </c>
      <c r="V16">
        <f>DEGREES(ATAN(TAN(RADIANS(O16))*(M16/sref)^(1-m_)))</f>
        <v/>
      </c>
      <c r="W16">
        <f>V16-omega*(e_base-J16)</f>
        <v/>
      </c>
    </row>
    <row r="17">
      <c r="A17" t="inlineStr">
        <is>
          <t>W2022</t>
        </is>
      </c>
      <c r="B17" t="inlineStr">
        <is>
          <t>MN-0.15m-Golder</t>
        </is>
      </c>
      <c r="C17" t="inlineStr">
        <is>
          <t>Tabla 3 Mármol Negro Probeta 6 = CID 6" MR (Golder B21-132)</t>
        </is>
      </c>
      <c r="D17" t="inlineStr">
        <is>
          <t>Mármol</t>
        </is>
      </c>
      <c r="E17" t="inlineStr">
        <is>
          <t>Triaxial CD carga-descarga</t>
        </is>
      </c>
      <c r="F17" t="inlineStr">
        <is>
          <t>Ajuste de la curva propuesta</t>
        </is>
      </c>
      <c r="G17" t="inlineStr"/>
      <c r="H17" t="n">
        <v>0.1519</v>
      </c>
      <c r="I17" t="n">
        <v>25.4</v>
      </c>
      <c r="J17" t="n">
        <v>0.326782032400589</v>
      </c>
      <c r="K17" t="n">
        <v>0.982</v>
      </c>
      <c r="L17" t="n">
        <v>4.805</v>
      </c>
      <c r="M17">
        <f>(L17+K17)/2-(L17-K17)/2*((SQRT(4*m_*(m_-1)*(L17-K17)^2+(L17+K17)^2)-(L17+K17))/(2*(m_-1)*(L17-K17)))</f>
        <v/>
      </c>
      <c r="N17">
        <f>(L17-K17)/2*SQRT(1-((SQRT(4*m_*(m_-1)*(L17-K17)^2+(L17+K17)^2)-(L17+K17))/(2*(m_-1)*(L17-K17)))^2)</f>
        <v/>
      </c>
      <c r="O17">
        <f>DEGREES(ATAN(N17/M17))</f>
        <v/>
      </c>
      <c r="P17">
        <f>O17-omega*(e_base-J17)</f>
        <v/>
      </c>
      <c r="Q17">
        <f>DEGREES(ATAN(TAN(RADIANS(pe0-omega*J17))*(M17/sref)^(m_-1)))</f>
        <v/>
      </c>
      <c r="R17">
        <f>O17-Q17</f>
        <v/>
      </c>
      <c r="S17" t="n">
        <v>18.51</v>
      </c>
      <c r="T17" t="inlineStr">
        <is>
          <t>CD: máximo desviador</t>
        </is>
      </c>
      <c r="U17" t="inlineStr">
        <is>
          <t>10;357;355;7;41</t>
        </is>
      </c>
      <c r="V17">
        <f>DEGREES(ATAN(TAN(RADIANS(O17))*(M17/sref)^(1-m_)))</f>
        <v/>
      </c>
      <c r="W17">
        <f>V17-omega*(e_base-J17)</f>
        <v/>
      </c>
    </row>
    <row r="18">
      <c r="A18" t="inlineStr">
        <is>
          <t>W2024</t>
        </is>
      </c>
      <c r="B18" t="inlineStr">
        <is>
          <t>WSP24_C4_MON</t>
        </is>
      </c>
      <c r="C18" t="inlineStr">
        <is>
          <t>IDIEM 1.914.482-B Codisposal 4 Probeta 1 (TX M) Pc 5 kgf/cm2</t>
        </is>
      </c>
      <c r="D18" t="inlineStr">
        <is>
          <t>Intrusivo</t>
        </is>
      </c>
      <c r="E18" t="inlineStr">
        <is>
          <t>Triaxial CD</t>
        </is>
      </c>
      <c r="F18" t="inlineStr">
        <is>
          <t>Ajuste de la curva propuesta</t>
        </is>
      </c>
      <c r="G18" t="inlineStr"/>
      <c r="H18" t="n">
        <v>0.6</v>
      </c>
      <c r="I18" t="n">
        <v>101.6</v>
      </c>
      <c r="J18" t="n">
        <v>0.3540000000000001</v>
      </c>
      <c r="K18" t="n">
        <v>0.4903</v>
      </c>
      <c r="L18" t="n">
        <v>2.128</v>
      </c>
      <c r="M18">
        <f>(L18+K18)/2-(L18-K18)/2*((SQRT(4*m_*(m_-1)*(L18-K18)^2+(L18+K18)^2)-(L18+K18))/(2*(m_-1)*(L18-K18)))</f>
        <v/>
      </c>
      <c r="N18">
        <f>(L18-K18)/2*SQRT(1-((SQRT(4*m_*(m_-1)*(L18-K18)^2+(L18+K18)^2)-(L18+K18))/(2*(m_-1)*(L18-K18)))^2)</f>
        <v/>
      </c>
      <c r="O18">
        <f>DEGREES(ATAN(N18/M18))</f>
        <v/>
      </c>
      <c r="P18">
        <f>O18-omega*(e_base-J18)</f>
        <v/>
      </c>
      <c r="Q18">
        <f>DEGREES(ATAN(TAN(RADIANS(pe0-omega*J18))*(M18/sref)^(m_-1)))</f>
        <v/>
      </c>
      <c r="R18">
        <f>O18-Q18</f>
        <v/>
      </c>
      <c r="S18" t="n">
        <v>12.42</v>
      </c>
      <c r="T18" t="inlineStr">
        <is>
          <t>CD: máximo desviador</t>
        </is>
      </c>
      <c r="U18" t="inlineStr">
        <is>
          <t>111;112;15;93;36;132</t>
        </is>
      </c>
      <c r="V18">
        <f>DEGREES(ATAN(TAN(RADIANS(O18))*(M18/sref)^(1-m_)))</f>
        <v/>
      </c>
      <c r="W18">
        <f>V18-omega*(e_base-J18)</f>
        <v/>
      </c>
    </row>
    <row r="19">
      <c r="A19" t="inlineStr">
        <is>
          <t>W2024</t>
        </is>
      </c>
      <c r="B19" t="inlineStr">
        <is>
          <t>WSP24_C4_MON</t>
        </is>
      </c>
      <c r="C19" t="inlineStr">
        <is>
          <t>IDIEM 1.914.482-B Codisposal 4 Probeta 2 (TX M) Pc 10 kgf/cm2</t>
        </is>
      </c>
      <c r="D19" t="inlineStr">
        <is>
          <t>Intrusivo</t>
        </is>
      </c>
      <c r="E19" t="inlineStr">
        <is>
          <t>Triaxial CD</t>
        </is>
      </c>
      <c r="F19" t="inlineStr">
        <is>
          <t>Ajuste de la curva propuesta</t>
        </is>
      </c>
      <c r="G19" t="inlineStr"/>
      <c r="H19" t="n">
        <v>0.6</v>
      </c>
      <c r="I19" t="n">
        <v>101.6</v>
      </c>
      <c r="J19" t="n">
        <v>0.3540000000000001</v>
      </c>
      <c r="K19" t="n">
        <v>0.9807</v>
      </c>
      <c r="L19" t="n">
        <v>4.369800000000001</v>
      </c>
      <c r="M19">
        <f>(L19+K19)/2-(L19-K19)/2*((SQRT(4*m_*(m_-1)*(L19-K19)^2+(L19+K19)^2)-(L19+K19))/(2*(m_-1)*(L19-K19)))</f>
        <v/>
      </c>
      <c r="N19">
        <f>(L19-K19)/2*SQRT(1-((SQRT(4*m_*(m_-1)*(L19-K19)^2+(L19+K19)^2)-(L19+K19))/(2*(m_-1)*(L19-K19)))^2)</f>
        <v/>
      </c>
      <c r="O19">
        <f>DEGREES(ATAN(N19/M19))</f>
        <v/>
      </c>
      <c r="P19">
        <f>O19-omega*(e_base-J19)</f>
        <v/>
      </c>
      <c r="Q19">
        <f>DEGREES(ATAN(TAN(RADIANS(pe0-omega*J19))*(M19/sref)^(m_-1)))</f>
        <v/>
      </c>
      <c r="R19">
        <f>O19-Q19</f>
        <v/>
      </c>
      <c r="S19" t="n">
        <v>20.7</v>
      </c>
      <c r="T19" t="inlineStr">
        <is>
          <t>CD: máximo desviador</t>
        </is>
      </c>
      <c r="U19" t="inlineStr">
        <is>
          <t>114;115;15;93;36;132</t>
        </is>
      </c>
      <c r="V19">
        <f>DEGREES(ATAN(TAN(RADIANS(O19))*(M19/sref)^(1-m_)))</f>
        <v/>
      </c>
      <c r="W19">
        <f>V19-omega*(e_base-J19)</f>
        <v/>
      </c>
    </row>
    <row r="20">
      <c r="A20" t="inlineStr">
        <is>
          <t>W2024</t>
        </is>
      </c>
      <c r="B20" t="inlineStr">
        <is>
          <t>WSP24_C4_MON</t>
        </is>
      </c>
      <c r="C20" t="inlineStr">
        <is>
          <t>IDIEM 1.914.482-B Codisposal 4 Probeta 3 (TX M) Pc 20 kgf/cm2</t>
        </is>
      </c>
      <c r="D20" t="inlineStr">
        <is>
          <t>Intrusivo</t>
        </is>
      </c>
      <c r="E20" t="inlineStr">
        <is>
          <t>Triaxial CD</t>
        </is>
      </c>
      <c r="F20" t="inlineStr">
        <is>
          <t>Ajuste de la curva propuesta</t>
        </is>
      </c>
      <c r="G20" t="inlineStr"/>
      <c r="H20" t="n">
        <v>0.6</v>
      </c>
      <c r="I20" t="n">
        <v>101.6</v>
      </c>
      <c r="J20" t="n">
        <v>0.3540000000000001</v>
      </c>
      <c r="K20" t="n">
        <v>1.9613</v>
      </c>
      <c r="L20" t="n">
        <v>8.9849</v>
      </c>
      <c r="M20">
        <f>(L20+K20)/2-(L20-K20)/2*((SQRT(4*m_*(m_-1)*(L20-K20)^2+(L20+K20)^2)-(L20+K20))/(2*(m_-1)*(L20-K20)))</f>
        <v/>
      </c>
      <c r="N20">
        <f>(L20-K20)/2*SQRT(1-((SQRT(4*m_*(m_-1)*(L20-K20)^2+(L20+K20)^2)-(L20+K20))/(2*(m_-1)*(L20-K20)))^2)</f>
        <v/>
      </c>
      <c r="O20">
        <f>DEGREES(ATAN(N20/M20))</f>
        <v/>
      </c>
      <c r="P20">
        <f>O20-omega*(e_base-J20)</f>
        <v/>
      </c>
      <c r="Q20">
        <f>DEGREES(ATAN(TAN(RADIANS(pe0-omega*J20))*(M20/sref)^(m_-1)))</f>
        <v/>
      </c>
      <c r="R20">
        <f>O20-Q20</f>
        <v/>
      </c>
      <c r="S20" t="n">
        <v>19.43</v>
      </c>
      <c r="T20" t="inlineStr">
        <is>
          <t>CD: máximo desviador</t>
        </is>
      </c>
      <c r="U20" t="inlineStr">
        <is>
          <t>117;118;15;93;36;132</t>
        </is>
      </c>
      <c r="V20">
        <f>DEGREES(ATAN(TAN(RADIANS(O20))*(M20/sref)^(1-m_)))</f>
        <v/>
      </c>
      <c r="W20">
        <f>V20-omega*(e_base-J20)</f>
        <v/>
      </c>
    </row>
    <row r="21">
      <c r="A21" t="inlineStr">
        <is>
          <t>I2025</t>
        </is>
      </c>
      <c r="B21" t="inlineStr">
        <is>
          <t>Codisposal 1 (100% Intrusivo)</t>
        </is>
      </c>
      <c r="C21" t="inlineStr">
        <is>
          <t>Probeta 1</t>
        </is>
      </c>
      <c r="D21" t="inlineStr">
        <is>
          <t>Intrusivo</t>
        </is>
      </c>
      <c r="E21" t="inlineStr">
        <is>
          <t>Triaxial CD</t>
        </is>
      </c>
      <c r="F21" t="inlineStr">
        <is>
          <t>Ajuste de la curva propuesta</t>
        </is>
      </c>
      <c r="G21" t="inlineStr"/>
      <c r="H21" t="n">
        <v>1</v>
      </c>
      <c r="I21" t="n">
        <v>177.8</v>
      </c>
      <c r="J21" t="n">
        <v>0.2895864077669905</v>
      </c>
      <c r="K21" t="n">
        <v>0.4903</v>
      </c>
      <c r="L21" t="n">
        <v>2.1712</v>
      </c>
      <c r="M21">
        <f>(L21+K21)/2-(L21-K21)/2*((SQRT(4*m_*(m_-1)*(L21-K21)^2+(L21+K21)^2)-(L21+K21))/(2*(m_-1)*(L21-K21)))</f>
        <v/>
      </c>
      <c r="N21">
        <f>(L21-K21)/2*SQRT(1-((SQRT(4*m_*(m_-1)*(L21-K21)^2+(L21+K21)^2)-(L21+K21))/(2*(m_-1)*(L21-K21)))^2)</f>
        <v/>
      </c>
      <c r="O21">
        <f>DEGREES(ATAN(N21/M21))</f>
        <v/>
      </c>
      <c r="P21">
        <f>O21-omega*(e_base-J21)</f>
        <v/>
      </c>
      <c r="Q21">
        <f>DEGREES(ATAN(TAN(RADIANS(pe0-omega*J21))*(M21/sref)^(m_-1)))</f>
        <v/>
      </c>
      <c r="R21">
        <f>O21-Q21</f>
        <v/>
      </c>
      <c r="S21" t="n">
        <v>3.98</v>
      </c>
      <c r="T21" t="inlineStr">
        <is>
          <t>CD: máximo desviador</t>
        </is>
      </c>
      <c r="U21" t="inlineStr">
        <is>
          <t>10-14;15;8;29</t>
        </is>
      </c>
      <c r="V21">
        <f>DEGREES(ATAN(TAN(RADIANS(O21))*(M21/sref)^(1-m_)))</f>
        <v/>
      </c>
      <c r="W21">
        <f>V21-omega*(e_base-J21)</f>
        <v/>
      </c>
    </row>
    <row r="22">
      <c r="A22" t="inlineStr">
        <is>
          <t>I2025</t>
        </is>
      </c>
      <c r="B22" t="inlineStr">
        <is>
          <t>Codisposal 1 (100% Intrusivo)</t>
        </is>
      </c>
      <c r="C22" t="inlineStr">
        <is>
          <t>Probeta 2</t>
        </is>
      </c>
      <c r="D22" t="inlineStr">
        <is>
          <t>Intrusivo</t>
        </is>
      </c>
      <c r="E22" t="inlineStr">
        <is>
          <t>Triaxial CD</t>
        </is>
      </c>
      <c r="F22" t="inlineStr">
        <is>
          <t>Ajuste de la curva propuesta</t>
        </is>
      </c>
      <c r="G22" t="inlineStr"/>
      <c r="H22" t="n">
        <v>1</v>
      </c>
      <c r="I22" t="n">
        <v>177.8</v>
      </c>
      <c r="J22" t="n">
        <v>0.2895864077669905</v>
      </c>
      <c r="K22" t="n">
        <v>0.9807</v>
      </c>
      <c r="L22" t="n">
        <v>4.4287</v>
      </c>
      <c r="M22">
        <f>(L22+K22)/2-(L22-K22)/2*((SQRT(4*m_*(m_-1)*(L22-K22)^2+(L22+K22)^2)-(L22+K22))/(2*(m_-1)*(L22-K22)))</f>
        <v/>
      </c>
      <c r="N22">
        <f>(L22-K22)/2*SQRT(1-((SQRT(4*m_*(m_-1)*(L22-K22)^2+(L22+K22)^2)-(L22+K22))/(2*(m_-1)*(L22-K22)))^2)</f>
        <v/>
      </c>
      <c r="O22">
        <f>DEGREES(ATAN(N22/M22))</f>
        <v/>
      </c>
      <c r="P22">
        <f>O22-omega*(e_base-J22)</f>
        <v/>
      </c>
      <c r="Q22">
        <f>DEGREES(ATAN(TAN(RADIANS(pe0-omega*J22))*(M22/sref)^(m_-1)))</f>
        <v/>
      </c>
      <c r="R22">
        <f>O22-Q22</f>
        <v/>
      </c>
      <c r="S22" t="n">
        <v>12.97</v>
      </c>
      <c r="T22" t="inlineStr">
        <is>
          <t>CD: máximo desviador</t>
        </is>
      </c>
      <c r="U22" t="inlineStr">
        <is>
          <t>16-20;21;8;29</t>
        </is>
      </c>
      <c r="V22">
        <f>DEGREES(ATAN(TAN(RADIANS(O22))*(M22/sref)^(1-m_)))</f>
        <v/>
      </c>
      <c r="W22">
        <f>V22-omega*(e_base-J22)</f>
        <v/>
      </c>
    </row>
    <row r="23">
      <c r="A23" t="inlineStr">
        <is>
          <t>I2025</t>
        </is>
      </c>
      <c r="B23" t="inlineStr">
        <is>
          <t>Codisposal 1 (100% Intrusivo)</t>
        </is>
      </c>
      <c r="C23" t="inlineStr">
        <is>
          <t>Probeta 3</t>
        </is>
      </c>
      <c r="D23" t="inlineStr">
        <is>
          <t>Intrusivo</t>
        </is>
      </c>
      <c r="E23" t="inlineStr">
        <is>
          <t>Triaxial CD</t>
        </is>
      </c>
      <c r="F23" t="inlineStr">
        <is>
          <t>Ajuste de la curva propuesta</t>
        </is>
      </c>
      <c r="G23" t="inlineStr"/>
      <c r="H23" t="n">
        <v>1</v>
      </c>
      <c r="I23" t="n">
        <v>177.8</v>
      </c>
      <c r="J23" t="n">
        <v>0.2895864077669905</v>
      </c>
      <c r="K23" t="n">
        <v>1.9613</v>
      </c>
      <c r="L23" t="n">
        <v>8.6867</v>
      </c>
      <c r="M23">
        <f>(L23+K23)/2-(L23-K23)/2*((SQRT(4*m_*(m_-1)*(L23-K23)^2+(L23+K23)^2)-(L23+K23))/(2*(m_-1)*(L23-K23)))</f>
        <v/>
      </c>
      <c r="N23">
        <f>(L23-K23)/2*SQRT(1-((SQRT(4*m_*(m_-1)*(L23-K23)^2+(L23+K23)^2)-(L23+K23))/(2*(m_-1)*(L23-K23)))^2)</f>
        <v/>
      </c>
      <c r="O23">
        <f>DEGREES(ATAN(N23/M23))</f>
        <v/>
      </c>
      <c r="P23">
        <f>O23-omega*(e_base-J23)</f>
        <v/>
      </c>
      <c r="Q23">
        <f>DEGREES(ATAN(TAN(RADIANS(pe0-omega*J23))*(M23/sref)^(m_-1)))</f>
        <v/>
      </c>
      <c r="R23">
        <f>O23-Q23</f>
        <v/>
      </c>
      <c r="S23" t="n">
        <v>11.18</v>
      </c>
      <c r="T23" t="inlineStr">
        <is>
          <t>CD: máximo desviador</t>
        </is>
      </c>
      <c r="U23" t="inlineStr">
        <is>
          <t>22-27;28;8;29</t>
        </is>
      </c>
      <c r="V23">
        <f>DEGREES(ATAN(TAN(RADIANS(O23))*(M23/sref)^(1-m_)))</f>
        <v/>
      </c>
      <c r="W23">
        <f>V23-omega*(e_base-J23)</f>
        <v/>
      </c>
    </row>
    <row r="24">
      <c r="A24" t="inlineStr">
        <is>
          <t>A2024DS</t>
        </is>
      </c>
      <c r="B24" t="inlineStr">
        <is>
          <t>Ruma 02</t>
        </is>
      </c>
      <c r="C24" t="inlineStr">
        <is>
          <t>LSDS Ruma 02 (H-1 al H-12) σn=300</t>
        </is>
      </c>
      <c r="D24" t="inlineStr">
        <is>
          <t>Hornfels</t>
        </is>
      </c>
      <c r="E24" t="inlineStr">
        <is>
          <t>Corte directo CD</t>
        </is>
      </c>
      <c r="F24" t="inlineStr">
        <is>
          <t>Ajuste de la curva propuesta</t>
        </is>
      </c>
      <c r="G24" t="inlineStr"/>
      <c r="H24" t="n">
        <v>0.31</v>
      </c>
      <c r="I24" t="n">
        <v>25.4</v>
      </c>
      <c r="J24" t="n">
        <v>0.3316666666666665</v>
      </c>
      <c r="M24" t="n">
        <v>0.3</v>
      </c>
      <c r="N24" t="n">
        <v>0.2557</v>
      </c>
      <c r="O24">
        <f>DEGREES(ATAN(N24/M24))</f>
        <v/>
      </c>
      <c r="P24">
        <f>O24-omega*(e_base-J24)</f>
        <v/>
      </c>
      <c r="Q24">
        <f>DEGREES(ATAN(TAN(RADIANS(pe0-omega*J24))*(M24/sref)^(m_-1)))</f>
        <v/>
      </c>
      <c r="R24">
        <f>O24-Q24</f>
        <v/>
      </c>
      <c r="T24" t="inlineStr">
        <is>
          <t>CD: τ pico</t>
        </is>
      </c>
      <c r="V24">
        <f>DEGREES(ATAN(TAN(RADIANS(O24))*(M24/sref)^(1-m_)))</f>
        <v/>
      </c>
      <c r="W24">
        <f>V24-omega*(e_base-J24)</f>
        <v/>
      </c>
    </row>
    <row r="25">
      <c r="A25" t="inlineStr">
        <is>
          <t>A2024DS</t>
        </is>
      </c>
      <c r="B25" t="inlineStr">
        <is>
          <t>Ruma 02</t>
        </is>
      </c>
      <c r="C25" t="inlineStr">
        <is>
          <t>LSDS Ruma 02 (H-1 al H-12) σn=600</t>
        </is>
      </c>
      <c r="D25" t="inlineStr">
        <is>
          <t>Hornfels</t>
        </is>
      </c>
      <c r="E25" t="inlineStr">
        <is>
          <t>Corte directo CD</t>
        </is>
      </c>
      <c r="F25" t="inlineStr">
        <is>
          <t>Ajuste de la curva propuesta</t>
        </is>
      </c>
      <c r="G25" t="inlineStr"/>
      <c r="H25" t="n">
        <v>0.31</v>
      </c>
      <c r="I25" t="n">
        <v>25.4</v>
      </c>
      <c r="J25" t="n">
        <v>0.3316666666666665</v>
      </c>
      <c r="M25" t="n">
        <v>0.6</v>
      </c>
      <c r="N25" t="n">
        <v>0.4761000000000002</v>
      </c>
      <c r="O25">
        <f>DEGREES(ATAN(N25/M25))</f>
        <v/>
      </c>
      <c r="P25">
        <f>O25-omega*(e_base-J25)</f>
        <v/>
      </c>
      <c r="Q25">
        <f>DEGREES(ATAN(TAN(RADIANS(pe0-omega*J25))*(M25/sref)^(m_-1)))</f>
        <v/>
      </c>
      <c r="R25">
        <f>O25-Q25</f>
        <v/>
      </c>
      <c r="T25" t="inlineStr">
        <is>
          <t>CD: τ pico</t>
        </is>
      </c>
      <c r="V25">
        <f>DEGREES(ATAN(TAN(RADIANS(O25))*(M25/sref)^(1-m_)))</f>
        <v/>
      </c>
      <c r="W25">
        <f>V25-omega*(e_base-J25)</f>
        <v/>
      </c>
    </row>
    <row r="26">
      <c r="A26" t="inlineStr">
        <is>
          <t>A2024DS</t>
        </is>
      </c>
      <c r="B26" t="inlineStr">
        <is>
          <t>Ruma 02</t>
        </is>
      </c>
      <c r="C26" t="inlineStr">
        <is>
          <t>LSDS Ruma 02 (H-1 al H-12) σn=1200</t>
        </is>
      </c>
      <c r="D26" t="inlineStr">
        <is>
          <t>Hornfels</t>
        </is>
      </c>
      <c r="E26" t="inlineStr">
        <is>
          <t>Corte directo CD</t>
        </is>
      </c>
      <c r="F26" t="inlineStr">
        <is>
          <t>Ajuste de la curva propuesta</t>
        </is>
      </c>
      <c r="G26" t="inlineStr"/>
      <c r="H26" t="n">
        <v>0.31</v>
      </c>
      <c r="I26" t="n">
        <v>25.4</v>
      </c>
      <c r="J26" t="n">
        <v>0.3316666666666665</v>
      </c>
      <c r="M26" t="n">
        <v>1.2</v>
      </c>
      <c r="N26" t="n">
        <v>0.9981</v>
      </c>
      <c r="O26">
        <f>DEGREES(ATAN(N26/M26))</f>
        <v/>
      </c>
      <c r="P26">
        <f>O26-omega*(e_base-J26)</f>
        <v/>
      </c>
      <c r="Q26">
        <f>DEGREES(ATAN(TAN(RADIANS(pe0-omega*J26))*(M26/sref)^(m_-1)))</f>
        <v/>
      </c>
      <c r="R26">
        <f>O26-Q26</f>
        <v/>
      </c>
      <c r="T26" t="inlineStr">
        <is>
          <t>CD: τ pico</t>
        </is>
      </c>
      <c r="V26">
        <f>DEGREES(ATAN(TAN(RADIANS(O26))*(M26/sref)^(1-m_)))</f>
        <v/>
      </c>
      <c r="W26">
        <f>V26-omega*(e_base-J26)</f>
        <v/>
      </c>
    </row>
    <row r="27">
      <c r="A27" t="inlineStr">
        <is>
          <t>A2024DS</t>
        </is>
      </c>
      <c r="B27" t="inlineStr">
        <is>
          <t>Ruma 03 / Fase 10 A</t>
        </is>
      </c>
      <c r="C27" t="inlineStr">
        <is>
          <t>LSDS Ruma 03 / Fase 10 A (I-1 al I-12) σn=300</t>
        </is>
      </c>
      <c r="D27" t="inlineStr">
        <is>
          <t>Intrusivo</t>
        </is>
      </c>
      <c r="E27" t="inlineStr">
        <is>
          <t>Corte directo CD</t>
        </is>
      </c>
      <c r="F27" t="inlineStr">
        <is>
          <t>Ajuste de la curva propuesta</t>
        </is>
      </c>
      <c r="G27" t="inlineStr"/>
      <c r="H27" t="n">
        <v>0.31</v>
      </c>
      <c r="I27" t="n">
        <v>25.4</v>
      </c>
      <c r="J27" t="n">
        <v>0.4096824570536179</v>
      </c>
      <c r="M27" t="n">
        <v>0.3</v>
      </c>
      <c r="N27" t="n">
        <v>0.2281</v>
      </c>
      <c r="O27">
        <f>DEGREES(ATAN(N27/M27))</f>
        <v/>
      </c>
      <c r="P27">
        <f>O27-omega*(e_base-J27)</f>
        <v/>
      </c>
      <c r="Q27">
        <f>DEGREES(ATAN(TAN(RADIANS(pe0-omega*J27))*(M27/sref)^(m_-1)))</f>
        <v/>
      </c>
      <c r="R27">
        <f>O27-Q27</f>
        <v/>
      </c>
      <c r="T27" t="inlineStr">
        <is>
          <t>CD: τ pico</t>
        </is>
      </c>
      <c r="V27">
        <f>DEGREES(ATAN(TAN(RADIANS(O27))*(M27/sref)^(1-m_)))</f>
        <v/>
      </c>
      <c r="W27">
        <f>V27-omega*(e_base-J27)</f>
        <v/>
      </c>
    </row>
    <row r="28">
      <c r="A28" t="inlineStr">
        <is>
          <t>A2024DS</t>
        </is>
      </c>
      <c r="B28" t="inlineStr">
        <is>
          <t>Ruma 03 / Fase 10 A</t>
        </is>
      </c>
      <c r="C28" t="inlineStr">
        <is>
          <t>LSDS Ruma 03 / Fase 10 A (I-1 al I-12) σn=600</t>
        </is>
      </c>
      <c r="D28" t="inlineStr">
        <is>
          <t>Intrusivo</t>
        </is>
      </c>
      <c r="E28" t="inlineStr">
        <is>
          <t>Corte directo CD</t>
        </is>
      </c>
      <c r="F28" t="inlineStr">
        <is>
          <t>Ajuste de la curva propuesta</t>
        </is>
      </c>
      <c r="G28" t="inlineStr"/>
      <c r="H28" t="n">
        <v>0.31</v>
      </c>
      <c r="I28" t="n">
        <v>25.4</v>
      </c>
      <c r="J28" t="n">
        <v>0.4096824570536179</v>
      </c>
      <c r="M28" t="n">
        <v>0.6</v>
      </c>
      <c r="N28" t="n">
        <v>0.4681</v>
      </c>
      <c r="O28">
        <f>DEGREES(ATAN(N28/M28))</f>
        <v/>
      </c>
      <c r="P28">
        <f>O28-omega*(e_base-J28)</f>
        <v/>
      </c>
      <c r="Q28">
        <f>DEGREES(ATAN(TAN(RADIANS(pe0-omega*J28))*(M28/sref)^(m_-1)))</f>
        <v/>
      </c>
      <c r="R28">
        <f>O28-Q28</f>
        <v/>
      </c>
      <c r="T28" t="inlineStr">
        <is>
          <t>CD: τ pico</t>
        </is>
      </c>
      <c r="V28">
        <f>DEGREES(ATAN(TAN(RADIANS(O28))*(M28/sref)^(1-m_)))</f>
        <v/>
      </c>
      <c r="W28">
        <f>V28-omega*(e_base-J28)</f>
        <v/>
      </c>
    </row>
    <row r="29">
      <c r="A29" t="inlineStr">
        <is>
          <t>A2024DS</t>
        </is>
      </c>
      <c r="B29" t="inlineStr">
        <is>
          <t>Ruma 03 / Fase 10 A</t>
        </is>
      </c>
      <c r="C29" t="inlineStr">
        <is>
          <t>LSDS Ruma 03 / Fase 10 A (I-1 al I-12) σn=1200</t>
        </is>
      </c>
      <c r="D29" t="inlineStr">
        <is>
          <t>Intrusivo</t>
        </is>
      </c>
      <c r="E29" t="inlineStr">
        <is>
          <t>Corte directo CD</t>
        </is>
      </c>
      <c r="F29" t="inlineStr">
        <is>
          <t>Ajuste de la curva propuesta</t>
        </is>
      </c>
      <c r="G29" t="inlineStr"/>
      <c r="H29" t="n">
        <v>0.31</v>
      </c>
      <c r="I29" t="n">
        <v>25.4</v>
      </c>
      <c r="J29" t="n">
        <v>0.4096824570536179</v>
      </c>
      <c r="M29" t="n">
        <v>1.2</v>
      </c>
      <c r="N29" t="n">
        <v>0.9451000000000001</v>
      </c>
      <c r="O29">
        <f>DEGREES(ATAN(N29/M29))</f>
        <v/>
      </c>
      <c r="P29">
        <f>O29-omega*(e_base-J29)</f>
        <v/>
      </c>
      <c r="Q29">
        <f>DEGREES(ATAN(TAN(RADIANS(pe0-omega*J29))*(M29/sref)^(m_-1)))</f>
        <v/>
      </c>
      <c r="R29">
        <f>O29-Q29</f>
        <v/>
      </c>
      <c r="T29" t="inlineStr">
        <is>
          <t>CD: τ pico</t>
        </is>
      </c>
      <c r="V29">
        <f>DEGREES(ATAN(TAN(RADIANS(O29))*(M29/sref)^(1-m_)))</f>
        <v/>
      </c>
      <c r="W29">
        <f>V29-omega*(e_base-J29)</f>
        <v/>
      </c>
    </row>
    <row r="30">
      <c r="A30" t="inlineStr">
        <is>
          <t>A2024DS</t>
        </is>
      </c>
      <c r="B30" t="inlineStr">
        <is>
          <t>Ruma 01</t>
        </is>
      </c>
      <c r="C30" t="inlineStr">
        <is>
          <t>LSDS Ruma 01 (M-1 al M-13) σn=300</t>
        </is>
      </c>
      <c r="D30" t="inlineStr">
        <is>
          <t>Mármol</t>
        </is>
      </c>
      <c r="E30" t="inlineStr">
        <is>
          <t>Corte directo CD</t>
        </is>
      </c>
      <c r="F30" t="inlineStr">
        <is>
          <t>Ajuste de la curva propuesta</t>
        </is>
      </c>
      <c r="G30" t="inlineStr"/>
      <c r="H30" t="n">
        <v>0.31</v>
      </c>
      <c r="I30" t="n">
        <v>25.4</v>
      </c>
      <c r="J30" t="n">
        <v>0.2620247366010078</v>
      </c>
      <c r="M30" t="n">
        <v>0.3</v>
      </c>
      <c r="N30" t="n">
        <v>0.2195</v>
      </c>
      <c r="O30">
        <f>DEGREES(ATAN(N30/M30))</f>
        <v/>
      </c>
      <c r="P30">
        <f>O30-omega*(e_base-J30)</f>
        <v/>
      </c>
      <c r="Q30">
        <f>DEGREES(ATAN(TAN(RADIANS(pe0-omega*J30))*(M30/sref)^(m_-1)))</f>
        <v/>
      </c>
      <c r="R30">
        <f>O30-Q30</f>
        <v/>
      </c>
      <c r="T30" t="inlineStr">
        <is>
          <t>CD: τ pico</t>
        </is>
      </c>
      <c r="V30">
        <f>DEGREES(ATAN(TAN(RADIANS(O30))*(M30/sref)^(1-m_)))</f>
        <v/>
      </c>
      <c r="W30">
        <f>V30-omega*(e_base-J30)</f>
        <v/>
      </c>
    </row>
    <row r="31">
      <c r="A31" t="inlineStr">
        <is>
          <t>A2024DS</t>
        </is>
      </c>
      <c r="B31" t="inlineStr">
        <is>
          <t>Ruma 01</t>
        </is>
      </c>
      <c r="C31" t="inlineStr">
        <is>
          <t>LSDS Ruma 01 (M-1 al M-13) σn=600</t>
        </is>
      </c>
      <c r="D31" t="inlineStr">
        <is>
          <t>Mármol</t>
        </is>
      </c>
      <c r="E31" t="inlineStr">
        <is>
          <t>Corte directo CD</t>
        </is>
      </c>
      <c r="F31" t="inlineStr">
        <is>
          <t>Ajuste de la curva propuesta</t>
        </is>
      </c>
      <c r="G31" t="inlineStr"/>
      <c r="H31" t="n">
        <v>0.31</v>
      </c>
      <c r="I31" t="n">
        <v>25.4</v>
      </c>
      <c r="J31" t="n">
        <v>0.2620247366010078</v>
      </c>
      <c r="M31" t="n">
        <v>0.6</v>
      </c>
      <c r="N31" t="n">
        <v>0.4695</v>
      </c>
      <c r="O31">
        <f>DEGREES(ATAN(N31/M31))</f>
        <v/>
      </c>
      <c r="P31">
        <f>O31-omega*(e_base-J31)</f>
        <v/>
      </c>
      <c r="Q31">
        <f>DEGREES(ATAN(TAN(RADIANS(pe0-omega*J31))*(M31/sref)^(m_-1)))</f>
        <v/>
      </c>
      <c r="R31">
        <f>O31-Q31</f>
        <v/>
      </c>
      <c r="T31" t="inlineStr">
        <is>
          <t>CD: τ pico</t>
        </is>
      </c>
      <c r="V31">
        <f>DEGREES(ATAN(TAN(RADIANS(O31))*(M31/sref)^(1-m_)))</f>
        <v/>
      </c>
      <c r="W31">
        <f>V31-omega*(e_base-J31)</f>
        <v/>
      </c>
    </row>
    <row r="32">
      <c r="A32" t="inlineStr">
        <is>
          <t>A2024DS</t>
        </is>
      </c>
      <c r="B32" t="inlineStr">
        <is>
          <t>Ruma 01</t>
        </is>
      </c>
      <c r="C32" t="inlineStr">
        <is>
          <t>LSDS Ruma 01 (M-1 al M-13) σn=1200</t>
        </is>
      </c>
      <c r="D32" t="inlineStr">
        <is>
          <t>Mármol</t>
        </is>
      </c>
      <c r="E32" t="inlineStr">
        <is>
          <t>Corte directo CD</t>
        </is>
      </c>
      <c r="F32" t="inlineStr">
        <is>
          <t>Ajuste de la curva propuesta</t>
        </is>
      </c>
      <c r="G32" t="inlineStr"/>
      <c r="H32" t="n">
        <v>0.31</v>
      </c>
      <c r="I32" t="n">
        <v>25.4</v>
      </c>
      <c r="J32" t="n">
        <v>0.2620247366010078</v>
      </c>
      <c r="M32" t="n">
        <v>1.2</v>
      </c>
      <c r="N32" t="n">
        <v>0.9843000000000002</v>
      </c>
      <c r="O32">
        <f>DEGREES(ATAN(N32/M32))</f>
        <v/>
      </c>
      <c r="P32">
        <f>O32-omega*(e_base-J32)</f>
        <v/>
      </c>
      <c r="Q32">
        <f>DEGREES(ATAN(TAN(RADIANS(pe0-omega*J32))*(M32/sref)^(m_-1)))</f>
        <v/>
      </c>
      <c r="R32">
        <f>O32-Q32</f>
        <v/>
      </c>
      <c r="T32" t="inlineStr">
        <is>
          <t>CD: τ pico</t>
        </is>
      </c>
      <c r="V32">
        <f>DEGREES(ATAN(TAN(RADIANS(O32))*(M32/sref)^(1-m_)))</f>
        <v/>
      </c>
      <c r="W32">
        <f>V32-omega*(e_base-J32)</f>
        <v/>
      </c>
    </row>
    <row r="33">
      <c r="A33" t="inlineStr">
        <is>
          <t>A2024DS</t>
        </is>
      </c>
      <c r="B33" t="inlineStr">
        <is>
          <t>Pila 01 (Mármol + Hornfels)</t>
        </is>
      </c>
      <c r="C33" t="inlineStr">
        <is>
          <t>LSDS Pila 01 (Mármol + Hornfels) σn=300</t>
        </is>
      </c>
      <c r="D33" t="inlineStr">
        <is>
          <t>Mezcla</t>
        </is>
      </c>
      <c r="E33" t="inlineStr">
        <is>
          <t>Corte directo CD</t>
        </is>
      </c>
      <c r="F33" t="inlineStr">
        <is>
          <t>Ajuste de la curva propuesta</t>
        </is>
      </c>
      <c r="G33" t="inlineStr"/>
      <c r="H33" t="n">
        <v>0.31</v>
      </c>
      <c r="I33" t="n">
        <v>25.4</v>
      </c>
      <c r="J33" t="n">
        <v>0.3255730659025788</v>
      </c>
      <c r="M33" t="n">
        <v>0.3</v>
      </c>
      <c r="N33" t="n">
        <v>0.3562999999999999</v>
      </c>
      <c r="O33">
        <f>DEGREES(ATAN(N33/M33))</f>
        <v/>
      </c>
      <c r="P33">
        <f>O33-omega*(e_base-J33)</f>
        <v/>
      </c>
      <c r="Q33">
        <f>DEGREES(ATAN(TAN(RADIANS(pe0-omega*J33))*(M33/sref)^(m_-1)))</f>
        <v/>
      </c>
      <c r="R33">
        <f>O33-Q33</f>
        <v/>
      </c>
      <c r="T33" t="inlineStr">
        <is>
          <t>CD: τ pico</t>
        </is>
      </c>
      <c r="V33">
        <f>DEGREES(ATAN(TAN(RADIANS(O33))*(M33/sref)^(1-m_)))</f>
        <v/>
      </c>
      <c r="W33">
        <f>V33-omega*(e_base-J33)</f>
        <v/>
      </c>
    </row>
    <row r="34">
      <c r="A34" t="inlineStr">
        <is>
          <t>A2024DS</t>
        </is>
      </c>
      <c r="B34" t="inlineStr">
        <is>
          <t>Pila 01 (Mármol + Hornfels)</t>
        </is>
      </c>
      <c r="C34" t="inlineStr">
        <is>
          <t>LSDS Pila 01 (Mármol + Hornfels) σn=600</t>
        </is>
      </c>
      <c r="D34" t="inlineStr">
        <is>
          <t>Mezcla</t>
        </is>
      </c>
      <c r="E34" t="inlineStr">
        <is>
          <t>Corte directo CD</t>
        </is>
      </c>
      <c r="F34" t="inlineStr">
        <is>
          <t>Ajuste de la curva propuesta</t>
        </is>
      </c>
      <c r="G34" t="inlineStr"/>
      <c r="H34" t="n">
        <v>0.31</v>
      </c>
      <c r="I34" t="n">
        <v>25.4</v>
      </c>
      <c r="J34" t="n">
        <v>0.3255730659025788</v>
      </c>
      <c r="M34" t="n">
        <v>0.6</v>
      </c>
      <c r="N34" t="n">
        <v>0.6253</v>
      </c>
      <c r="O34">
        <f>DEGREES(ATAN(N34/M34))</f>
        <v/>
      </c>
      <c r="P34">
        <f>O34-omega*(e_base-J34)</f>
        <v/>
      </c>
      <c r="Q34">
        <f>DEGREES(ATAN(TAN(RADIANS(pe0-omega*J34))*(M34/sref)^(m_-1)))</f>
        <v/>
      </c>
      <c r="R34">
        <f>O34-Q34</f>
        <v/>
      </c>
      <c r="T34" t="inlineStr">
        <is>
          <t>CD: τ pico</t>
        </is>
      </c>
      <c r="V34">
        <f>DEGREES(ATAN(TAN(RADIANS(O34))*(M34/sref)^(1-m_)))</f>
        <v/>
      </c>
      <c r="W34">
        <f>V34-omega*(e_base-J34)</f>
        <v/>
      </c>
    </row>
    <row r="35">
      <c r="A35" t="inlineStr">
        <is>
          <t>A2024DS</t>
        </is>
      </c>
      <c r="B35" t="inlineStr">
        <is>
          <t>Pila 01 (Mármol + Hornfels)</t>
        </is>
      </c>
      <c r="C35" t="inlineStr">
        <is>
          <t>LSDS Pila 01 (Mármol + Hornfels) σn=1000</t>
        </is>
      </c>
      <c r="D35" t="inlineStr">
        <is>
          <t>Mezcla</t>
        </is>
      </c>
      <c r="E35" t="inlineStr">
        <is>
          <t>Corte directo CD</t>
        </is>
      </c>
      <c r="F35" t="inlineStr">
        <is>
          <t>Ajuste de la curva propuesta</t>
        </is>
      </c>
      <c r="G35" t="inlineStr"/>
      <c r="H35" t="n">
        <v>0.31</v>
      </c>
      <c r="I35" t="n">
        <v>25.4</v>
      </c>
      <c r="J35" t="n">
        <v>0.3255730659025788</v>
      </c>
      <c r="M35" t="n">
        <v>1</v>
      </c>
      <c r="N35" t="n">
        <v>0.9473</v>
      </c>
      <c r="O35">
        <f>DEGREES(ATAN(N35/M35))</f>
        <v/>
      </c>
      <c r="P35">
        <f>O35-omega*(e_base-J35)</f>
        <v/>
      </c>
      <c r="Q35">
        <f>DEGREES(ATAN(TAN(RADIANS(pe0-omega*J35))*(M35/sref)^(m_-1)))</f>
        <v/>
      </c>
      <c r="R35">
        <f>O35-Q35</f>
        <v/>
      </c>
      <c r="T35" t="inlineStr">
        <is>
          <t>CD: τ pico</t>
        </is>
      </c>
      <c r="V35">
        <f>DEGREES(ATAN(TAN(RADIANS(O35))*(M35/sref)^(1-m_)))</f>
        <v/>
      </c>
      <c r="W35">
        <f>V35-omega*(e_base-J35)</f>
        <v/>
      </c>
    </row>
    <row r="36">
      <c r="A36" t="inlineStr">
        <is>
          <t>A2024DS</t>
        </is>
      </c>
      <c r="B36" t="inlineStr">
        <is>
          <t>Pila 02 (Intrusivo)</t>
        </is>
      </c>
      <c r="C36" t="inlineStr">
        <is>
          <t>LSDS Pila 02 (Intrusivo) σn=300</t>
        </is>
      </c>
      <c r="D36" t="inlineStr">
        <is>
          <t>Intrusivo</t>
        </is>
      </c>
      <c r="E36" t="inlineStr">
        <is>
          <t>Corte directo CD</t>
        </is>
      </c>
      <c r="F36" t="inlineStr">
        <is>
          <t>Ajuste de la curva propuesta</t>
        </is>
      </c>
      <c r="G36" t="inlineStr"/>
      <c r="H36" t="n">
        <v>0.31</v>
      </c>
      <c r="I36" t="n">
        <v>25.4</v>
      </c>
      <c r="J36" t="n">
        <v>0.478973238667395</v>
      </c>
      <c r="M36" t="n">
        <v>0.3</v>
      </c>
      <c r="N36" t="n">
        <v>0.3539</v>
      </c>
      <c r="O36">
        <f>DEGREES(ATAN(N36/M36))</f>
        <v/>
      </c>
      <c r="P36">
        <f>O36-omega*(e_base-J36)</f>
        <v/>
      </c>
      <c r="Q36">
        <f>DEGREES(ATAN(TAN(RADIANS(pe0-omega*J36))*(M36/sref)^(m_-1)))</f>
        <v/>
      </c>
      <c r="R36">
        <f>O36-Q36</f>
        <v/>
      </c>
      <c r="T36" t="inlineStr">
        <is>
          <t>CD: τ pico</t>
        </is>
      </c>
      <c r="V36">
        <f>DEGREES(ATAN(TAN(RADIANS(O36))*(M36/sref)^(1-m_)))</f>
        <v/>
      </c>
      <c r="W36">
        <f>V36-omega*(e_base-J36)</f>
        <v/>
      </c>
    </row>
    <row r="37">
      <c r="A37" t="inlineStr">
        <is>
          <t>A2024DS</t>
        </is>
      </c>
      <c r="B37" t="inlineStr">
        <is>
          <t>Pila 02 (Intrusivo)</t>
        </is>
      </c>
      <c r="C37" t="inlineStr">
        <is>
          <t>LSDS Pila 02 (Intrusivo) σn=600</t>
        </is>
      </c>
      <c r="D37" t="inlineStr">
        <is>
          <t>Intrusivo</t>
        </is>
      </c>
      <c r="E37" t="inlineStr">
        <is>
          <t>Corte directo CD</t>
        </is>
      </c>
      <c r="F37" t="inlineStr">
        <is>
          <t>Ajuste de la curva propuesta</t>
        </is>
      </c>
      <c r="G37" t="inlineStr"/>
      <c r="H37" t="n">
        <v>0.31</v>
      </c>
      <c r="I37" t="n">
        <v>25.4</v>
      </c>
      <c r="J37" t="n">
        <v>0.478973238667395</v>
      </c>
      <c r="M37" t="n">
        <v>0.6</v>
      </c>
      <c r="N37" t="n">
        <v>0.6337</v>
      </c>
      <c r="O37">
        <f>DEGREES(ATAN(N37/M37))</f>
        <v/>
      </c>
      <c r="P37">
        <f>O37-omega*(e_base-J37)</f>
        <v/>
      </c>
      <c r="Q37">
        <f>DEGREES(ATAN(TAN(RADIANS(pe0-omega*J37))*(M37/sref)^(m_-1)))</f>
        <v/>
      </c>
      <c r="R37">
        <f>O37-Q37</f>
        <v/>
      </c>
      <c r="T37" t="inlineStr">
        <is>
          <t>CD: τ pico</t>
        </is>
      </c>
      <c r="V37">
        <f>DEGREES(ATAN(TAN(RADIANS(O37))*(M37/sref)^(1-m_)))</f>
        <v/>
      </c>
      <c r="W37">
        <f>V37-omega*(e_base-J37)</f>
        <v/>
      </c>
    </row>
    <row r="38">
      <c r="A38" t="inlineStr">
        <is>
          <t>A2024DS</t>
        </is>
      </c>
      <c r="B38" t="inlineStr">
        <is>
          <t>Pila 02 (Intrusivo)</t>
        </is>
      </c>
      <c r="C38" t="inlineStr">
        <is>
          <t>LSDS Pila 02 (Intrusivo) σn=1200</t>
        </is>
      </c>
      <c r="D38" t="inlineStr">
        <is>
          <t>Intrusivo</t>
        </is>
      </c>
      <c r="E38" t="inlineStr">
        <is>
          <t>Corte directo CD</t>
        </is>
      </c>
      <c r="F38" t="inlineStr">
        <is>
          <t>Ajuste de la curva propuesta</t>
        </is>
      </c>
      <c r="G38" t="inlineStr"/>
      <c r="H38" t="n">
        <v>0.31</v>
      </c>
      <c r="I38" t="n">
        <v>25.4</v>
      </c>
      <c r="J38" t="n">
        <v>0.478973238667395</v>
      </c>
      <c r="M38" t="n">
        <v>1.2</v>
      </c>
      <c r="N38" t="n">
        <v>1.0192</v>
      </c>
      <c r="O38">
        <f>DEGREES(ATAN(N38/M38))</f>
        <v/>
      </c>
      <c r="P38">
        <f>O38-omega*(e_base-J38)</f>
        <v/>
      </c>
      <c r="Q38">
        <f>DEGREES(ATAN(TAN(RADIANS(pe0-omega*J38))*(M38/sref)^(m_-1)))</f>
        <v/>
      </c>
      <c r="R38">
        <f>O38-Q38</f>
        <v/>
      </c>
      <c r="T38" t="inlineStr">
        <is>
          <t>CD: τ pico</t>
        </is>
      </c>
      <c r="V38">
        <f>DEGREES(ATAN(TAN(RADIANS(O38))*(M38/sref)^(1-m_)))</f>
        <v/>
      </c>
      <c r="W38">
        <f>V38-omega*(e_base-J38)</f>
        <v/>
      </c>
    </row>
    <row r="39">
      <c r="A39" t="inlineStr">
        <is>
          <t>G2010</t>
        </is>
      </c>
      <c r="B39" t="inlineStr">
        <is>
          <t>G2010-A-MN-2.8in</t>
        </is>
      </c>
      <c r="C39" t="inlineStr">
        <is>
          <t>GL-481-09 Prueba Nº 1 (σ3c=324 kPa)</t>
        </is>
      </c>
      <c r="D39" t="inlineStr">
        <is>
          <t>Mármol</t>
        </is>
      </c>
      <c r="E39" t="inlineStr">
        <is>
          <t>Triaxial CU</t>
        </is>
      </c>
      <c r="F39" t="inlineStr">
        <is>
          <t>Contraste</t>
        </is>
      </c>
      <c r="G39" t="inlineStr">
        <is>
          <t>triaxial no drenado (CU), máximo desviador</t>
        </is>
      </c>
      <c r="H39" t="n">
        <v>0.07140000000000001</v>
      </c>
      <c r="I39" t="n">
        <v>9.5</v>
      </c>
      <c r="J39" t="n">
        <v>0.29</v>
      </c>
      <c r="K39" t="n">
        <v>0.619</v>
      </c>
      <c r="L39" t="n">
        <v>2.838</v>
      </c>
      <c r="M39">
        <f>(L39+K39)/2-(L39-K39)/2*((SQRT(4*m_*(m_-1)*(L39-K39)^2+(L39+K39)^2)-(L39+K39))/(2*(m_-1)*(L39-K39)))</f>
        <v/>
      </c>
      <c r="N39">
        <f>(L39-K39)/2*SQRT(1-((SQRT(4*m_*(m_-1)*(L39-K39)^2+(L39+K39)^2)-(L39+K39))/(2*(m_-1)*(L39-K39)))^2)</f>
        <v/>
      </c>
      <c r="O39">
        <f>DEGREES(ATAN(N39/M39))</f>
        <v/>
      </c>
      <c r="P39">
        <f>O39-omega*(e_base-J39)</f>
        <v/>
      </c>
      <c r="Q39">
        <f>DEGREES(ATAN(TAN(RADIANS(pe0-omega*J39))*(M39/sref)^(m_-1)))</f>
        <v/>
      </c>
      <c r="R39">
        <f>O39-Q39</f>
        <v/>
      </c>
      <c r="S39" t="n">
        <v>8.300000000000001</v>
      </c>
      <c r="T39" t="inlineStr">
        <is>
          <t>CU: máximo desviador (la fuente no permite máxima oblicuidad)</t>
        </is>
      </c>
      <c r="U39" t="inlineStr">
        <is>
          <t>82;84;8;9;49</t>
        </is>
      </c>
      <c r="V39">
        <f>DEGREES(ATAN(TAN(RADIANS(O39))*(M39/sref)^(1-m_)))</f>
        <v/>
      </c>
      <c r="W39">
        <f>V39-omega*(e_base-J39)</f>
        <v/>
      </c>
    </row>
    <row r="40">
      <c r="A40" t="inlineStr">
        <is>
          <t>G2010</t>
        </is>
      </c>
      <c r="B40" t="inlineStr">
        <is>
          <t>G2010-A-MN-2.8in</t>
        </is>
      </c>
      <c r="C40" t="inlineStr">
        <is>
          <t>GL-481-09 Prueba Nº 2 (σ3c=788 kPa)</t>
        </is>
      </c>
      <c r="D40" t="inlineStr">
        <is>
          <t>Mármol</t>
        </is>
      </c>
      <c r="E40" t="inlineStr">
        <is>
          <t>Triaxial CU</t>
        </is>
      </c>
      <c r="F40" t="inlineStr">
        <is>
          <t>Contraste</t>
        </is>
      </c>
      <c r="G40" t="inlineStr">
        <is>
          <t>triaxial no drenado (CU), máximo desviador</t>
        </is>
      </c>
      <c r="H40" t="n">
        <v>0.07149999999999999</v>
      </c>
      <c r="I40" t="n">
        <v>9.5</v>
      </c>
      <c r="J40" t="n">
        <v>0.295</v>
      </c>
      <c r="K40" t="n">
        <v>0.717</v>
      </c>
      <c r="L40" t="n">
        <v>3.111</v>
      </c>
      <c r="M40">
        <f>(L40+K40)/2-(L40-K40)/2*((SQRT(4*m_*(m_-1)*(L40-K40)^2+(L40+K40)^2)-(L40+K40))/(2*(m_-1)*(L40-K40)))</f>
        <v/>
      </c>
      <c r="N40">
        <f>(L40-K40)/2*SQRT(1-((SQRT(4*m_*(m_-1)*(L40-K40)^2+(L40+K40)^2)-(L40+K40))/(2*(m_-1)*(L40-K40)))^2)</f>
        <v/>
      </c>
      <c r="O40">
        <f>DEGREES(ATAN(N40/M40))</f>
        <v/>
      </c>
      <c r="P40">
        <f>O40-omega*(e_base-J40)</f>
        <v/>
      </c>
      <c r="Q40">
        <f>DEGREES(ATAN(TAN(RADIANS(pe0-omega*J40))*(M40/sref)^(m_-1)))</f>
        <v/>
      </c>
      <c r="R40">
        <f>O40-Q40</f>
        <v/>
      </c>
      <c r="S40" t="n">
        <v>7.6</v>
      </c>
      <c r="T40" t="inlineStr">
        <is>
          <t>CU: máximo desviador (la fuente no permite máxima oblicuidad)</t>
        </is>
      </c>
      <c r="U40" t="inlineStr">
        <is>
          <t>82;84;8;9;49</t>
        </is>
      </c>
      <c r="V40">
        <f>DEGREES(ATAN(TAN(RADIANS(O40))*(M40/sref)^(1-m_)))</f>
        <v/>
      </c>
      <c r="W40">
        <f>V40-omega*(e_base-J40)</f>
        <v/>
      </c>
    </row>
    <row r="41">
      <c r="A41" t="inlineStr">
        <is>
          <t>G2010</t>
        </is>
      </c>
      <c r="B41" t="inlineStr">
        <is>
          <t>G2010-A-MN-2.8in</t>
        </is>
      </c>
      <c r="C41" t="inlineStr">
        <is>
          <t>GL-481-09 Prueba Nº 3 (σ3c=1570 kPa)</t>
        </is>
      </c>
      <c r="D41" t="inlineStr">
        <is>
          <t>Mármol</t>
        </is>
      </c>
      <c r="E41" t="inlineStr">
        <is>
          <t>Triaxial CU</t>
        </is>
      </c>
      <c r="F41" t="inlineStr">
        <is>
          <t>Contraste</t>
        </is>
      </c>
      <c r="G41" t="inlineStr">
        <is>
          <t>triaxial no drenado (CU), máximo desviador</t>
        </is>
      </c>
      <c r="H41" t="n">
        <v>0.07140000000000001</v>
      </c>
      <c r="I41" t="n">
        <v>9.5</v>
      </c>
      <c r="J41" t="n">
        <v>0.29</v>
      </c>
      <c r="K41" t="n">
        <v>0.869</v>
      </c>
      <c r="L41" t="n">
        <v>3.606</v>
      </c>
      <c r="M41">
        <f>(L41+K41)/2-(L41-K41)/2*((SQRT(4*m_*(m_-1)*(L41-K41)^2+(L41+K41)^2)-(L41+K41))/(2*(m_-1)*(L41-K41)))</f>
        <v/>
      </c>
      <c r="N41">
        <f>(L41-K41)/2*SQRT(1-((SQRT(4*m_*(m_-1)*(L41-K41)^2+(L41+K41)^2)-(L41+K41))/(2*(m_-1)*(L41-K41)))^2)</f>
        <v/>
      </c>
      <c r="O41">
        <f>DEGREES(ATAN(N41/M41))</f>
        <v/>
      </c>
      <c r="P41">
        <f>O41-omega*(e_base-J41)</f>
        <v/>
      </c>
      <c r="Q41">
        <f>DEGREES(ATAN(TAN(RADIANS(pe0-omega*J41))*(M41/sref)^(m_-1)))</f>
        <v/>
      </c>
      <c r="R41">
        <f>O41-Q41</f>
        <v/>
      </c>
      <c r="S41" t="n">
        <v>5.3</v>
      </c>
      <c r="T41" t="inlineStr">
        <is>
          <t>CU: máximo desviador (la fuente no permite máxima oblicuidad)</t>
        </is>
      </c>
      <c r="U41" t="inlineStr">
        <is>
          <t>82;84;8;9;49</t>
        </is>
      </c>
      <c r="V41">
        <f>DEGREES(ATAN(TAN(RADIANS(O41))*(M41/sref)^(1-m_)))</f>
        <v/>
      </c>
      <c r="W41">
        <f>V41-omega*(e_base-J41)</f>
        <v/>
      </c>
    </row>
    <row r="42">
      <c r="A42" t="inlineStr">
        <is>
          <t>G2010</t>
        </is>
      </c>
      <c r="B42" t="inlineStr">
        <is>
          <t>G2010-A-HG-2.8in</t>
        </is>
      </c>
      <c r="C42" t="inlineStr">
        <is>
          <t>GL-482-09 Prueba Nº 1 (σ3c=393 kPa)</t>
        </is>
      </c>
      <c r="D42" t="inlineStr">
        <is>
          <t>Hornfels</t>
        </is>
      </c>
      <c r="E42" t="inlineStr">
        <is>
          <t>Triaxial CU</t>
        </is>
      </c>
      <c r="F42" t="inlineStr">
        <is>
          <t>Contraste</t>
        </is>
      </c>
      <c r="G42" t="inlineStr">
        <is>
          <t>triaxial no drenado (CU), máximo desviador</t>
        </is>
      </c>
      <c r="H42" t="n">
        <v>0.0717</v>
      </c>
      <c r="I42" t="n">
        <v>9.5</v>
      </c>
      <c r="J42" t="n">
        <v>0.377</v>
      </c>
      <c r="K42" t="n">
        <v>0.216</v>
      </c>
      <c r="L42" t="n">
        <v>0.922</v>
      </c>
      <c r="M42">
        <f>(L42+K42)/2-(L42-K42)/2*((SQRT(4*m_*(m_-1)*(L42-K42)^2+(L42+K42)^2)-(L42+K42))/(2*(m_-1)*(L42-K42)))</f>
        <v/>
      </c>
      <c r="N42">
        <f>(L42-K42)/2*SQRT(1-((SQRT(4*m_*(m_-1)*(L42-K42)^2+(L42+K42)^2)-(L42+K42))/(2*(m_-1)*(L42-K42)))^2)</f>
        <v/>
      </c>
      <c r="O42">
        <f>DEGREES(ATAN(N42/M42))</f>
        <v/>
      </c>
      <c r="P42">
        <f>O42-omega*(e_base-J42)</f>
        <v/>
      </c>
      <c r="Q42">
        <f>DEGREES(ATAN(TAN(RADIANS(pe0-omega*J42))*(M42/sref)^(m_-1)))</f>
        <v/>
      </c>
      <c r="R42">
        <f>O42-Q42</f>
        <v/>
      </c>
      <c r="S42" t="n">
        <v>1.9</v>
      </c>
      <c r="T42" t="inlineStr">
        <is>
          <t>CU: máximo desviador (la fuente no permite máxima oblicuidad)</t>
        </is>
      </c>
      <c r="U42" t="inlineStr">
        <is>
          <t>87;89;8;9;49</t>
        </is>
      </c>
      <c r="V42">
        <f>DEGREES(ATAN(TAN(RADIANS(O42))*(M42/sref)^(1-m_)))</f>
        <v/>
      </c>
      <c r="W42">
        <f>V42-omega*(e_base-J42)</f>
        <v/>
      </c>
    </row>
    <row r="43">
      <c r="A43" t="inlineStr">
        <is>
          <t>G2010</t>
        </is>
      </c>
      <c r="B43" t="inlineStr">
        <is>
          <t>G2010-A-HG-2.8in</t>
        </is>
      </c>
      <c r="C43" t="inlineStr">
        <is>
          <t>GL-482-09 Prueba Nº 2 (σ3c=786 kPa)</t>
        </is>
      </c>
      <c r="D43" t="inlineStr">
        <is>
          <t>Hornfels</t>
        </is>
      </c>
      <c r="E43" t="inlineStr">
        <is>
          <t>Triaxial CU</t>
        </is>
      </c>
      <c r="F43" t="inlineStr">
        <is>
          <t>Contraste</t>
        </is>
      </c>
      <c r="G43" t="inlineStr">
        <is>
          <t>triaxial no drenado (CU), máximo desviador</t>
        </is>
      </c>
      <c r="H43" t="n">
        <v>0.0717</v>
      </c>
      <c r="I43" t="n">
        <v>9.5</v>
      </c>
      <c r="J43" t="n">
        <v>0.377</v>
      </c>
      <c r="K43" t="n">
        <v>0.303</v>
      </c>
      <c r="L43" t="n">
        <v>1.207</v>
      </c>
      <c r="M43">
        <f>(L43+K43)/2-(L43-K43)/2*((SQRT(4*m_*(m_-1)*(L43-K43)^2+(L43+K43)^2)-(L43+K43))/(2*(m_-1)*(L43-K43)))</f>
        <v/>
      </c>
      <c r="N43">
        <f>(L43-K43)/2*SQRT(1-((SQRT(4*m_*(m_-1)*(L43-K43)^2+(L43+K43)^2)-(L43+K43))/(2*(m_-1)*(L43-K43)))^2)</f>
        <v/>
      </c>
      <c r="O43">
        <f>DEGREES(ATAN(N43/M43))</f>
        <v/>
      </c>
      <c r="P43">
        <f>O43-omega*(e_base-J43)</f>
        <v/>
      </c>
      <c r="Q43">
        <f>DEGREES(ATAN(TAN(RADIANS(pe0-omega*J43))*(M43/sref)^(m_-1)))</f>
        <v/>
      </c>
      <c r="R43">
        <f>O43-Q43</f>
        <v/>
      </c>
      <c r="S43" t="n">
        <v>1.8</v>
      </c>
      <c r="T43" t="inlineStr">
        <is>
          <t>CU: máximo desviador (la fuente no permite máxima oblicuidad)</t>
        </is>
      </c>
      <c r="U43" t="inlineStr">
        <is>
          <t>87;89;8;9;49</t>
        </is>
      </c>
      <c r="V43">
        <f>DEGREES(ATAN(TAN(RADIANS(O43))*(M43/sref)^(1-m_)))</f>
        <v/>
      </c>
      <c r="W43">
        <f>V43-omega*(e_base-J43)</f>
        <v/>
      </c>
    </row>
    <row r="44">
      <c r="A44" t="inlineStr">
        <is>
          <t>G2010</t>
        </is>
      </c>
      <c r="B44" t="inlineStr">
        <is>
          <t>G2010-A-HG-2.8in</t>
        </is>
      </c>
      <c r="C44" t="inlineStr">
        <is>
          <t>GL-482-09 Prueba Nº 3 (σ3c=1577 kPa)</t>
        </is>
      </c>
      <c r="D44" t="inlineStr">
        <is>
          <t>Hornfels</t>
        </is>
      </c>
      <c r="E44" t="inlineStr">
        <is>
          <t>Triaxial CU</t>
        </is>
      </c>
      <c r="F44" t="inlineStr">
        <is>
          <t>Contraste</t>
        </is>
      </c>
      <c r="G44" t="inlineStr">
        <is>
          <t>triaxial no drenado (CU), máximo desviador</t>
        </is>
      </c>
      <c r="H44" t="n">
        <v>0.0717</v>
      </c>
      <c r="I44" t="n">
        <v>9.5</v>
      </c>
      <c r="J44" t="n">
        <v>0.377</v>
      </c>
      <c r="K44" t="n">
        <v>0.535</v>
      </c>
      <c r="L44" t="n">
        <v>2.071</v>
      </c>
      <c r="M44">
        <f>(L44+K44)/2-(L44-K44)/2*((SQRT(4*m_*(m_-1)*(L44-K44)^2+(L44+K44)^2)-(L44+K44))/(2*(m_-1)*(L44-K44)))</f>
        <v/>
      </c>
      <c r="N44">
        <f>(L44-K44)/2*SQRT(1-((SQRT(4*m_*(m_-1)*(L44-K44)^2+(L44+K44)^2)-(L44+K44))/(2*(m_-1)*(L44-K44)))^2)</f>
        <v/>
      </c>
      <c r="O44">
        <f>DEGREES(ATAN(N44/M44))</f>
        <v/>
      </c>
      <c r="P44">
        <f>O44-omega*(e_base-J44)</f>
        <v/>
      </c>
      <c r="Q44">
        <f>DEGREES(ATAN(TAN(RADIANS(pe0-omega*J44))*(M44/sref)^(m_-1)))</f>
        <v/>
      </c>
      <c r="R44">
        <f>O44-Q44</f>
        <v/>
      </c>
      <c r="S44" t="n">
        <v>2.5</v>
      </c>
      <c r="T44" t="inlineStr">
        <is>
          <t>CU: máximo desviador (la fuente no permite máxima oblicuidad)</t>
        </is>
      </c>
      <c r="U44" t="inlineStr">
        <is>
          <t>87;89;8;9;49</t>
        </is>
      </c>
      <c r="V44">
        <f>DEGREES(ATAN(TAN(RADIANS(O44))*(M44/sref)^(1-m_)))</f>
        <v/>
      </c>
      <c r="W44">
        <f>V44-omega*(e_base-J44)</f>
        <v/>
      </c>
    </row>
    <row r="45">
      <c r="A45" t="inlineStr">
        <is>
          <t>G2010</t>
        </is>
      </c>
      <c r="B45" t="inlineStr">
        <is>
          <t>G2010-A-INT-2.8in</t>
        </is>
      </c>
      <c r="C45" t="inlineStr">
        <is>
          <t>GL-483-09 Prueba Nº 1 (σ3c=394 kPa)</t>
        </is>
      </c>
      <c r="D45" t="inlineStr">
        <is>
          <t>Intrusivo</t>
        </is>
      </c>
      <c r="E45" t="inlineStr">
        <is>
          <t>Triaxial CU</t>
        </is>
      </c>
      <c r="F45" t="inlineStr">
        <is>
          <t>Contraste</t>
        </is>
      </c>
      <c r="G45" t="inlineStr">
        <is>
          <t>triaxial no drenado (CU), máximo desviador</t>
        </is>
      </c>
      <c r="H45" t="n">
        <v>0.0717</v>
      </c>
      <c r="I45" t="n">
        <v>9.5</v>
      </c>
      <c r="J45" t="n">
        <v>0.434</v>
      </c>
      <c r="K45" t="n">
        <v>0.261</v>
      </c>
      <c r="L45" t="n">
        <v>1.13</v>
      </c>
      <c r="M45">
        <f>(L45+K45)/2-(L45-K45)/2*((SQRT(4*m_*(m_-1)*(L45-K45)^2+(L45+K45)^2)-(L45+K45))/(2*(m_-1)*(L45-K45)))</f>
        <v/>
      </c>
      <c r="N45">
        <f>(L45-K45)/2*SQRT(1-((SQRT(4*m_*(m_-1)*(L45-K45)^2+(L45+K45)^2)-(L45+K45))/(2*(m_-1)*(L45-K45)))^2)</f>
        <v/>
      </c>
      <c r="O45">
        <f>DEGREES(ATAN(N45/M45))</f>
        <v/>
      </c>
      <c r="P45">
        <f>O45-omega*(e_base-J45)</f>
        <v/>
      </c>
      <c r="Q45">
        <f>DEGREES(ATAN(TAN(RADIANS(pe0-omega*J45))*(M45/sref)^(m_-1)))</f>
        <v/>
      </c>
      <c r="R45">
        <f>O45-Q45</f>
        <v/>
      </c>
      <c r="S45" t="n">
        <v>1.6</v>
      </c>
      <c r="T45" t="inlineStr">
        <is>
          <t>CU: máximo desviador (la fuente no permite máxima oblicuidad)</t>
        </is>
      </c>
      <c r="U45" t="inlineStr">
        <is>
          <t>92;94;8;9;49</t>
        </is>
      </c>
      <c r="V45">
        <f>DEGREES(ATAN(TAN(RADIANS(O45))*(M45/sref)^(1-m_)))</f>
        <v/>
      </c>
      <c r="W45">
        <f>V45-omega*(e_base-J45)</f>
        <v/>
      </c>
    </row>
    <row r="46">
      <c r="A46" t="inlineStr">
        <is>
          <t>G2010</t>
        </is>
      </c>
      <c r="B46" t="inlineStr">
        <is>
          <t>G2010-A-INT-2.8in</t>
        </is>
      </c>
      <c r="C46" t="inlineStr">
        <is>
          <t>GL-483-09 Prueba Nº 2 (σ3c=788 kPa)</t>
        </is>
      </c>
      <c r="D46" t="inlineStr">
        <is>
          <t>Intrusivo</t>
        </is>
      </c>
      <c r="E46" t="inlineStr">
        <is>
          <t>Triaxial CU</t>
        </is>
      </c>
      <c r="F46" t="inlineStr">
        <is>
          <t>Contraste</t>
        </is>
      </c>
      <c r="G46" t="inlineStr">
        <is>
          <t>triaxial no drenado (CU), máximo desviador</t>
        </is>
      </c>
      <c r="H46" t="n">
        <v>0.0717</v>
      </c>
      <c r="I46" t="n">
        <v>9.5</v>
      </c>
      <c r="J46" t="n">
        <v>0.434</v>
      </c>
      <c r="K46" t="n">
        <v>0.393</v>
      </c>
      <c r="L46" t="n">
        <v>1.578</v>
      </c>
      <c r="M46">
        <f>(L46+K46)/2-(L46-K46)/2*((SQRT(4*m_*(m_-1)*(L46-K46)^2+(L46+K46)^2)-(L46+K46))/(2*(m_-1)*(L46-K46)))</f>
        <v/>
      </c>
      <c r="N46">
        <f>(L46-K46)/2*SQRT(1-((SQRT(4*m_*(m_-1)*(L46-K46)^2+(L46+K46)^2)-(L46+K46))/(2*(m_-1)*(L46-K46)))^2)</f>
        <v/>
      </c>
      <c r="O46">
        <f>DEGREES(ATAN(N46/M46))</f>
        <v/>
      </c>
      <c r="P46">
        <f>O46-omega*(e_base-J46)</f>
        <v/>
      </c>
      <c r="Q46">
        <f>DEGREES(ATAN(TAN(RADIANS(pe0-omega*J46))*(M46/sref)^(m_-1)))</f>
        <v/>
      </c>
      <c r="R46">
        <f>O46-Q46</f>
        <v/>
      </c>
      <c r="S46" t="n">
        <v>1.9</v>
      </c>
      <c r="T46" t="inlineStr">
        <is>
          <t>CU: máximo desviador (la fuente no permite máxima oblicuidad)</t>
        </is>
      </c>
      <c r="U46" t="inlineStr">
        <is>
          <t>92;94;8;9;49</t>
        </is>
      </c>
      <c r="V46">
        <f>DEGREES(ATAN(TAN(RADIANS(O46))*(M46/sref)^(1-m_)))</f>
        <v/>
      </c>
      <c r="W46">
        <f>V46-omega*(e_base-J46)</f>
        <v/>
      </c>
    </row>
    <row r="47">
      <c r="A47" t="inlineStr">
        <is>
          <t>G2010</t>
        </is>
      </c>
      <c r="B47" t="inlineStr">
        <is>
          <t>G2010-A-INT-2.8in</t>
        </is>
      </c>
      <c r="C47" t="inlineStr">
        <is>
          <t>GL-483-09 Prueba Nº 3 (σ3c=1570 kPa)</t>
        </is>
      </c>
      <c r="D47" t="inlineStr">
        <is>
          <t>Intrusivo</t>
        </is>
      </c>
      <c r="E47" t="inlineStr">
        <is>
          <t>Triaxial CU</t>
        </is>
      </c>
      <c r="F47" t="inlineStr">
        <is>
          <t>Contraste</t>
        </is>
      </c>
      <c r="G47" t="inlineStr">
        <is>
          <t>triaxial no drenado (CU), máximo desviador</t>
        </is>
      </c>
      <c r="H47" t="n">
        <v>0.0717</v>
      </c>
      <c r="I47" t="n">
        <v>9.5</v>
      </c>
      <c r="J47" t="n">
        <v>0.434</v>
      </c>
      <c r="K47" t="n">
        <v>0.528</v>
      </c>
      <c r="L47" t="n">
        <v>1.934</v>
      </c>
      <c r="M47">
        <f>(L47+K47)/2-(L47-K47)/2*((SQRT(4*m_*(m_-1)*(L47-K47)^2+(L47+K47)^2)-(L47+K47))/(2*(m_-1)*(L47-K47)))</f>
        <v/>
      </c>
      <c r="N47">
        <f>(L47-K47)/2*SQRT(1-((SQRT(4*m_*(m_-1)*(L47-K47)^2+(L47+K47)^2)-(L47+K47))/(2*(m_-1)*(L47-K47)))^2)</f>
        <v/>
      </c>
      <c r="O47">
        <f>DEGREES(ATAN(N47/M47))</f>
        <v/>
      </c>
      <c r="P47">
        <f>O47-omega*(e_base-J47)</f>
        <v/>
      </c>
      <c r="Q47">
        <f>DEGREES(ATAN(TAN(RADIANS(pe0-omega*J47))*(M47/sref)^(m_-1)))</f>
        <v/>
      </c>
      <c r="R47">
        <f>O47-Q47</f>
        <v/>
      </c>
      <c r="S47" t="n">
        <v>1.7</v>
      </c>
      <c r="T47" t="inlineStr">
        <is>
          <t>CU: máximo desviador (la fuente no permite máxima oblicuidad)</t>
        </is>
      </c>
      <c r="U47" t="inlineStr">
        <is>
          <t>92;94;8;9;49</t>
        </is>
      </c>
      <c r="V47">
        <f>DEGREES(ATAN(TAN(RADIANS(O47))*(M47/sref)^(1-m_)))</f>
        <v/>
      </c>
      <c r="W47">
        <f>V47-omega*(e_base-J47)</f>
        <v/>
      </c>
    </row>
    <row r="48">
      <c r="A48" t="inlineStr">
        <is>
          <t>G2010</t>
        </is>
      </c>
      <c r="B48" t="inlineStr">
        <is>
          <t>G2010-A-EXO-2.8in</t>
        </is>
      </c>
      <c r="C48" t="inlineStr">
        <is>
          <t>GL-484-09 Prueba Nº 1 (σ3c=394 kPa)</t>
        </is>
      </c>
      <c r="D48" t="inlineStr">
        <is>
          <t>Skarn</t>
        </is>
      </c>
      <c r="E48" t="inlineStr">
        <is>
          <t>Triaxial CU</t>
        </is>
      </c>
      <c r="F48" t="inlineStr">
        <is>
          <t>Contraste</t>
        </is>
      </c>
      <c r="G48" t="inlineStr">
        <is>
          <t>triaxial no drenado (CU), máximo desviador</t>
        </is>
      </c>
      <c r="H48" t="n">
        <v>0.07140000000000001</v>
      </c>
      <c r="I48" t="n">
        <v>9.5</v>
      </c>
      <c r="J48" t="n">
        <v>0.532</v>
      </c>
      <c r="K48" t="n">
        <v>0.193</v>
      </c>
      <c r="L48" t="n">
        <v>0.5649999999999999</v>
      </c>
      <c r="M48">
        <f>(L48+K48)/2-(L48-K48)/2*((SQRT(4*m_*(m_-1)*(L48-K48)^2+(L48+K48)^2)-(L48+K48))/(2*(m_-1)*(L48-K48)))</f>
        <v/>
      </c>
      <c r="N48">
        <f>(L48-K48)/2*SQRT(1-((SQRT(4*m_*(m_-1)*(L48-K48)^2+(L48+K48)^2)-(L48+K48))/(2*(m_-1)*(L48-K48)))^2)</f>
        <v/>
      </c>
      <c r="O48">
        <f>DEGREES(ATAN(N48/M48))</f>
        <v/>
      </c>
      <c r="P48">
        <f>O48-omega*(e_base-J48)</f>
        <v/>
      </c>
      <c r="Q48">
        <f>DEGREES(ATAN(TAN(RADIANS(pe0-omega*J48))*(M48/sref)^(m_-1)))</f>
        <v/>
      </c>
      <c r="R48">
        <f>O48-Q48</f>
        <v/>
      </c>
      <c r="S48" t="n">
        <v>1.1</v>
      </c>
      <c r="T48" t="inlineStr">
        <is>
          <t>CU: máximo desviador (la fuente no permite máxima oblicuidad)</t>
        </is>
      </c>
      <c r="U48" t="inlineStr">
        <is>
          <t>97;99;8;9;49</t>
        </is>
      </c>
      <c r="V48">
        <f>DEGREES(ATAN(TAN(RADIANS(O48))*(M48/sref)^(1-m_)))</f>
        <v/>
      </c>
      <c r="W48">
        <f>V48-omega*(e_base-J48)</f>
        <v/>
      </c>
    </row>
    <row r="49">
      <c r="A49" t="inlineStr">
        <is>
          <t>G2010</t>
        </is>
      </c>
      <c r="B49" t="inlineStr">
        <is>
          <t>G2010-A-EXO-2.8in</t>
        </is>
      </c>
      <c r="C49" t="inlineStr">
        <is>
          <t>GL-484-09 Prueba Nº 2 (σ3c=787 kPa)</t>
        </is>
      </c>
      <c r="D49" t="inlineStr">
        <is>
          <t>Skarn</t>
        </is>
      </c>
      <c r="E49" t="inlineStr">
        <is>
          <t>Triaxial CU</t>
        </is>
      </c>
      <c r="F49" t="inlineStr">
        <is>
          <t>Contraste</t>
        </is>
      </c>
      <c r="G49" t="inlineStr">
        <is>
          <t>triaxial no drenado (CU), máximo desviador</t>
        </is>
      </c>
      <c r="H49" t="n">
        <v>0.07140000000000001</v>
      </c>
      <c r="I49" t="n">
        <v>9.5</v>
      </c>
      <c r="J49" t="n">
        <v>0.531</v>
      </c>
      <c r="K49" t="n">
        <v>0.317</v>
      </c>
      <c r="L49" t="n">
        <v>0.884</v>
      </c>
      <c r="M49">
        <f>(L49+K49)/2-(L49-K49)/2*((SQRT(4*m_*(m_-1)*(L49-K49)^2+(L49+K49)^2)-(L49+K49))/(2*(m_-1)*(L49-K49)))</f>
        <v/>
      </c>
      <c r="N49">
        <f>(L49-K49)/2*SQRT(1-((SQRT(4*m_*(m_-1)*(L49-K49)^2+(L49+K49)^2)-(L49+K49))/(2*(m_-1)*(L49-K49)))^2)</f>
        <v/>
      </c>
      <c r="O49">
        <f>DEGREES(ATAN(N49/M49))</f>
        <v/>
      </c>
      <c r="P49">
        <f>O49-omega*(e_base-J49)</f>
        <v/>
      </c>
      <c r="Q49">
        <f>DEGREES(ATAN(TAN(RADIANS(pe0-omega*J49))*(M49/sref)^(m_-1)))</f>
        <v/>
      </c>
      <c r="R49">
        <f>O49-Q49</f>
        <v/>
      </c>
      <c r="S49" t="n">
        <v>1.2</v>
      </c>
      <c r="T49" t="inlineStr">
        <is>
          <t>CU: máximo desviador (la fuente no permite máxima oblicuidad)</t>
        </is>
      </c>
      <c r="U49" t="inlineStr">
        <is>
          <t>97;99;8;9;49</t>
        </is>
      </c>
      <c r="V49">
        <f>DEGREES(ATAN(TAN(RADIANS(O49))*(M49/sref)^(1-m_)))</f>
        <v/>
      </c>
      <c r="W49">
        <f>V49-omega*(e_base-J49)</f>
        <v/>
      </c>
    </row>
    <row r="50">
      <c r="A50" t="inlineStr">
        <is>
          <t>G2010</t>
        </is>
      </c>
      <c r="B50" t="inlineStr">
        <is>
          <t>G2010-A-EXO-2.8in</t>
        </is>
      </c>
      <c r="C50" t="inlineStr">
        <is>
          <t>GL-484-09 Prueba Nº 3 (σ3c=1573 kPa)</t>
        </is>
      </c>
      <c r="D50" t="inlineStr">
        <is>
          <t>Skarn</t>
        </is>
      </c>
      <c r="E50" t="inlineStr">
        <is>
          <t>Triaxial CU</t>
        </is>
      </c>
      <c r="F50" t="inlineStr">
        <is>
          <t>Contraste</t>
        </is>
      </c>
      <c r="G50" t="inlineStr">
        <is>
          <t>triaxial no drenado (CU), máximo desviador</t>
        </is>
      </c>
      <c r="H50" t="n">
        <v>0.07140000000000001</v>
      </c>
      <c r="I50" t="n">
        <v>9.5</v>
      </c>
      <c r="J50" t="n">
        <v>0.532</v>
      </c>
      <c r="K50" t="n">
        <v>0.486</v>
      </c>
      <c r="L50" t="n">
        <v>1.409</v>
      </c>
      <c r="M50">
        <f>(L50+K50)/2-(L50-K50)/2*((SQRT(4*m_*(m_-1)*(L50-K50)^2+(L50+K50)^2)-(L50+K50))/(2*(m_-1)*(L50-K50)))</f>
        <v/>
      </c>
      <c r="N50">
        <f>(L50-K50)/2*SQRT(1-((SQRT(4*m_*(m_-1)*(L50-K50)^2+(L50+K50)^2)-(L50+K50))/(2*(m_-1)*(L50-K50)))^2)</f>
        <v/>
      </c>
      <c r="O50">
        <f>DEGREES(ATAN(N50/M50))</f>
        <v/>
      </c>
      <c r="P50">
        <f>O50-omega*(e_base-J50)</f>
        <v/>
      </c>
      <c r="Q50">
        <f>DEGREES(ATAN(TAN(RADIANS(pe0-omega*J50))*(M50/sref)^(m_-1)))</f>
        <v/>
      </c>
      <c r="R50">
        <f>O50-Q50</f>
        <v/>
      </c>
      <c r="S50" t="n">
        <v>1.3</v>
      </c>
      <c r="T50" t="inlineStr">
        <is>
          <t>CU: máximo desviador (la fuente no permite máxima oblicuidad)</t>
        </is>
      </c>
      <c r="U50" t="inlineStr">
        <is>
          <t>97;99;8;9;49</t>
        </is>
      </c>
      <c r="V50">
        <f>DEGREES(ATAN(TAN(RADIANS(O50))*(M50/sref)^(1-m_)))</f>
        <v/>
      </c>
      <c r="W50">
        <f>V50-omega*(e_base-J50)</f>
        <v/>
      </c>
    </row>
    <row r="51">
      <c r="A51" t="inlineStr">
        <is>
          <t>G2010</t>
        </is>
      </c>
      <c r="B51" t="inlineStr">
        <is>
          <t>G2010-A-HG-4in</t>
        </is>
      </c>
      <c r="C51" t="inlineStr">
        <is>
          <t>GL-482-09 Prueba Nº 1 (σ3c=392 kPa)</t>
        </is>
      </c>
      <c r="D51" t="inlineStr">
        <is>
          <t>Hornfels</t>
        </is>
      </c>
      <c r="E51" t="inlineStr">
        <is>
          <t>Triaxial CU</t>
        </is>
      </c>
      <c r="F51" t="inlineStr">
        <is>
          <t>Contraste</t>
        </is>
      </c>
      <c r="G51" t="inlineStr">
        <is>
          <t>triaxial no drenado (CU), máximo desviador</t>
        </is>
      </c>
      <c r="H51" t="n">
        <v>0.1022</v>
      </c>
      <c r="I51" t="n">
        <v>15.9</v>
      </c>
      <c r="J51" t="n">
        <v>0.377</v>
      </c>
      <c r="K51" t="n">
        <v>0.224</v>
      </c>
      <c r="L51" t="n">
        <v>1.049</v>
      </c>
      <c r="M51">
        <f>(L51+K51)/2-(L51-K51)/2*((SQRT(4*m_*(m_-1)*(L51-K51)^2+(L51+K51)^2)-(L51+K51))/(2*(m_-1)*(L51-K51)))</f>
        <v/>
      </c>
      <c r="N51">
        <f>(L51-K51)/2*SQRT(1-((SQRT(4*m_*(m_-1)*(L51-K51)^2+(L51+K51)^2)-(L51+K51))/(2*(m_-1)*(L51-K51)))^2)</f>
        <v/>
      </c>
      <c r="O51">
        <f>DEGREES(ATAN(N51/M51))</f>
        <v/>
      </c>
      <c r="P51">
        <f>O51-omega*(e_base-J51)</f>
        <v/>
      </c>
      <c r="Q51">
        <f>DEGREES(ATAN(TAN(RADIANS(pe0-omega*J51))*(M51/sref)^(m_-1)))</f>
        <v/>
      </c>
      <c r="R51">
        <f>O51-Q51</f>
        <v/>
      </c>
      <c r="S51" t="n">
        <v>1</v>
      </c>
      <c r="T51" t="inlineStr">
        <is>
          <t>CU: máximo desviador (la fuente no permite máxima oblicuidad)</t>
        </is>
      </c>
      <c r="U51" t="inlineStr">
        <is>
          <t>102;104;8;9;49</t>
        </is>
      </c>
      <c r="V51">
        <f>DEGREES(ATAN(TAN(RADIANS(O51))*(M51/sref)^(1-m_)))</f>
        <v/>
      </c>
      <c r="W51">
        <f>V51-omega*(e_base-J51)</f>
        <v/>
      </c>
    </row>
    <row r="52">
      <c r="A52" t="inlineStr">
        <is>
          <t>G2010</t>
        </is>
      </c>
      <c r="B52" t="inlineStr">
        <is>
          <t>G2010-A-HG-4in</t>
        </is>
      </c>
      <c r="C52" t="inlineStr">
        <is>
          <t>GL-482-09 Prueba Nº 2 (σ3c=591 kPa)</t>
        </is>
      </c>
      <c r="D52" t="inlineStr">
        <is>
          <t>Hornfels</t>
        </is>
      </c>
      <c r="E52" t="inlineStr">
        <is>
          <t>Triaxial CU</t>
        </is>
      </c>
      <c r="F52" t="inlineStr">
        <is>
          <t>Contraste</t>
        </is>
      </c>
      <c r="G52" t="inlineStr">
        <is>
          <t>triaxial no drenado (CU), máximo desviador</t>
        </is>
      </c>
      <c r="H52" t="n">
        <v>0.1022</v>
      </c>
      <c r="I52" t="n">
        <v>15.9</v>
      </c>
      <c r="J52" t="n">
        <v>0.381</v>
      </c>
      <c r="K52" t="n">
        <v>0.242</v>
      </c>
      <c r="L52" t="n">
        <v>1.087</v>
      </c>
      <c r="M52">
        <f>(L52+K52)/2-(L52-K52)/2*((SQRT(4*m_*(m_-1)*(L52-K52)^2+(L52+K52)^2)-(L52+K52))/(2*(m_-1)*(L52-K52)))</f>
        <v/>
      </c>
      <c r="N52">
        <f>(L52-K52)/2*SQRT(1-((SQRT(4*m_*(m_-1)*(L52-K52)^2+(L52+K52)^2)-(L52+K52))/(2*(m_-1)*(L52-K52)))^2)</f>
        <v/>
      </c>
      <c r="O52">
        <f>DEGREES(ATAN(N52/M52))</f>
        <v/>
      </c>
      <c r="P52">
        <f>O52-omega*(e_base-J52)</f>
        <v/>
      </c>
      <c r="Q52">
        <f>DEGREES(ATAN(TAN(RADIANS(pe0-omega*J52))*(M52/sref)^(m_-1)))</f>
        <v/>
      </c>
      <c r="R52">
        <f>O52-Q52</f>
        <v/>
      </c>
      <c r="S52" t="n">
        <v>0.8</v>
      </c>
      <c r="T52" t="inlineStr">
        <is>
          <t>CU: máximo desviador (la fuente no permite máxima oblicuidad)</t>
        </is>
      </c>
      <c r="U52" t="inlineStr">
        <is>
          <t>102;104;8;9;49</t>
        </is>
      </c>
      <c r="V52">
        <f>DEGREES(ATAN(TAN(RADIANS(O52))*(M52/sref)^(1-m_)))</f>
        <v/>
      </c>
      <c r="W52">
        <f>V52-omega*(e_base-J52)</f>
        <v/>
      </c>
    </row>
    <row r="53">
      <c r="A53" t="inlineStr">
        <is>
          <t>G2010</t>
        </is>
      </c>
      <c r="B53" t="inlineStr">
        <is>
          <t>G2010-A-HG-4in</t>
        </is>
      </c>
      <c r="C53" t="inlineStr">
        <is>
          <t>GL-482-09 Prueba Nº 3 (σ3c=785 kPa)</t>
        </is>
      </c>
      <c r="D53" t="inlineStr">
        <is>
          <t>Hornfels</t>
        </is>
      </c>
      <c r="E53" t="inlineStr">
        <is>
          <t>Triaxial CU</t>
        </is>
      </c>
      <c r="F53" t="inlineStr">
        <is>
          <t>Contraste</t>
        </is>
      </c>
      <c r="G53" t="inlineStr">
        <is>
          <t>triaxial no drenado (CU), máximo desviador</t>
        </is>
      </c>
      <c r="H53" t="n">
        <v>0.1022</v>
      </c>
      <c r="I53" t="n">
        <v>15.9</v>
      </c>
      <c r="J53" t="n">
        <v>0.377</v>
      </c>
      <c r="K53" t="n">
        <v>0.401</v>
      </c>
      <c r="L53" t="n">
        <v>1.338</v>
      </c>
      <c r="M53">
        <f>(L53+K53)/2-(L53-K53)/2*((SQRT(4*m_*(m_-1)*(L53-K53)^2+(L53+K53)^2)-(L53+K53))/(2*(m_-1)*(L53-K53)))</f>
        <v/>
      </c>
      <c r="N53">
        <f>(L53-K53)/2*SQRT(1-((SQRT(4*m_*(m_-1)*(L53-K53)^2+(L53+K53)^2)-(L53+K53))/(2*(m_-1)*(L53-K53)))^2)</f>
        <v/>
      </c>
      <c r="O53">
        <f>DEGREES(ATAN(N53/M53))</f>
        <v/>
      </c>
      <c r="P53">
        <f>O53-omega*(e_base-J53)</f>
        <v/>
      </c>
      <c r="Q53">
        <f>DEGREES(ATAN(TAN(RADIANS(pe0-omega*J53))*(M53/sref)^(m_-1)))</f>
        <v/>
      </c>
      <c r="R53">
        <f>O53-Q53</f>
        <v/>
      </c>
      <c r="S53" t="n">
        <v>1</v>
      </c>
      <c r="T53" t="inlineStr">
        <is>
          <t>CU: máximo desviador (la fuente no permite máxima oblicuidad)</t>
        </is>
      </c>
      <c r="U53" t="inlineStr">
        <is>
          <t>102;104;8;9;49</t>
        </is>
      </c>
      <c r="V53">
        <f>DEGREES(ATAN(TAN(RADIANS(O53))*(M53/sref)^(1-m_)))</f>
        <v/>
      </c>
      <c r="W53">
        <f>V53-omega*(e_base-J53)</f>
        <v/>
      </c>
    </row>
    <row r="54">
      <c r="A54" t="inlineStr">
        <is>
          <t>G2010</t>
        </is>
      </c>
      <c r="B54" t="inlineStr">
        <is>
          <t>G2010-A-INT-4in</t>
        </is>
      </c>
      <c r="C54" t="inlineStr">
        <is>
          <t>GL-483-09 Prueba Nº 1 (σ3c=393 kPa)</t>
        </is>
      </c>
      <c r="D54" t="inlineStr">
        <is>
          <t>Intrusivo</t>
        </is>
      </c>
      <c r="E54" t="inlineStr">
        <is>
          <t>Triaxial CU</t>
        </is>
      </c>
      <c r="F54" t="inlineStr">
        <is>
          <t>Contraste</t>
        </is>
      </c>
      <c r="G54" t="inlineStr">
        <is>
          <t>triaxial no drenado (CU), máximo desviador</t>
        </is>
      </c>
      <c r="H54" t="n">
        <v>0.1022</v>
      </c>
      <c r="I54" t="n">
        <v>15.9</v>
      </c>
      <c r="J54" t="n">
        <v>0.435</v>
      </c>
      <c r="K54" t="n">
        <v>0.099</v>
      </c>
      <c r="L54" t="n">
        <v>0.367</v>
      </c>
      <c r="M54">
        <f>(L54+K54)/2-(L54-K54)/2*((SQRT(4*m_*(m_-1)*(L54-K54)^2+(L54+K54)^2)-(L54+K54))/(2*(m_-1)*(L54-K54)))</f>
        <v/>
      </c>
      <c r="N54">
        <f>(L54-K54)/2*SQRT(1-((SQRT(4*m_*(m_-1)*(L54-K54)^2+(L54+K54)^2)-(L54+K54))/(2*(m_-1)*(L54-K54)))^2)</f>
        <v/>
      </c>
      <c r="O54">
        <f>DEGREES(ATAN(N54/M54))</f>
        <v/>
      </c>
      <c r="P54">
        <f>O54-omega*(e_base-J54)</f>
        <v/>
      </c>
      <c r="Q54">
        <f>DEGREES(ATAN(TAN(RADIANS(pe0-omega*J54))*(M54/sref)^(m_-1)))</f>
        <v/>
      </c>
      <c r="R54">
        <f>O54-Q54</f>
        <v/>
      </c>
      <c r="S54" t="n">
        <v>1.4</v>
      </c>
      <c r="T54" t="inlineStr">
        <is>
          <t>CU: máximo desviador (la fuente no permite máxima oblicuidad)</t>
        </is>
      </c>
      <c r="U54" t="inlineStr">
        <is>
          <t>107;109;8;9;49</t>
        </is>
      </c>
      <c r="V54">
        <f>DEGREES(ATAN(TAN(RADIANS(O54))*(M54/sref)^(1-m_)))</f>
        <v/>
      </c>
      <c r="W54">
        <f>V54-omega*(e_base-J54)</f>
        <v/>
      </c>
    </row>
    <row r="55">
      <c r="A55" t="inlineStr">
        <is>
          <t>G2010</t>
        </is>
      </c>
      <c r="B55" t="inlineStr">
        <is>
          <t>G2010-A-INT-4in</t>
        </is>
      </c>
      <c r="C55" t="inlineStr">
        <is>
          <t>GL-483-09 Prueba Nº 2 (σ3c=590 kPa)</t>
        </is>
      </c>
      <c r="D55" t="inlineStr">
        <is>
          <t>Intrusivo</t>
        </is>
      </c>
      <c r="E55" t="inlineStr">
        <is>
          <t>Triaxial CU</t>
        </is>
      </c>
      <c r="F55" t="inlineStr">
        <is>
          <t>Contraste</t>
        </is>
      </c>
      <c r="G55" t="inlineStr">
        <is>
          <t>triaxial no drenado (CU), máximo desviador</t>
        </is>
      </c>
      <c r="H55" t="n">
        <v>0.1022</v>
      </c>
      <c r="I55" t="n">
        <v>15.9</v>
      </c>
      <c r="J55" t="n">
        <v>0.435</v>
      </c>
      <c r="K55" t="n">
        <v>0.167</v>
      </c>
      <c r="L55" t="n">
        <v>0.664</v>
      </c>
      <c r="M55">
        <f>(L55+K55)/2-(L55-K55)/2*((SQRT(4*m_*(m_-1)*(L55-K55)^2+(L55+K55)^2)-(L55+K55))/(2*(m_-1)*(L55-K55)))</f>
        <v/>
      </c>
      <c r="N55">
        <f>(L55-K55)/2*SQRT(1-((SQRT(4*m_*(m_-1)*(L55-K55)^2+(L55+K55)^2)-(L55+K55))/(2*(m_-1)*(L55-K55)))^2)</f>
        <v/>
      </c>
      <c r="O55">
        <f>DEGREES(ATAN(N55/M55))</f>
        <v/>
      </c>
      <c r="P55">
        <f>O55-omega*(e_base-J55)</f>
        <v/>
      </c>
      <c r="Q55">
        <f>DEGREES(ATAN(TAN(RADIANS(pe0-omega*J55))*(M55/sref)^(m_-1)))</f>
        <v/>
      </c>
      <c r="R55">
        <f>O55-Q55</f>
        <v/>
      </c>
      <c r="S55" t="n">
        <v>2.2</v>
      </c>
      <c r="T55" t="inlineStr">
        <is>
          <t>CU: máximo desviador (la fuente no permite máxima oblicuidad)</t>
        </is>
      </c>
      <c r="U55" t="inlineStr">
        <is>
          <t>107;109;8;9;49</t>
        </is>
      </c>
      <c r="V55">
        <f>DEGREES(ATAN(TAN(RADIANS(O55))*(M55/sref)^(1-m_)))</f>
        <v/>
      </c>
      <c r="W55">
        <f>V55-omega*(e_base-J55)</f>
        <v/>
      </c>
    </row>
    <row r="56">
      <c r="A56" t="inlineStr">
        <is>
          <t>G2010</t>
        </is>
      </c>
      <c r="B56" t="inlineStr">
        <is>
          <t>G2010-A-INT-4in</t>
        </is>
      </c>
      <c r="C56" t="inlineStr">
        <is>
          <t>GL-483-09 Prueba Nº 3 (σ3c=786 kPa)</t>
        </is>
      </c>
      <c r="D56" t="inlineStr">
        <is>
          <t>Intrusivo</t>
        </is>
      </c>
      <c r="E56" t="inlineStr">
        <is>
          <t>Triaxial CU</t>
        </is>
      </c>
      <c r="F56" t="inlineStr">
        <is>
          <t>Contraste</t>
        </is>
      </c>
      <c r="G56" t="inlineStr">
        <is>
          <t>triaxial no drenado (CU), máximo desviador</t>
        </is>
      </c>
      <c r="H56" t="n">
        <v>0.1022</v>
      </c>
      <c r="I56" t="n">
        <v>15.9</v>
      </c>
      <c r="J56" t="n">
        <v>0.435</v>
      </c>
      <c r="K56" t="n">
        <v>0.183</v>
      </c>
      <c r="L56" t="n">
        <v>0.828</v>
      </c>
      <c r="M56">
        <f>(L56+K56)/2-(L56-K56)/2*((SQRT(4*m_*(m_-1)*(L56-K56)^2+(L56+K56)^2)-(L56+K56))/(2*(m_-1)*(L56-K56)))</f>
        <v/>
      </c>
      <c r="N56">
        <f>(L56-K56)/2*SQRT(1-((SQRT(4*m_*(m_-1)*(L56-K56)^2+(L56+K56)^2)-(L56+K56))/(2*(m_-1)*(L56-K56)))^2)</f>
        <v/>
      </c>
      <c r="O56">
        <f>DEGREES(ATAN(N56/M56))</f>
        <v/>
      </c>
      <c r="P56">
        <f>O56-omega*(e_base-J56)</f>
        <v/>
      </c>
      <c r="Q56">
        <f>DEGREES(ATAN(TAN(RADIANS(pe0-omega*J56))*(M56/sref)^(m_-1)))</f>
        <v/>
      </c>
      <c r="R56">
        <f>O56-Q56</f>
        <v/>
      </c>
      <c r="S56" t="n">
        <v>14.6</v>
      </c>
      <c r="T56" t="inlineStr">
        <is>
          <t>CU: máximo desviador (la fuente no permite máxima oblicuidad)</t>
        </is>
      </c>
      <c r="U56" t="inlineStr">
        <is>
          <t>107;109;8;9;49</t>
        </is>
      </c>
      <c r="V56">
        <f>DEGREES(ATAN(TAN(RADIANS(O56))*(M56/sref)^(1-m_)))</f>
        <v/>
      </c>
      <c r="W56">
        <f>V56-omega*(e_base-J56)</f>
        <v/>
      </c>
    </row>
    <row r="57">
      <c r="A57" t="inlineStr">
        <is>
          <t>G2010</t>
        </is>
      </c>
      <c r="B57" t="inlineStr">
        <is>
          <t>G2010-A-EXO-4in</t>
        </is>
      </c>
      <c r="C57" t="inlineStr">
        <is>
          <t>GL-484-09 Prueba Nº 1 (σ3c=392 kPa)</t>
        </is>
      </c>
      <c r="D57" t="inlineStr">
        <is>
          <t>Skarn</t>
        </is>
      </c>
      <c r="E57" t="inlineStr">
        <is>
          <t>Triaxial CU</t>
        </is>
      </c>
      <c r="F57" t="inlineStr">
        <is>
          <t>Contraste</t>
        </is>
      </c>
      <c r="G57" t="inlineStr">
        <is>
          <t>triaxial no drenado (CU), máximo desviador</t>
        </is>
      </c>
      <c r="H57" t="n">
        <v>0.1007</v>
      </c>
      <c r="I57" t="n">
        <v>15.9</v>
      </c>
      <c r="J57" t="n">
        <v>0.598</v>
      </c>
      <c r="K57" t="n">
        <v>0.156</v>
      </c>
      <c r="L57" t="n">
        <v>0.512</v>
      </c>
      <c r="M57">
        <f>(L57+K57)/2-(L57-K57)/2*((SQRT(4*m_*(m_-1)*(L57-K57)^2+(L57+K57)^2)-(L57+K57))/(2*(m_-1)*(L57-K57)))</f>
        <v/>
      </c>
      <c r="N57">
        <f>(L57-K57)/2*SQRT(1-((SQRT(4*m_*(m_-1)*(L57-K57)^2+(L57+K57)^2)-(L57+K57))/(2*(m_-1)*(L57-K57)))^2)</f>
        <v/>
      </c>
      <c r="O57">
        <f>DEGREES(ATAN(N57/M57))</f>
        <v/>
      </c>
      <c r="P57">
        <f>O57-omega*(e_base-J57)</f>
        <v/>
      </c>
      <c r="Q57">
        <f>DEGREES(ATAN(TAN(RADIANS(pe0-omega*J57))*(M57/sref)^(m_-1)))</f>
        <v/>
      </c>
      <c r="R57">
        <f>O57-Q57</f>
        <v/>
      </c>
      <c r="S57" t="n">
        <v>1.4</v>
      </c>
      <c r="T57" t="inlineStr">
        <is>
          <t>CU: máximo desviador (la fuente no permite máxima oblicuidad)</t>
        </is>
      </c>
      <c r="U57" t="inlineStr">
        <is>
          <t>112;114;8;9;49</t>
        </is>
      </c>
      <c r="V57">
        <f>DEGREES(ATAN(TAN(RADIANS(O57))*(M57/sref)^(1-m_)))</f>
        <v/>
      </c>
      <c r="W57">
        <f>V57-omega*(e_base-J57)</f>
        <v/>
      </c>
    </row>
    <row r="58">
      <c r="A58" t="inlineStr">
        <is>
          <t>G2010</t>
        </is>
      </c>
      <c r="B58" t="inlineStr">
        <is>
          <t>G2010-A-EXO-4in</t>
        </is>
      </c>
      <c r="C58" t="inlineStr">
        <is>
          <t>GL-484-09 Prueba Nº 2 (σ3c=588 kPa)</t>
        </is>
      </c>
      <c r="D58" t="inlineStr">
        <is>
          <t>Skarn</t>
        </is>
      </c>
      <c r="E58" t="inlineStr">
        <is>
          <t>Triaxial CU</t>
        </is>
      </c>
      <c r="F58" t="inlineStr">
        <is>
          <t>Contraste</t>
        </is>
      </c>
      <c r="G58" t="inlineStr">
        <is>
          <t>triaxial no drenado (CU), máximo desviador</t>
        </is>
      </c>
      <c r="H58" t="n">
        <v>0.1011</v>
      </c>
      <c r="I58" t="n">
        <v>15.9</v>
      </c>
      <c r="J58" t="n">
        <v>0.695</v>
      </c>
      <c r="K58" t="n">
        <v>0.232</v>
      </c>
      <c r="L58" t="n">
        <v>0.663</v>
      </c>
      <c r="M58">
        <f>(L58+K58)/2-(L58-K58)/2*((SQRT(4*m_*(m_-1)*(L58-K58)^2+(L58+K58)^2)-(L58+K58))/(2*(m_-1)*(L58-K58)))</f>
        <v/>
      </c>
      <c r="N58">
        <f>(L58-K58)/2*SQRT(1-((SQRT(4*m_*(m_-1)*(L58-K58)^2+(L58+K58)^2)-(L58+K58))/(2*(m_-1)*(L58-K58)))^2)</f>
        <v/>
      </c>
      <c r="O58">
        <f>DEGREES(ATAN(N58/M58))</f>
        <v/>
      </c>
      <c r="P58">
        <f>O58-omega*(e_base-J58)</f>
        <v/>
      </c>
      <c r="Q58">
        <f>DEGREES(ATAN(TAN(RADIANS(pe0-omega*J58))*(M58/sref)^(m_-1)))</f>
        <v/>
      </c>
      <c r="R58">
        <f>O58-Q58</f>
        <v/>
      </c>
      <c r="S58" t="n">
        <v>1.7</v>
      </c>
      <c r="T58" t="inlineStr">
        <is>
          <t>CU: máximo desviador (la fuente no permite máxima oblicuidad)</t>
        </is>
      </c>
      <c r="U58" t="inlineStr">
        <is>
          <t>112;114;8;9;49</t>
        </is>
      </c>
      <c r="V58">
        <f>DEGREES(ATAN(TAN(RADIANS(O58))*(M58/sref)^(1-m_)))</f>
        <v/>
      </c>
      <c r="W58">
        <f>V58-omega*(e_base-J58)</f>
        <v/>
      </c>
    </row>
    <row r="59">
      <c r="A59" t="inlineStr">
        <is>
          <t>G2010</t>
        </is>
      </c>
      <c r="B59" t="inlineStr">
        <is>
          <t>G2010-A-EXO-4in</t>
        </is>
      </c>
      <c r="C59" t="inlineStr">
        <is>
          <t>GL-484-09 Prueba Nº 3 (σ3c=783 kPa)</t>
        </is>
      </c>
      <c r="D59" t="inlineStr">
        <is>
          <t>Skarn</t>
        </is>
      </c>
      <c r="E59" t="inlineStr">
        <is>
          <t>Triaxial CU</t>
        </is>
      </c>
      <c r="F59" t="inlineStr">
        <is>
          <t>Contraste</t>
        </is>
      </c>
      <c r="G59" t="inlineStr">
        <is>
          <t>triaxial no drenado (CU), máximo desviador</t>
        </is>
      </c>
      <c r="H59" t="n">
        <v>0.1011</v>
      </c>
      <c r="I59" t="n">
        <v>15.9</v>
      </c>
      <c r="J59" t="n">
        <v>0.703</v>
      </c>
      <c r="K59" t="n">
        <v>0.358</v>
      </c>
      <c r="L59" t="n">
        <v>1.019</v>
      </c>
      <c r="M59">
        <f>(L59+K59)/2-(L59-K59)/2*((SQRT(4*m_*(m_-1)*(L59-K59)^2+(L59+K59)^2)-(L59+K59))/(2*(m_-1)*(L59-K59)))</f>
        <v/>
      </c>
      <c r="N59">
        <f>(L59-K59)/2*SQRT(1-((SQRT(4*m_*(m_-1)*(L59-K59)^2+(L59+K59)^2)-(L59+K59))/(2*(m_-1)*(L59-K59)))^2)</f>
        <v/>
      </c>
      <c r="O59">
        <f>DEGREES(ATAN(N59/M59))</f>
        <v/>
      </c>
      <c r="P59">
        <f>O59-omega*(e_base-J59)</f>
        <v/>
      </c>
      <c r="Q59">
        <f>DEGREES(ATAN(TAN(RADIANS(pe0-omega*J59))*(M59/sref)^(m_-1)))</f>
        <v/>
      </c>
      <c r="R59">
        <f>O59-Q59</f>
        <v/>
      </c>
      <c r="S59" t="n">
        <v>1.2</v>
      </c>
      <c r="T59" t="inlineStr">
        <is>
          <t>CU: máximo desviador (la fuente no permite máxima oblicuidad)</t>
        </is>
      </c>
      <c r="U59" t="inlineStr">
        <is>
          <t>112;114;8;9;49</t>
        </is>
      </c>
      <c r="V59">
        <f>DEGREES(ATAN(TAN(RADIANS(O59))*(M59/sref)^(1-m_)))</f>
        <v/>
      </c>
      <c r="W59">
        <f>V59-omega*(e_base-J59)</f>
        <v/>
      </c>
    </row>
    <row r="60">
      <c r="A60" t="inlineStr">
        <is>
          <t>A2024</t>
        </is>
      </c>
      <c r="B60" t="inlineStr">
        <is>
          <t>Ruma 01 (M-1 al M-13)</t>
        </is>
      </c>
      <c r="C60" t="inlineStr">
        <is>
          <t>500 kPa (Esf. efect. inicial)</t>
        </is>
      </c>
      <c r="D60" t="inlineStr">
        <is>
          <t>Mármol</t>
        </is>
      </c>
      <c r="E60" t="inlineStr">
        <is>
          <t>Triaxial CU</t>
        </is>
      </c>
      <c r="F60" t="inlineStr">
        <is>
          <t>Contraste</t>
        </is>
      </c>
      <c r="G60" t="inlineStr">
        <is>
          <t>triaxial no drenado (CU), máxima oblicuidad</t>
        </is>
      </c>
      <c r="H60" t="n">
        <v>0.152</v>
      </c>
      <c r="J60" t="n">
        <v>0.262603116406966</v>
      </c>
      <c r="K60" t="n">
        <v>0.07920000000000001</v>
      </c>
      <c r="L60" t="n">
        <v>0.4548999999999999</v>
      </c>
      <c r="M60">
        <f>(L60+K60)/2-(L60-K60)/2*((SQRT(4*m_*(m_-1)*(L60-K60)^2+(L60+K60)^2)-(L60+K60))/(2*(m_-1)*(L60-K60)))</f>
        <v/>
      </c>
      <c r="N60">
        <f>(L60-K60)/2*SQRT(1-((SQRT(4*m_*(m_-1)*(L60-K60)^2+(L60+K60)^2)-(L60+K60))/(2*(m_-1)*(L60-K60)))^2)</f>
        <v/>
      </c>
      <c r="O60">
        <f>DEGREES(ATAN(N60/M60))</f>
        <v/>
      </c>
      <c r="P60">
        <f>O60-omega*(e_base-J60)</f>
        <v/>
      </c>
      <c r="Q60">
        <f>DEGREES(ATAN(TAN(RADIANS(pe0-omega*J60))*(M60/sref)^(m_-1)))</f>
        <v/>
      </c>
      <c r="R60">
        <f>O60-Q60</f>
        <v/>
      </c>
      <c r="S60" t="n">
        <v>15</v>
      </c>
      <c r="T60" t="inlineStr">
        <is>
          <t>CU: máxima oblicuidad σ′1/σ′3</t>
        </is>
      </c>
      <c r="U60" t="inlineStr">
        <is>
          <t>5;1;7</t>
        </is>
      </c>
      <c r="V60">
        <f>DEGREES(ATAN(TAN(RADIANS(O60))*(M60/sref)^(1-m_)))</f>
        <v/>
      </c>
      <c r="W60">
        <f>V60-omega*(e_base-J60)</f>
        <v/>
      </c>
    </row>
    <row r="61">
      <c r="A61" t="inlineStr">
        <is>
          <t>A2024</t>
        </is>
      </c>
      <c r="B61" t="inlineStr">
        <is>
          <t>Ruma 01 (M-1 al M-13)</t>
        </is>
      </c>
      <c r="C61" t="inlineStr">
        <is>
          <t>1000 kPa (Esf. efect. inicial)</t>
        </is>
      </c>
      <c r="D61" t="inlineStr">
        <is>
          <t>Mármol</t>
        </is>
      </c>
      <c r="E61" t="inlineStr">
        <is>
          <t>Triaxial CU</t>
        </is>
      </c>
      <c r="F61" t="inlineStr">
        <is>
          <t>Contraste</t>
        </is>
      </c>
      <c r="G61" t="inlineStr">
        <is>
          <t>triaxial no drenado (CU), máxima oblicuidad</t>
        </is>
      </c>
      <c r="H61" t="n">
        <v>0.152</v>
      </c>
      <c r="J61" t="n">
        <v>0.262603116406966</v>
      </c>
      <c r="K61" t="n">
        <v>0.1069</v>
      </c>
      <c r="L61" t="n">
        <v>1.0006</v>
      </c>
      <c r="M61">
        <f>(L61+K61)/2-(L61-K61)/2*((SQRT(4*m_*(m_-1)*(L61-K61)^2+(L61+K61)^2)-(L61+K61))/(2*(m_-1)*(L61-K61)))</f>
        <v/>
      </c>
      <c r="N61">
        <f>(L61-K61)/2*SQRT(1-((SQRT(4*m_*(m_-1)*(L61-K61)^2+(L61+K61)^2)-(L61+K61))/(2*(m_-1)*(L61-K61)))^2)</f>
        <v/>
      </c>
      <c r="O61">
        <f>DEGREES(ATAN(N61/M61))</f>
        <v/>
      </c>
      <c r="P61">
        <f>O61-omega*(e_base-J61)</f>
        <v/>
      </c>
      <c r="Q61">
        <f>DEGREES(ATAN(TAN(RADIANS(pe0-omega*J61))*(M61/sref)^(m_-1)))</f>
        <v/>
      </c>
      <c r="R61">
        <f>O61-Q61</f>
        <v/>
      </c>
      <c r="S61" t="n">
        <v>15</v>
      </c>
      <c r="T61" t="inlineStr">
        <is>
          <t>CU: máxima oblicuidad σ′1/σ′3</t>
        </is>
      </c>
      <c r="U61" t="inlineStr">
        <is>
          <t>4;1;7</t>
        </is>
      </c>
      <c r="V61">
        <f>DEGREES(ATAN(TAN(RADIANS(O61))*(M61/sref)^(1-m_)))</f>
        <v/>
      </c>
      <c r="W61">
        <f>V61-omega*(e_base-J61)</f>
        <v/>
      </c>
    </row>
    <row r="62">
      <c r="A62" t="inlineStr">
        <is>
          <t>A2024</t>
        </is>
      </c>
      <c r="B62" t="inlineStr">
        <is>
          <t>Ruma 01 (M-1 al M-13)</t>
        </is>
      </c>
      <c r="C62" t="inlineStr">
        <is>
          <t>2000 kPa (Esf. efect. inicial)</t>
        </is>
      </c>
      <c r="D62" t="inlineStr">
        <is>
          <t>Mármol</t>
        </is>
      </c>
      <c r="E62" t="inlineStr">
        <is>
          <t>Triaxial CU</t>
        </is>
      </c>
      <c r="F62" t="inlineStr">
        <is>
          <t>Contraste</t>
        </is>
      </c>
      <c r="G62" t="inlineStr">
        <is>
          <t>triaxial no drenado (CU), máxima oblicuidad</t>
        </is>
      </c>
      <c r="H62" t="n">
        <v>0.152</v>
      </c>
      <c r="J62" t="n">
        <v>0.262603116406966</v>
      </c>
      <c r="K62" t="n">
        <v>0.4188</v>
      </c>
      <c r="L62" t="n">
        <v>2.4371</v>
      </c>
      <c r="M62">
        <f>(L62+K62)/2-(L62-K62)/2*((SQRT(4*m_*(m_-1)*(L62-K62)^2+(L62+K62)^2)-(L62+K62))/(2*(m_-1)*(L62-K62)))</f>
        <v/>
      </c>
      <c r="N62">
        <f>(L62-K62)/2*SQRT(1-((SQRT(4*m_*(m_-1)*(L62-K62)^2+(L62+K62)^2)-(L62+K62))/(2*(m_-1)*(L62-K62)))^2)</f>
        <v/>
      </c>
      <c r="O62">
        <f>DEGREES(ATAN(N62/M62))</f>
        <v/>
      </c>
      <c r="P62">
        <f>O62-omega*(e_base-J62)</f>
        <v/>
      </c>
      <c r="Q62">
        <f>DEGREES(ATAN(TAN(RADIANS(pe0-omega*J62))*(M62/sref)^(m_-1)))</f>
        <v/>
      </c>
      <c r="R62">
        <f>O62-Q62</f>
        <v/>
      </c>
      <c r="S62" t="n">
        <v>15</v>
      </c>
      <c r="T62" t="inlineStr">
        <is>
          <t>CU: máxima oblicuidad σ′1/σ′3</t>
        </is>
      </c>
      <c r="U62" t="inlineStr">
        <is>
          <t>3;1;7</t>
        </is>
      </c>
      <c r="V62">
        <f>DEGREES(ATAN(TAN(RADIANS(O62))*(M62/sref)^(1-m_)))</f>
        <v/>
      </c>
      <c r="W62">
        <f>V62-omega*(e_base-J62)</f>
        <v/>
      </c>
    </row>
    <row r="63">
      <c r="A63" t="inlineStr">
        <is>
          <t>A2024</t>
        </is>
      </c>
      <c r="B63" t="inlineStr">
        <is>
          <t>Ruma 02 (H-1 al H-12)</t>
        </is>
      </c>
      <c r="C63" t="inlineStr">
        <is>
          <t>500 kPa (Esf. efect. inicial)</t>
        </is>
      </c>
      <c r="D63" t="inlineStr">
        <is>
          <t>Hornfels</t>
        </is>
      </c>
      <c r="E63" t="inlineStr">
        <is>
          <t>Triaxial CU</t>
        </is>
      </c>
      <c r="F63" t="inlineStr">
        <is>
          <t>Contraste</t>
        </is>
      </c>
      <c r="G63" t="inlineStr">
        <is>
          <t>triaxial no drenado (CU), máxima oblicuidad</t>
        </is>
      </c>
      <c r="H63" t="n">
        <v>0.152</v>
      </c>
      <c r="J63" t="n">
        <v>0.3316666666666665</v>
      </c>
      <c r="K63" t="n">
        <v>0.07190000000000001</v>
      </c>
      <c r="L63" t="n">
        <v>0.6273</v>
      </c>
      <c r="M63">
        <f>(L63+K63)/2-(L63-K63)/2*((SQRT(4*m_*(m_-1)*(L63-K63)^2+(L63+K63)^2)-(L63+K63))/(2*(m_-1)*(L63-K63)))</f>
        <v/>
      </c>
      <c r="N63">
        <f>(L63-K63)/2*SQRT(1-((SQRT(4*m_*(m_-1)*(L63-K63)^2+(L63+K63)^2)-(L63+K63))/(2*(m_-1)*(L63-K63)))^2)</f>
        <v/>
      </c>
      <c r="O63">
        <f>DEGREES(ATAN(N63/M63))</f>
        <v/>
      </c>
      <c r="P63">
        <f>O63-omega*(e_base-J63)</f>
        <v/>
      </c>
      <c r="Q63">
        <f>DEGREES(ATAN(TAN(RADIANS(pe0-omega*J63))*(M63/sref)^(m_-1)))</f>
        <v/>
      </c>
      <c r="R63">
        <f>O63-Q63</f>
        <v/>
      </c>
      <c r="S63" t="n">
        <v>15</v>
      </c>
      <c r="T63" t="inlineStr">
        <is>
          <t>CU: máxima oblicuidad σ′1/σ′3</t>
        </is>
      </c>
      <c r="U63" t="inlineStr">
        <is>
          <t>5;1;7</t>
        </is>
      </c>
      <c r="V63">
        <f>DEGREES(ATAN(TAN(RADIANS(O63))*(M63/sref)^(1-m_)))</f>
        <v/>
      </c>
      <c r="W63">
        <f>V63-omega*(e_base-J63)</f>
        <v/>
      </c>
    </row>
    <row r="64">
      <c r="A64" t="inlineStr">
        <is>
          <t>A2024</t>
        </is>
      </c>
      <c r="B64" t="inlineStr">
        <is>
          <t>Ruma 02 (H-1 al H-12)</t>
        </is>
      </c>
      <c r="C64" t="inlineStr">
        <is>
          <t>1000 kPa (Esf. efect. inicial)</t>
        </is>
      </c>
      <c r="D64" t="inlineStr">
        <is>
          <t>Hornfels</t>
        </is>
      </c>
      <c r="E64" t="inlineStr">
        <is>
          <t>Triaxial CU</t>
        </is>
      </c>
      <c r="F64" t="inlineStr">
        <is>
          <t>Contraste</t>
        </is>
      </c>
      <c r="G64" t="inlineStr">
        <is>
          <t>triaxial no drenado (CU), máxima oblicuidad</t>
        </is>
      </c>
      <c r="H64" t="n">
        <v>0.152</v>
      </c>
      <c r="J64" t="n">
        <v>0.3316666666666665</v>
      </c>
      <c r="K64" t="n">
        <v>0.0949</v>
      </c>
      <c r="L64" t="n">
        <v>1.077</v>
      </c>
      <c r="M64">
        <f>(L64+K64)/2-(L64-K64)/2*((SQRT(4*m_*(m_-1)*(L64-K64)^2+(L64+K64)^2)-(L64+K64))/(2*(m_-1)*(L64-K64)))</f>
        <v/>
      </c>
      <c r="N64">
        <f>(L64-K64)/2*SQRT(1-((SQRT(4*m_*(m_-1)*(L64-K64)^2+(L64+K64)^2)-(L64+K64))/(2*(m_-1)*(L64-K64)))^2)</f>
        <v/>
      </c>
      <c r="O64">
        <f>DEGREES(ATAN(N64/M64))</f>
        <v/>
      </c>
      <c r="P64">
        <f>O64-omega*(e_base-J64)</f>
        <v/>
      </c>
      <c r="Q64">
        <f>DEGREES(ATAN(TAN(RADIANS(pe0-omega*J64))*(M64/sref)^(m_-1)))</f>
        <v/>
      </c>
      <c r="R64">
        <f>O64-Q64</f>
        <v/>
      </c>
      <c r="S64" t="n">
        <v>15</v>
      </c>
      <c r="T64" t="inlineStr">
        <is>
          <t>CU: máxima oblicuidad σ′1/σ′3</t>
        </is>
      </c>
      <c r="U64" t="inlineStr">
        <is>
          <t>4;1;7</t>
        </is>
      </c>
      <c r="V64">
        <f>DEGREES(ATAN(TAN(RADIANS(O64))*(M64/sref)^(1-m_)))</f>
        <v/>
      </c>
      <c r="W64">
        <f>V64-omega*(e_base-J64)</f>
        <v/>
      </c>
    </row>
    <row r="65">
      <c r="A65" t="inlineStr">
        <is>
          <t>A2024</t>
        </is>
      </c>
      <c r="B65" t="inlineStr">
        <is>
          <t>Ruma 02 (H-1 al H-12)</t>
        </is>
      </c>
      <c r="C65" t="inlineStr">
        <is>
          <t>2000 kPa (Esf. efect. inicial)</t>
        </is>
      </c>
      <c r="D65" t="inlineStr">
        <is>
          <t>Hornfels</t>
        </is>
      </c>
      <c r="E65" t="inlineStr">
        <is>
          <t>Triaxial CU</t>
        </is>
      </c>
      <c r="F65" t="inlineStr">
        <is>
          <t>Contraste</t>
        </is>
      </c>
      <c r="G65" t="inlineStr">
        <is>
          <t>triaxial no drenado (CU), máxima oblicuidad</t>
        </is>
      </c>
      <c r="H65" t="n">
        <v>0.152</v>
      </c>
      <c r="J65" t="n">
        <v>0.3316666666666665</v>
      </c>
      <c r="K65" t="n">
        <v>0.311</v>
      </c>
      <c r="L65" t="n">
        <v>1.8956</v>
      </c>
      <c r="M65">
        <f>(L65+K65)/2-(L65-K65)/2*((SQRT(4*m_*(m_-1)*(L65-K65)^2+(L65+K65)^2)-(L65+K65))/(2*(m_-1)*(L65-K65)))</f>
        <v/>
      </c>
      <c r="N65">
        <f>(L65-K65)/2*SQRT(1-((SQRT(4*m_*(m_-1)*(L65-K65)^2+(L65+K65)^2)-(L65+K65))/(2*(m_-1)*(L65-K65)))^2)</f>
        <v/>
      </c>
      <c r="O65">
        <f>DEGREES(ATAN(N65/M65))</f>
        <v/>
      </c>
      <c r="P65">
        <f>O65-omega*(e_base-J65)</f>
        <v/>
      </c>
      <c r="Q65">
        <f>DEGREES(ATAN(TAN(RADIANS(pe0-omega*J65))*(M65/sref)^(m_-1)))</f>
        <v/>
      </c>
      <c r="R65">
        <f>O65-Q65</f>
        <v/>
      </c>
      <c r="S65" t="n">
        <v>15</v>
      </c>
      <c r="T65" t="inlineStr">
        <is>
          <t>CU: máxima oblicuidad σ′1/σ′3</t>
        </is>
      </c>
      <c r="U65" t="inlineStr">
        <is>
          <t>3;1;7</t>
        </is>
      </c>
      <c r="V65">
        <f>DEGREES(ATAN(TAN(RADIANS(O65))*(M65/sref)^(1-m_)))</f>
        <v/>
      </c>
      <c r="W65">
        <f>V65-omega*(e_base-J65)</f>
        <v/>
      </c>
    </row>
    <row r="66">
      <c r="A66" t="inlineStr">
        <is>
          <t>A2024</t>
        </is>
      </c>
      <c r="B66" t="inlineStr">
        <is>
          <t>Ruma 03 / Fase 10 A (I-1 al I-12)</t>
        </is>
      </c>
      <c r="C66" t="inlineStr">
        <is>
          <t>500 kPa (Esf. efect. inicial)</t>
        </is>
      </c>
      <c r="D66" t="inlineStr">
        <is>
          <t>Intrusivo</t>
        </is>
      </c>
      <c r="E66" t="inlineStr">
        <is>
          <t>Triaxial CU</t>
        </is>
      </c>
      <c r="F66" t="inlineStr">
        <is>
          <t>Contraste</t>
        </is>
      </c>
      <c r="G66" t="inlineStr">
        <is>
          <t>triaxial no drenado (CU), máxima oblicuidad</t>
        </is>
      </c>
      <c r="H66" t="n">
        <v>0.152</v>
      </c>
      <c r="J66" t="n">
        <v>0.4096824570536179</v>
      </c>
      <c r="K66" t="n">
        <v>0.1227999999999999</v>
      </c>
      <c r="L66" t="n">
        <v>0.8416</v>
      </c>
      <c r="M66">
        <f>(L66+K66)/2-(L66-K66)/2*((SQRT(4*m_*(m_-1)*(L66-K66)^2+(L66+K66)^2)-(L66+K66))/(2*(m_-1)*(L66-K66)))</f>
        <v/>
      </c>
      <c r="N66">
        <f>(L66-K66)/2*SQRT(1-((SQRT(4*m_*(m_-1)*(L66-K66)^2+(L66+K66)^2)-(L66+K66))/(2*(m_-1)*(L66-K66)))^2)</f>
        <v/>
      </c>
      <c r="O66">
        <f>DEGREES(ATAN(N66/M66))</f>
        <v/>
      </c>
      <c r="P66">
        <f>O66-omega*(e_base-J66)</f>
        <v/>
      </c>
      <c r="Q66">
        <f>DEGREES(ATAN(TAN(RADIANS(pe0-omega*J66))*(M66/sref)^(m_-1)))</f>
        <v/>
      </c>
      <c r="R66">
        <f>O66-Q66</f>
        <v/>
      </c>
      <c r="S66" t="n">
        <v>15</v>
      </c>
      <c r="T66" t="inlineStr">
        <is>
          <t>CU: máxima oblicuidad σ′1/σ′3</t>
        </is>
      </c>
      <c r="U66" t="inlineStr">
        <is>
          <t>5;1;7</t>
        </is>
      </c>
      <c r="V66">
        <f>DEGREES(ATAN(TAN(RADIANS(O66))*(M66/sref)^(1-m_)))</f>
        <v/>
      </c>
      <c r="W66">
        <f>V66-omega*(e_base-J66)</f>
        <v/>
      </c>
    </row>
    <row r="67">
      <c r="A67" t="inlineStr">
        <is>
          <t>A2024</t>
        </is>
      </c>
      <c r="B67" t="inlineStr">
        <is>
          <t>Ruma 03 / Fase 10 A (I-1 al I-12)</t>
        </is>
      </c>
      <c r="C67" t="inlineStr">
        <is>
          <t>1000 kPa (Esf. efect. inicial)</t>
        </is>
      </c>
      <c r="D67" t="inlineStr">
        <is>
          <t>Intrusivo</t>
        </is>
      </c>
      <c r="E67" t="inlineStr">
        <is>
          <t>Triaxial CU</t>
        </is>
      </c>
      <c r="F67" t="inlineStr">
        <is>
          <t>Contraste</t>
        </is>
      </c>
      <c r="G67" t="inlineStr">
        <is>
          <t>triaxial no drenado (CU), máxima oblicuidad</t>
        </is>
      </c>
      <c r="H67" t="n">
        <v>0.152</v>
      </c>
      <c r="J67" t="n">
        <v>0.4096824570536179</v>
      </c>
      <c r="K67" t="n">
        <v>0.132</v>
      </c>
      <c r="L67" t="n">
        <v>1.1158</v>
      </c>
      <c r="M67">
        <f>(L67+K67)/2-(L67-K67)/2*((SQRT(4*m_*(m_-1)*(L67-K67)^2+(L67+K67)^2)-(L67+K67))/(2*(m_-1)*(L67-K67)))</f>
        <v/>
      </c>
      <c r="N67">
        <f>(L67-K67)/2*SQRT(1-((SQRT(4*m_*(m_-1)*(L67-K67)^2+(L67+K67)^2)-(L67+K67))/(2*(m_-1)*(L67-K67)))^2)</f>
        <v/>
      </c>
      <c r="O67">
        <f>DEGREES(ATAN(N67/M67))</f>
        <v/>
      </c>
      <c r="P67">
        <f>O67-omega*(e_base-J67)</f>
        <v/>
      </c>
      <c r="Q67">
        <f>DEGREES(ATAN(TAN(RADIANS(pe0-omega*J67))*(M67/sref)^(m_-1)))</f>
        <v/>
      </c>
      <c r="R67">
        <f>O67-Q67</f>
        <v/>
      </c>
      <c r="S67" t="n">
        <v>15</v>
      </c>
      <c r="T67" t="inlineStr">
        <is>
          <t>CU: máxima oblicuidad σ′1/σ′3</t>
        </is>
      </c>
      <c r="U67" t="inlineStr">
        <is>
          <t>4;1;7</t>
        </is>
      </c>
      <c r="V67">
        <f>DEGREES(ATAN(TAN(RADIANS(O67))*(M67/sref)^(1-m_)))</f>
        <v/>
      </c>
      <c r="W67">
        <f>V67-omega*(e_base-J67)</f>
        <v/>
      </c>
    </row>
    <row r="68">
      <c r="A68" t="inlineStr">
        <is>
          <t>A2024</t>
        </is>
      </c>
      <c r="B68" t="inlineStr">
        <is>
          <t>Ruma 03 / Fase 10 A (I-1 al I-12)</t>
        </is>
      </c>
      <c r="C68" t="inlineStr">
        <is>
          <t>2000 kPa (Esf. efect. inicial)</t>
        </is>
      </c>
      <c r="D68" t="inlineStr">
        <is>
          <t>Intrusivo</t>
        </is>
      </c>
      <c r="E68" t="inlineStr">
        <is>
          <t>Triaxial CU</t>
        </is>
      </c>
      <c r="F68" t="inlineStr">
        <is>
          <t>Contraste</t>
        </is>
      </c>
      <c r="G68" t="inlineStr">
        <is>
          <t>triaxial no drenado (CU), máxima oblicuidad</t>
        </is>
      </c>
      <c r="H68" t="n">
        <v>0.152</v>
      </c>
      <c r="J68" t="n">
        <v>0.4096824570536179</v>
      </c>
      <c r="K68" t="n">
        <v>0.2858</v>
      </c>
      <c r="L68" t="n">
        <v>1.9658</v>
      </c>
      <c r="M68">
        <f>(L68+K68)/2-(L68-K68)/2*((SQRT(4*m_*(m_-1)*(L68-K68)^2+(L68+K68)^2)-(L68+K68))/(2*(m_-1)*(L68-K68)))</f>
        <v/>
      </c>
      <c r="N68">
        <f>(L68-K68)/2*SQRT(1-((SQRT(4*m_*(m_-1)*(L68-K68)^2+(L68+K68)^2)-(L68+K68))/(2*(m_-1)*(L68-K68)))^2)</f>
        <v/>
      </c>
      <c r="O68">
        <f>DEGREES(ATAN(N68/M68))</f>
        <v/>
      </c>
      <c r="P68">
        <f>O68-omega*(e_base-J68)</f>
        <v/>
      </c>
      <c r="Q68">
        <f>DEGREES(ATAN(TAN(RADIANS(pe0-omega*J68))*(M68/sref)^(m_-1)))</f>
        <v/>
      </c>
      <c r="R68">
        <f>O68-Q68</f>
        <v/>
      </c>
      <c r="S68" t="n">
        <v>15</v>
      </c>
      <c r="T68" t="inlineStr">
        <is>
          <t>CU: máxima oblicuidad σ′1/σ′3</t>
        </is>
      </c>
      <c r="U68" t="inlineStr">
        <is>
          <t>3;1;7</t>
        </is>
      </c>
      <c r="V68">
        <f>DEGREES(ATAN(TAN(RADIANS(O68))*(M68/sref)^(1-m_)))</f>
        <v/>
      </c>
      <c r="W68">
        <f>V68-omega*(e_base-J68)</f>
        <v/>
      </c>
    </row>
    <row r="69">
      <c r="A69" t="inlineStr">
        <is>
          <t>A2024</t>
        </is>
      </c>
      <c r="B69" t="inlineStr">
        <is>
          <t>Pila 01 (MP1-B-M-1, MP1-B-M2, MP1-B-M3, MP1-H-Material B)</t>
        </is>
      </c>
      <c r="C69" t="inlineStr">
        <is>
          <t>500 kPa (Esf. efect. inicial)</t>
        </is>
      </c>
      <c r="D69" t="inlineStr">
        <is>
          <t>Mezcla</t>
        </is>
      </c>
      <c r="E69" t="inlineStr">
        <is>
          <t>Triaxial CU</t>
        </is>
      </c>
      <c r="F69" t="inlineStr">
        <is>
          <t>Contraste</t>
        </is>
      </c>
      <c r="G69" t="inlineStr">
        <is>
          <t>triaxial no drenado (CU), máxima oblicuidad</t>
        </is>
      </c>
      <c r="H69" t="n">
        <v>0.152</v>
      </c>
      <c r="J69" t="n">
        <v>0.3255730659025788</v>
      </c>
      <c r="K69" t="n">
        <v>0.0982</v>
      </c>
      <c r="L69" t="n">
        <v>0.6822999999999999</v>
      </c>
      <c r="M69">
        <f>(L69+K69)/2-(L69-K69)/2*((SQRT(4*m_*(m_-1)*(L69-K69)^2+(L69+K69)^2)-(L69+K69))/(2*(m_-1)*(L69-K69)))</f>
        <v/>
      </c>
      <c r="N69">
        <f>(L69-K69)/2*SQRT(1-((SQRT(4*m_*(m_-1)*(L69-K69)^2+(L69+K69)^2)-(L69+K69))/(2*(m_-1)*(L69-K69)))^2)</f>
        <v/>
      </c>
      <c r="O69">
        <f>DEGREES(ATAN(N69/M69))</f>
        <v/>
      </c>
      <c r="P69">
        <f>O69-omega*(e_base-J69)</f>
        <v/>
      </c>
      <c r="Q69">
        <f>DEGREES(ATAN(TAN(RADIANS(pe0-omega*J69))*(M69/sref)^(m_-1)))</f>
        <v/>
      </c>
      <c r="R69">
        <f>O69-Q69</f>
        <v/>
      </c>
      <c r="S69" t="n">
        <v>15</v>
      </c>
      <c r="T69" t="inlineStr">
        <is>
          <t>CU: máxima oblicuidad σ′1/σ′3</t>
        </is>
      </c>
      <c r="U69" t="inlineStr">
        <is>
          <t>5;1;7</t>
        </is>
      </c>
      <c r="V69">
        <f>DEGREES(ATAN(TAN(RADIANS(O69))*(M69/sref)^(1-m_)))</f>
        <v/>
      </c>
      <c r="W69">
        <f>V69-omega*(e_base-J69)</f>
        <v/>
      </c>
    </row>
    <row r="70">
      <c r="A70" t="inlineStr">
        <is>
          <t>A2024</t>
        </is>
      </c>
      <c r="B70" t="inlineStr">
        <is>
          <t>Pila 01 (MP1-B-M-1, MP1-B-M2, MP1-B-M3, MP1-H-Material B)</t>
        </is>
      </c>
      <c r="C70" t="inlineStr">
        <is>
          <t>1000 kPa (Esf. efect. inicial)</t>
        </is>
      </c>
      <c r="D70" t="inlineStr">
        <is>
          <t>Mezcla</t>
        </is>
      </c>
      <c r="E70" t="inlineStr">
        <is>
          <t>Triaxial CU</t>
        </is>
      </c>
      <c r="F70" t="inlineStr">
        <is>
          <t>Contraste</t>
        </is>
      </c>
      <c r="G70" t="inlineStr">
        <is>
          <t>triaxial no drenado (CU), máxima oblicuidad</t>
        </is>
      </c>
      <c r="H70" t="n">
        <v>0.152</v>
      </c>
      <c r="J70" t="n">
        <v>0.3255730659025788</v>
      </c>
      <c r="K70" t="n">
        <v>0.1984</v>
      </c>
      <c r="L70" t="n">
        <v>1.4123</v>
      </c>
      <c r="M70">
        <f>(L70+K70)/2-(L70-K70)/2*((SQRT(4*m_*(m_-1)*(L70-K70)^2+(L70+K70)^2)-(L70+K70))/(2*(m_-1)*(L70-K70)))</f>
        <v/>
      </c>
      <c r="N70">
        <f>(L70-K70)/2*SQRT(1-((SQRT(4*m_*(m_-1)*(L70-K70)^2+(L70+K70)^2)-(L70+K70))/(2*(m_-1)*(L70-K70)))^2)</f>
        <v/>
      </c>
      <c r="O70">
        <f>DEGREES(ATAN(N70/M70))</f>
        <v/>
      </c>
      <c r="P70">
        <f>O70-omega*(e_base-J70)</f>
        <v/>
      </c>
      <c r="Q70">
        <f>DEGREES(ATAN(TAN(RADIANS(pe0-omega*J70))*(M70/sref)^(m_-1)))</f>
        <v/>
      </c>
      <c r="R70">
        <f>O70-Q70</f>
        <v/>
      </c>
      <c r="S70" t="n">
        <v>15</v>
      </c>
      <c r="T70" t="inlineStr">
        <is>
          <t>CU: máxima oblicuidad σ′1/σ′3</t>
        </is>
      </c>
      <c r="U70" t="inlineStr">
        <is>
          <t>4;1;7</t>
        </is>
      </c>
      <c r="V70">
        <f>DEGREES(ATAN(TAN(RADIANS(O70))*(M70/sref)^(1-m_)))</f>
        <v/>
      </c>
      <c r="W70">
        <f>V70-omega*(e_base-J70)</f>
        <v/>
      </c>
    </row>
    <row r="71">
      <c r="A71" t="inlineStr">
        <is>
          <t>A2024</t>
        </is>
      </c>
      <c r="B71" t="inlineStr">
        <is>
          <t>Pila 01 (MP1-B-M-1, MP1-B-M2, MP1-B-M3, MP1-H-Material B)</t>
        </is>
      </c>
      <c r="C71" t="inlineStr">
        <is>
          <t>2000 kPa (Esf. efect. inicial)</t>
        </is>
      </c>
      <c r="D71" t="inlineStr">
        <is>
          <t>Mezcla</t>
        </is>
      </c>
      <c r="E71" t="inlineStr">
        <is>
          <t>Triaxial CU</t>
        </is>
      </c>
      <c r="F71" t="inlineStr">
        <is>
          <t>Contraste</t>
        </is>
      </c>
      <c r="G71" t="inlineStr">
        <is>
          <t>triaxial no drenado (CU), máxima oblicuidad</t>
        </is>
      </c>
      <c r="H71" t="n">
        <v>0.152</v>
      </c>
      <c r="J71" t="n">
        <v>0.3255730659025788</v>
      </c>
      <c r="K71" t="n">
        <v>0.6857000000000001</v>
      </c>
      <c r="L71" t="n">
        <v>3.7535</v>
      </c>
      <c r="M71">
        <f>(L71+K71)/2-(L71-K71)/2*((SQRT(4*m_*(m_-1)*(L71-K71)^2+(L71+K71)^2)-(L71+K71))/(2*(m_-1)*(L71-K71)))</f>
        <v/>
      </c>
      <c r="N71">
        <f>(L71-K71)/2*SQRT(1-((SQRT(4*m_*(m_-1)*(L71-K71)^2+(L71+K71)^2)-(L71+K71))/(2*(m_-1)*(L71-K71)))^2)</f>
        <v/>
      </c>
      <c r="O71">
        <f>DEGREES(ATAN(N71/M71))</f>
        <v/>
      </c>
      <c r="P71">
        <f>O71-omega*(e_base-J71)</f>
        <v/>
      </c>
      <c r="Q71">
        <f>DEGREES(ATAN(TAN(RADIANS(pe0-omega*J71))*(M71/sref)^(m_-1)))</f>
        <v/>
      </c>
      <c r="R71">
        <f>O71-Q71</f>
        <v/>
      </c>
      <c r="S71" t="n">
        <v>15</v>
      </c>
      <c r="T71" t="inlineStr">
        <is>
          <t>CU: máxima oblicuidad σ′1/σ′3</t>
        </is>
      </c>
      <c r="U71" t="inlineStr">
        <is>
          <t>3;1;7</t>
        </is>
      </c>
      <c r="V71">
        <f>DEGREES(ATAN(TAN(RADIANS(O71))*(M71/sref)^(1-m_)))</f>
        <v/>
      </c>
      <c r="W71">
        <f>V71-omega*(e_base-J71)</f>
        <v/>
      </c>
    </row>
    <row r="72">
      <c r="A72" t="inlineStr">
        <is>
          <t>A2024</t>
        </is>
      </c>
      <c r="B72" t="inlineStr">
        <is>
          <t>Pila 02 (MP2-A-M-1 a MP2-A-M-5, MP2-H-Material A)</t>
        </is>
      </c>
      <c r="C72" t="inlineStr">
        <is>
          <t>500 kPa (Esf. efect. inicial)</t>
        </is>
      </c>
      <c r="D72" t="inlineStr">
        <is>
          <t>Intrusivo</t>
        </is>
      </c>
      <c r="E72" t="inlineStr">
        <is>
          <t>Triaxial CU</t>
        </is>
      </c>
      <c r="F72" t="inlineStr">
        <is>
          <t>Contraste</t>
        </is>
      </c>
      <c r="G72" t="inlineStr">
        <is>
          <t>triaxial no drenado (CU), máxima oblicuidad</t>
        </is>
      </c>
      <c r="H72" t="n">
        <v>0.152</v>
      </c>
      <c r="J72" t="n">
        <v>0.478973238667395</v>
      </c>
      <c r="K72" t="n">
        <v>0.1141</v>
      </c>
      <c r="L72" t="n">
        <v>0.7131000000000001</v>
      </c>
      <c r="M72">
        <f>(L72+K72)/2-(L72-K72)/2*((SQRT(4*m_*(m_-1)*(L72-K72)^2+(L72+K72)^2)-(L72+K72))/(2*(m_-1)*(L72-K72)))</f>
        <v/>
      </c>
      <c r="N72">
        <f>(L72-K72)/2*SQRT(1-((SQRT(4*m_*(m_-1)*(L72-K72)^2+(L72+K72)^2)-(L72+K72))/(2*(m_-1)*(L72-K72)))^2)</f>
        <v/>
      </c>
      <c r="O72">
        <f>DEGREES(ATAN(N72/M72))</f>
        <v/>
      </c>
      <c r="P72">
        <f>O72-omega*(e_base-J72)</f>
        <v/>
      </c>
      <c r="Q72">
        <f>DEGREES(ATAN(TAN(RADIANS(pe0-omega*J72))*(M72/sref)^(m_-1)))</f>
        <v/>
      </c>
      <c r="R72">
        <f>O72-Q72</f>
        <v/>
      </c>
      <c r="S72" t="n">
        <v>15</v>
      </c>
      <c r="T72" t="inlineStr">
        <is>
          <t>CU: máxima oblicuidad σ′1/σ′3</t>
        </is>
      </c>
      <c r="U72" t="inlineStr">
        <is>
          <t>5;1;7</t>
        </is>
      </c>
      <c r="V72">
        <f>DEGREES(ATAN(TAN(RADIANS(O72))*(M72/sref)^(1-m_)))</f>
        <v/>
      </c>
      <c r="W72">
        <f>V72-omega*(e_base-J72)</f>
        <v/>
      </c>
    </row>
    <row r="73">
      <c r="A73" t="inlineStr">
        <is>
          <t>A2024</t>
        </is>
      </c>
      <c r="B73" t="inlineStr">
        <is>
          <t>Pila 02 (MP2-A-M-1 a MP2-A-M-5, MP2-H-Material A)</t>
        </is>
      </c>
      <c r="C73" t="inlineStr">
        <is>
          <t>1000 kPa (Esf. efect. inicial)</t>
        </is>
      </c>
      <c r="D73" t="inlineStr">
        <is>
          <t>Intrusivo</t>
        </is>
      </c>
      <c r="E73" t="inlineStr">
        <is>
          <t>Triaxial CU</t>
        </is>
      </c>
      <c r="F73" t="inlineStr">
        <is>
          <t>Contraste</t>
        </is>
      </c>
      <c r="G73" t="inlineStr">
        <is>
          <t>triaxial no drenado (CU), máxima oblicuidad</t>
        </is>
      </c>
      <c r="H73" t="n">
        <v>0.152</v>
      </c>
      <c r="J73" t="n">
        <v>0.478973238667395</v>
      </c>
      <c r="K73" t="n">
        <v>0.2289</v>
      </c>
      <c r="L73" t="n">
        <v>1.5975</v>
      </c>
      <c r="M73">
        <f>(L73+K73)/2-(L73-K73)/2*((SQRT(4*m_*(m_-1)*(L73-K73)^2+(L73+K73)^2)-(L73+K73))/(2*(m_-1)*(L73-K73)))</f>
        <v/>
      </c>
      <c r="N73">
        <f>(L73-K73)/2*SQRT(1-((SQRT(4*m_*(m_-1)*(L73-K73)^2+(L73+K73)^2)-(L73+K73))/(2*(m_-1)*(L73-K73)))^2)</f>
        <v/>
      </c>
      <c r="O73">
        <f>DEGREES(ATAN(N73/M73))</f>
        <v/>
      </c>
      <c r="P73">
        <f>O73-omega*(e_base-J73)</f>
        <v/>
      </c>
      <c r="Q73">
        <f>DEGREES(ATAN(TAN(RADIANS(pe0-omega*J73))*(M73/sref)^(m_-1)))</f>
        <v/>
      </c>
      <c r="R73">
        <f>O73-Q73</f>
        <v/>
      </c>
      <c r="S73" t="n">
        <v>15</v>
      </c>
      <c r="T73" t="inlineStr">
        <is>
          <t>CU: máxima oblicuidad σ′1/σ′3</t>
        </is>
      </c>
      <c r="U73" t="inlineStr">
        <is>
          <t>4;1;7</t>
        </is>
      </c>
      <c r="V73">
        <f>DEGREES(ATAN(TAN(RADIANS(O73))*(M73/sref)^(1-m_)))</f>
        <v/>
      </c>
      <c r="W73">
        <f>V73-omega*(e_base-J73)</f>
        <v/>
      </c>
    </row>
    <row r="74">
      <c r="A74" t="inlineStr">
        <is>
          <t>A2024</t>
        </is>
      </c>
      <c r="B74" t="inlineStr">
        <is>
          <t>Pila 02 (MP2-A-M-1 a MP2-A-M-5, MP2-H-Material A)</t>
        </is>
      </c>
      <c r="C74" t="inlineStr">
        <is>
          <t>2000 kPa (Esf. efect. inicial)</t>
        </is>
      </c>
      <c r="D74" t="inlineStr">
        <is>
          <t>Intrusivo</t>
        </is>
      </c>
      <c r="E74" t="inlineStr">
        <is>
          <t>Triaxial CU</t>
        </is>
      </c>
      <c r="F74" t="inlineStr">
        <is>
          <t>Contraste</t>
        </is>
      </c>
      <c r="G74" t="inlineStr">
        <is>
          <t>triaxial no drenado (CU), máxima oblicuidad</t>
        </is>
      </c>
      <c r="H74" t="n">
        <v>0.152</v>
      </c>
      <c r="J74" t="n">
        <v>0.478973238667395</v>
      </c>
      <c r="K74" t="n">
        <v>0.6343</v>
      </c>
      <c r="L74" t="n">
        <v>3.417</v>
      </c>
      <c r="M74">
        <f>(L74+K74)/2-(L74-K74)/2*((SQRT(4*m_*(m_-1)*(L74-K74)^2+(L74+K74)^2)-(L74+K74))/(2*(m_-1)*(L74-K74)))</f>
        <v/>
      </c>
      <c r="N74">
        <f>(L74-K74)/2*SQRT(1-((SQRT(4*m_*(m_-1)*(L74-K74)^2+(L74+K74)^2)-(L74+K74))/(2*(m_-1)*(L74-K74)))^2)</f>
        <v/>
      </c>
      <c r="O74">
        <f>DEGREES(ATAN(N74/M74))</f>
        <v/>
      </c>
      <c r="P74">
        <f>O74-omega*(e_base-J74)</f>
        <v/>
      </c>
      <c r="Q74">
        <f>DEGREES(ATAN(TAN(RADIANS(pe0-omega*J74))*(M74/sref)^(m_-1)))</f>
        <v/>
      </c>
      <c r="R74">
        <f>O74-Q74</f>
        <v/>
      </c>
      <c r="S74" t="n">
        <v>15</v>
      </c>
      <c r="T74" t="inlineStr">
        <is>
          <t>CU: máxima oblicuidad σ′1/σ′3</t>
        </is>
      </c>
      <c r="U74" t="inlineStr">
        <is>
          <t>3;1;7</t>
        </is>
      </c>
      <c r="V74">
        <f>DEGREES(ATAN(TAN(RADIANS(O74))*(M74/sref)^(1-m_)))</f>
        <v/>
      </c>
      <c r="W74">
        <f>V74-omega*(e_base-J74)</f>
        <v/>
      </c>
    </row>
    <row r="75">
      <c r="A75" t="inlineStr">
        <is>
          <t>G2010</t>
        </is>
      </c>
      <c r="B75" t="inlineStr">
        <is>
          <t>G2010-B-MN-2.8in</t>
        </is>
      </c>
      <c r="C75" t="inlineStr">
        <is>
          <t>GL-481-09 Prueba Nº 1 (σ3c=391 kPa)</t>
        </is>
      </c>
      <c r="D75" t="inlineStr">
        <is>
          <t>Mármol</t>
        </is>
      </c>
      <c r="E75" t="inlineStr">
        <is>
          <t>Triaxial CU</t>
        </is>
      </c>
      <c r="F75" t="inlineStr">
        <is>
          <t>No usado</t>
        </is>
      </c>
      <c r="G75" t="inlineStr">
        <is>
          <t>material chancado (fase B)</t>
        </is>
      </c>
      <c r="H75" t="n">
        <v>0.07149999999999999</v>
      </c>
      <c r="I75" t="n">
        <v>9.5</v>
      </c>
      <c r="J75" t="n">
        <v>0.278</v>
      </c>
      <c r="K75" t="n">
        <v>0.715</v>
      </c>
      <c r="L75" t="n">
        <v>3.491</v>
      </c>
      <c r="M75">
        <f>(L75+K75)/2-(L75-K75)/2*((SQRT(4*m_*(m_-1)*(L75-K75)^2+(L75+K75)^2)-(L75+K75))/(2*(m_-1)*(L75-K75)))</f>
        <v/>
      </c>
      <c r="N75">
        <f>(L75-K75)/2*SQRT(1-((SQRT(4*m_*(m_-1)*(L75-K75)^2+(L75+K75)^2)-(L75+K75))/(2*(m_-1)*(L75-K75)))^2)</f>
        <v/>
      </c>
      <c r="O75">
        <f>DEGREES(ATAN(N75/M75))</f>
        <v/>
      </c>
      <c r="P75">
        <f>O75-omega*(e_base-J75)</f>
        <v/>
      </c>
      <c r="Q75">
        <f>DEGREES(ATAN(TAN(RADIANS(pe0-omega*J75))*(M75/sref)^(m_-1)))</f>
        <v/>
      </c>
      <c r="R75">
        <f>O75-Q75</f>
        <v/>
      </c>
      <c r="S75" t="n">
        <v>5.8</v>
      </c>
      <c r="T75" t="inlineStr">
        <is>
          <t>CU: máximo desviador (la fuente no permite máxima oblicuidad)</t>
        </is>
      </c>
      <c r="U75" t="inlineStr">
        <is>
          <t>117;119;8;10;49</t>
        </is>
      </c>
      <c r="V75">
        <f>DEGREES(ATAN(TAN(RADIANS(O75))*(M75/sref)^(1-m_)))</f>
        <v/>
      </c>
      <c r="W75">
        <f>V75-omega*(e_base-J75)</f>
        <v/>
      </c>
    </row>
    <row r="76">
      <c r="A76" t="inlineStr">
        <is>
          <t>G2010</t>
        </is>
      </c>
      <c r="B76" t="inlineStr">
        <is>
          <t>G2010-B-MN-2.8in</t>
        </is>
      </c>
      <c r="C76" t="inlineStr">
        <is>
          <t>GL-481-09 Prueba Nº 2 (σ3c=788 kPa)</t>
        </is>
      </c>
      <c r="D76" t="inlineStr">
        <is>
          <t>Mármol</t>
        </is>
      </c>
      <c r="E76" t="inlineStr">
        <is>
          <t>Triaxial CU</t>
        </is>
      </c>
      <c r="F76" t="inlineStr">
        <is>
          <t>No usado</t>
        </is>
      </c>
      <c r="G76" t="inlineStr">
        <is>
          <t>material chancado (fase B)</t>
        </is>
      </c>
      <c r="H76" t="n">
        <v>0.07140000000000001</v>
      </c>
      <c r="I76" t="n">
        <v>9.5</v>
      </c>
      <c r="J76" t="n">
        <v>0.273</v>
      </c>
      <c r="K76" t="n">
        <v>0.823</v>
      </c>
      <c r="L76" t="n">
        <v>3.727</v>
      </c>
      <c r="M76">
        <f>(L76+K76)/2-(L76-K76)/2*((SQRT(4*m_*(m_-1)*(L76-K76)^2+(L76+K76)^2)-(L76+K76))/(2*(m_-1)*(L76-K76)))</f>
        <v/>
      </c>
      <c r="N76">
        <f>(L76-K76)/2*SQRT(1-((SQRT(4*m_*(m_-1)*(L76-K76)^2+(L76+K76)^2)-(L76+K76))/(2*(m_-1)*(L76-K76)))^2)</f>
        <v/>
      </c>
      <c r="O76">
        <f>DEGREES(ATAN(N76/M76))</f>
        <v/>
      </c>
      <c r="P76">
        <f>O76-omega*(e_base-J76)</f>
        <v/>
      </c>
      <c r="Q76">
        <f>DEGREES(ATAN(TAN(RADIANS(pe0-omega*J76))*(M76/sref)^(m_-1)))</f>
        <v/>
      </c>
      <c r="R76">
        <f>O76-Q76</f>
        <v/>
      </c>
      <c r="S76" t="n">
        <v>5.1</v>
      </c>
      <c r="T76" t="inlineStr">
        <is>
          <t>CU: máximo desviador (la fuente no permite máxima oblicuidad)</t>
        </is>
      </c>
      <c r="U76" t="inlineStr">
        <is>
          <t>117;119;8;10;49</t>
        </is>
      </c>
      <c r="V76">
        <f>DEGREES(ATAN(TAN(RADIANS(O76))*(M76/sref)^(1-m_)))</f>
        <v/>
      </c>
      <c r="W76">
        <f>V76-omega*(e_base-J76)</f>
        <v/>
      </c>
    </row>
    <row r="77">
      <c r="A77" t="inlineStr">
        <is>
          <t>G2010</t>
        </is>
      </c>
      <c r="B77" t="inlineStr">
        <is>
          <t>G2010-B-MN-2.8in</t>
        </is>
      </c>
      <c r="C77" t="inlineStr">
        <is>
          <t>GL-481-09 Prueba Nº 3 (σ3c=1577 kPa)</t>
        </is>
      </c>
      <c r="D77" t="inlineStr">
        <is>
          <t>Mármol</t>
        </is>
      </c>
      <c r="E77" t="inlineStr">
        <is>
          <t>Triaxial CU</t>
        </is>
      </c>
      <c r="F77" t="inlineStr">
        <is>
          <t>No usado</t>
        </is>
      </c>
      <c r="G77" t="inlineStr">
        <is>
          <t>material chancado (fase B)</t>
        </is>
      </c>
      <c r="H77" t="n">
        <v>0.07140000000000001</v>
      </c>
      <c r="I77" t="n">
        <v>9.5</v>
      </c>
      <c r="J77" t="n">
        <v>0.273</v>
      </c>
      <c r="K77" t="n">
        <v>1.028</v>
      </c>
      <c r="L77" t="n">
        <v>4.617</v>
      </c>
      <c r="M77">
        <f>(L77+K77)/2-(L77-K77)/2*((SQRT(4*m_*(m_-1)*(L77-K77)^2+(L77+K77)^2)-(L77+K77))/(2*(m_-1)*(L77-K77)))</f>
        <v/>
      </c>
      <c r="N77">
        <f>(L77-K77)/2*SQRT(1-((SQRT(4*m_*(m_-1)*(L77-K77)^2+(L77+K77)^2)-(L77+K77))/(2*(m_-1)*(L77-K77)))^2)</f>
        <v/>
      </c>
      <c r="O77">
        <f>DEGREES(ATAN(N77/M77))</f>
        <v/>
      </c>
      <c r="P77">
        <f>O77-omega*(e_base-J77)</f>
        <v/>
      </c>
      <c r="Q77">
        <f>DEGREES(ATAN(TAN(RADIANS(pe0-omega*J77))*(M77/sref)^(m_-1)))</f>
        <v/>
      </c>
      <c r="R77">
        <f>O77-Q77</f>
        <v/>
      </c>
      <c r="S77" t="n">
        <v>6.3</v>
      </c>
      <c r="T77" t="inlineStr">
        <is>
          <t>CU: máximo desviador (la fuente no permite máxima oblicuidad)</t>
        </is>
      </c>
      <c r="U77" t="inlineStr">
        <is>
          <t>117;119;8;10;49</t>
        </is>
      </c>
      <c r="V77">
        <f>DEGREES(ATAN(TAN(RADIANS(O77))*(M77/sref)^(1-m_)))</f>
        <v/>
      </c>
      <c r="W77">
        <f>V77-omega*(e_base-J77)</f>
        <v/>
      </c>
    </row>
    <row r="78">
      <c r="A78" t="inlineStr">
        <is>
          <t>G2010</t>
        </is>
      </c>
      <c r="B78" t="inlineStr">
        <is>
          <t>G2010-B-HG-2.8in</t>
        </is>
      </c>
      <c r="C78" t="inlineStr">
        <is>
          <t>GL-482-09 Prueba Nº 1 (σ3c=387 kPa)</t>
        </is>
      </c>
      <c r="D78" t="inlineStr">
        <is>
          <t>Hornfels</t>
        </is>
      </c>
      <c r="E78" t="inlineStr">
        <is>
          <t>Triaxial CU</t>
        </is>
      </c>
      <c r="F78" t="inlineStr">
        <is>
          <t>No usado</t>
        </is>
      </c>
      <c r="G78" t="inlineStr">
        <is>
          <t>material chancado (fase B)</t>
        </is>
      </c>
      <c r="H78" t="n">
        <v>0.07149999999999999</v>
      </c>
      <c r="I78" t="n">
        <v>9.5</v>
      </c>
      <c r="J78" t="n">
        <v>0.312</v>
      </c>
      <c r="K78" t="n">
        <v>0.095</v>
      </c>
      <c r="L78" t="n">
        <v>0.521</v>
      </c>
      <c r="M78">
        <f>(L78+K78)/2-(L78-K78)/2*((SQRT(4*m_*(m_-1)*(L78-K78)^2+(L78+K78)^2)-(L78+K78))/(2*(m_-1)*(L78-K78)))</f>
        <v/>
      </c>
      <c r="N78">
        <f>(L78-K78)/2*SQRT(1-((SQRT(4*m_*(m_-1)*(L78-K78)^2+(L78+K78)^2)-(L78+K78))/(2*(m_-1)*(L78-K78)))^2)</f>
        <v/>
      </c>
      <c r="O78">
        <f>DEGREES(ATAN(N78/M78))</f>
        <v/>
      </c>
      <c r="P78">
        <f>O78-omega*(e_base-J78)</f>
        <v/>
      </c>
      <c r="Q78">
        <f>DEGREES(ATAN(TAN(RADIANS(pe0-omega*J78))*(M78/sref)^(m_-1)))</f>
        <v/>
      </c>
      <c r="R78">
        <f>O78-Q78</f>
        <v/>
      </c>
      <c r="S78" t="n">
        <v>1.3</v>
      </c>
      <c r="T78" t="inlineStr">
        <is>
          <t>CU: máximo desviador (la fuente no permite máxima oblicuidad)</t>
        </is>
      </c>
      <c r="U78" t="inlineStr">
        <is>
          <t>122;124;8;10;49</t>
        </is>
      </c>
      <c r="V78">
        <f>DEGREES(ATAN(TAN(RADIANS(O78))*(M78/sref)^(1-m_)))</f>
        <v/>
      </c>
      <c r="W78">
        <f>V78-omega*(e_base-J78)</f>
        <v/>
      </c>
    </row>
    <row r="79">
      <c r="A79" t="inlineStr">
        <is>
          <t>G2010</t>
        </is>
      </c>
      <c r="B79" t="inlineStr">
        <is>
          <t>G2010-B-HG-2.8in</t>
        </is>
      </c>
      <c r="C79" t="inlineStr">
        <is>
          <t>GL-482-09 Prueba Nº 2 (σ3c=786 kPa)</t>
        </is>
      </c>
      <c r="D79" t="inlineStr">
        <is>
          <t>Hornfels</t>
        </is>
      </c>
      <c r="E79" t="inlineStr">
        <is>
          <t>Triaxial CU</t>
        </is>
      </c>
      <c r="F79" t="inlineStr">
        <is>
          <t>No usado</t>
        </is>
      </c>
      <c r="G79" t="inlineStr">
        <is>
          <t>material chancado (fase B)</t>
        </is>
      </c>
      <c r="H79" t="n">
        <v>0.07149999999999999</v>
      </c>
      <c r="I79" t="n">
        <v>9.5</v>
      </c>
      <c r="J79" t="n">
        <v>0.312</v>
      </c>
      <c r="K79" t="n">
        <v>0.269</v>
      </c>
      <c r="L79" t="n">
        <v>1.029</v>
      </c>
      <c r="M79">
        <f>(L79+K79)/2-(L79-K79)/2*((SQRT(4*m_*(m_-1)*(L79-K79)^2+(L79+K79)^2)-(L79+K79))/(2*(m_-1)*(L79-K79)))</f>
        <v/>
      </c>
      <c r="N79">
        <f>(L79-K79)/2*SQRT(1-((SQRT(4*m_*(m_-1)*(L79-K79)^2+(L79+K79)^2)-(L79+K79))/(2*(m_-1)*(L79-K79)))^2)</f>
        <v/>
      </c>
      <c r="O79">
        <f>DEGREES(ATAN(N79/M79))</f>
        <v/>
      </c>
      <c r="P79">
        <f>O79-omega*(e_base-J79)</f>
        <v/>
      </c>
      <c r="Q79">
        <f>DEGREES(ATAN(TAN(RADIANS(pe0-omega*J79))*(M79/sref)^(m_-1)))</f>
        <v/>
      </c>
      <c r="R79">
        <f>O79-Q79</f>
        <v/>
      </c>
      <c r="S79" t="n">
        <v>1</v>
      </c>
      <c r="T79" t="inlineStr">
        <is>
          <t>CU: máximo desviador (la fuente no permite máxima oblicuidad)</t>
        </is>
      </c>
      <c r="U79" t="inlineStr">
        <is>
          <t>122;124;8;10;49</t>
        </is>
      </c>
      <c r="V79">
        <f>DEGREES(ATAN(TAN(RADIANS(O79))*(M79/sref)^(1-m_)))</f>
        <v/>
      </c>
      <c r="W79">
        <f>V79-omega*(e_base-J79)</f>
        <v/>
      </c>
    </row>
    <row r="80">
      <c r="A80" t="inlineStr">
        <is>
          <t>G2010</t>
        </is>
      </c>
      <c r="B80" t="inlineStr">
        <is>
          <t>G2010-B-HG-2.8in</t>
        </is>
      </c>
      <c r="C80" t="inlineStr">
        <is>
          <t>GL-482-09 Prueba Nº 3 (σ3c=1576 kPa)</t>
        </is>
      </c>
      <c r="D80" t="inlineStr">
        <is>
          <t>Hornfels</t>
        </is>
      </c>
      <c r="E80" t="inlineStr">
        <is>
          <t>Triaxial CU</t>
        </is>
      </c>
      <c r="F80" t="inlineStr">
        <is>
          <t>No usado</t>
        </is>
      </c>
      <c r="G80" t="inlineStr">
        <is>
          <t>material chancado (fase B)</t>
        </is>
      </c>
      <c r="H80" t="n">
        <v>0.07149999999999999</v>
      </c>
      <c r="I80" t="n">
        <v>9.5</v>
      </c>
      <c r="J80" t="n">
        <v>0.311</v>
      </c>
      <c r="K80" t="n">
        <v>0.401</v>
      </c>
      <c r="L80" t="n">
        <v>1.899</v>
      </c>
      <c r="M80">
        <f>(L80+K80)/2-(L80-K80)/2*((SQRT(4*m_*(m_-1)*(L80-K80)^2+(L80+K80)^2)-(L80+K80))/(2*(m_-1)*(L80-K80)))</f>
        <v/>
      </c>
      <c r="N80">
        <f>(L80-K80)/2*SQRT(1-((SQRT(4*m_*(m_-1)*(L80-K80)^2+(L80+K80)^2)-(L80+K80))/(2*(m_-1)*(L80-K80)))^2)</f>
        <v/>
      </c>
      <c r="O80">
        <f>DEGREES(ATAN(N80/M80))</f>
        <v/>
      </c>
      <c r="P80">
        <f>O80-omega*(e_base-J80)</f>
        <v/>
      </c>
      <c r="Q80">
        <f>DEGREES(ATAN(TAN(RADIANS(pe0-omega*J80))*(M80/sref)^(m_-1)))</f>
        <v/>
      </c>
      <c r="R80">
        <f>O80-Q80</f>
        <v/>
      </c>
      <c r="S80" t="n">
        <v>15.2</v>
      </c>
      <c r="T80" t="inlineStr">
        <is>
          <t>CU: máximo desviador (la fuente no permite máxima oblicuidad)</t>
        </is>
      </c>
      <c r="U80" t="inlineStr">
        <is>
          <t>122;124;8;10;49</t>
        </is>
      </c>
      <c r="V80">
        <f>DEGREES(ATAN(TAN(RADIANS(O80))*(M80/sref)^(1-m_)))</f>
        <v/>
      </c>
      <c r="W80">
        <f>V80-omega*(e_base-J80)</f>
        <v/>
      </c>
    </row>
    <row r="81">
      <c r="A81" t="inlineStr">
        <is>
          <t>G2010</t>
        </is>
      </c>
      <c r="B81" t="inlineStr">
        <is>
          <t>G2010-B-INT-2.8in</t>
        </is>
      </c>
      <c r="C81" t="inlineStr">
        <is>
          <t>GL-483-09 Prueba Nº 1 (σ3c=390 kPa)</t>
        </is>
      </c>
      <c r="D81" t="inlineStr">
        <is>
          <t>Intrusivo</t>
        </is>
      </c>
      <c r="E81" t="inlineStr">
        <is>
          <t>Triaxial CU</t>
        </is>
      </c>
      <c r="F81" t="inlineStr">
        <is>
          <t>No usado</t>
        </is>
      </c>
      <c r="G81" t="inlineStr">
        <is>
          <t>material chancado (fase B)</t>
        </is>
      </c>
      <c r="H81" t="n">
        <v>0.07149999999999999</v>
      </c>
      <c r="I81" t="n">
        <v>9.5</v>
      </c>
      <c r="J81" t="n">
        <v>0.358</v>
      </c>
      <c r="K81" t="n">
        <v>0.169</v>
      </c>
      <c r="L81" t="n">
        <v>0.752</v>
      </c>
      <c r="M81">
        <f>(L81+K81)/2-(L81-K81)/2*((SQRT(4*m_*(m_-1)*(L81-K81)^2+(L81+K81)^2)-(L81+K81))/(2*(m_-1)*(L81-K81)))</f>
        <v/>
      </c>
      <c r="N81">
        <f>(L81-K81)/2*SQRT(1-((SQRT(4*m_*(m_-1)*(L81-K81)^2+(L81+K81)^2)-(L81+K81))/(2*(m_-1)*(L81-K81)))^2)</f>
        <v/>
      </c>
      <c r="O81">
        <f>DEGREES(ATAN(N81/M81))</f>
        <v/>
      </c>
      <c r="P81">
        <f>O81-omega*(e_base-J81)</f>
        <v/>
      </c>
      <c r="Q81">
        <f>DEGREES(ATAN(TAN(RADIANS(pe0-omega*J81))*(M81/sref)^(m_-1)))</f>
        <v/>
      </c>
      <c r="R81">
        <f>O81-Q81</f>
        <v/>
      </c>
      <c r="S81" t="n">
        <v>1</v>
      </c>
      <c r="T81" t="inlineStr">
        <is>
          <t>CU: máximo desviador (la fuente no permite máxima oblicuidad)</t>
        </is>
      </c>
      <c r="U81" t="inlineStr">
        <is>
          <t>127;129;8;10;49</t>
        </is>
      </c>
      <c r="V81">
        <f>DEGREES(ATAN(TAN(RADIANS(O81))*(M81/sref)^(1-m_)))</f>
        <v/>
      </c>
      <c r="W81">
        <f>V81-omega*(e_base-J81)</f>
        <v/>
      </c>
    </row>
    <row r="82">
      <c r="A82" t="inlineStr">
        <is>
          <t>G2010</t>
        </is>
      </c>
      <c r="B82" t="inlineStr">
        <is>
          <t>G2010-B-INT-2.8in</t>
        </is>
      </c>
      <c r="C82" t="inlineStr">
        <is>
          <t>GL-483-09 Prueba Nº 2 (σ3c=785 kPa)</t>
        </is>
      </c>
      <c r="D82" t="inlineStr">
        <is>
          <t>Intrusivo</t>
        </is>
      </c>
      <c r="E82" t="inlineStr">
        <is>
          <t>Triaxial CU</t>
        </is>
      </c>
      <c r="F82" t="inlineStr">
        <is>
          <t>No usado</t>
        </is>
      </c>
      <c r="G82" t="inlineStr">
        <is>
          <t>material chancado (fase B)</t>
        </is>
      </c>
      <c r="H82" t="n">
        <v>0.07149999999999999</v>
      </c>
      <c r="I82" t="n">
        <v>9.5</v>
      </c>
      <c r="J82" t="n">
        <v>0.358</v>
      </c>
      <c r="K82" t="n">
        <v>0.384</v>
      </c>
      <c r="L82" t="n">
        <v>1.499</v>
      </c>
      <c r="M82">
        <f>(L82+K82)/2-(L82-K82)/2*((SQRT(4*m_*(m_-1)*(L82-K82)^2+(L82+K82)^2)-(L82+K82))/(2*(m_-1)*(L82-K82)))</f>
        <v/>
      </c>
      <c r="N82">
        <f>(L82-K82)/2*SQRT(1-((SQRT(4*m_*(m_-1)*(L82-K82)^2+(L82+K82)^2)-(L82+K82))/(2*(m_-1)*(L82-K82)))^2)</f>
        <v/>
      </c>
      <c r="O82">
        <f>DEGREES(ATAN(N82/M82))</f>
        <v/>
      </c>
      <c r="P82">
        <f>O82-omega*(e_base-J82)</f>
        <v/>
      </c>
      <c r="Q82">
        <f>DEGREES(ATAN(TAN(RADIANS(pe0-omega*J82))*(M82/sref)^(m_-1)))</f>
        <v/>
      </c>
      <c r="R82">
        <f>O82-Q82</f>
        <v/>
      </c>
      <c r="S82" t="n">
        <v>1.6</v>
      </c>
      <c r="T82" t="inlineStr">
        <is>
          <t>CU: máximo desviador (la fuente no permite máxima oblicuidad)</t>
        </is>
      </c>
      <c r="U82" t="inlineStr">
        <is>
          <t>127;129;8;10;49</t>
        </is>
      </c>
      <c r="V82">
        <f>DEGREES(ATAN(TAN(RADIANS(O82))*(M82/sref)^(1-m_)))</f>
        <v/>
      </c>
      <c r="W82">
        <f>V82-omega*(e_base-J82)</f>
        <v/>
      </c>
    </row>
    <row r="83">
      <c r="A83" t="inlineStr">
        <is>
          <t>G2010</t>
        </is>
      </c>
      <c r="B83" t="inlineStr">
        <is>
          <t>G2010-B-INT-2.8in</t>
        </is>
      </c>
      <c r="C83" t="inlineStr">
        <is>
          <t>GL-483-09 Prueba Nº 3 (σ3c=1568 kPa)</t>
        </is>
      </c>
      <c r="D83" t="inlineStr">
        <is>
          <t>Intrusivo</t>
        </is>
      </c>
      <c r="E83" t="inlineStr">
        <is>
          <t>Triaxial CU</t>
        </is>
      </c>
      <c r="F83" t="inlineStr">
        <is>
          <t>No usado</t>
        </is>
      </c>
      <c r="G83" t="inlineStr">
        <is>
          <t>material chancado (fase B)</t>
        </is>
      </c>
      <c r="H83" t="n">
        <v>0.07149999999999999</v>
      </c>
      <c r="I83" t="n">
        <v>9.5</v>
      </c>
      <c r="J83" t="n">
        <v>0.358</v>
      </c>
      <c r="K83" t="n">
        <v>0.495</v>
      </c>
      <c r="L83" t="n">
        <v>1.898</v>
      </c>
      <c r="M83">
        <f>(L83+K83)/2-(L83-K83)/2*((SQRT(4*m_*(m_-1)*(L83-K83)^2+(L83+K83)^2)-(L83+K83))/(2*(m_-1)*(L83-K83)))</f>
        <v/>
      </c>
      <c r="N83">
        <f>(L83-K83)/2*SQRT(1-((SQRT(4*m_*(m_-1)*(L83-K83)^2+(L83+K83)^2)-(L83+K83))/(2*(m_-1)*(L83-K83)))^2)</f>
        <v/>
      </c>
      <c r="O83">
        <f>DEGREES(ATAN(N83/M83))</f>
        <v/>
      </c>
      <c r="P83">
        <f>O83-omega*(e_base-J83)</f>
        <v/>
      </c>
      <c r="Q83">
        <f>DEGREES(ATAN(TAN(RADIANS(pe0-omega*J83))*(M83/sref)^(m_-1)))</f>
        <v/>
      </c>
      <c r="R83">
        <f>O83-Q83</f>
        <v/>
      </c>
      <c r="S83" t="n">
        <v>1.5</v>
      </c>
      <c r="T83" t="inlineStr">
        <is>
          <t>CU: máximo desviador (la fuente no permite máxima oblicuidad)</t>
        </is>
      </c>
      <c r="U83" t="inlineStr">
        <is>
          <t>127;129;8;10;49</t>
        </is>
      </c>
      <c r="V83">
        <f>DEGREES(ATAN(TAN(RADIANS(O83))*(M83/sref)^(1-m_)))</f>
        <v/>
      </c>
      <c r="W83">
        <f>V83-omega*(e_base-J83)</f>
        <v/>
      </c>
    </row>
    <row r="84">
      <c r="A84" t="inlineStr">
        <is>
          <t>G2010</t>
        </is>
      </c>
      <c r="B84" t="inlineStr">
        <is>
          <t>G2010-B-EXO-2.8in</t>
        </is>
      </c>
      <c r="C84" t="inlineStr">
        <is>
          <t>GL-484-09 Prueba Nº 1 (σ3c=393 kPa)</t>
        </is>
      </c>
      <c r="D84" t="inlineStr">
        <is>
          <t>Skarn</t>
        </is>
      </c>
      <c r="E84" t="inlineStr">
        <is>
          <t>Triaxial CU</t>
        </is>
      </c>
      <c r="F84" t="inlineStr">
        <is>
          <t>No usado</t>
        </is>
      </c>
      <c r="G84" t="inlineStr">
        <is>
          <t>material chancado (fase B)</t>
        </is>
      </c>
      <c r="H84" t="n">
        <v>0.07149999999999999</v>
      </c>
      <c r="I84" t="n">
        <v>9.5</v>
      </c>
      <c r="J84" t="n">
        <v>0.417</v>
      </c>
      <c r="K84" t="n">
        <v>0.191</v>
      </c>
      <c r="L84" t="n">
        <v>0.793</v>
      </c>
      <c r="M84">
        <f>(L84+K84)/2-(L84-K84)/2*((SQRT(4*m_*(m_-1)*(L84-K84)^2+(L84+K84)^2)-(L84+K84))/(2*(m_-1)*(L84-K84)))</f>
        <v/>
      </c>
      <c r="N84">
        <f>(L84-K84)/2*SQRT(1-((SQRT(4*m_*(m_-1)*(L84-K84)^2+(L84+K84)^2)-(L84+K84))/(2*(m_-1)*(L84-K84)))^2)</f>
        <v/>
      </c>
      <c r="O84">
        <f>DEGREES(ATAN(N84/M84))</f>
        <v/>
      </c>
      <c r="P84">
        <f>O84-omega*(e_base-J84)</f>
        <v/>
      </c>
      <c r="Q84">
        <f>DEGREES(ATAN(TAN(RADIANS(pe0-omega*J84))*(M84/sref)^(m_-1)))</f>
        <v/>
      </c>
      <c r="R84">
        <f>O84-Q84</f>
        <v/>
      </c>
      <c r="S84" t="n">
        <v>0.9</v>
      </c>
      <c r="T84" t="inlineStr">
        <is>
          <t>CU: máximo desviador (la fuente no permite máxima oblicuidad)</t>
        </is>
      </c>
      <c r="U84" t="inlineStr">
        <is>
          <t>132;134;8;10;49</t>
        </is>
      </c>
      <c r="V84">
        <f>DEGREES(ATAN(TAN(RADIANS(O84))*(M84/sref)^(1-m_)))</f>
        <v/>
      </c>
      <c r="W84">
        <f>V84-omega*(e_base-J84)</f>
        <v/>
      </c>
    </row>
    <row r="85">
      <c r="A85" t="inlineStr">
        <is>
          <t>G2010</t>
        </is>
      </c>
      <c r="B85" t="inlineStr">
        <is>
          <t>G2010-B-EXO-2.8in</t>
        </is>
      </c>
      <c r="C85" t="inlineStr">
        <is>
          <t>GL-484-09 Prueba Nº 2 (σ3c=784 kPa)</t>
        </is>
      </c>
      <c r="D85" t="inlineStr">
        <is>
          <t>Skarn</t>
        </is>
      </c>
      <c r="E85" t="inlineStr">
        <is>
          <t>Triaxial CU</t>
        </is>
      </c>
      <c r="F85" t="inlineStr">
        <is>
          <t>No usado</t>
        </is>
      </c>
      <c r="G85" t="inlineStr">
        <is>
          <t>material chancado (fase B)</t>
        </is>
      </c>
      <c r="H85" t="n">
        <v>0.07149999999999999</v>
      </c>
      <c r="I85" t="n">
        <v>9.5</v>
      </c>
      <c r="J85" t="n">
        <v>0.416</v>
      </c>
      <c r="K85" t="n">
        <v>0.309</v>
      </c>
      <c r="L85" t="n">
        <v>1.168</v>
      </c>
      <c r="M85">
        <f>(L85+K85)/2-(L85-K85)/2*((SQRT(4*m_*(m_-1)*(L85-K85)^2+(L85+K85)^2)-(L85+K85))/(2*(m_-1)*(L85-K85)))</f>
        <v/>
      </c>
      <c r="N85">
        <f>(L85-K85)/2*SQRT(1-((SQRT(4*m_*(m_-1)*(L85-K85)^2+(L85+K85)^2)-(L85+K85))/(2*(m_-1)*(L85-K85)))^2)</f>
        <v/>
      </c>
      <c r="O85">
        <f>DEGREES(ATAN(N85/M85))</f>
        <v/>
      </c>
      <c r="P85">
        <f>O85-omega*(e_base-J85)</f>
        <v/>
      </c>
      <c r="Q85">
        <f>DEGREES(ATAN(TAN(RADIANS(pe0-omega*J85))*(M85/sref)^(m_-1)))</f>
        <v/>
      </c>
      <c r="R85">
        <f>O85-Q85</f>
        <v/>
      </c>
      <c r="S85" t="n">
        <v>1</v>
      </c>
      <c r="T85" t="inlineStr">
        <is>
          <t>CU: máximo desviador (la fuente no permite máxima oblicuidad)</t>
        </is>
      </c>
      <c r="U85" t="inlineStr">
        <is>
          <t>132;134;8;10;49</t>
        </is>
      </c>
      <c r="V85">
        <f>DEGREES(ATAN(TAN(RADIANS(O85))*(M85/sref)^(1-m_)))</f>
        <v/>
      </c>
      <c r="W85">
        <f>V85-omega*(e_base-J85)</f>
        <v/>
      </c>
    </row>
    <row r="86">
      <c r="A86" t="inlineStr">
        <is>
          <t>G2010</t>
        </is>
      </c>
      <c r="B86" t="inlineStr">
        <is>
          <t>G2010-B-EXO-2.8in</t>
        </is>
      </c>
      <c r="C86" t="inlineStr">
        <is>
          <t>GL-484-09 Prueba Nº 3 (σ3c=1568 kPa)</t>
        </is>
      </c>
      <c r="D86" t="inlineStr">
        <is>
          <t>Skarn</t>
        </is>
      </c>
      <c r="E86" t="inlineStr">
        <is>
          <t>Triaxial CU</t>
        </is>
      </c>
      <c r="F86" t="inlineStr">
        <is>
          <t>No usado</t>
        </is>
      </c>
      <c r="G86" t="inlineStr">
        <is>
          <t>material chancado (fase B)</t>
        </is>
      </c>
      <c r="H86" t="n">
        <v>0.07149999999999999</v>
      </c>
      <c r="I86" t="n">
        <v>9.5</v>
      </c>
      <c r="J86" t="n">
        <v>0.416</v>
      </c>
      <c r="K86" t="n">
        <v>0.505</v>
      </c>
      <c r="L86" t="n">
        <v>2.018</v>
      </c>
      <c r="M86">
        <f>(L86+K86)/2-(L86-K86)/2*((SQRT(4*m_*(m_-1)*(L86-K86)^2+(L86+K86)^2)-(L86+K86))/(2*(m_-1)*(L86-K86)))</f>
        <v/>
      </c>
      <c r="N86">
        <f>(L86-K86)/2*SQRT(1-((SQRT(4*m_*(m_-1)*(L86-K86)^2+(L86+K86)^2)-(L86+K86))/(2*(m_-1)*(L86-K86)))^2)</f>
        <v/>
      </c>
      <c r="O86">
        <f>DEGREES(ATAN(N86/M86))</f>
        <v/>
      </c>
      <c r="P86">
        <f>O86-omega*(e_base-J86)</f>
        <v/>
      </c>
      <c r="Q86">
        <f>DEGREES(ATAN(TAN(RADIANS(pe0-omega*J86))*(M86/sref)^(m_-1)))</f>
        <v/>
      </c>
      <c r="R86">
        <f>O86-Q86</f>
        <v/>
      </c>
      <c r="S86" t="n">
        <v>1.5</v>
      </c>
      <c r="T86" t="inlineStr">
        <is>
          <t>CU: máximo desviador (la fuente no permite máxima oblicuidad)</t>
        </is>
      </c>
      <c r="U86" t="inlineStr">
        <is>
          <t>132;134;8;10;49</t>
        </is>
      </c>
      <c r="V86">
        <f>DEGREES(ATAN(TAN(RADIANS(O86))*(M86/sref)^(1-m_)))</f>
        <v/>
      </c>
      <c r="W86">
        <f>V86-omega*(e_base-J86)</f>
        <v/>
      </c>
    </row>
    <row r="87">
      <c r="A87" t="inlineStr">
        <is>
          <t>G2010</t>
        </is>
      </c>
      <c r="B87" t="inlineStr">
        <is>
          <t>G2010-B-MN-4in</t>
        </is>
      </c>
      <c r="C87" t="inlineStr">
        <is>
          <t>GL-481-09 Prueba Nº 1 (σ3c=392 kPa)</t>
        </is>
      </c>
      <c r="D87" t="inlineStr">
        <is>
          <t>Mármol</t>
        </is>
      </c>
      <c r="E87" t="inlineStr">
        <is>
          <t>Triaxial CU</t>
        </is>
      </c>
      <c r="F87" t="inlineStr">
        <is>
          <t>No usado</t>
        </is>
      </c>
      <c r="G87" t="inlineStr">
        <is>
          <t>material chancado (fase B)</t>
        </is>
      </c>
      <c r="H87" t="n">
        <v>0.1006</v>
      </c>
      <c r="I87" t="n">
        <v>15.9</v>
      </c>
      <c r="J87" t="n">
        <v>0.505</v>
      </c>
      <c r="K87" t="n">
        <v>0.127</v>
      </c>
      <c r="L87" t="n">
        <v>0.424</v>
      </c>
      <c r="M87">
        <f>(L87+K87)/2-(L87-K87)/2*((SQRT(4*m_*(m_-1)*(L87-K87)^2+(L87+K87)^2)-(L87+K87))/(2*(m_-1)*(L87-K87)))</f>
        <v/>
      </c>
      <c r="N87">
        <f>(L87-K87)/2*SQRT(1-((SQRT(4*m_*(m_-1)*(L87-K87)^2+(L87+K87)^2)-(L87+K87))/(2*(m_-1)*(L87-K87)))^2)</f>
        <v/>
      </c>
      <c r="O87">
        <f>DEGREES(ATAN(N87/M87))</f>
        <v/>
      </c>
      <c r="P87">
        <f>O87-omega*(e_base-J87)</f>
        <v/>
      </c>
      <c r="Q87">
        <f>DEGREES(ATAN(TAN(RADIANS(pe0-omega*J87))*(M87/sref)^(m_-1)))</f>
        <v/>
      </c>
      <c r="R87">
        <f>O87-Q87</f>
        <v/>
      </c>
      <c r="S87" t="n">
        <v>1.2</v>
      </c>
      <c r="T87" t="inlineStr">
        <is>
          <t>CU: máximo desviador (la fuente no permite máxima oblicuidad)</t>
        </is>
      </c>
      <c r="U87" t="inlineStr">
        <is>
          <t>137;139;8;10;49</t>
        </is>
      </c>
      <c r="V87">
        <f>DEGREES(ATAN(TAN(RADIANS(O87))*(M87/sref)^(1-m_)))</f>
        <v/>
      </c>
      <c r="W87">
        <f>V87-omega*(e_base-J87)</f>
        <v/>
      </c>
    </row>
    <row r="88">
      <c r="A88" t="inlineStr">
        <is>
          <t>G2010</t>
        </is>
      </c>
      <c r="B88" t="inlineStr">
        <is>
          <t>G2010-B-MN-4in</t>
        </is>
      </c>
      <c r="C88" t="inlineStr">
        <is>
          <t>GL-481-09 Prueba Nº 2 (σ3c=550 kPa)</t>
        </is>
      </c>
      <c r="D88" t="inlineStr">
        <is>
          <t>Mármol</t>
        </is>
      </c>
      <c r="E88" t="inlineStr">
        <is>
          <t>Triaxial CU</t>
        </is>
      </c>
      <c r="F88" t="inlineStr">
        <is>
          <t>No usado</t>
        </is>
      </c>
      <c r="G88" t="inlineStr">
        <is>
          <t>material chancado (fase B)</t>
        </is>
      </c>
      <c r="H88" t="n">
        <v>0.1004</v>
      </c>
      <c r="I88" t="n">
        <v>15.9</v>
      </c>
      <c r="J88" t="n">
        <v>0.506</v>
      </c>
      <c r="K88" t="n">
        <v>0.254</v>
      </c>
      <c r="L88" t="n">
        <v>0.599</v>
      </c>
      <c r="M88">
        <f>(L88+K88)/2-(L88-K88)/2*((SQRT(4*m_*(m_-1)*(L88-K88)^2+(L88+K88)^2)-(L88+K88))/(2*(m_-1)*(L88-K88)))</f>
        <v/>
      </c>
      <c r="N88">
        <f>(L88-K88)/2*SQRT(1-((SQRT(4*m_*(m_-1)*(L88-K88)^2+(L88+K88)^2)-(L88+K88))/(2*(m_-1)*(L88-K88)))^2)</f>
        <v/>
      </c>
      <c r="O88">
        <f>DEGREES(ATAN(N88/M88))</f>
        <v/>
      </c>
      <c r="P88">
        <f>O88-omega*(e_base-J88)</f>
        <v/>
      </c>
      <c r="Q88">
        <f>DEGREES(ATAN(TAN(RADIANS(pe0-omega*J88))*(M88/sref)^(m_-1)))</f>
        <v/>
      </c>
      <c r="R88">
        <f>O88-Q88</f>
        <v/>
      </c>
      <c r="S88" t="n">
        <v>0.5</v>
      </c>
      <c r="T88" t="inlineStr">
        <is>
          <t>CU: máximo desviador (la fuente no permite máxima oblicuidad)</t>
        </is>
      </c>
      <c r="U88" t="inlineStr">
        <is>
          <t>137;139;8;10;49</t>
        </is>
      </c>
      <c r="V88">
        <f>DEGREES(ATAN(TAN(RADIANS(O88))*(M88/sref)^(1-m_)))</f>
        <v/>
      </c>
      <c r="W88">
        <f>V88-omega*(e_base-J88)</f>
        <v/>
      </c>
    </row>
    <row r="89">
      <c r="A89" t="inlineStr">
        <is>
          <t>G2010</t>
        </is>
      </c>
      <c r="B89" t="inlineStr">
        <is>
          <t>G2010-B-MN-4in</t>
        </is>
      </c>
      <c r="C89" t="inlineStr">
        <is>
          <t>GL-481-09 Prueba Nº 3 (σ3c=785 kPa)</t>
        </is>
      </c>
      <c r="D89" t="inlineStr">
        <is>
          <t>Mármol</t>
        </is>
      </c>
      <c r="E89" t="inlineStr">
        <is>
          <t>Triaxial CU</t>
        </is>
      </c>
      <c r="F89" t="inlineStr">
        <is>
          <t>No usado</t>
        </is>
      </c>
      <c r="G89" t="inlineStr">
        <is>
          <t>material chancado (fase B)</t>
        </is>
      </c>
      <c r="H89" t="n">
        <v>0.1006</v>
      </c>
      <c r="I89" t="n">
        <v>15.9</v>
      </c>
      <c r="J89" t="n">
        <v>0.595</v>
      </c>
      <c r="K89" t="n">
        <v>0.348</v>
      </c>
      <c r="L89" t="n">
        <v>0.8169999999999999</v>
      </c>
      <c r="M89">
        <f>(L89+K89)/2-(L89-K89)/2*((SQRT(4*m_*(m_-1)*(L89-K89)^2+(L89+K89)^2)-(L89+K89))/(2*(m_-1)*(L89-K89)))</f>
        <v/>
      </c>
      <c r="N89">
        <f>(L89-K89)/2*SQRT(1-((SQRT(4*m_*(m_-1)*(L89-K89)^2+(L89+K89)^2)-(L89+K89))/(2*(m_-1)*(L89-K89)))^2)</f>
        <v/>
      </c>
      <c r="O89">
        <f>DEGREES(ATAN(N89/M89))</f>
        <v/>
      </c>
      <c r="P89">
        <f>O89-omega*(e_base-J89)</f>
        <v/>
      </c>
      <c r="Q89">
        <f>DEGREES(ATAN(TAN(RADIANS(pe0-omega*J89))*(M89/sref)^(m_-1)))</f>
        <v/>
      </c>
      <c r="R89">
        <f>O89-Q89</f>
        <v/>
      </c>
      <c r="S89" t="n">
        <v>0.5</v>
      </c>
      <c r="T89" t="inlineStr">
        <is>
          <t>CU: máximo desviador (la fuente no permite máxima oblicuidad)</t>
        </is>
      </c>
      <c r="U89" t="inlineStr">
        <is>
          <t>137;139;8;10;49</t>
        </is>
      </c>
      <c r="V89">
        <f>DEGREES(ATAN(TAN(RADIANS(O89))*(M89/sref)^(1-m_)))</f>
        <v/>
      </c>
      <c r="W89">
        <f>V89-omega*(e_base-J89)</f>
        <v/>
      </c>
    </row>
    <row r="90">
      <c r="A90" t="inlineStr">
        <is>
          <t>G2010</t>
        </is>
      </c>
      <c r="B90" t="inlineStr">
        <is>
          <t>G2010-B-HG-4in</t>
        </is>
      </c>
      <c r="C90" t="inlineStr">
        <is>
          <t>GL-482-09 Prueba Nº 1 (σ3c=393 kPa)</t>
        </is>
      </c>
      <c r="D90" t="inlineStr">
        <is>
          <t>Hornfels</t>
        </is>
      </c>
      <c r="E90" t="inlineStr">
        <is>
          <t>Triaxial CU</t>
        </is>
      </c>
      <c r="F90" t="inlineStr">
        <is>
          <t>No usado</t>
        </is>
      </c>
      <c r="G90" t="inlineStr">
        <is>
          <t>material chancado (fase B)</t>
        </is>
      </c>
      <c r="H90" t="n">
        <v>0.1006</v>
      </c>
      <c r="I90" t="n">
        <v>15.9</v>
      </c>
      <c r="J90" t="n">
        <v>0.502</v>
      </c>
      <c r="K90" t="n">
        <v>0.173</v>
      </c>
      <c r="L90" t="n">
        <v>0.417</v>
      </c>
      <c r="M90">
        <f>(L90+K90)/2-(L90-K90)/2*((SQRT(4*m_*(m_-1)*(L90-K90)^2+(L90+K90)^2)-(L90+K90))/(2*(m_-1)*(L90-K90)))</f>
        <v/>
      </c>
      <c r="N90">
        <f>(L90-K90)/2*SQRT(1-((SQRT(4*m_*(m_-1)*(L90-K90)^2+(L90+K90)^2)-(L90+K90))/(2*(m_-1)*(L90-K90)))^2)</f>
        <v/>
      </c>
      <c r="O90">
        <f>DEGREES(ATAN(N90/M90))</f>
        <v/>
      </c>
      <c r="P90">
        <f>O90-omega*(e_base-J90)</f>
        <v/>
      </c>
      <c r="Q90">
        <f>DEGREES(ATAN(TAN(RADIANS(pe0-omega*J90))*(M90/sref)^(m_-1)))</f>
        <v/>
      </c>
      <c r="R90">
        <f>O90-Q90</f>
        <v/>
      </c>
      <c r="S90" t="n">
        <v>0.9</v>
      </c>
      <c r="T90" t="inlineStr">
        <is>
          <t>CU: máximo desviador (la fuente no permite máxima oblicuidad)</t>
        </is>
      </c>
      <c r="U90" t="inlineStr">
        <is>
          <t>142;144;8;10;49</t>
        </is>
      </c>
      <c r="V90">
        <f>DEGREES(ATAN(TAN(RADIANS(O90))*(M90/sref)^(1-m_)))</f>
        <v/>
      </c>
      <c r="W90">
        <f>V90-omega*(e_base-J90)</f>
        <v/>
      </c>
    </row>
    <row r="91">
      <c r="A91" t="inlineStr">
        <is>
          <t>G2010</t>
        </is>
      </c>
      <c r="B91" t="inlineStr">
        <is>
          <t>G2010-B-HG-4in</t>
        </is>
      </c>
      <c r="C91" t="inlineStr">
        <is>
          <t>GL-482-09 Prueba Nº 2 (σ3c=580 kPa)</t>
        </is>
      </c>
      <c r="D91" t="inlineStr">
        <is>
          <t>Hornfels</t>
        </is>
      </c>
      <c r="E91" t="inlineStr">
        <is>
          <t>Triaxial CU</t>
        </is>
      </c>
      <c r="F91" t="inlineStr">
        <is>
          <t>No usado</t>
        </is>
      </c>
      <c r="G91" t="inlineStr">
        <is>
          <t>material chancado (fase B)</t>
        </is>
      </c>
      <c r="H91" t="n">
        <v>0.1006</v>
      </c>
      <c r="I91" t="n">
        <v>15.9</v>
      </c>
      <c r="J91" t="n">
        <v>0.501</v>
      </c>
      <c r="K91" t="n">
        <v>0.214</v>
      </c>
      <c r="L91" t="n">
        <v>0.549</v>
      </c>
      <c r="M91">
        <f>(L91+K91)/2-(L91-K91)/2*((SQRT(4*m_*(m_-1)*(L91-K91)^2+(L91+K91)^2)-(L91+K91))/(2*(m_-1)*(L91-K91)))</f>
        <v/>
      </c>
      <c r="N91">
        <f>(L91-K91)/2*SQRT(1-((SQRT(4*m_*(m_-1)*(L91-K91)^2+(L91+K91)^2)-(L91+K91))/(2*(m_-1)*(L91-K91)))^2)</f>
        <v/>
      </c>
      <c r="O91">
        <f>DEGREES(ATAN(N91/M91))</f>
        <v/>
      </c>
      <c r="P91">
        <f>O91-omega*(e_base-J91)</f>
        <v/>
      </c>
      <c r="Q91">
        <f>DEGREES(ATAN(TAN(RADIANS(pe0-omega*J91))*(M91/sref)^(m_-1)))</f>
        <v/>
      </c>
      <c r="R91">
        <f>O91-Q91</f>
        <v/>
      </c>
      <c r="S91" t="n">
        <v>1.3</v>
      </c>
      <c r="T91" t="inlineStr">
        <is>
          <t>CU: máximo desviador (la fuente no permite máxima oblicuidad)</t>
        </is>
      </c>
      <c r="U91" t="inlineStr">
        <is>
          <t>142;144;8;10;49</t>
        </is>
      </c>
      <c r="V91">
        <f>DEGREES(ATAN(TAN(RADIANS(O91))*(M91/sref)^(1-m_)))</f>
        <v/>
      </c>
      <c r="W91">
        <f>V91-omega*(e_base-J91)</f>
        <v/>
      </c>
    </row>
    <row r="92">
      <c r="A92" t="inlineStr">
        <is>
          <t>G2010</t>
        </is>
      </c>
      <c r="B92" t="inlineStr">
        <is>
          <t>G2010-B-HG-4in</t>
        </is>
      </c>
      <c r="C92" t="inlineStr">
        <is>
          <t>GL-482-09 Prueba Nº 3 (σ3c=783 kPa)</t>
        </is>
      </c>
      <c r="D92" t="inlineStr">
        <is>
          <t>Hornfels</t>
        </is>
      </c>
      <c r="E92" t="inlineStr">
        <is>
          <t>Triaxial CU</t>
        </is>
      </c>
      <c r="F92" t="inlineStr">
        <is>
          <t>No usado</t>
        </is>
      </c>
      <c r="G92" t="inlineStr">
        <is>
          <t>material chancado (fase B)</t>
        </is>
      </c>
      <c r="H92" t="n">
        <v>0.1005</v>
      </c>
      <c r="I92" t="n">
        <v>15.9</v>
      </c>
      <c r="J92" t="n">
        <v>0.503</v>
      </c>
      <c r="K92" t="n">
        <v>0.459</v>
      </c>
      <c r="L92" t="n">
        <v>1.049</v>
      </c>
      <c r="M92">
        <f>(L92+K92)/2-(L92-K92)/2*((SQRT(4*m_*(m_-1)*(L92-K92)^2+(L92+K92)^2)-(L92+K92))/(2*(m_-1)*(L92-K92)))</f>
        <v/>
      </c>
      <c r="N92">
        <f>(L92-K92)/2*SQRT(1-((SQRT(4*m_*(m_-1)*(L92-K92)^2+(L92+K92)^2)-(L92+K92))/(2*(m_-1)*(L92-K92)))^2)</f>
        <v/>
      </c>
      <c r="O92">
        <f>DEGREES(ATAN(N92/M92))</f>
        <v/>
      </c>
      <c r="P92">
        <f>O92-omega*(e_base-J92)</f>
        <v/>
      </c>
      <c r="Q92">
        <f>DEGREES(ATAN(TAN(RADIANS(pe0-omega*J92))*(M92/sref)^(m_-1)))</f>
        <v/>
      </c>
      <c r="R92">
        <f>O92-Q92</f>
        <v/>
      </c>
      <c r="S92" t="n">
        <v>1</v>
      </c>
      <c r="T92" t="inlineStr">
        <is>
          <t>CU: máximo desviador (la fuente no permite máxima oblicuidad)</t>
        </is>
      </c>
      <c r="U92" t="inlineStr">
        <is>
          <t>142;144;8;10;49</t>
        </is>
      </c>
      <c r="V92">
        <f>DEGREES(ATAN(TAN(RADIANS(O92))*(M92/sref)^(1-m_)))</f>
        <v/>
      </c>
      <c r="W92">
        <f>V92-omega*(e_base-J92)</f>
        <v/>
      </c>
    </row>
    <row r="93">
      <c r="A93" t="inlineStr">
        <is>
          <t>G2010</t>
        </is>
      </c>
      <c r="B93" t="inlineStr">
        <is>
          <t>G2010-B-INT-4in</t>
        </is>
      </c>
      <c r="C93" t="inlineStr">
        <is>
          <t>GL-483-09 Prueba Nº 1 (σ3c=392 kPa)</t>
        </is>
      </c>
      <c r="D93" t="inlineStr">
        <is>
          <t>Intrusivo</t>
        </is>
      </c>
      <c r="E93" t="inlineStr">
        <is>
          <t>Triaxial CU</t>
        </is>
      </c>
      <c r="F93" t="inlineStr">
        <is>
          <t>No usado</t>
        </is>
      </c>
      <c r="G93" t="inlineStr">
        <is>
          <t>material chancado (fase B)</t>
        </is>
      </c>
      <c r="H93" t="n">
        <v>0.1004</v>
      </c>
      <c r="I93" t="n">
        <v>15.9</v>
      </c>
      <c r="J93" t="n">
        <v>0.492</v>
      </c>
      <c r="K93" t="n">
        <v>0.185</v>
      </c>
      <c r="L93" t="n">
        <v>0.43</v>
      </c>
      <c r="M93">
        <f>(L93+K93)/2-(L93-K93)/2*((SQRT(4*m_*(m_-1)*(L93-K93)^2+(L93+K93)^2)-(L93+K93))/(2*(m_-1)*(L93-K93)))</f>
        <v/>
      </c>
      <c r="N93">
        <f>(L93-K93)/2*SQRT(1-((SQRT(4*m_*(m_-1)*(L93-K93)^2+(L93+K93)^2)-(L93+K93))/(2*(m_-1)*(L93-K93)))^2)</f>
        <v/>
      </c>
      <c r="O93">
        <f>DEGREES(ATAN(N93/M93))</f>
        <v/>
      </c>
      <c r="P93">
        <f>O93-omega*(e_base-J93)</f>
        <v/>
      </c>
      <c r="Q93">
        <f>DEGREES(ATAN(TAN(RADIANS(pe0-omega*J93))*(M93/sref)^(m_-1)))</f>
        <v/>
      </c>
      <c r="R93">
        <f>O93-Q93</f>
        <v/>
      </c>
      <c r="S93" t="n">
        <v>0.6</v>
      </c>
      <c r="T93" t="inlineStr">
        <is>
          <t>CU: máximo desviador (la fuente no permite máxima oblicuidad)</t>
        </is>
      </c>
      <c r="U93" t="inlineStr">
        <is>
          <t>147;149;8;10;49</t>
        </is>
      </c>
      <c r="V93">
        <f>DEGREES(ATAN(TAN(RADIANS(O93))*(M93/sref)^(1-m_)))</f>
        <v/>
      </c>
      <c r="W93">
        <f>V93-omega*(e_base-J93)</f>
        <v/>
      </c>
    </row>
    <row r="94">
      <c r="A94" t="inlineStr">
        <is>
          <t>G2010</t>
        </is>
      </c>
      <c r="B94" t="inlineStr">
        <is>
          <t>G2010-B-INT-4in</t>
        </is>
      </c>
      <c r="C94" t="inlineStr">
        <is>
          <t>GL-483-09 Prueba Nº 2 (σ3c=589 kPa)</t>
        </is>
      </c>
      <c r="D94" t="inlineStr">
        <is>
          <t>Intrusivo</t>
        </is>
      </c>
      <c r="E94" t="inlineStr">
        <is>
          <t>Triaxial CU</t>
        </is>
      </c>
      <c r="F94" t="inlineStr">
        <is>
          <t>No usado</t>
        </is>
      </c>
      <c r="G94" t="inlineStr">
        <is>
          <t>material chancado (fase B)</t>
        </is>
      </c>
      <c r="H94" t="n">
        <v>0.1006</v>
      </c>
      <c r="I94" t="n">
        <v>15.9</v>
      </c>
      <c r="J94" t="n">
        <v>0.498</v>
      </c>
      <c r="K94" t="n">
        <v>0.254</v>
      </c>
      <c r="L94" t="n">
        <v>0.551</v>
      </c>
      <c r="M94">
        <f>(L94+K94)/2-(L94-K94)/2*((SQRT(4*m_*(m_-1)*(L94-K94)^2+(L94+K94)^2)-(L94+K94))/(2*(m_-1)*(L94-K94)))</f>
        <v/>
      </c>
      <c r="N94">
        <f>(L94-K94)/2*SQRT(1-((SQRT(4*m_*(m_-1)*(L94-K94)^2+(L94+K94)^2)-(L94+K94))/(2*(m_-1)*(L94-K94)))^2)</f>
        <v/>
      </c>
      <c r="O94">
        <f>DEGREES(ATAN(N94/M94))</f>
        <v/>
      </c>
      <c r="P94">
        <f>O94-omega*(e_base-J94)</f>
        <v/>
      </c>
      <c r="Q94">
        <f>DEGREES(ATAN(TAN(RADIANS(pe0-omega*J94))*(M94/sref)^(m_-1)))</f>
        <v/>
      </c>
      <c r="R94">
        <f>O94-Q94</f>
        <v/>
      </c>
      <c r="S94" t="n">
        <v>0.6</v>
      </c>
      <c r="T94" t="inlineStr">
        <is>
          <t>CU: máximo desviador (la fuente no permite máxima oblicuidad)</t>
        </is>
      </c>
      <c r="U94" t="inlineStr">
        <is>
          <t>147;149;8;10;49</t>
        </is>
      </c>
      <c r="V94">
        <f>DEGREES(ATAN(TAN(RADIANS(O94))*(M94/sref)^(1-m_)))</f>
        <v/>
      </c>
      <c r="W94">
        <f>V94-omega*(e_base-J94)</f>
        <v/>
      </c>
    </row>
    <row r="95">
      <c r="A95" t="inlineStr">
        <is>
          <t>G2010</t>
        </is>
      </c>
      <c r="B95" t="inlineStr">
        <is>
          <t>G2010-B-INT-4in</t>
        </is>
      </c>
      <c r="C95" t="inlineStr">
        <is>
          <t>GL-483-09 Prueba Nº 3 (σ3c=780 kPa)</t>
        </is>
      </c>
      <c r="D95" t="inlineStr">
        <is>
          <t>Intrusivo</t>
        </is>
      </c>
      <c r="E95" t="inlineStr">
        <is>
          <t>Triaxial CU</t>
        </is>
      </c>
      <c r="F95" t="inlineStr">
        <is>
          <t>No usado</t>
        </is>
      </c>
      <c r="G95" t="inlineStr">
        <is>
          <t>material chancado (fase B)</t>
        </is>
      </c>
      <c r="H95" t="n">
        <v>0.1004</v>
      </c>
      <c r="I95" t="n">
        <v>15.9</v>
      </c>
      <c r="J95" t="n">
        <v>0.492</v>
      </c>
      <c r="K95" t="n">
        <v>0.328</v>
      </c>
      <c r="L95" t="n">
        <v>0.777</v>
      </c>
      <c r="M95">
        <f>(L95+K95)/2-(L95-K95)/2*((SQRT(4*m_*(m_-1)*(L95-K95)^2+(L95+K95)^2)-(L95+K95))/(2*(m_-1)*(L95-K95)))</f>
        <v/>
      </c>
      <c r="N95">
        <f>(L95-K95)/2*SQRT(1-((SQRT(4*m_*(m_-1)*(L95-K95)^2+(L95+K95)^2)-(L95+K95))/(2*(m_-1)*(L95-K95)))^2)</f>
        <v/>
      </c>
      <c r="O95">
        <f>DEGREES(ATAN(N95/M95))</f>
        <v/>
      </c>
      <c r="P95">
        <f>O95-omega*(e_base-J95)</f>
        <v/>
      </c>
      <c r="Q95">
        <f>DEGREES(ATAN(TAN(RADIANS(pe0-omega*J95))*(M95/sref)^(m_-1)))</f>
        <v/>
      </c>
      <c r="R95">
        <f>O95-Q95</f>
        <v/>
      </c>
      <c r="S95" t="n">
        <v>0.6</v>
      </c>
      <c r="T95" t="inlineStr">
        <is>
          <t>CU: máximo desviador (la fuente no permite máxima oblicuidad)</t>
        </is>
      </c>
      <c r="U95" t="inlineStr">
        <is>
          <t>147;149;8;10;49</t>
        </is>
      </c>
      <c r="V95">
        <f>DEGREES(ATAN(TAN(RADIANS(O95))*(M95/sref)^(1-m_)))</f>
        <v/>
      </c>
      <c r="W95">
        <f>V95-omega*(e_base-J95)</f>
        <v/>
      </c>
    </row>
    <row r="96">
      <c r="A96" t="inlineStr">
        <is>
          <t>G2010</t>
        </is>
      </c>
      <c r="B96" t="inlineStr">
        <is>
          <t>G2010-B-EXO-4in</t>
        </is>
      </c>
      <c r="C96" t="inlineStr">
        <is>
          <t>GL-484-09 Prueba Nº 1 (σ3c=391 kPa)</t>
        </is>
      </c>
      <c r="D96" t="inlineStr">
        <is>
          <t>Skarn</t>
        </is>
      </c>
      <c r="E96" t="inlineStr">
        <is>
          <t>Triaxial CU</t>
        </is>
      </c>
      <c r="F96" t="inlineStr">
        <is>
          <t>No usado</t>
        </is>
      </c>
      <c r="G96" t="inlineStr">
        <is>
          <t>material chancado (fase B)</t>
        </is>
      </c>
      <c r="H96" t="n">
        <v>0.1004</v>
      </c>
      <c r="I96" t="n">
        <v>15.9</v>
      </c>
      <c r="J96" t="n">
        <v>0.539</v>
      </c>
      <c r="K96" t="n">
        <v>0.136</v>
      </c>
      <c r="L96" t="n">
        <v>0.38</v>
      </c>
      <c r="M96">
        <f>(L96+K96)/2-(L96-K96)/2*((SQRT(4*m_*(m_-1)*(L96-K96)^2+(L96+K96)^2)-(L96+K96))/(2*(m_-1)*(L96-K96)))</f>
        <v/>
      </c>
      <c r="N96">
        <f>(L96-K96)/2*SQRT(1-((SQRT(4*m_*(m_-1)*(L96-K96)^2+(L96+K96)^2)-(L96+K96))/(2*(m_-1)*(L96-K96)))^2)</f>
        <v/>
      </c>
      <c r="O96">
        <f>DEGREES(ATAN(N96/M96))</f>
        <v/>
      </c>
      <c r="P96">
        <f>O96-omega*(e_base-J96)</f>
        <v/>
      </c>
      <c r="Q96">
        <f>DEGREES(ATAN(TAN(RADIANS(pe0-omega*J96))*(M96/sref)^(m_-1)))</f>
        <v/>
      </c>
      <c r="R96">
        <f>O96-Q96</f>
        <v/>
      </c>
      <c r="S96" t="n">
        <v>1.2</v>
      </c>
      <c r="T96" t="inlineStr">
        <is>
          <t>CU: máximo desviador (la fuente no permite máxima oblicuidad)</t>
        </is>
      </c>
      <c r="U96" t="inlineStr">
        <is>
          <t>152;154;8;10;49</t>
        </is>
      </c>
      <c r="V96">
        <f>DEGREES(ATAN(TAN(RADIANS(O96))*(M96/sref)^(1-m_)))</f>
        <v/>
      </c>
      <c r="W96">
        <f>V96-omega*(e_base-J96)</f>
        <v/>
      </c>
    </row>
    <row r="97">
      <c r="A97" t="inlineStr">
        <is>
          <t>G2010</t>
        </is>
      </c>
      <c r="B97" t="inlineStr">
        <is>
          <t>G2010-B-EXO-4in</t>
        </is>
      </c>
      <c r="C97" t="inlineStr">
        <is>
          <t>GL-484-09 Prueba Nº 2 (σ3c=589 kPa)</t>
        </is>
      </c>
      <c r="D97" t="inlineStr">
        <is>
          <t>Skarn</t>
        </is>
      </c>
      <c r="E97" t="inlineStr">
        <is>
          <t>Triaxial CU</t>
        </is>
      </c>
      <c r="F97" t="inlineStr">
        <is>
          <t>No usado</t>
        </is>
      </c>
      <c r="G97" t="inlineStr">
        <is>
          <t>material chancado (fase B)</t>
        </is>
      </c>
      <c r="H97" t="n">
        <v>0.1002</v>
      </c>
      <c r="I97" t="n">
        <v>15.9</v>
      </c>
      <c r="J97" t="n">
        <v>0.534</v>
      </c>
      <c r="K97" t="n">
        <v>0.205</v>
      </c>
      <c r="L97" t="n">
        <v>0.587</v>
      </c>
      <c r="M97">
        <f>(L97+K97)/2-(L97-K97)/2*((SQRT(4*m_*(m_-1)*(L97-K97)^2+(L97+K97)^2)-(L97+K97))/(2*(m_-1)*(L97-K97)))</f>
        <v/>
      </c>
      <c r="N97">
        <f>(L97-K97)/2*SQRT(1-((SQRT(4*m_*(m_-1)*(L97-K97)^2+(L97+K97)^2)-(L97+K97))/(2*(m_-1)*(L97-K97)))^2)</f>
        <v/>
      </c>
      <c r="O97">
        <f>DEGREES(ATAN(N97/M97))</f>
        <v/>
      </c>
      <c r="P97">
        <f>O97-omega*(e_base-J97)</f>
        <v/>
      </c>
      <c r="Q97">
        <f>DEGREES(ATAN(TAN(RADIANS(pe0-omega*J97))*(M97/sref)^(m_-1)))</f>
        <v/>
      </c>
      <c r="R97">
        <f>O97-Q97</f>
        <v/>
      </c>
      <c r="S97" t="n">
        <v>1.2</v>
      </c>
      <c r="T97" t="inlineStr">
        <is>
          <t>CU: máximo desviador (la fuente no permite máxima oblicuidad)</t>
        </is>
      </c>
      <c r="U97" t="inlineStr">
        <is>
          <t>152;154;8;10;49</t>
        </is>
      </c>
      <c r="V97">
        <f>DEGREES(ATAN(TAN(RADIANS(O97))*(M97/sref)^(1-m_)))</f>
        <v/>
      </c>
      <c r="W97">
        <f>V97-omega*(e_base-J97)</f>
        <v/>
      </c>
    </row>
    <row r="98">
      <c r="A98" t="inlineStr">
        <is>
          <t>G2010</t>
        </is>
      </c>
      <c r="B98" t="inlineStr">
        <is>
          <t>G2010-B-EXO-4in</t>
        </is>
      </c>
      <c r="C98" t="inlineStr">
        <is>
          <t>GL-484-09 Prueba Nº 3 (σ3c=784 kPa)</t>
        </is>
      </c>
      <c r="D98" t="inlineStr">
        <is>
          <t>Skarn</t>
        </is>
      </c>
      <c r="E98" t="inlineStr">
        <is>
          <t>Triaxial CU</t>
        </is>
      </c>
      <c r="F98" t="inlineStr">
        <is>
          <t>No usado</t>
        </is>
      </c>
      <c r="G98" t="inlineStr">
        <is>
          <t>material chancado (fase B)</t>
        </is>
      </c>
      <c r="H98" t="n">
        <v>0.1003</v>
      </c>
      <c r="I98" t="n">
        <v>15.9</v>
      </c>
      <c r="J98" t="n">
        <v>0.538</v>
      </c>
      <c r="K98" t="n">
        <v>0.307</v>
      </c>
      <c r="L98" t="n">
        <v>0.8169999999999999</v>
      </c>
      <c r="M98">
        <f>(L98+K98)/2-(L98-K98)/2*((SQRT(4*m_*(m_-1)*(L98-K98)^2+(L98+K98)^2)-(L98+K98))/(2*(m_-1)*(L98-K98)))</f>
        <v/>
      </c>
      <c r="N98">
        <f>(L98-K98)/2*SQRT(1-((SQRT(4*m_*(m_-1)*(L98-K98)^2+(L98+K98)^2)-(L98+K98))/(2*(m_-1)*(L98-K98)))^2)</f>
        <v/>
      </c>
      <c r="O98">
        <f>DEGREES(ATAN(N98/M98))</f>
        <v/>
      </c>
      <c r="P98">
        <f>O98-omega*(e_base-J98)</f>
        <v/>
      </c>
      <c r="Q98">
        <f>DEGREES(ATAN(TAN(RADIANS(pe0-omega*J98))*(M98/sref)^(m_-1)))</f>
        <v/>
      </c>
      <c r="R98">
        <f>O98-Q98</f>
        <v/>
      </c>
      <c r="S98" t="n">
        <v>1.2</v>
      </c>
      <c r="T98" t="inlineStr">
        <is>
          <t>CU: máximo desviador (la fuente no permite máxima oblicuidad)</t>
        </is>
      </c>
      <c r="U98" t="inlineStr">
        <is>
          <t>152;154;8;10;49</t>
        </is>
      </c>
      <c r="V98">
        <f>DEGREES(ATAN(TAN(RADIANS(O98))*(M98/sref)^(1-m_)))</f>
        <v/>
      </c>
      <c r="W98">
        <f>V98-omega*(e_base-J98)</f>
        <v/>
      </c>
    </row>
    <row r="99">
      <c r="A99" t="inlineStr">
        <is>
          <t>G2010</t>
        </is>
      </c>
      <c r="B99" t="inlineStr">
        <is>
          <t>G2010-B-MN-6in</t>
        </is>
      </c>
      <c r="C99" t="inlineStr">
        <is>
          <t>VP-209-09E σ'c=500 kPa</t>
        </is>
      </c>
      <c r="D99" t="inlineStr">
        <is>
          <t>Mármol</t>
        </is>
      </c>
      <c r="E99" t="inlineStr">
        <is>
          <t>Triaxial CU</t>
        </is>
      </c>
      <c r="F99" t="inlineStr">
        <is>
          <t>No usado</t>
        </is>
      </c>
      <c r="G99" t="inlineStr">
        <is>
          <t>material chancado (fase B)</t>
        </is>
      </c>
      <c r="H99" t="n">
        <v>0.1512</v>
      </c>
      <c r="I99" t="n">
        <v>25.4</v>
      </c>
      <c r="J99" t="n">
        <v>0.355</v>
      </c>
      <c r="K99" t="n">
        <v>0.2103</v>
      </c>
      <c r="L99" t="n">
        <v>0.94532</v>
      </c>
      <c r="M99">
        <f>(L99+K99)/2-(L99-K99)/2*((SQRT(4*m_*(m_-1)*(L99-K99)^2+(L99+K99)^2)-(L99+K99))/(2*(m_-1)*(L99-K99)))</f>
        <v/>
      </c>
      <c r="N99">
        <f>(L99-K99)/2*SQRT(1-((SQRT(4*m_*(m_-1)*(L99-K99)^2+(L99+K99)^2)-(L99+K99))/(2*(m_-1)*(L99-K99)))^2)</f>
        <v/>
      </c>
      <c r="O99">
        <f>DEGREES(ATAN(N99/M99))</f>
        <v/>
      </c>
      <c r="P99">
        <f>O99-omega*(e_base-J99)</f>
        <v/>
      </c>
      <c r="Q99">
        <f>DEGREES(ATAN(TAN(RADIANS(pe0-omega*J99))*(M99/sref)^(m_-1)))</f>
        <v/>
      </c>
      <c r="R99">
        <f>O99-Q99</f>
        <v/>
      </c>
      <c r="S99" t="n">
        <v>1.5</v>
      </c>
      <c r="T99" t="inlineStr">
        <is>
          <t>CU: máxima oblicuidad σ′1/σ′3</t>
        </is>
      </c>
      <c r="U99" t="inlineStr">
        <is>
          <t>161;165;3;10;49</t>
        </is>
      </c>
      <c r="V99">
        <f>DEGREES(ATAN(TAN(RADIANS(O99))*(M99/sref)^(1-m_)))</f>
        <v/>
      </c>
      <c r="W99">
        <f>V99-omega*(e_base-J99)</f>
        <v/>
      </c>
    </row>
    <row r="100">
      <c r="A100" t="inlineStr">
        <is>
          <t>G2010</t>
        </is>
      </c>
      <c r="B100" t="inlineStr">
        <is>
          <t>G2010-B-MN-6in</t>
        </is>
      </c>
      <c r="C100" t="inlineStr">
        <is>
          <t>VP-209-09E σ'c=250 kPa</t>
        </is>
      </c>
      <c r="D100" t="inlineStr">
        <is>
          <t>Mármol</t>
        </is>
      </c>
      <c r="E100" t="inlineStr">
        <is>
          <t>Triaxial CU</t>
        </is>
      </c>
      <c r="F100" t="inlineStr">
        <is>
          <t>No usado</t>
        </is>
      </c>
      <c r="G100" t="inlineStr">
        <is>
          <t>material chancado (fase B)</t>
        </is>
      </c>
      <c r="H100" t="n">
        <v>0.1512</v>
      </c>
      <c r="I100" t="n">
        <v>25.4</v>
      </c>
      <c r="J100" t="n">
        <v>0.357</v>
      </c>
      <c r="K100" t="n">
        <v>0.20705</v>
      </c>
      <c r="L100" t="n">
        <v>0.85509</v>
      </c>
      <c r="M100">
        <f>(L100+K100)/2-(L100-K100)/2*((SQRT(4*m_*(m_-1)*(L100-K100)^2+(L100+K100)^2)-(L100+K100))/(2*(m_-1)*(L100-K100)))</f>
        <v/>
      </c>
      <c r="N100">
        <f>(L100-K100)/2*SQRT(1-((SQRT(4*m_*(m_-1)*(L100-K100)^2+(L100+K100)^2)-(L100+K100))/(2*(m_-1)*(L100-K100)))^2)</f>
        <v/>
      </c>
      <c r="O100">
        <f>DEGREES(ATAN(N100/M100))</f>
        <v/>
      </c>
      <c r="P100">
        <f>O100-omega*(e_base-J100)</f>
        <v/>
      </c>
      <c r="Q100">
        <f>DEGREES(ATAN(TAN(RADIANS(pe0-omega*J100))*(M100/sref)^(m_-1)))</f>
        <v/>
      </c>
      <c r="R100">
        <f>O100-Q100</f>
        <v/>
      </c>
      <c r="S100" t="n">
        <v>1</v>
      </c>
      <c r="T100" t="inlineStr">
        <is>
          <t>CU: máxima oblicuidad σ′1/σ′3</t>
        </is>
      </c>
      <c r="U100" t="inlineStr">
        <is>
          <t>162;165;3;10;49</t>
        </is>
      </c>
      <c r="V100">
        <f>DEGREES(ATAN(TAN(RADIANS(O100))*(M100/sref)^(1-m_)))</f>
        <v/>
      </c>
      <c r="W100">
        <f>V100-omega*(e_base-J100)</f>
        <v/>
      </c>
    </row>
    <row r="101">
      <c r="A101" t="inlineStr">
        <is>
          <t>G2010</t>
        </is>
      </c>
      <c r="B101" t="inlineStr">
        <is>
          <t>G2010-B-MN-6in</t>
        </is>
      </c>
      <c r="C101" t="inlineStr">
        <is>
          <t>VP-209-09E σ'c=125 kPa</t>
        </is>
      </c>
      <c r="D101" t="inlineStr">
        <is>
          <t>Mármol</t>
        </is>
      </c>
      <c r="E101" t="inlineStr">
        <is>
          <t>Triaxial CU</t>
        </is>
      </c>
      <c r="F101" t="inlineStr">
        <is>
          <t>No usado</t>
        </is>
      </c>
      <c r="G101" t="inlineStr">
        <is>
          <t>material chancado (fase B)</t>
        </is>
      </c>
      <c r="H101" t="n">
        <v>0.1513</v>
      </c>
      <c r="I101" t="n">
        <v>25.4</v>
      </c>
      <c r="J101" t="n">
        <v>0.357</v>
      </c>
      <c r="K101" t="n">
        <v>0.0638</v>
      </c>
      <c r="L101" t="n">
        <v>0.34625</v>
      </c>
      <c r="M101">
        <f>(L101+K101)/2-(L101-K101)/2*((SQRT(4*m_*(m_-1)*(L101-K101)^2+(L101+K101)^2)-(L101+K101))/(2*(m_-1)*(L101-K101)))</f>
        <v/>
      </c>
      <c r="N101">
        <f>(L101-K101)/2*SQRT(1-((SQRT(4*m_*(m_-1)*(L101-K101)^2+(L101+K101)^2)-(L101+K101))/(2*(m_-1)*(L101-K101)))^2)</f>
        <v/>
      </c>
      <c r="O101">
        <f>DEGREES(ATAN(N101/M101))</f>
        <v/>
      </c>
      <c r="P101">
        <f>O101-omega*(e_base-J101)</f>
        <v/>
      </c>
      <c r="Q101">
        <f>DEGREES(ATAN(TAN(RADIANS(pe0-omega*J101))*(M101/sref)^(m_-1)))</f>
        <v/>
      </c>
      <c r="R101">
        <f>O101-Q101</f>
        <v/>
      </c>
      <c r="S101" t="n">
        <v>1</v>
      </c>
      <c r="T101" t="inlineStr">
        <is>
          <t>CU: máxima oblicuidad σ′1/σ′3</t>
        </is>
      </c>
      <c r="U101" t="inlineStr">
        <is>
          <t>163;165;3;10;49</t>
        </is>
      </c>
      <c r="V101">
        <f>DEGREES(ATAN(TAN(RADIANS(O101))*(M101/sref)^(1-m_)))</f>
        <v/>
      </c>
      <c r="W101">
        <f>V101-omega*(e_base-J101)</f>
        <v/>
      </c>
    </row>
    <row r="102">
      <c r="A102" t="inlineStr">
        <is>
          <t>G2010</t>
        </is>
      </c>
      <c r="B102" t="inlineStr">
        <is>
          <t>G2010-B-HG-6in</t>
        </is>
      </c>
      <c r="C102" t="inlineStr">
        <is>
          <t>VP-209-09E σ'c=500 kPa</t>
        </is>
      </c>
      <c r="D102" t="inlineStr">
        <is>
          <t>Hornfels</t>
        </is>
      </c>
      <c r="E102" t="inlineStr">
        <is>
          <t>Triaxial CU</t>
        </is>
      </c>
      <c r="F102" t="inlineStr">
        <is>
          <t>No usado</t>
        </is>
      </c>
      <c r="G102" t="inlineStr">
        <is>
          <t>material chancado (fase B)</t>
        </is>
      </c>
      <c r="H102" t="n">
        <v>0.1514</v>
      </c>
      <c r="I102" t="n">
        <v>25.4</v>
      </c>
      <c r="J102" t="n">
        <v>0.312</v>
      </c>
      <c r="K102" t="n">
        <v>0.1543199999999999</v>
      </c>
      <c r="L102" t="n">
        <v>0.70485</v>
      </c>
      <c r="M102">
        <f>(L102+K102)/2-(L102-K102)/2*((SQRT(4*m_*(m_-1)*(L102-K102)^2+(L102+K102)^2)-(L102+K102))/(2*(m_-1)*(L102-K102)))</f>
        <v/>
      </c>
      <c r="N102">
        <f>(L102-K102)/2*SQRT(1-((SQRT(4*m_*(m_-1)*(L102-K102)^2+(L102+K102)^2)-(L102+K102))/(2*(m_-1)*(L102-K102)))^2)</f>
        <v/>
      </c>
      <c r="O102">
        <f>DEGREES(ATAN(N102/M102))</f>
        <v/>
      </c>
      <c r="P102">
        <f>O102-omega*(e_base-J102)</f>
        <v/>
      </c>
      <c r="Q102">
        <f>DEGREES(ATAN(TAN(RADIANS(pe0-omega*J102))*(M102/sref)^(m_-1)))</f>
        <v/>
      </c>
      <c r="R102">
        <f>O102-Q102</f>
        <v/>
      </c>
      <c r="S102" t="n">
        <v>1.25</v>
      </c>
      <c r="T102" t="inlineStr">
        <is>
          <t>CU: máxima oblicuidad σ′1/σ′3</t>
        </is>
      </c>
      <c r="U102" t="inlineStr">
        <is>
          <t>167;171;3;10;49</t>
        </is>
      </c>
      <c r="V102">
        <f>DEGREES(ATAN(TAN(RADIANS(O102))*(M102/sref)^(1-m_)))</f>
        <v/>
      </c>
      <c r="W102">
        <f>V102-omega*(e_base-J102)</f>
        <v/>
      </c>
    </row>
    <row r="103">
      <c r="A103" t="inlineStr">
        <is>
          <t>G2010</t>
        </is>
      </c>
      <c r="B103" t="inlineStr">
        <is>
          <t>G2010-B-HG-6in</t>
        </is>
      </c>
      <c r="C103" t="inlineStr">
        <is>
          <t>VP-209-09E σ'c=250 kPa</t>
        </is>
      </c>
      <c r="D103" t="inlineStr">
        <is>
          <t>Hornfels</t>
        </is>
      </c>
      <c r="E103" t="inlineStr">
        <is>
          <t>Triaxial CU</t>
        </is>
      </c>
      <c r="F103" t="inlineStr">
        <is>
          <t>No usado</t>
        </is>
      </c>
      <c r="G103" t="inlineStr">
        <is>
          <t>material chancado (fase B)</t>
        </is>
      </c>
      <c r="H103" t="n">
        <v>0.1514</v>
      </c>
      <c r="I103" t="n">
        <v>25.4</v>
      </c>
      <c r="J103" t="n">
        <v>0.31</v>
      </c>
      <c r="K103" t="n">
        <v>0.11258</v>
      </c>
      <c r="L103" t="n">
        <v>0.5486799999999999</v>
      </c>
      <c r="M103">
        <f>(L103+K103)/2-(L103-K103)/2*((SQRT(4*m_*(m_-1)*(L103-K103)^2+(L103+K103)^2)-(L103+K103))/(2*(m_-1)*(L103-K103)))</f>
        <v/>
      </c>
      <c r="N103">
        <f>(L103-K103)/2*SQRT(1-((SQRT(4*m_*(m_-1)*(L103-K103)^2+(L103+K103)^2)-(L103+K103))/(2*(m_-1)*(L103-K103)))^2)</f>
        <v/>
      </c>
      <c r="O103">
        <f>DEGREES(ATAN(N103/M103))</f>
        <v/>
      </c>
      <c r="P103">
        <f>O103-omega*(e_base-J103)</f>
        <v/>
      </c>
      <c r="Q103">
        <f>DEGREES(ATAN(TAN(RADIANS(pe0-omega*J103))*(M103/sref)^(m_-1)))</f>
        <v/>
      </c>
      <c r="R103">
        <f>O103-Q103</f>
        <v/>
      </c>
      <c r="S103" t="n">
        <v>1</v>
      </c>
      <c r="T103" t="inlineStr">
        <is>
          <t>CU: máxima oblicuidad σ′1/σ′3</t>
        </is>
      </c>
      <c r="U103" t="inlineStr">
        <is>
          <t>168;171;3;10;49</t>
        </is>
      </c>
      <c r="V103">
        <f>DEGREES(ATAN(TAN(RADIANS(O103))*(M103/sref)^(1-m_)))</f>
        <v/>
      </c>
      <c r="W103">
        <f>V103-omega*(e_base-J103)</f>
        <v/>
      </c>
    </row>
    <row r="104">
      <c r="A104" t="inlineStr">
        <is>
          <t>G2010</t>
        </is>
      </c>
      <c r="B104" t="inlineStr">
        <is>
          <t>G2010-B-HG-6in</t>
        </is>
      </c>
      <c r="C104" t="inlineStr">
        <is>
          <t>VP-209-09E σ'c=125 kPa</t>
        </is>
      </c>
      <c r="D104" t="inlineStr">
        <is>
          <t>Hornfels</t>
        </is>
      </c>
      <c r="E104" t="inlineStr">
        <is>
          <t>Triaxial CU</t>
        </is>
      </c>
      <c r="F104" t="inlineStr">
        <is>
          <t>No usado</t>
        </is>
      </c>
      <c r="G104" t="inlineStr">
        <is>
          <t>material chancado (fase B)</t>
        </is>
      </c>
      <c r="H104" t="n">
        <v>0.1514</v>
      </c>
      <c r="I104" t="n">
        <v>25.4</v>
      </c>
      <c r="J104" t="n">
        <v>0.31</v>
      </c>
      <c r="K104" t="n">
        <v>0.04969</v>
      </c>
      <c r="L104" t="n">
        <v>0.23776</v>
      </c>
      <c r="M104">
        <f>(L104+K104)/2-(L104-K104)/2*((SQRT(4*m_*(m_-1)*(L104-K104)^2+(L104+K104)^2)-(L104+K104))/(2*(m_-1)*(L104-K104)))</f>
        <v/>
      </c>
      <c r="N104">
        <f>(L104-K104)/2*SQRT(1-((SQRT(4*m_*(m_-1)*(L104-K104)^2+(L104+K104)^2)-(L104+K104))/(2*(m_-1)*(L104-K104)))^2)</f>
        <v/>
      </c>
      <c r="O104">
        <f>DEGREES(ATAN(N104/M104))</f>
        <v/>
      </c>
      <c r="P104">
        <f>O104-omega*(e_base-J104)</f>
        <v/>
      </c>
      <c r="Q104">
        <f>DEGREES(ATAN(TAN(RADIANS(pe0-omega*J104))*(M104/sref)^(m_-1)))</f>
        <v/>
      </c>
      <c r="R104">
        <f>O104-Q104</f>
        <v/>
      </c>
      <c r="S104" t="n">
        <v>0.5</v>
      </c>
      <c r="T104" t="inlineStr">
        <is>
          <t>CU: máxima oblicuidad σ′1/σ′3</t>
        </is>
      </c>
      <c r="U104" t="inlineStr">
        <is>
          <t>169;171;3;10;49</t>
        </is>
      </c>
      <c r="V104">
        <f>DEGREES(ATAN(TAN(RADIANS(O104))*(M104/sref)^(1-m_)))</f>
        <v/>
      </c>
      <c r="W104">
        <f>V104-omega*(e_base-J104)</f>
        <v/>
      </c>
    </row>
    <row r="105">
      <c r="A105" t="inlineStr">
        <is>
          <t>G2010</t>
        </is>
      </c>
      <c r="B105" t="inlineStr">
        <is>
          <t>G2010-B-INT-6in</t>
        </is>
      </c>
      <c r="C105" t="inlineStr">
        <is>
          <t>VP-209-09E σ'c=500 kPa</t>
        </is>
      </c>
      <c r="D105" t="inlineStr">
        <is>
          <t>Intrusivo</t>
        </is>
      </c>
      <c r="E105" t="inlineStr">
        <is>
          <t>Triaxial CU</t>
        </is>
      </c>
      <c r="F105" t="inlineStr">
        <is>
          <t>No usado</t>
        </is>
      </c>
      <c r="G105" t="inlineStr">
        <is>
          <t>material chancado (fase B)</t>
        </is>
      </c>
      <c r="H105" t="n">
        <v>0.1512</v>
      </c>
      <c r="I105" t="n">
        <v>25.4</v>
      </c>
      <c r="J105" t="n">
        <v>0.353</v>
      </c>
      <c r="K105" t="n">
        <v>0.09293999999999999</v>
      </c>
      <c r="L105" t="n">
        <v>0.39249</v>
      </c>
      <c r="M105">
        <f>(L105+K105)/2-(L105-K105)/2*((SQRT(4*m_*(m_-1)*(L105-K105)^2+(L105+K105)^2)-(L105+K105))/(2*(m_-1)*(L105-K105)))</f>
        <v/>
      </c>
      <c r="N105">
        <f>(L105-K105)/2*SQRT(1-((SQRT(4*m_*(m_-1)*(L105-K105)^2+(L105+K105)^2)-(L105+K105))/(2*(m_-1)*(L105-K105)))^2)</f>
        <v/>
      </c>
      <c r="O105">
        <f>DEGREES(ATAN(N105/M105))</f>
        <v/>
      </c>
      <c r="P105">
        <f>O105-omega*(e_base-J105)</f>
        <v/>
      </c>
      <c r="Q105">
        <f>DEGREES(ATAN(TAN(RADIANS(pe0-omega*J105))*(M105/sref)^(m_-1)))</f>
        <v/>
      </c>
      <c r="R105">
        <f>O105-Q105</f>
        <v/>
      </c>
      <c r="S105" t="n">
        <v>1.75</v>
      </c>
      <c r="T105" t="inlineStr">
        <is>
          <t>CU: máxima oblicuidad σ′1/σ′3</t>
        </is>
      </c>
      <c r="U105" t="inlineStr">
        <is>
          <t>173;177;3;10;49</t>
        </is>
      </c>
      <c r="V105">
        <f>DEGREES(ATAN(TAN(RADIANS(O105))*(M105/sref)^(1-m_)))</f>
        <v/>
      </c>
      <c r="W105">
        <f>V105-omega*(e_base-J105)</f>
        <v/>
      </c>
    </row>
    <row r="106">
      <c r="A106" t="inlineStr">
        <is>
          <t>G2010</t>
        </is>
      </c>
      <c r="B106" t="inlineStr">
        <is>
          <t>G2010-B-INT-6in</t>
        </is>
      </c>
      <c r="C106" t="inlineStr">
        <is>
          <t>VP-209-09E σ'c=250 kPa</t>
        </is>
      </c>
      <c r="D106" t="inlineStr">
        <is>
          <t>Intrusivo</t>
        </is>
      </c>
      <c r="E106" t="inlineStr">
        <is>
          <t>Triaxial CU</t>
        </is>
      </c>
      <c r="F106" t="inlineStr">
        <is>
          <t>No usado</t>
        </is>
      </c>
      <c r="G106" t="inlineStr">
        <is>
          <t>material chancado (fase B)</t>
        </is>
      </c>
      <c r="H106" t="n">
        <v>0.1512</v>
      </c>
      <c r="I106" t="n">
        <v>25.4</v>
      </c>
      <c r="J106" t="n">
        <v>0.354</v>
      </c>
      <c r="K106" t="n">
        <v>0.03405</v>
      </c>
      <c r="L106" t="n">
        <v>0.1296699999999999</v>
      </c>
      <c r="M106">
        <f>(L106+K106)/2-(L106-K106)/2*((SQRT(4*m_*(m_-1)*(L106-K106)^2+(L106+K106)^2)-(L106+K106))/(2*(m_-1)*(L106-K106)))</f>
        <v/>
      </c>
      <c r="N106">
        <f>(L106-K106)/2*SQRT(1-((SQRT(4*m_*(m_-1)*(L106-K106)^2+(L106+K106)^2)-(L106+K106))/(2*(m_-1)*(L106-K106)))^2)</f>
        <v/>
      </c>
      <c r="O106">
        <f>DEGREES(ATAN(N106/M106))</f>
        <v/>
      </c>
      <c r="P106">
        <f>O106-omega*(e_base-J106)</f>
        <v/>
      </c>
      <c r="Q106">
        <f>DEGREES(ATAN(TAN(RADIANS(pe0-omega*J106))*(M106/sref)^(m_-1)))</f>
        <v/>
      </c>
      <c r="R106">
        <f>O106-Q106</f>
        <v/>
      </c>
      <c r="S106" t="n">
        <v>1.25</v>
      </c>
      <c r="T106" t="inlineStr">
        <is>
          <t>CU: máxima oblicuidad σ′1/σ′3</t>
        </is>
      </c>
      <c r="U106" t="inlineStr">
        <is>
          <t>174;177;3;10;49</t>
        </is>
      </c>
      <c r="V106">
        <f>DEGREES(ATAN(TAN(RADIANS(O106))*(M106/sref)^(1-m_)))</f>
        <v/>
      </c>
      <c r="W106">
        <f>V106-omega*(e_base-J106)</f>
        <v/>
      </c>
    </row>
    <row r="107">
      <c r="A107" t="inlineStr">
        <is>
          <t>G2010</t>
        </is>
      </c>
      <c r="B107" t="inlineStr">
        <is>
          <t>G2010-B-INT-6in</t>
        </is>
      </c>
      <c r="C107" t="inlineStr">
        <is>
          <t>VP-209-09E σ'c=125 kPa</t>
        </is>
      </c>
      <c r="D107" t="inlineStr">
        <is>
          <t>Intrusivo</t>
        </is>
      </c>
      <c r="E107" t="inlineStr">
        <is>
          <t>Triaxial CU</t>
        </is>
      </c>
      <c r="F107" t="inlineStr">
        <is>
          <t>No usado</t>
        </is>
      </c>
      <c r="G107" t="inlineStr">
        <is>
          <t>material chancado (fase B)</t>
        </is>
      </c>
      <c r="H107" t="n">
        <v>0.1513</v>
      </c>
      <c r="I107" t="n">
        <v>25.4</v>
      </c>
      <c r="J107" t="n">
        <v>0.355</v>
      </c>
      <c r="K107" t="n">
        <v>0.03473</v>
      </c>
      <c r="L107" t="n">
        <v>0.08045999999999991</v>
      </c>
      <c r="M107">
        <f>(L107+K107)/2-(L107-K107)/2*((SQRT(4*m_*(m_-1)*(L107-K107)^2+(L107+K107)^2)-(L107+K107))/(2*(m_-1)*(L107-K107)))</f>
        <v/>
      </c>
      <c r="N107">
        <f>(L107-K107)/2*SQRT(1-((SQRT(4*m_*(m_-1)*(L107-K107)^2+(L107+K107)^2)-(L107+K107))/(2*(m_-1)*(L107-K107)))^2)</f>
        <v/>
      </c>
      <c r="O107">
        <f>DEGREES(ATAN(N107/M107))</f>
        <v/>
      </c>
      <c r="P107">
        <f>O107-omega*(e_base-J107)</f>
        <v/>
      </c>
      <c r="Q107">
        <f>DEGREES(ATAN(TAN(RADIANS(pe0-omega*J107))*(M107/sref)^(m_-1)))</f>
        <v/>
      </c>
      <c r="R107">
        <f>O107-Q107</f>
        <v/>
      </c>
      <c r="S107" t="n">
        <v>0.75</v>
      </c>
      <c r="T107" t="inlineStr">
        <is>
          <t>CU: máxima oblicuidad σ′1/σ′3</t>
        </is>
      </c>
      <c r="U107" t="inlineStr">
        <is>
          <t>175;177;3;10;49</t>
        </is>
      </c>
      <c r="V107">
        <f>DEGREES(ATAN(TAN(RADIANS(O107))*(M107/sref)^(1-m_)))</f>
        <v/>
      </c>
      <c r="W107">
        <f>V107-omega*(e_base-J107)</f>
        <v/>
      </c>
    </row>
    <row r="108">
      <c r="A108" t="inlineStr">
        <is>
          <t>G2010</t>
        </is>
      </c>
      <c r="B108" t="inlineStr">
        <is>
          <t>G2010-B-EXO-6in</t>
        </is>
      </c>
      <c r="C108" t="inlineStr">
        <is>
          <t>VP-209-09E σ'c=500 kPa</t>
        </is>
      </c>
      <c r="D108" t="inlineStr">
        <is>
          <t>Skarn</t>
        </is>
      </c>
      <c r="E108" t="inlineStr">
        <is>
          <t>Triaxial CU</t>
        </is>
      </c>
      <c r="F108" t="inlineStr">
        <is>
          <t>No usado</t>
        </is>
      </c>
      <c r="G108" t="inlineStr">
        <is>
          <t>material chancado (fase B)</t>
        </is>
      </c>
      <c r="H108" t="n">
        <v>0.1515</v>
      </c>
      <c r="I108" t="n">
        <v>25.4</v>
      </c>
      <c r="J108" t="n">
        <v>0.419</v>
      </c>
      <c r="K108" t="n">
        <v>0.21821</v>
      </c>
      <c r="L108" t="n">
        <v>1.09569</v>
      </c>
      <c r="M108">
        <f>(L108+K108)/2-(L108-K108)/2*((SQRT(4*m_*(m_-1)*(L108-K108)^2+(L108+K108)^2)-(L108+K108))/(2*(m_-1)*(L108-K108)))</f>
        <v/>
      </c>
      <c r="N108">
        <f>(L108-K108)/2*SQRT(1-((SQRT(4*m_*(m_-1)*(L108-K108)^2+(L108+K108)^2)-(L108+K108))/(2*(m_-1)*(L108-K108)))^2)</f>
        <v/>
      </c>
      <c r="O108">
        <f>DEGREES(ATAN(N108/M108))</f>
        <v/>
      </c>
      <c r="P108">
        <f>O108-omega*(e_base-J108)</f>
        <v/>
      </c>
      <c r="Q108">
        <f>DEGREES(ATAN(TAN(RADIANS(pe0-omega*J108))*(M108/sref)^(m_-1)))</f>
        <v/>
      </c>
      <c r="R108">
        <f>O108-Q108</f>
        <v/>
      </c>
      <c r="S108" t="n">
        <v>1.25</v>
      </c>
      <c r="T108" t="inlineStr">
        <is>
          <t>CU: máxima oblicuidad σ′1/σ′3</t>
        </is>
      </c>
      <c r="U108" t="inlineStr">
        <is>
          <t>179;183;3;10;49</t>
        </is>
      </c>
      <c r="V108">
        <f>DEGREES(ATAN(TAN(RADIANS(O108))*(M108/sref)^(1-m_)))</f>
        <v/>
      </c>
      <c r="W108">
        <f>V108-omega*(e_base-J108)</f>
        <v/>
      </c>
    </row>
    <row r="109">
      <c r="A109" t="inlineStr">
        <is>
          <t>G2010</t>
        </is>
      </c>
      <c r="B109" t="inlineStr">
        <is>
          <t>G2010-B-EXO-6in</t>
        </is>
      </c>
      <c r="C109" t="inlineStr">
        <is>
          <t>VP-209-09E σ'c=250 kPa</t>
        </is>
      </c>
      <c r="D109" t="inlineStr">
        <is>
          <t>Skarn</t>
        </is>
      </c>
      <c r="E109" t="inlineStr">
        <is>
          <t>Triaxial CU</t>
        </is>
      </c>
      <c r="F109" t="inlineStr">
        <is>
          <t>No usado</t>
        </is>
      </c>
      <c r="G109" t="inlineStr">
        <is>
          <t>material chancado (fase B)</t>
        </is>
      </c>
      <c r="H109" t="n">
        <v>0.1515</v>
      </c>
      <c r="I109" t="n">
        <v>25.4</v>
      </c>
      <c r="J109" t="n">
        <v>0.418</v>
      </c>
      <c r="K109" t="n">
        <v>0.13198</v>
      </c>
      <c r="L109" t="n">
        <v>0.6181</v>
      </c>
      <c r="M109">
        <f>(L109+K109)/2-(L109-K109)/2*((SQRT(4*m_*(m_-1)*(L109-K109)^2+(L109+K109)^2)-(L109+K109))/(2*(m_-1)*(L109-K109)))</f>
        <v/>
      </c>
      <c r="N109">
        <f>(L109-K109)/2*SQRT(1-((SQRT(4*m_*(m_-1)*(L109-K109)^2+(L109+K109)^2)-(L109+K109))/(2*(m_-1)*(L109-K109)))^2)</f>
        <v/>
      </c>
      <c r="O109">
        <f>DEGREES(ATAN(N109/M109))</f>
        <v/>
      </c>
      <c r="P109">
        <f>O109-omega*(e_base-J109)</f>
        <v/>
      </c>
      <c r="Q109">
        <f>DEGREES(ATAN(TAN(RADIANS(pe0-omega*J109))*(M109/sref)^(m_-1)))</f>
        <v/>
      </c>
      <c r="R109">
        <f>O109-Q109</f>
        <v/>
      </c>
      <c r="S109" t="n">
        <v>1</v>
      </c>
      <c r="T109" t="inlineStr">
        <is>
          <t>CU: máxima oblicuidad σ′1/σ′3</t>
        </is>
      </c>
      <c r="U109" t="inlineStr">
        <is>
          <t>180;183;3;10;49</t>
        </is>
      </c>
      <c r="V109">
        <f>DEGREES(ATAN(TAN(RADIANS(O109))*(M109/sref)^(1-m_)))</f>
        <v/>
      </c>
      <c r="W109">
        <f>V109-omega*(e_base-J109)</f>
        <v/>
      </c>
    </row>
    <row r="110">
      <c r="A110" t="inlineStr">
        <is>
          <t>G2010</t>
        </is>
      </c>
      <c r="B110" t="inlineStr">
        <is>
          <t>G2010-B-EXO-6in</t>
        </is>
      </c>
      <c r="C110" t="inlineStr">
        <is>
          <t>VP-209-09E σ'c=125 kPa</t>
        </is>
      </c>
      <c r="D110" t="inlineStr">
        <is>
          <t>Skarn</t>
        </is>
      </c>
      <c r="E110" t="inlineStr">
        <is>
          <t>Triaxial CU</t>
        </is>
      </c>
      <c r="F110" t="inlineStr">
        <is>
          <t>No usado</t>
        </is>
      </c>
      <c r="G110" t="inlineStr">
        <is>
          <t>material chancado (fase B)</t>
        </is>
      </c>
      <c r="H110" t="n">
        <v>0.1515</v>
      </c>
      <c r="I110" t="n">
        <v>25.4</v>
      </c>
      <c r="J110" t="n">
        <v>0.431</v>
      </c>
      <c r="K110" t="n">
        <v>0.11328</v>
      </c>
      <c r="L110" t="n">
        <v>0.54799</v>
      </c>
      <c r="M110">
        <f>(L110+K110)/2-(L110-K110)/2*((SQRT(4*m_*(m_-1)*(L110-K110)^2+(L110+K110)^2)-(L110+K110))/(2*(m_-1)*(L110-K110)))</f>
        <v/>
      </c>
      <c r="N110">
        <f>(L110-K110)/2*SQRT(1-((SQRT(4*m_*(m_-1)*(L110-K110)^2+(L110+K110)^2)-(L110+K110))/(2*(m_-1)*(L110-K110)))^2)</f>
        <v/>
      </c>
      <c r="O110">
        <f>DEGREES(ATAN(N110/M110))</f>
        <v/>
      </c>
      <c r="P110">
        <f>O110-omega*(e_base-J110)</f>
        <v/>
      </c>
      <c r="Q110">
        <f>DEGREES(ATAN(TAN(RADIANS(pe0-omega*J110))*(M110/sref)^(m_-1)))</f>
        <v/>
      </c>
      <c r="R110">
        <f>O110-Q110</f>
        <v/>
      </c>
      <c r="S110" t="n">
        <v>1</v>
      </c>
      <c r="T110" t="inlineStr">
        <is>
          <t>CU: máxima oblicuidad σ′1/σ′3</t>
        </is>
      </c>
      <c r="U110" t="inlineStr">
        <is>
          <t>181;183;3;10;49</t>
        </is>
      </c>
      <c r="V110">
        <f>DEGREES(ATAN(TAN(RADIANS(O110))*(M110/sref)^(1-m_)))</f>
        <v/>
      </c>
      <c r="W110">
        <f>V110-omega*(e_base-J110)</f>
        <v/>
      </c>
    </row>
    <row r="111">
      <c r="A111" t="inlineStr">
        <is>
          <t>W2022</t>
        </is>
      </c>
      <c r="B111" t="inlineStr">
        <is>
          <t>HF-USC-ciclico-350</t>
        </is>
      </c>
      <c r="C111" t="inlineStr">
        <is>
          <t>USC HR-LCTX2 (6", CSR=0.38)</t>
        </is>
      </c>
      <c r="D111" t="inlineStr">
        <is>
          <t>Hornfels</t>
        </is>
      </c>
      <c r="E111" t="inlineStr">
        <is>
          <t>Triaxial cíclico + monótono post-cíclico</t>
        </is>
      </c>
      <c r="F111" t="inlineStr">
        <is>
          <t>No usado</t>
        </is>
      </c>
      <c r="G111" t="inlineStr">
        <is>
          <t>carga cíclica (compresión y extensión) previa a la carga monótona</t>
        </is>
      </c>
      <c r="H111" t="n">
        <v>0.1465</v>
      </c>
      <c r="I111" t="n">
        <v>25.4</v>
      </c>
      <c r="J111" t="n">
        <v>0.239</v>
      </c>
      <c r="K111" t="n">
        <v>0.35</v>
      </c>
      <c r="L111" t="n">
        <v>1.7704</v>
      </c>
      <c r="M111">
        <f>(L111+K111)/2-(L111-K111)/2*((SQRT(4*m_*(m_-1)*(L111-K111)^2+(L111+K111)^2)-(L111+K111))/(2*(m_-1)*(L111-K111)))</f>
        <v/>
      </c>
      <c r="N111">
        <f>(L111-K111)/2*SQRT(1-((SQRT(4*m_*(m_-1)*(L111-K111)^2+(L111+K111)^2)-(L111+K111))/(2*(m_-1)*(L111-K111)))^2)</f>
        <v/>
      </c>
      <c r="O111">
        <f>DEGREES(ATAN(N111/M111))</f>
        <v/>
      </c>
      <c r="P111">
        <f>O111-omega*(e_base-J111)</f>
        <v/>
      </c>
      <c r="Q111">
        <f>DEGREES(ATAN(TAN(RADIANS(pe0-omega*J111))*(M111/sref)^(m_-1)))</f>
        <v/>
      </c>
      <c r="R111">
        <f>O111-Q111</f>
        <v/>
      </c>
      <c r="S111" t="n">
        <v>20</v>
      </c>
      <c r="T111" t="inlineStr">
        <is>
          <t>CD: máximo desviador</t>
        </is>
      </c>
      <c r="U111" t="inlineStr">
        <is>
          <t>10;373;41</t>
        </is>
      </c>
      <c r="V111">
        <f>DEGREES(ATAN(TAN(RADIANS(O111))*(M111/sref)^(1-m_)))</f>
        <v/>
      </c>
      <c r="W111">
        <f>V111-omega*(e_base-J111)</f>
        <v/>
      </c>
    </row>
    <row r="112">
      <c r="A112" t="inlineStr">
        <is>
          <t>W2022</t>
        </is>
      </c>
      <c r="B112" t="inlineStr">
        <is>
          <t>HF-USC-ciclico-350</t>
        </is>
      </c>
      <c r="C112" t="inlineStr">
        <is>
          <t>USC HR-CTX1 (4", CSR=0.33)</t>
        </is>
      </c>
      <c r="D112" t="inlineStr">
        <is>
          <t>Hornfels</t>
        </is>
      </c>
      <c r="E112" t="inlineStr">
        <is>
          <t>Triaxial cíclico + monótono post-cíclico</t>
        </is>
      </c>
      <c r="F112" t="inlineStr">
        <is>
          <t>No usado</t>
        </is>
      </c>
      <c r="G112" t="inlineStr">
        <is>
          <t>carga cíclica (compresión y extensión) previa a la carga monótona</t>
        </is>
      </c>
      <c r="H112" t="n">
        <v>0.1</v>
      </c>
      <c r="I112" t="n">
        <v>25.4</v>
      </c>
      <c r="J112" t="n">
        <v>0.239</v>
      </c>
      <c r="K112" t="n">
        <v>0.35</v>
      </c>
      <c r="L112" t="n">
        <v>1.63</v>
      </c>
      <c r="M112">
        <f>(L112+K112)/2-(L112-K112)/2*((SQRT(4*m_*(m_-1)*(L112-K112)^2+(L112+K112)^2)-(L112+K112))/(2*(m_-1)*(L112-K112)))</f>
        <v/>
      </c>
      <c r="N112">
        <f>(L112-K112)/2*SQRT(1-((SQRT(4*m_*(m_-1)*(L112-K112)^2+(L112+K112)^2)-(L112+K112))/(2*(m_-1)*(L112-K112)))^2)</f>
        <v/>
      </c>
      <c r="O112">
        <f>DEGREES(ATAN(N112/M112))</f>
        <v/>
      </c>
      <c r="P112">
        <f>O112-omega*(e_base-J112)</f>
        <v/>
      </c>
      <c r="Q112">
        <f>DEGREES(ATAN(TAN(RADIANS(pe0-omega*J112))*(M112/sref)^(m_-1)))</f>
        <v/>
      </c>
      <c r="R112">
        <f>O112-Q112</f>
        <v/>
      </c>
      <c r="S112" t="n">
        <v>1.68</v>
      </c>
      <c r="T112" t="inlineStr">
        <is>
          <t>CD: máximo desviador</t>
        </is>
      </c>
      <c r="U112" t="inlineStr">
        <is>
          <t>10;361;41</t>
        </is>
      </c>
      <c r="V112">
        <f>DEGREES(ATAN(TAN(RADIANS(O112))*(M112/sref)^(1-m_)))</f>
        <v/>
      </c>
      <c r="W112">
        <f>V112-omega*(e_base-J112)</f>
        <v/>
      </c>
    </row>
    <row r="113">
      <c r="A113" t="inlineStr">
        <is>
          <t>W2022</t>
        </is>
      </c>
      <c r="B113" t="inlineStr">
        <is>
          <t>HF-USC-ciclico-350</t>
        </is>
      </c>
      <c r="C113" t="inlineStr">
        <is>
          <t>USC HR-CTX4 (4", CSR=0.2)</t>
        </is>
      </c>
      <c r="D113" t="inlineStr">
        <is>
          <t>Hornfels</t>
        </is>
      </c>
      <c r="E113" t="inlineStr">
        <is>
          <t>Triaxial cíclico + monótono post-cíclico</t>
        </is>
      </c>
      <c r="F113" t="inlineStr">
        <is>
          <t>No usado</t>
        </is>
      </c>
      <c r="G113" t="inlineStr">
        <is>
          <t>carga cíclica (compresión y extensión) previa a la carga monótona</t>
        </is>
      </c>
      <c r="H113" t="n">
        <v>0.1</v>
      </c>
      <c r="I113" t="n">
        <v>25.4</v>
      </c>
      <c r="J113" t="n">
        <v>0.239</v>
      </c>
      <c r="K113" t="n">
        <v>0.35</v>
      </c>
      <c r="L113" t="n">
        <v>1.5605</v>
      </c>
      <c r="M113">
        <f>(L113+K113)/2-(L113-K113)/2*((SQRT(4*m_*(m_-1)*(L113-K113)^2+(L113+K113)^2)-(L113+K113))/(2*(m_-1)*(L113-K113)))</f>
        <v/>
      </c>
      <c r="N113">
        <f>(L113-K113)/2*SQRT(1-((SQRT(4*m_*(m_-1)*(L113-K113)^2+(L113+K113)^2)-(L113+K113))/(2*(m_-1)*(L113-K113)))^2)</f>
        <v/>
      </c>
      <c r="O113">
        <f>DEGREES(ATAN(N113/M113))</f>
        <v/>
      </c>
      <c r="P113">
        <f>O113-omega*(e_base-J113)</f>
        <v/>
      </c>
      <c r="Q113">
        <f>DEGREES(ATAN(TAN(RADIANS(pe0-omega*J113))*(M113/sref)^(m_-1)))</f>
        <v/>
      </c>
      <c r="R113">
        <f>O113-Q113</f>
        <v/>
      </c>
      <c r="S113" t="n">
        <v>7.37</v>
      </c>
      <c r="T113" t="inlineStr">
        <is>
          <t>CD: máximo desviador</t>
        </is>
      </c>
      <c r="U113" t="inlineStr">
        <is>
          <t>10;367;41</t>
        </is>
      </c>
      <c r="V113">
        <f>DEGREES(ATAN(TAN(RADIANS(O113))*(M113/sref)^(1-m_)))</f>
        <v/>
      </c>
      <c r="W113">
        <f>V113-omega*(e_base-J113)</f>
        <v/>
      </c>
    </row>
    <row r="114">
      <c r="A114" t="inlineStr">
        <is>
          <t>W2022</t>
        </is>
      </c>
      <c r="B114" t="inlineStr">
        <is>
          <t>MN-USC-ciclico-350</t>
        </is>
      </c>
      <c r="C114" t="inlineStr">
        <is>
          <t>USC MN-CTX3 (4", CSR=0.25)</t>
        </is>
      </c>
      <c r="D114" t="inlineStr">
        <is>
          <t>Mármol</t>
        </is>
      </c>
      <c r="E114" t="inlineStr">
        <is>
          <t>Triaxial cíclico + monótono post-cíclico</t>
        </is>
      </c>
      <c r="F114" t="inlineStr">
        <is>
          <t>No usado</t>
        </is>
      </c>
      <c r="G114" t="inlineStr">
        <is>
          <t>carga cíclica (compresión y extensión) previa a la carga monótona</t>
        </is>
      </c>
      <c r="H114" t="n">
        <v>0.1</v>
      </c>
      <c r="I114" t="n">
        <v>25.4</v>
      </c>
      <c r="J114" t="n">
        <v>0.205</v>
      </c>
      <c r="K114" t="n">
        <v>0.35</v>
      </c>
      <c r="L114" t="n">
        <v>1.5953</v>
      </c>
      <c r="M114">
        <f>(L114+K114)/2-(L114-K114)/2*((SQRT(4*m_*(m_-1)*(L114-K114)^2+(L114+K114)^2)-(L114+K114))/(2*(m_-1)*(L114-K114)))</f>
        <v/>
      </c>
      <c r="N114">
        <f>(L114-K114)/2*SQRT(1-((SQRT(4*m_*(m_-1)*(L114-K114)^2+(L114+K114)^2)-(L114+K114))/(2*(m_-1)*(L114-K114)))^2)</f>
        <v/>
      </c>
      <c r="O114">
        <f>DEGREES(ATAN(N114/M114))</f>
        <v/>
      </c>
      <c r="P114">
        <f>O114-omega*(e_base-J114)</f>
        <v/>
      </c>
      <c r="Q114">
        <f>DEGREES(ATAN(TAN(RADIANS(pe0-omega*J114))*(M114/sref)^(m_-1)))</f>
        <v/>
      </c>
      <c r="R114">
        <f>O114-Q114</f>
        <v/>
      </c>
      <c r="S114" t="n">
        <v>4.89</v>
      </c>
      <c r="T114" t="inlineStr">
        <is>
          <t>CD: máximo desviador</t>
        </is>
      </c>
      <c r="U114" t="inlineStr">
        <is>
          <t>10;379;41</t>
        </is>
      </c>
      <c r="V114">
        <f>DEGREES(ATAN(TAN(RADIANS(O114))*(M114/sref)^(1-m_)))</f>
        <v/>
      </c>
      <c r="W114">
        <f>V114-omega*(e_base-J114)</f>
        <v/>
      </c>
    </row>
    <row r="115">
      <c r="A115" t="inlineStr">
        <is>
          <t>W2022</t>
        </is>
      </c>
      <c r="B115" t="inlineStr">
        <is>
          <t>MN-USC-ciclico-350</t>
        </is>
      </c>
      <c r="C115" t="inlineStr">
        <is>
          <t>USC MN-LCTX1 (6", CSR=0.19)</t>
        </is>
      </c>
      <c r="D115" t="inlineStr">
        <is>
          <t>Mármol</t>
        </is>
      </c>
      <c r="E115" t="inlineStr">
        <is>
          <t>Triaxial cíclico + monótono post-cíclico</t>
        </is>
      </c>
      <c r="F115" t="inlineStr">
        <is>
          <t>No usado</t>
        </is>
      </c>
      <c r="G115" t="inlineStr">
        <is>
          <t>carga cíclica (compresión y extensión) previa a la carga monótona</t>
        </is>
      </c>
      <c r="H115" t="n">
        <v>0.1465</v>
      </c>
      <c r="I115" t="n">
        <v>25.4</v>
      </c>
      <c r="J115" t="n">
        <v>0.205</v>
      </c>
      <c r="K115" t="n">
        <v>0.35</v>
      </c>
      <c r="L115" t="n">
        <v>1.9259</v>
      </c>
      <c r="M115">
        <f>(L115+K115)/2-(L115-K115)/2*((SQRT(4*m_*(m_-1)*(L115-K115)^2+(L115+K115)^2)-(L115+K115))/(2*(m_-1)*(L115-K115)))</f>
        <v/>
      </c>
      <c r="N115">
        <f>(L115-K115)/2*SQRT(1-((SQRT(4*m_*(m_-1)*(L115-K115)^2+(L115+K115)^2)-(L115+K115))/(2*(m_-1)*(L115-K115)))^2)</f>
        <v/>
      </c>
      <c r="O115">
        <f>DEGREES(ATAN(N115/M115))</f>
        <v/>
      </c>
      <c r="P115">
        <f>O115-omega*(e_base-J115)</f>
        <v/>
      </c>
      <c r="Q115">
        <f>DEGREES(ATAN(TAN(RADIANS(pe0-omega*J115))*(M115/sref)^(m_-1)))</f>
        <v/>
      </c>
      <c r="R115">
        <f>O115-Q115</f>
        <v/>
      </c>
      <c r="T115" t="inlineStr">
        <is>
          <t>CD: máximo desviador</t>
        </is>
      </c>
      <c r="U115" t="inlineStr">
        <is>
          <t>10;385;41</t>
        </is>
      </c>
      <c r="V115">
        <f>DEGREES(ATAN(TAN(RADIANS(O115))*(M115/sref)^(1-m_)))</f>
        <v/>
      </c>
      <c r="W115">
        <f>V115-omega*(e_base-J115)</f>
        <v/>
      </c>
    </row>
    <row r="116">
      <c r="A116" t="inlineStr">
        <is>
          <t>W2022</t>
        </is>
      </c>
      <c r="B116" t="inlineStr">
        <is>
          <t>MN-USC-ciclico-350</t>
        </is>
      </c>
      <c r="C116" t="inlineStr">
        <is>
          <t>USC MN-LCTX2 (6", CSR=0.38)</t>
        </is>
      </c>
      <c r="D116" t="inlineStr">
        <is>
          <t>Mármol</t>
        </is>
      </c>
      <c r="E116" t="inlineStr">
        <is>
          <t>Triaxial cíclico + monótono post-cíclico</t>
        </is>
      </c>
      <c r="F116" t="inlineStr">
        <is>
          <t>No usado</t>
        </is>
      </c>
      <c r="G116" t="inlineStr">
        <is>
          <t>carga cíclica (compresión y extensión) previa a la carga monótona</t>
        </is>
      </c>
      <c r="H116" t="n">
        <v>0.1465</v>
      </c>
      <c r="I116" t="n">
        <v>25.4</v>
      </c>
      <c r="J116" t="n">
        <v>0.205</v>
      </c>
      <c r="K116" t="n">
        <v>0.35</v>
      </c>
      <c r="L116" t="n">
        <v>1.9005</v>
      </c>
      <c r="M116">
        <f>(L116+K116)/2-(L116-K116)/2*((SQRT(4*m_*(m_-1)*(L116-K116)^2+(L116+K116)^2)-(L116+K116))/(2*(m_-1)*(L116-K116)))</f>
        <v/>
      </c>
      <c r="N116">
        <f>(L116-K116)/2*SQRT(1-((SQRT(4*m_*(m_-1)*(L116-K116)^2+(L116+K116)^2)-(L116+K116))/(2*(m_-1)*(L116-K116)))^2)</f>
        <v/>
      </c>
      <c r="O116">
        <f>DEGREES(ATAN(N116/M116))</f>
        <v/>
      </c>
      <c r="P116">
        <f>O116-omega*(e_base-J116)</f>
        <v/>
      </c>
      <c r="Q116">
        <f>DEGREES(ATAN(TAN(RADIANS(pe0-omega*J116))*(M116/sref)^(m_-1)))</f>
        <v/>
      </c>
      <c r="R116">
        <f>O116-Q116</f>
        <v/>
      </c>
      <c r="T116" t="inlineStr">
        <is>
          <t>CD: máximo desviador</t>
        </is>
      </c>
      <c r="U116" t="inlineStr">
        <is>
          <t>10;391;41</t>
        </is>
      </c>
      <c r="V116">
        <f>DEGREES(ATAN(TAN(RADIANS(O116))*(M116/sref)^(1-m_)))</f>
        <v/>
      </c>
      <c r="W116">
        <f>V116-omega*(e_base-J116)</f>
        <v/>
      </c>
    </row>
    <row r="117">
      <c r="A117" t="inlineStr">
        <is>
          <t>W2022</t>
        </is>
      </c>
      <c r="B117" t="inlineStr">
        <is>
          <t>MN-1.0m-IDIEM-2011</t>
        </is>
      </c>
      <c r="C117" t="inlineStr">
        <is>
          <t>Tabla 3 Mármol Negro Probeta 1 = IDIEM 708.397-A Probeta 1 (σ'c = 5 kg/cm²) ESTATICO</t>
        </is>
      </c>
      <c r="D117" t="inlineStr">
        <is>
          <t>Mármol</t>
        </is>
      </c>
      <c r="E117" t="inlineStr">
        <is>
          <t>Triaxial CD</t>
        </is>
      </c>
      <c r="F117" t="inlineStr">
        <is>
          <t>No usado</t>
        </is>
      </c>
      <c r="G117" t="inlineStr">
        <is>
          <t>duplicado de Golder Associates Perú (2012); se usa el original</t>
        </is>
      </c>
      <c r="H117" t="n">
        <v>1</v>
      </c>
      <c r="I117" t="n">
        <v>177.8</v>
      </c>
      <c r="J117" t="n">
        <v>0.3121962962962963</v>
      </c>
      <c r="K117" t="n">
        <v>0.4903</v>
      </c>
      <c r="L117" t="n">
        <v>2.2712</v>
      </c>
      <c r="M117">
        <f>(L117+K117)/2-(L117-K117)/2*((SQRT(4*m_*(m_-1)*(L117-K117)^2+(L117+K117)^2)-(L117+K117))/(2*(m_-1)*(L117-K117)))</f>
        <v/>
      </c>
      <c r="N117">
        <f>(L117-K117)/2*SQRT(1-((SQRT(4*m_*(m_-1)*(L117-K117)^2+(L117+K117)^2)-(L117+K117))/(2*(m_-1)*(L117-K117)))^2)</f>
        <v/>
      </c>
      <c r="O117">
        <f>DEGREES(ATAN(N117/M117))</f>
        <v/>
      </c>
      <c r="P117">
        <f>O117-omega*(e_base-J117)</f>
        <v/>
      </c>
      <c r="Q117">
        <f>DEGREES(ATAN(TAN(RADIANS(pe0-omega*J117))*(M117/sref)^(m_-1)))</f>
        <v/>
      </c>
      <c r="R117">
        <f>O117-Q117</f>
        <v/>
      </c>
      <c r="S117" t="n">
        <v>17.27</v>
      </c>
      <c r="T117" t="inlineStr">
        <is>
          <t>CD: máximo desviador</t>
        </is>
      </c>
      <c r="U117" t="inlineStr">
        <is>
          <t>10;252;66-67;41</t>
        </is>
      </c>
      <c r="V117">
        <f>DEGREES(ATAN(TAN(RADIANS(O117))*(M117/sref)^(1-m_)))</f>
        <v/>
      </c>
      <c r="W117">
        <f>V117-omega*(e_base-J117)</f>
        <v/>
      </c>
    </row>
    <row r="118">
      <c r="A118" t="inlineStr">
        <is>
          <t>W2022</t>
        </is>
      </c>
      <c r="B118" t="inlineStr">
        <is>
          <t>MN-1.0m-IDIEM-2011</t>
        </is>
      </c>
      <c r="C118" t="inlineStr">
        <is>
          <t>Tabla 3 Mármol Negro Probeta 3 = IDIEM 708.397-A Probeta 2 (σ'c = 5 kg/cm²) CICLICO</t>
        </is>
      </c>
      <c r="D118" t="inlineStr">
        <is>
          <t>Mármol</t>
        </is>
      </c>
      <c r="E118" t="inlineStr">
        <is>
          <t>Triaxial CD carga-descarga</t>
        </is>
      </c>
      <c r="F118" t="inlineStr">
        <is>
          <t>No usado</t>
        </is>
      </c>
      <c r="G118" t="inlineStr">
        <is>
          <t>duplicado de Golder Associates Perú (2012); se usa el original</t>
        </is>
      </c>
      <c r="H118" t="n">
        <v>1</v>
      </c>
      <c r="I118" t="n">
        <v>177.8</v>
      </c>
      <c r="J118" t="n">
        <v>0.3121962962962963</v>
      </c>
      <c r="K118" t="n">
        <v>0.4903</v>
      </c>
      <c r="L118" t="n">
        <v>2.1928</v>
      </c>
      <c r="M118">
        <f>(L118+K118)/2-(L118-K118)/2*((SQRT(4*m_*(m_-1)*(L118-K118)^2+(L118+K118)^2)-(L118+K118))/(2*(m_-1)*(L118-K118)))</f>
        <v/>
      </c>
      <c r="N118">
        <f>(L118-K118)/2*SQRT(1-((SQRT(4*m_*(m_-1)*(L118-K118)^2+(L118+K118)^2)-(L118+K118))/(2*(m_-1)*(L118-K118)))^2)</f>
        <v/>
      </c>
      <c r="O118">
        <f>DEGREES(ATAN(N118/M118))</f>
        <v/>
      </c>
      <c r="P118">
        <f>O118-omega*(e_base-J118)</f>
        <v/>
      </c>
      <c r="Q118">
        <f>DEGREES(ATAN(TAN(RADIANS(pe0-omega*J118))*(M118/sref)^(m_-1)))</f>
        <v/>
      </c>
      <c r="R118">
        <f>O118-Q118</f>
        <v/>
      </c>
      <c r="S118" t="n">
        <v>18.26</v>
      </c>
      <c r="T118" t="inlineStr">
        <is>
          <t>CD: máximo desviador</t>
        </is>
      </c>
      <c r="U118" t="inlineStr">
        <is>
          <t>10;254-263;66-67;41</t>
        </is>
      </c>
      <c r="V118">
        <f>DEGREES(ATAN(TAN(RADIANS(O118))*(M118/sref)^(1-m_)))</f>
        <v/>
      </c>
      <c r="W118">
        <f>V118-omega*(e_base-J118)</f>
        <v/>
      </c>
    </row>
    <row r="119">
      <c r="A119" t="inlineStr">
        <is>
          <t>W2022</t>
        </is>
      </c>
      <c r="B119" t="inlineStr">
        <is>
          <t>MN-1.0m-IDIEM-2011</t>
        </is>
      </c>
      <c r="C119" t="inlineStr">
        <is>
          <t>Tabla 3 Mármol Negro Probeta 4 = IDIEM 708.397-A Probeta 3 (σ'c = 10 kg/cm²) CICLICO</t>
        </is>
      </c>
      <c r="D119" t="inlineStr">
        <is>
          <t>Mármol</t>
        </is>
      </c>
      <c r="E119" t="inlineStr">
        <is>
          <t>Triaxial CD carga-descarga</t>
        </is>
      </c>
      <c r="F119" t="inlineStr">
        <is>
          <t>No usado</t>
        </is>
      </c>
      <c r="G119" t="inlineStr">
        <is>
          <t>duplicado de Golder Associates Perú (2012); se usa el original</t>
        </is>
      </c>
      <c r="H119" t="n">
        <v>1</v>
      </c>
      <c r="I119" t="n">
        <v>177.8</v>
      </c>
      <c r="J119" t="n">
        <v>0.3121962962962963</v>
      </c>
      <c r="K119" t="n">
        <v>0.9807</v>
      </c>
      <c r="L119" t="n">
        <v>3.8972</v>
      </c>
      <c r="M119">
        <f>(L119+K119)/2-(L119-K119)/2*((SQRT(4*m_*(m_-1)*(L119-K119)^2+(L119+K119)^2)-(L119+K119))/(2*(m_-1)*(L119-K119)))</f>
        <v/>
      </c>
      <c r="N119">
        <f>(L119-K119)/2*SQRT(1-((SQRT(4*m_*(m_-1)*(L119-K119)^2+(L119+K119)^2)-(L119+K119))/(2*(m_-1)*(L119-K119)))^2)</f>
        <v/>
      </c>
      <c r="O119">
        <f>DEGREES(ATAN(N119/M119))</f>
        <v/>
      </c>
      <c r="P119">
        <f>O119-omega*(e_base-J119)</f>
        <v/>
      </c>
      <c r="Q119">
        <f>DEGREES(ATAN(TAN(RADIANS(pe0-omega*J119))*(M119/sref)^(m_-1)))</f>
        <v/>
      </c>
      <c r="R119">
        <f>O119-Q119</f>
        <v/>
      </c>
      <c r="S119" t="n">
        <v>18</v>
      </c>
      <c r="T119" t="inlineStr">
        <is>
          <t>CD: máximo desviador</t>
        </is>
      </c>
      <c r="U119" t="inlineStr">
        <is>
          <t>10;265-275;66-67;41</t>
        </is>
      </c>
      <c r="V119">
        <f>DEGREES(ATAN(TAN(RADIANS(O119))*(M119/sref)^(1-m_)))</f>
        <v/>
      </c>
      <c r="W119">
        <f>V119-omega*(e_base-J119)</f>
        <v/>
      </c>
    </row>
    <row r="120">
      <c r="A120" t="inlineStr">
        <is>
          <t>W2022</t>
        </is>
      </c>
      <c r="B120" t="inlineStr">
        <is>
          <t>MN-1.0m-IDIEM-2011</t>
        </is>
      </c>
      <c r="C120" t="inlineStr">
        <is>
          <t>Tabla 3 Mármol Negro Probeta 2 = IDIEM 708.397-A Probeta 4 (σ'c = 20 kg/cm²) ESTATICO</t>
        </is>
      </c>
      <c r="D120" t="inlineStr">
        <is>
          <t>Mármol</t>
        </is>
      </c>
      <c r="E120" t="inlineStr">
        <is>
          <t>Triaxial CD</t>
        </is>
      </c>
      <c r="F120" t="inlineStr">
        <is>
          <t>No usado</t>
        </is>
      </c>
      <c r="G120" t="inlineStr">
        <is>
          <t>duplicado de Golder Associates Perú (2012); se usa el original</t>
        </is>
      </c>
      <c r="H120" t="n">
        <v>1</v>
      </c>
      <c r="I120" t="n">
        <v>177.8</v>
      </c>
      <c r="J120" t="n">
        <v>0.3121962962962963</v>
      </c>
      <c r="K120" t="n">
        <v>1.9613</v>
      </c>
      <c r="L120" t="n">
        <v>7.7786</v>
      </c>
      <c r="M120">
        <f>(L120+K120)/2-(L120-K120)/2*((SQRT(4*m_*(m_-1)*(L120-K120)^2+(L120+K120)^2)-(L120+K120))/(2*(m_-1)*(L120-K120)))</f>
        <v/>
      </c>
      <c r="N120">
        <f>(L120-K120)/2*SQRT(1-((SQRT(4*m_*(m_-1)*(L120-K120)^2+(L120+K120)^2)-(L120+K120))/(2*(m_-1)*(L120-K120)))^2)</f>
        <v/>
      </c>
      <c r="O120">
        <f>DEGREES(ATAN(N120/M120))</f>
        <v/>
      </c>
      <c r="P120">
        <f>O120-omega*(e_base-J120)</f>
        <v/>
      </c>
      <c r="Q120">
        <f>DEGREES(ATAN(TAN(RADIANS(pe0-omega*J120))*(M120/sref)^(m_-1)))</f>
        <v/>
      </c>
      <c r="R120">
        <f>O120-Q120</f>
        <v/>
      </c>
      <c r="S120" t="n">
        <v>19.59</v>
      </c>
      <c r="T120" t="inlineStr">
        <is>
          <t>CD: máximo desviador</t>
        </is>
      </c>
      <c r="U120" t="inlineStr">
        <is>
          <t>10;277-278;66-67;41</t>
        </is>
      </c>
      <c r="V120">
        <f>DEGREES(ATAN(TAN(RADIANS(O120))*(M120/sref)^(1-m_)))</f>
        <v/>
      </c>
      <c r="W120">
        <f>V120-omega*(e_base-J120)</f>
        <v/>
      </c>
    </row>
    <row r="121">
      <c r="A121" t="inlineStr">
        <is>
          <t>W2022</t>
        </is>
      </c>
      <c r="B121" t="inlineStr">
        <is>
          <t>MN-1.0m-IDIEM-2011</t>
        </is>
      </c>
      <c r="C121" t="inlineStr">
        <is>
          <t>Tabla 3 Mármol Negro Probeta 5 = IDIEM 708.397-A Probeta 5 (σ'c = 20 kg/cm²) CICLICO</t>
        </is>
      </c>
      <c r="D121" t="inlineStr">
        <is>
          <t>Mármol</t>
        </is>
      </c>
      <c r="E121" t="inlineStr">
        <is>
          <t>Triaxial CD carga-descarga</t>
        </is>
      </c>
      <c r="F121" t="inlineStr">
        <is>
          <t>No usado</t>
        </is>
      </c>
      <c r="G121" t="inlineStr">
        <is>
          <t>duplicado de Golder Associates Perú (2012); se usa el original</t>
        </is>
      </c>
      <c r="H121" t="n">
        <v>1</v>
      </c>
      <c r="I121" t="n">
        <v>177.8</v>
      </c>
      <c r="J121" t="n">
        <v>0.3121962962962963</v>
      </c>
      <c r="K121" t="n">
        <v>1.9613</v>
      </c>
      <c r="L121" t="n">
        <v>8.2905</v>
      </c>
      <c r="M121">
        <f>(L121+K121)/2-(L121-K121)/2*((SQRT(4*m_*(m_-1)*(L121-K121)^2+(L121+K121)^2)-(L121+K121))/(2*(m_-1)*(L121-K121)))</f>
        <v/>
      </c>
      <c r="N121">
        <f>(L121-K121)/2*SQRT(1-((SQRT(4*m_*(m_-1)*(L121-K121)^2+(L121+K121)^2)-(L121+K121))/(2*(m_-1)*(L121-K121)))^2)</f>
        <v/>
      </c>
      <c r="O121">
        <f>DEGREES(ATAN(N121/M121))</f>
        <v/>
      </c>
      <c r="P121">
        <f>O121-omega*(e_base-J121)</f>
        <v/>
      </c>
      <c r="Q121">
        <f>DEGREES(ATAN(TAN(RADIANS(pe0-omega*J121))*(M121/sref)^(m_-1)))</f>
        <v/>
      </c>
      <c r="R121">
        <f>O121-Q121</f>
        <v/>
      </c>
      <c r="S121" t="n">
        <v>17.78</v>
      </c>
      <c r="T121" t="inlineStr">
        <is>
          <t>CD: máximo desviador</t>
        </is>
      </c>
      <c r="U121" t="inlineStr">
        <is>
          <t>10;280-293;66-67;41</t>
        </is>
      </c>
      <c r="V121">
        <f>DEGREES(ATAN(TAN(RADIANS(O121))*(M121/sref)^(1-m_)))</f>
        <v/>
      </c>
      <c r="W121">
        <f>V121-omega*(e_base-J121)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0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1">
      <c r="A1" s="1" t="inlineStr">
        <is>
          <t>σ′n (MPa)</t>
        </is>
      </c>
      <c r="B1" s="1" t="inlineStr">
        <is>
          <t>Zona</t>
        </is>
      </c>
      <c r="C1" s="1" t="inlineStr">
        <is>
          <t>τ curva, con tope (MPa)</t>
        </is>
      </c>
      <c r="D1" s="1" t="inlineStr">
        <is>
          <t>φ′s curva, con tope (°)</t>
        </is>
      </c>
      <c r="E1" s="1" t="inlineStr">
        <is>
          <t>φ′s banda inf. (°)</t>
        </is>
      </c>
      <c r="F1" s="1" t="inlineStr">
        <is>
          <t>φ′s banda sup. (°)</t>
        </is>
      </c>
      <c r="G1" s="1" t="inlineStr">
        <is>
          <t>τ banda inf. (MPa)</t>
        </is>
      </c>
      <c r="H1" s="1" t="inlineStr">
        <is>
          <t>τ banda sup. (MPa)</t>
        </is>
      </c>
      <c r="I1" s="1" t="inlineStr">
        <is>
          <t>τ e = 0.55</t>
        </is>
      </c>
      <c r="J1" s="1" t="inlineStr">
        <is>
          <t>τ e = 0.65</t>
        </is>
      </c>
      <c r="K1" s="1" t="inlineStr">
        <is>
          <t>e perfil A</t>
        </is>
      </c>
      <c r="L1" s="1" t="inlineStr">
        <is>
          <t>τ perfil A</t>
        </is>
      </c>
      <c r="M1" s="1" t="inlineStr">
        <is>
          <t>e perfil V</t>
        </is>
      </c>
      <c r="N1" s="1" t="inlineStr">
        <is>
          <t>τ perfil V</t>
        </is>
      </c>
      <c r="O1" s="1" t="inlineStr">
        <is>
          <t>φ′s Indraratna (°)</t>
        </is>
      </c>
      <c r="P1" s="1" t="inlineStr">
        <is>
          <t>φ′s Hawley y Cunning (°)</t>
        </is>
      </c>
      <c r="Q1" s="1" t="inlineStr">
        <is>
          <t>τ Indraratna</t>
        </is>
      </c>
      <c r="R1" s="1" t="inlineStr">
        <is>
          <t>τ Hawley y Cunning</t>
        </is>
      </c>
      <c r="S1" s="1" t="inlineStr">
        <is>
          <t>τ 37° (MPa)</t>
        </is>
      </c>
      <c r="T1" s="1" t="inlineStr">
        <is>
          <t>φ′ sensibilidad DDE (°)</t>
        </is>
      </c>
    </row>
    <row r="2">
      <c r="A2" t="n">
        <v>0.01</v>
      </c>
      <c r="B2" t="inlineStr">
        <is>
          <t>con ensayos de Antamina</t>
        </is>
      </c>
      <c r="C2">
        <f>MIN(TAN(RADIANS(pe0-omega*e_base))*sref^(1-m_)*A2^m_,A2*TAN(RADIANS(tope)))</f>
        <v/>
      </c>
      <c r="D2">
        <f>DEGREES(ATAN(C2/A2))</f>
        <v/>
      </c>
      <c r="E2">
        <f>MIN(DEGREES(ATAN(TAN(RADIANS(Parametros!$E$12-omega*e_base))*(A2/sref)^(Parametros!$B$12-1))),DEGREES(ATAN(TAN(RADIANS(Parametros!$E$13-omega*e_base))*(A2/sref)^(Parametros!$B$13-1))),DEGREES(ATAN(TAN(RADIANS(Parametros!$E$14-omega*e_base))*(A2/sref)^(Parametros!$B$14-1))),DEGREES(ATAN(TAN(RADIANS(Parametros!$E$15-omega*e_base))*(A2/sref)^(Parametros!$B$15-1))),DEGREES(ATAN(TAN(RADIANS(Parametros!$E$16-omega*e_base))*(A2/sref)^(Parametros!$B$16-1))))</f>
        <v/>
      </c>
      <c r="F2">
        <f>MAX(DEGREES(ATAN(TAN(RADIANS(Parametros!$F$12-omega*e_base))*(A2/sref)^(Parametros!$B$12-1))),DEGREES(ATAN(TAN(RADIANS(Parametros!$F$13-omega*e_base))*(A2/sref)^(Parametros!$B$13-1))),DEGREES(ATAN(TAN(RADIANS(Parametros!$F$14-omega*e_base))*(A2/sref)^(Parametros!$B$14-1))),DEGREES(ATAN(TAN(RADIANS(Parametros!$F$15-omega*e_base))*(A2/sref)^(Parametros!$B$15-1))),DEGREES(ATAN(TAN(RADIANS(Parametros!$F$16-omega*e_base))*(A2/sref)^(Parametros!$B$16-1))))</f>
        <v/>
      </c>
      <c r="G2">
        <f>A2*TAN(RADIANS(E2))</f>
        <v/>
      </c>
      <c r="H2">
        <f>A2*TAN(RADIANS(F2))</f>
        <v/>
      </c>
      <c r="I2">
        <f>MIN(TAN(RADIANS(pe0-omega*0.55))*sref^(1-m_)*A2^m_,A2*TAN(RADIANS(tope)))</f>
        <v/>
      </c>
      <c r="J2">
        <f>MIN(TAN(RADIANS(pe0-omega*0.65))*sref^(1-m_)*A2^m_,A2*TAN(RADIANS(tope)))</f>
        <v/>
      </c>
      <c r="K2">
        <f>IF(MAX(A2,sv_piso)&lt;=1,e_base-cc_bajo*LOG10(MAX(A2,sv_piso)/sv_piso),e_base-cc_bajo*LOG10(1/sv_piso)-cc_alto*LOG10(A2))</f>
        <v/>
      </c>
      <c r="L2">
        <f>MIN(TAN(RADIANS(pe0-omega*K2))*sref^(1-m_)*A2^m_,A2*TAN(RADIANS(tope)))</f>
        <v/>
      </c>
      <c r="M2" t="n">
        <v>0.4494</v>
      </c>
      <c r="N2">
        <f>MIN(TAN(RADIANS(pe0-omega*M2))*sref^(1-m_)*A2^m_,A2*TAN(RADIANS(tope)))</f>
        <v/>
      </c>
      <c r="O2">
        <f>DEGREES(ATAN(TAN(RADIANS(33))*(A2/sref)^(0.9-1)))</f>
        <v/>
      </c>
      <c r="P2">
        <f>DEGREES(ATAN(1.446*(A2*1000)^0.898/(A2*1000)))</f>
        <v/>
      </c>
      <c r="Q2">
        <f>A2*TAN(RADIANS(O2))</f>
        <v/>
      </c>
      <c r="R2">
        <f>A2*TAN(RADIANS(P2))</f>
        <v/>
      </c>
      <c r="S2">
        <f>A2*TAN(RADIANS(37))</f>
        <v/>
      </c>
    </row>
    <row r="3">
      <c r="A3" t="n">
        <v>0.02</v>
      </c>
      <c r="B3" t="inlineStr">
        <is>
          <t>con ensayos de Antamina</t>
        </is>
      </c>
      <c r="C3">
        <f>MIN(TAN(RADIANS(pe0-omega*e_base))*sref^(1-m_)*A3^m_,A3*TAN(RADIANS(tope)))</f>
        <v/>
      </c>
      <c r="D3">
        <f>DEGREES(ATAN(C3/A3))</f>
        <v/>
      </c>
      <c r="E3">
        <f>MIN(DEGREES(ATAN(TAN(RADIANS(Parametros!$E$12-omega*e_base))*(A3/sref)^(Parametros!$B$12-1))),DEGREES(ATAN(TAN(RADIANS(Parametros!$E$13-omega*e_base))*(A3/sref)^(Parametros!$B$13-1))),DEGREES(ATAN(TAN(RADIANS(Parametros!$E$14-omega*e_base))*(A3/sref)^(Parametros!$B$14-1))),DEGREES(ATAN(TAN(RADIANS(Parametros!$E$15-omega*e_base))*(A3/sref)^(Parametros!$B$15-1))),DEGREES(ATAN(TAN(RADIANS(Parametros!$E$16-omega*e_base))*(A3/sref)^(Parametros!$B$16-1))))</f>
        <v/>
      </c>
      <c r="F3">
        <f>MAX(DEGREES(ATAN(TAN(RADIANS(Parametros!$F$12-omega*e_base))*(A3/sref)^(Parametros!$B$12-1))),DEGREES(ATAN(TAN(RADIANS(Parametros!$F$13-omega*e_base))*(A3/sref)^(Parametros!$B$13-1))),DEGREES(ATAN(TAN(RADIANS(Parametros!$F$14-omega*e_base))*(A3/sref)^(Parametros!$B$14-1))),DEGREES(ATAN(TAN(RADIANS(Parametros!$F$15-omega*e_base))*(A3/sref)^(Parametros!$B$15-1))),DEGREES(ATAN(TAN(RADIANS(Parametros!$F$16-omega*e_base))*(A3/sref)^(Parametros!$B$16-1))))</f>
        <v/>
      </c>
      <c r="G3">
        <f>A3*TAN(RADIANS(E3))</f>
        <v/>
      </c>
      <c r="H3">
        <f>A3*TAN(RADIANS(F3))</f>
        <v/>
      </c>
      <c r="I3">
        <f>MIN(TAN(RADIANS(pe0-omega*0.55))*sref^(1-m_)*A3^m_,A3*TAN(RADIANS(tope)))</f>
        <v/>
      </c>
      <c r="J3">
        <f>MIN(TAN(RADIANS(pe0-omega*0.65))*sref^(1-m_)*A3^m_,A3*TAN(RADIANS(tope)))</f>
        <v/>
      </c>
      <c r="K3">
        <f>IF(MAX(A3,sv_piso)&lt;=1,e_base-cc_bajo*LOG10(MAX(A3,sv_piso)/sv_piso),e_base-cc_bajo*LOG10(1/sv_piso)-cc_alto*LOG10(A3))</f>
        <v/>
      </c>
      <c r="L3">
        <f>MIN(TAN(RADIANS(pe0-omega*K3))*sref^(1-m_)*A3^m_,A3*TAN(RADIANS(tope)))</f>
        <v/>
      </c>
      <c r="M3" t="n">
        <v>0.4488</v>
      </c>
      <c r="N3">
        <f>MIN(TAN(RADIANS(pe0-omega*M3))*sref^(1-m_)*A3^m_,A3*TAN(RADIANS(tope)))</f>
        <v/>
      </c>
      <c r="O3">
        <f>DEGREES(ATAN(TAN(RADIANS(33))*(A3/sref)^(0.9-1)))</f>
        <v/>
      </c>
      <c r="P3">
        <f>DEGREES(ATAN(1.446*(A3*1000)^0.898/(A3*1000)))</f>
        <v/>
      </c>
      <c r="Q3">
        <f>A3*TAN(RADIANS(O3))</f>
        <v/>
      </c>
      <c r="R3">
        <f>A3*TAN(RADIANS(P3))</f>
        <v/>
      </c>
      <c r="S3">
        <f>A3*TAN(RADIANS(37))</f>
        <v/>
      </c>
    </row>
    <row r="4">
      <c r="A4" t="n">
        <v>0.03</v>
      </c>
      <c r="B4" t="inlineStr">
        <is>
          <t>con ensayos de Antamina</t>
        </is>
      </c>
      <c r="C4">
        <f>MIN(TAN(RADIANS(pe0-omega*e_base))*sref^(1-m_)*A4^m_,A4*TAN(RADIANS(tope)))</f>
        <v/>
      </c>
      <c r="D4">
        <f>DEGREES(ATAN(C4/A4))</f>
        <v/>
      </c>
      <c r="E4">
        <f>MIN(DEGREES(ATAN(TAN(RADIANS(Parametros!$E$12-omega*e_base))*(A4/sref)^(Parametros!$B$12-1))),DEGREES(ATAN(TAN(RADIANS(Parametros!$E$13-omega*e_base))*(A4/sref)^(Parametros!$B$13-1))),DEGREES(ATAN(TAN(RADIANS(Parametros!$E$14-omega*e_base))*(A4/sref)^(Parametros!$B$14-1))),DEGREES(ATAN(TAN(RADIANS(Parametros!$E$15-omega*e_base))*(A4/sref)^(Parametros!$B$15-1))),DEGREES(ATAN(TAN(RADIANS(Parametros!$E$16-omega*e_base))*(A4/sref)^(Parametros!$B$16-1))))</f>
        <v/>
      </c>
      <c r="F4">
        <f>MAX(DEGREES(ATAN(TAN(RADIANS(Parametros!$F$12-omega*e_base))*(A4/sref)^(Parametros!$B$12-1))),DEGREES(ATAN(TAN(RADIANS(Parametros!$F$13-omega*e_base))*(A4/sref)^(Parametros!$B$13-1))),DEGREES(ATAN(TAN(RADIANS(Parametros!$F$14-omega*e_base))*(A4/sref)^(Parametros!$B$14-1))),DEGREES(ATAN(TAN(RADIANS(Parametros!$F$15-omega*e_base))*(A4/sref)^(Parametros!$B$15-1))),DEGREES(ATAN(TAN(RADIANS(Parametros!$F$16-omega*e_base))*(A4/sref)^(Parametros!$B$16-1))))</f>
        <v/>
      </c>
      <c r="G4">
        <f>A4*TAN(RADIANS(E4))</f>
        <v/>
      </c>
      <c r="H4">
        <f>A4*TAN(RADIANS(F4))</f>
        <v/>
      </c>
      <c r="I4">
        <f>MIN(TAN(RADIANS(pe0-omega*0.55))*sref^(1-m_)*A4^m_,A4*TAN(RADIANS(tope)))</f>
        <v/>
      </c>
      <c r="J4">
        <f>MIN(TAN(RADIANS(pe0-omega*0.65))*sref^(1-m_)*A4^m_,A4*TAN(RADIANS(tope)))</f>
        <v/>
      </c>
      <c r="K4">
        <f>IF(MAX(A4,sv_piso)&lt;=1,e_base-cc_bajo*LOG10(MAX(A4,sv_piso)/sv_piso),e_base-cc_bajo*LOG10(1/sv_piso)-cc_alto*LOG10(A4))</f>
        <v/>
      </c>
      <c r="L4">
        <f>MIN(TAN(RADIANS(pe0-omega*K4))*sref^(1-m_)*A4^m_,A4*TAN(RADIANS(tope)))</f>
        <v/>
      </c>
      <c r="M4" t="n">
        <v>0.4482</v>
      </c>
      <c r="N4">
        <f>MIN(TAN(RADIANS(pe0-omega*M4))*sref^(1-m_)*A4^m_,A4*TAN(RADIANS(tope)))</f>
        <v/>
      </c>
      <c r="O4">
        <f>DEGREES(ATAN(TAN(RADIANS(33))*(A4/sref)^(0.9-1)))</f>
        <v/>
      </c>
      <c r="P4">
        <f>DEGREES(ATAN(1.446*(A4*1000)^0.898/(A4*1000)))</f>
        <v/>
      </c>
      <c r="Q4">
        <f>A4*TAN(RADIANS(O4))</f>
        <v/>
      </c>
      <c r="R4">
        <f>A4*TAN(RADIANS(P4))</f>
        <v/>
      </c>
      <c r="S4">
        <f>A4*TAN(RADIANS(37))</f>
        <v/>
      </c>
    </row>
    <row r="5">
      <c r="A5" t="n">
        <v>0.05</v>
      </c>
      <c r="B5" t="inlineStr">
        <is>
          <t>con ensayos de Antamina</t>
        </is>
      </c>
      <c r="C5">
        <f>MIN(TAN(RADIANS(pe0-omega*e_base))*sref^(1-m_)*A5^m_,A5*TAN(RADIANS(tope)))</f>
        <v/>
      </c>
      <c r="D5">
        <f>DEGREES(ATAN(C5/A5))</f>
        <v/>
      </c>
      <c r="E5">
        <f>MIN(DEGREES(ATAN(TAN(RADIANS(Parametros!$E$12-omega*e_base))*(A5/sref)^(Parametros!$B$12-1))),DEGREES(ATAN(TAN(RADIANS(Parametros!$E$13-omega*e_base))*(A5/sref)^(Parametros!$B$13-1))),DEGREES(ATAN(TAN(RADIANS(Parametros!$E$14-omega*e_base))*(A5/sref)^(Parametros!$B$14-1))),DEGREES(ATAN(TAN(RADIANS(Parametros!$E$15-omega*e_base))*(A5/sref)^(Parametros!$B$15-1))),DEGREES(ATAN(TAN(RADIANS(Parametros!$E$16-omega*e_base))*(A5/sref)^(Parametros!$B$16-1))))</f>
        <v/>
      </c>
      <c r="F5">
        <f>MAX(DEGREES(ATAN(TAN(RADIANS(Parametros!$F$12-omega*e_base))*(A5/sref)^(Parametros!$B$12-1))),DEGREES(ATAN(TAN(RADIANS(Parametros!$F$13-omega*e_base))*(A5/sref)^(Parametros!$B$13-1))),DEGREES(ATAN(TAN(RADIANS(Parametros!$F$14-omega*e_base))*(A5/sref)^(Parametros!$B$14-1))),DEGREES(ATAN(TAN(RADIANS(Parametros!$F$15-omega*e_base))*(A5/sref)^(Parametros!$B$15-1))),DEGREES(ATAN(TAN(RADIANS(Parametros!$F$16-omega*e_base))*(A5/sref)^(Parametros!$B$16-1))))</f>
        <v/>
      </c>
      <c r="G5">
        <f>A5*TAN(RADIANS(E5))</f>
        <v/>
      </c>
      <c r="H5">
        <f>A5*TAN(RADIANS(F5))</f>
        <v/>
      </c>
      <c r="I5">
        <f>MIN(TAN(RADIANS(pe0-omega*0.55))*sref^(1-m_)*A5^m_,A5*TAN(RADIANS(tope)))</f>
        <v/>
      </c>
      <c r="J5">
        <f>MIN(TAN(RADIANS(pe0-omega*0.65))*sref^(1-m_)*A5^m_,A5*TAN(RADIANS(tope)))</f>
        <v/>
      </c>
      <c r="K5">
        <f>IF(MAX(A5,sv_piso)&lt;=1,e_base-cc_bajo*LOG10(MAX(A5,sv_piso)/sv_piso),e_base-cc_bajo*LOG10(1/sv_piso)-cc_alto*LOG10(A5))</f>
        <v/>
      </c>
      <c r="L5">
        <f>MIN(TAN(RADIANS(pe0-omega*K5))*sref^(1-m_)*A5^m_,A5*TAN(RADIANS(tope)))</f>
        <v/>
      </c>
      <c r="M5" t="n">
        <v>0.447</v>
      </c>
      <c r="N5">
        <f>MIN(TAN(RADIANS(pe0-omega*M5))*sref^(1-m_)*A5^m_,A5*TAN(RADIANS(tope)))</f>
        <v/>
      </c>
      <c r="O5">
        <f>DEGREES(ATAN(TAN(RADIANS(33))*(A5/sref)^(0.9-1)))</f>
        <v/>
      </c>
      <c r="P5">
        <f>DEGREES(ATAN(1.446*(A5*1000)^0.898/(A5*1000)))</f>
        <v/>
      </c>
      <c r="Q5">
        <f>A5*TAN(RADIANS(O5))</f>
        <v/>
      </c>
      <c r="R5">
        <f>A5*TAN(RADIANS(P5))</f>
        <v/>
      </c>
      <c r="S5">
        <f>A5*TAN(RADIANS(37))</f>
        <v/>
      </c>
    </row>
    <row r="6">
      <c r="A6" t="n">
        <v>0.07000000000000001</v>
      </c>
      <c r="B6" t="inlineStr">
        <is>
          <t>con ensayos de Antamina</t>
        </is>
      </c>
      <c r="C6">
        <f>MIN(TAN(RADIANS(pe0-omega*e_base))*sref^(1-m_)*A6^m_,A6*TAN(RADIANS(tope)))</f>
        <v/>
      </c>
      <c r="D6">
        <f>DEGREES(ATAN(C6/A6))</f>
        <v/>
      </c>
      <c r="E6">
        <f>MIN(DEGREES(ATAN(TAN(RADIANS(Parametros!$E$12-omega*e_base))*(A6/sref)^(Parametros!$B$12-1))),DEGREES(ATAN(TAN(RADIANS(Parametros!$E$13-omega*e_base))*(A6/sref)^(Parametros!$B$13-1))),DEGREES(ATAN(TAN(RADIANS(Parametros!$E$14-omega*e_base))*(A6/sref)^(Parametros!$B$14-1))),DEGREES(ATAN(TAN(RADIANS(Parametros!$E$15-omega*e_base))*(A6/sref)^(Parametros!$B$15-1))),DEGREES(ATAN(TAN(RADIANS(Parametros!$E$16-omega*e_base))*(A6/sref)^(Parametros!$B$16-1))))</f>
        <v/>
      </c>
      <c r="F6">
        <f>MAX(DEGREES(ATAN(TAN(RADIANS(Parametros!$F$12-omega*e_base))*(A6/sref)^(Parametros!$B$12-1))),DEGREES(ATAN(TAN(RADIANS(Parametros!$F$13-omega*e_base))*(A6/sref)^(Parametros!$B$13-1))),DEGREES(ATAN(TAN(RADIANS(Parametros!$F$14-omega*e_base))*(A6/sref)^(Parametros!$B$14-1))),DEGREES(ATAN(TAN(RADIANS(Parametros!$F$15-omega*e_base))*(A6/sref)^(Parametros!$B$15-1))),DEGREES(ATAN(TAN(RADIANS(Parametros!$F$16-omega*e_base))*(A6/sref)^(Parametros!$B$16-1))))</f>
        <v/>
      </c>
      <c r="G6">
        <f>A6*TAN(RADIANS(E6))</f>
        <v/>
      </c>
      <c r="H6">
        <f>A6*TAN(RADIANS(F6))</f>
        <v/>
      </c>
      <c r="I6">
        <f>MIN(TAN(RADIANS(pe0-omega*0.55))*sref^(1-m_)*A6^m_,A6*TAN(RADIANS(tope)))</f>
        <v/>
      </c>
      <c r="J6">
        <f>MIN(TAN(RADIANS(pe0-omega*0.65))*sref^(1-m_)*A6^m_,A6*TAN(RADIANS(tope)))</f>
        <v/>
      </c>
      <c r="K6">
        <f>IF(MAX(A6,sv_piso)&lt;=1,e_base-cc_bajo*LOG10(MAX(A6,sv_piso)/sv_piso),e_base-cc_bajo*LOG10(1/sv_piso)-cc_alto*LOG10(A6))</f>
        <v/>
      </c>
      <c r="L6">
        <f>MIN(TAN(RADIANS(pe0-omega*K6))*sref^(1-m_)*A6^m_,A6*TAN(RADIANS(tope)))</f>
        <v/>
      </c>
      <c r="M6" t="n">
        <v>0.4458</v>
      </c>
      <c r="N6">
        <f>MIN(TAN(RADIANS(pe0-omega*M6))*sref^(1-m_)*A6^m_,A6*TAN(RADIANS(tope)))</f>
        <v/>
      </c>
      <c r="O6">
        <f>DEGREES(ATAN(TAN(RADIANS(33))*(A6/sref)^(0.9-1)))</f>
        <v/>
      </c>
      <c r="P6">
        <f>DEGREES(ATAN(1.446*(A6*1000)^0.898/(A6*1000)))</f>
        <v/>
      </c>
      <c r="Q6">
        <f>A6*TAN(RADIANS(O6))</f>
        <v/>
      </c>
      <c r="R6">
        <f>A6*TAN(RADIANS(P6))</f>
        <v/>
      </c>
      <c r="S6">
        <f>A6*TAN(RADIANS(37))</f>
        <v/>
      </c>
    </row>
    <row r="7">
      <c r="A7" t="n">
        <v>0.1</v>
      </c>
      <c r="B7" t="inlineStr">
        <is>
          <t>con ensayos de Antamina</t>
        </is>
      </c>
      <c r="C7">
        <f>MIN(TAN(RADIANS(pe0-omega*e_base))*sref^(1-m_)*A7^m_,A7*TAN(RADIANS(tope)))</f>
        <v/>
      </c>
      <c r="D7">
        <f>DEGREES(ATAN(C7/A7))</f>
        <v/>
      </c>
      <c r="E7">
        <f>MIN(DEGREES(ATAN(TAN(RADIANS(Parametros!$E$12-omega*e_base))*(A7/sref)^(Parametros!$B$12-1))),DEGREES(ATAN(TAN(RADIANS(Parametros!$E$13-omega*e_base))*(A7/sref)^(Parametros!$B$13-1))),DEGREES(ATAN(TAN(RADIANS(Parametros!$E$14-omega*e_base))*(A7/sref)^(Parametros!$B$14-1))),DEGREES(ATAN(TAN(RADIANS(Parametros!$E$15-omega*e_base))*(A7/sref)^(Parametros!$B$15-1))),DEGREES(ATAN(TAN(RADIANS(Parametros!$E$16-omega*e_base))*(A7/sref)^(Parametros!$B$16-1))))</f>
        <v/>
      </c>
      <c r="F7">
        <f>MAX(DEGREES(ATAN(TAN(RADIANS(Parametros!$F$12-omega*e_base))*(A7/sref)^(Parametros!$B$12-1))),DEGREES(ATAN(TAN(RADIANS(Parametros!$F$13-omega*e_base))*(A7/sref)^(Parametros!$B$13-1))),DEGREES(ATAN(TAN(RADIANS(Parametros!$F$14-omega*e_base))*(A7/sref)^(Parametros!$B$14-1))),DEGREES(ATAN(TAN(RADIANS(Parametros!$F$15-omega*e_base))*(A7/sref)^(Parametros!$B$15-1))),DEGREES(ATAN(TAN(RADIANS(Parametros!$F$16-omega*e_base))*(A7/sref)^(Parametros!$B$16-1))))</f>
        <v/>
      </c>
      <c r="G7">
        <f>A7*TAN(RADIANS(E7))</f>
        <v/>
      </c>
      <c r="H7">
        <f>A7*TAN(RADIANS(F7))</f>
        <v/>
      </c>
      <c r="I7">
        <f>MIN(TAN(RADIANS(pe0-omega*0.55))*sref^(1-m_)*A7^m_,A7*TAN(RADIANS(tope)))</f>
        <v/>
      </c>
      <c r="J7">
        <f>MIN(TAN(RADIANS(pe0-omega*0.65))*sref^(1-m_)*A7^m_,A7*TAN(RADIANS(tope)))</f>
        <v/>
      </c>
      <c r="K7">
        <f>IF(MAX(A7,sv_piso)&lt;=1,e_base-cc_bajo*LOG10(MAX(A7,sv_piso)/sv_piso),e_base-cc_bajo*LOG10(1/sv_piso)-cc_alto*LOG10(A7))</f>
        <v/>
      </c>
      <c r="L7">
        <f>MIN(TAN(RADIANS(pe0-omega*K7))*sref^(1-m_)*A7^m_,A7*TAN(RADIANS(tope)))</f>
        <v/>
      </c>
      <c r="M7" t="n">
        <v>0.444</v>
      </c>
      <c r="N7">
        <f>MIN(TAN(RADIANS(pe0-omega*M7))*sref^(1-m_)*A7^m_,A7*TAN(RADIANS(tope)))</f>
        <v/>
      </c>
      <c r="O7">
        <f>DEGREES(ATAN(TAN(RADIANS(33))*(A7/sref)^(0.9-1)))</f>
        <v/>
      </c>
      <c r="P7">
        <f>DEGREES(ATAN(1.446*(A7*1000)^0.898/(A7*1000)))</f>
        <v/>
      </c>
      <c r="Q7">
        <f>A7*TAN(RADIANS(O7))</f>
        <v/>
      </c>
      <c r="R7">
        <f>A7*TAN(RADIANS(P7))</f>
        <v/>
      </c>
      <c r="S7">
        <f>A7*TAN(RADIANS(37))</f>
        <v/>
      </c>
    </row>
    <row r="8">
      <c r="A8" t="n">
        <v>0.15</v>
      </c>
      <c r="B8" t="inlineStr">
        <is>
          <t>con ensayos de Antamina</t>
        </is>
      </c>
      <c r="C8">
        <f>MIN(TAN(RADIANS(pe0-omega*e_base))*sref^(1-m_)*A8^m_,A8*TAN(RADIANS(tope)))</f>
        <v/>
      </c>
      <c r="D8">
        <f>DEGREES(ATAN(C8/A8))</f>
        <v/>
      </c>
      <c r="E8">
        <f>MIN(DEGREES(ATAN(TAN(RADIANS(Parametros!$E$12-omega*e_base))*(A8/sref)^(Parametros!$B$12-1))),DEGREES(ATAN(TAN(RADIANS(Parametros!$E$13-omega*e_base))*(A8/sref)^(Parametros!$B$13-1))),DEGREES(ATAN(TAN(RADIANS(Parametros!$E$14-omega*e_base))*(A8/sref)^(Parametros!$B$14-1))),DEGREES(ATAN(TAN(RADIANS(Parametros!$E$15-omega*e_base))*(A8/sref)^(Parametros!$B$15-1))),DEGREES(ATAN(TAN(RADIANS(Parametros!$E$16-omega*e_base))*(A8/sref)^(Parametros!$B$16-1))))</f>
        <v/>
      </c>
      <c r="F8">
        <f>MAX(DEGREES(ATAN(TAN(RADIANS(Parametros!$F$12-omega*e_base))*(A8/sref)^(Parametros!$B$12-1))),DEGREES(ATAN(TAN(RADIANS(Parametros!$F$13-omega*e_base))*(A8/sref)^(Parametros!$B$13-1))),DEGREES(ATAN(TAN(RADIANS(Parametros!$F$14-omega*e_base))*(A8/sref)^(Parametros!$B$14-1))),DEGREES(ATAN(TAN(RADIANS(Parametros!$F$15-omega*e_base))*(A8/sref)^(Parametros!$B$15-1))),DEGREES(ATAN(TAN(RADIANS(Parametros!$F$16-omega*e_base))*(A8/sref)^(Parametros!$B$16-1))))</f>
        <v/>
      </c>
      <c r="G8">
        <f>A8*TAN(RADIANS(E8))</f>
        <v/>
      </c>
      <c r="H8">
        <f>A8*TAN(RADIANS(F8))</f>
        <v/>
      </c>
      <c r="I8">
        <f>MIN(TAN(RADIANS(pe0-omega*0.55))*sref^(1-m_)*A8^m_,A8*TAN(RADIANS(tope)))</f>
        <v/>
      </c>
      <c r="J8">
        <f>MIN(TAN(RADIANS(pe0-omega*0.65))*sref^(1-m_)*A8^m_,A8*TAN(RADIANS(tope)))</f>
        <v/>
      </c>
      <c r="K8">
        <f>IF(MAX(A8,sv_piso)&lt;=1,e_base-cc_bajo*LOG10(MAX(A8,sv_piso)/sv_piso),e_base-cc_bajo*LOG10(1/sv_piso)-cc_alto*LOG10(A8))</f>
        <v/>
      </c>
      <c r="L8">
        <f>MIN(TAN(RADIANS(pe0-omega*K8))*sref^(1-m_)*A8^m_,A8*TAN(RADIANS(tope)))</f>
        <v/>
      </c>
      <c r="M8" t="n">
        <v>0.441</v>
      </c>
      <c r="N8">
        <f>MIN(TAN(RADIANS(pe0-omega*M8))*sref^(1-m_)*A8^m_,A8*TAN(RADIANS(tope)))</f>
        <v/>
      </c>
      <c r="O8">
        <f>DEGREES(ATAN(TAN(RADIANS(33))*(A8/sref)^(0.9-1)))</f>
        <v/>
      </c>
      <c r="P8">
        <f>DEGREES(ATAN(1.446*(A8*1000)^0.898/(A8*1000)))</f>
        <v/>
      </c>
      <c r="Q8">
        <f>A8*TAN(RADIANS(O8))</f>
        <v/>
      </c>
      <c r="R8">
        <f>A8*TAN(RADIANS(P8))</f>
        <v/>
      </c>
      <c r="S8">
        <f>A8*TAN(RADIANS(37))</f>
        <v/>
      </c>
    </row>
    <row r="9">
      <c r="A9" t="n">
        <v>0.2</v>
      </c>
      <c r="B9" t="inlineStr">
        <is>
          <t>con ensayos de Antamina</t>
        </is>
      </c>
      <c r="C9">
        <f>MIN(TAN(RADIANS(pe0-omega*e_base))*sref^(1-m_)*A9^m_,A9*TAN(RADIANS(tope)))</f>
        <v/>
      </c>
      <c r="D9">
        <f>DEGREES(ATAN(C9/A9))</f>
        <v/>
      </c>
      <c r="E9">
        <f>MIN(DEGREES(ATAN(TAN(RADIANS(Parametros!$E$12-omega*e_base))*(A9/sref)^(Parametros!$B$12-1))),DEGREES(ATAN(TAN(RADIANS(Parametros!$E$13-omega*e_base))*(A9/sref)^(Parametros!$B$13-1))),DEGREES(ATAN(TAN(RADIANS(Parametros!$E$14-omega*e_base))*(A9/sref)^(Parametros!$B$14-1))),DEGREES(ATAN(TAN(RADIANS(Parametros!$E$15-omega*e_base))*(A9/sref)^(Parametros!$B$15-1))),DEGREES(ATAN(TAN(RADIANS(Parametros!$E$16-omega*e_base))*(A9/sref)^(Parametros!$B$16-1))))</f>
        <v/>
      </c>
      <c r="F9">
        <f>MAX(DEGREES(ATAN(TAN(RADIANS(Parametros!$F$12-omega*e_base))*(A9/sref)^(Parametros!$B$12-1))),DEGREES(ATAN(TAN(RADIANS(Parametros!$F$13-omega*e_base))*(A9/sref)^(Parametros!$B$13-1))),DEGREES(ATAN(TAN(RADIANS(Parametros!$F$14-omega*e_base))*(A9/sref)^(Parametros!$B$14-1))),DEGREES(ATAN(TAN(RADIANS(Parametros!$F$15-omega*e_base))*(A9/sref)^(Parametros!$B$15-1))),DEGREES(ATAN(TAN(RADIANS(Parametros!$F$16-omega*e_base))*(A9/sref)^(Parametros!$B$16-1))))</f>
        <v/>
      </c>
      <c r="G9">
        <f>A9*TAN(RADIANS(E9))</f>
        <v/>
      </c>
      <c r="H9">
        <f>A9*TAN(RADIANS(F9))</f>
        <v/>
      </c>
      <c r="I9">
        <f>MIN(TAN(RADIANS(pe0-omega*0.55))*sref^(1-m_)*A9^m_,A9*TAN(RADIANS(tope)))</f>
        <v/>
      </c>
      <c r="J9">
        <f>MIN(TAN(RADIANS(pe0-omega*0.65))*sref^(1-m_)*A9^m_,A9*TAN(RADIANS(tope)))</f>
        <v/>
      </c>
      <c r="K9">
        <f>IF(MAX(A9,sv_piso)&lt;=1,e_base-cc_bajo*LOG10(MAX(A9,sv_piso)/sv_piso),e_base-cc_bajo*LOG10(1/sv_piso)-cc_alto*LOG10(A9))</f>
        <v/>
      </c>
      <c r="L9">
        <f>MIN(TAN(RADIANS(pe0-omega*K9))*sref^(1-m_)*A9^m_,A9*TAN(RADIANS(tope)))</f>
        <v/>
      </c>
      <c r="M9" t="n">
        <v>0.438</v>
      </c>
      <c r="N9">
        <f>MIN(TAN(RADIANS(pe0-omega*M9))*sref^(1-m_)*A9^m_,A9*TAN(RADIANS(tope)))</f>
        <v/>
      </c>
      <c r="O9">
        <f>DEGREES(ATAN(TAN(RADIANS(33))*(A9/sref)^(0.9-1)))</f>
        <v/>
      </c>
      <c r="P9">
        <f>DEGREES(ATAN(1.446*(A9*1000)^0.898/(A9*1000)))</f>
        <v/>
      </c>
      <c r="Q9">
        <f>A9*TAN(RADIANS(O9))</f>
        <v/>
      </c>
      <c r="R9">
        <f>A9*TAN(RADIANS(P9))</f>
        <v/>
      </c>
      <c r="S9">
        <f>A9*TAN(RADIANS(37))</f>
        <v/>
      </c>
    </row>
    <row r="10">
      <c r="A10" t="n">
        <v>0.3</v>
      </c>
      <c r="B10" t="inlineStr">
        <is>
          <t>con ensayos de Antamina</t>
        </is>
      </c>
      <c r="C10">
        <f>MIN(TAN(RADIANS(pe0-omega*e_base))*sref^(1-m_)*A10^m_,A10*TAN(RADIANS(tope)))</f>
        <v/>
      </c>
      <c r="D10">
        <f>DEGREES(ATAN(C10/A10))</f>
        <v/>
      </c>
      <c r="E10">
        <f>MIN(DEGREES(ATAN(TAN(RADIANS(Parametros!$E$12-omega*e_base))*(A10/sref)^(Parametros!$B$12-1))),DEGREES(ATAN(TAN(RADIANS(Parametros!$E$13-omega*e_base))*(A10/sref)^(Parametros!$B$13-1))),DEGREES(ATAN(TAN(RADIANS(Parametros!$E$14-omega*e_base))*(A10/sref)^(Parametros!$B$14-1))),DEGREES(ATAN(TAN(RADIANS(Parametros!$E$15-omega*e_base))*(A10/sref)^(Parametros!$B$15-1))),DEGREES(ATAN(TAN(RADIANS(Parametros!$E$16-omega*e_base))*(A10/sref)^(Parametros!$B$16-1))))</f>
        <v/>
      </c>
      <c r="F10">
        <f>MAX(DEGREES(ATAN(TAN(RADIANS(Parametros!$F$12-omega*e_base))*(A10/sref)^(Parametros!$B$12-1))),DEGREES(ATAN(TAN(RADIANS(Parametros!$F$13-omega*e_base))*(A10/sref)^(Parametros!$B$13-1))),DEGREES(ATAN(TAN(RADIANS(Parametros!$F$14-omega*e_base))*(A10/sref)^(Parametros!$B$14-1))),DEGREES(ATAN(TAN(RADIANS(Parametros!$F$15-omega*e_base))*(A10/sref)^(Parametros!$B$15-1))),DEGREES(ATAN(TAN(RADIANS(Parametros!$F$16-omega*e_base))*(A10/sref)^(Parametros!$B$16-1))))</f>
        <v/>
      </c>
      <c r="G10">
        <f>A10*TAN(RADIANS(E10))</f>
        <v/>
      </c>
      <c r="H10">
        <f>A10*TAN(RADIANS(F10))</f>
        <v/>
      </c>
      <c r="I10">
        <f>MIN(TAN(RADIANS(pe0-omega*0.55))*sref^(1-m_)*A10^m_,A10*TAN(RADIANS(tope)))</f>
        <v/>
      </c>
      <c r="J10">
        <f>MIN(TAN(RADIANS(pe0-omega*0.65))*sref^(1-m_)*A10^m_,A10*TAN(RADIANS(tope)))</f>
        <v/>
      </c>
      <c r="K10">
        <f>IF(MAX(A10,sv_piso)&lt;=1,e_base-cc_bajo*LOG10(MAX(A10,sv_piso)/sv_piso),e_base-cc_bajo*LOG10(1/sv_piso)-cc_alto*LOG10(A10))</f>
        <v/>
      </c>
      <c r="L10">
        <f>MIN(TAN(RADIANS(pe0-omega*K10))*sref^(1-m_)*A10^m_,A10*TAN(RADIANS(tope)))</f>
        <v/>
      </c>
      <c r="M10" t="n">
        <v>0.432</v>
      </c>
      <c r="N10">
        <f>MIN(TAN(RADIANS(pe0-omega*M10))*sref^(1-m_)*A10^m_,A10*TAN(RADIANS(tope)))</f>
        <v/>
      </c>
      <c r="O10">
        <f>DEGREES(ATAN(TAN(RADIANS(33))*(A10/sref)^(0.9-1)))</f>
        <v/>
      </c>
      <c r="P10">
        <f>DEGREES(ATAN(1.446*(A10*1000)^0.898/(A10*1000)))</f>
        <v/>
      </c>
      <c r="Q10">
        <f>A10*TAN(RADIANS(O10))</f>
        <v/>
      </c>
      <c r="R10">
        <f>A10*TAN(RADIANS(P10))</f>
        <v/>
      </c>
      <c r="S10">
        <f>A10*TAN(RADIANS(37))</f>
        <v/>
      </c>
    </row>
    <row r="11">
      <c r="A11" t="n">
        <v>0.5</v>
      </c>
      <c r="B11" t="inlineStr">
        <is>
          <t>con ensayos de Antamina</t>
        </is>
      </c>
      <c r="C11">
        <f>MIN(TAN(RADIANS(pe0-omega*e_base))*sref^(1-m_)*A11^m_,A11*TAN(RADIANS(tope)))</f>
        <v/>
      </c>
      <c r="D11">
        <f>DEGREES(ATAN(C11/A11))</f>
        <v/>
      </c>
      <c r="E11">
        <f>MIN(DEGREES(ATAN(TAN(RADIANS(Parametros!$E$12-omega*e_base))*(A11/sref)^(Parametros!$B$12-1))),DEGREES(ATAN(TAN(RADIANS(Parametros!$E$13-omega*e_base))*(A11/sref)^(Parametros!$B$13-1))),DEGREES(ATAN(TAN(RADIANS(Parametros!$E$14-omega*e_base))*(A11/sref)^(Parametros!$B$14-1))),DEGREES(ATAN(TAN(RADIANS(Parametros!$E$15-omega*e_base))*(A11/sref)^(Parametros!$B$15-1))),DEGREES(ATAN(TAN(RADIANS(Parametros!$E$16-omega*e_base))*(A11/sref)^(Parametros!$B$16-1))))</f>
        <v/>
      </c>
      <c r="F11">
        <f>MAX(DEGREES(ATAN(TAN(RADIANS(Parametros!$F$12-omega*e_base))*(A11/sref)^(Parametros!$B$12-1))),DEGREES(ATAN(TAN(RADIANS(Parametros!$F$13-omega*e_base))*(A11/sref)^(Parametros!$B$13-1))),DEGREES(ATAN(TAN(RADIANS(Parametros!$F$14-omega*e_base))*(A11/sref)^(Parametros!$B$14-1))),DEGREES(ATAN(TAN(RADIANS(Parametros!$F$15-omega*e_base))*(A11/sref)^(Parametros!$B$15-1))),DEGREES(ATAN(TAN(RADIANS(Parametros!$F$16-omega*e_base))*(A11/sref)^(Parametros!$B$16-1))))</f>
        <v/>
      </c>
      <c r="G11">
        <f>A11*TAN(RADIANS(E11))</f>
        <v/>
      </c>
      <c r="H11">
        <f>A11*TAN(RADIANS(F11))</f>
        <v/>
      </c>
      <c r="I11">
        <f>MIN(TAN(RADIANS(pe0-omega*0.55))*sref^(1-m_)*A11^m_,A11*TAN(RADIANS(tope)))</f>
        <v/>
      </c>
      <c r="J11">
        <f>MIN(TAN(RADIANS(pe0-omega*0.65))*sref^(1-m_)*A11^m_,A11*TAN(RADIANS(tope)))</f>
        <v/>
      </c>
      <c r="K11">
        <f>IF(MAX(A11,sv_piso)&lt;=1,e_base-cc_bajo*LOG10(MAX(A11,sv_piso)/sv_piso),e_base-cc_bajo*LOG10(1/sv_piso)-cc_alto*LOG10(A11))</f>
        <v/>
      </c>
      <c r="L11">
        <f>MIN(TAN(RADIANS(pe0-omega*K11))*sref^(1-m_)*A11^m_,A11*TAN(RADIANS(tope)))</f>
        <v/>
      </c>
      <c r="M11" t="n">
        <v>0.4201</v>
      </c>
      <c r="N11">
        <f>MIN(TAN(RADIANS(pe0-omega*M11))*sref^(1-m_)*A11^m_,A11*TAN(RADIANS(tope)))</f>
        <v/>
      </c>
      <c r="O11">
        <f>DEGREES(ATAN(TAN(RADIANS(33))*(A11/sref)^(0.9-1)))</f>
        <v/>
      </c>
      <c r="P11">
        <f>DEGREES(ATAN(1.446*(A11*1000)^0.898/(A11*1000)))</f>
        <v/>
      </c>
      <c r="Q11">
        <f>A11*TAN(RADIANS(O11))</f>
        <v/>
      </c>
      <c r="R11">
        <f>A11*TAN(RADIANS(P11))</f>
        <v/>
      </c>
      <c r="S11">
        <f>A11*TAN(RADIANS(37))</f>
        <v/>
      </c>
    </row>
    <row r="12">
      <c r="A12" t="n">
        <v>0.7</v>
      </c>
      <c r="B12" t="inlineStr">
        <is>
          <t>con ensayos de Antamina</t>
        </is>
      </c>
      <c r="C12">
        <f>MIN(TAN(RADIANS(pe0-omega*e_base))*sref^(1-m_)*A12^m_,A12*TAN(RADIANS(tope)))</f>
        <v/>
      </c>
      <c r="D12">
        <f>DEGREES(ATAN(C12/A12))</f>
        <v/>
      </c>
      <c r="E12">
        <f>MIN(DEGREES(ATAN(TAN(RADIANS(Parametros!$E$12-omega*e_base))*(A12/sref)^(Parametros!$B$12-1))),DEGREES(ATAN(TAN(RADIANS(Parametros!$E$13-omega*e_base))*(A12/sref)^(Parametros!$B$13-1))),DEGREES(ATAN(TAN(RADIANS(Parametros!$E$14-omega*e_base))*(A12/sref)^(Parametros!$B$14-1))),DEGREES(ATAN(TAN(RADIANS(Parametros!$E$15-omega*e_base))*(A12/sref)^(Parametros!$B$15-1))),DEGREES(ATAN(TAN(RADIANS(Parametros!$E$16-omega*e_base))*(A12/sref)^(Parametros!$B$16-1))))</f>
        <v/>
      </c>
      <c r="F12">
        <f>MAX(DEGREES(ATAN(TAN(RADIANS(Parametros!$F$12-omega*e_base))*(A12/sref)^(Parametros!$B$12-1))),DEGREES(ATAN(TAN(RADIANS(Parametros!$F$13-omega*e_base))*(A12/sref)^(Parametros!$B$13-1))),DEGREES(ATAN(TAN(RADIANS(Parametros!$F$14-omega*e_base))*(A12/sref)^(Parametros!$B$14-1))),DEGREES(ATAN(TAN(RADIANS(Parametros!$F$15-omega*e_base))*(A12/sref)^(Parametros!$B$15-1))),DEGREES(ATAN(TAN(RADIANS(Parametros!$F$16-omega*e_base))*(A12/sref)^(Parametros!$B$16-1))))</f>
        <v/>
      </c>
      <c r="G12">
        <f>A12*TAN(RADIANS(E12))</f>
        <v/>
      </c>
      <c r="H12">
        <f>A12*TAN(RADIANS(F12))</f>
        <v/>
      </c>
      <c r="I12">
        <f>MIN(TAN(RADIANS(pe0-omega*0.55))*sref^(1-m_)*A12^m_,A12*TAN(RADIANS(tope)))</f>
        <v/>
      </c>
      <c r="J12">
        <f>MIN(TAN(RADIANS(pe0-omega*0.65))*sref^(1-m_)*A12^m_,A12*TAN(RADIANS(tope)))</f>
        <v/>
      </c>
      <c r="K12">
        <f>IF(MAX(A12,sv_piso)&lt;=1,e_base-cc_bajo*LOG10(MAX(A12,sv_piso)/sv_piso),e_base-cc_bajo*LOG10(1/sv_piso)-cc_alto*LOG10(A12))</f>
        <v/>
      </c>
      <c r="L12">
        <f>MIN(TAN(RADIANS(pe0-omega*K12))*sref^(1-m_)*A12^m_,A12*TAN(RADIANS(tope)))</f>
        <v/>
      </c>
      <c r="M12" t="n">
        <v>0.4083</v>
      </c>
      <c r="N12">
        <f>MIN(TAN(RADIANS(pe0-omega*M12))*sref^(1-m_)*A12^m_,A12*TAN(RADIANS(tope)))</f>
        <v/>
      </c>
      <c r="O12">
        <f>DEGREES(ATAN(TAN(RADIANS(33))*(A12/sref)^(0.9-1)))</f>
        <v/>
      </c>
      <c r="P12">
        <f>DEGREES(ATAN(1.446*(A12*1000)^0.898/(A12*1000)))</f>
        <v/>
      </c>
      <c r="Q12">
        <f>A12*TAN(RADIANS(O12))</f>
        <v/>
      </c>
      <c r="R12">
        <f>A12*TAN(RADIANS(P12))</f>
        <v/>
      </c>
      <c r="S12">
        <f>A12*TAN(RADIANS(37))</f>
        <v/>
      </c>
    </row>
    <row r="13">
      <c r="A13" t="n">
        <v>1</v>
      </c>
      <c r="B13" t="inlineStr">
        <is>
          <t>con ensayos de Antamina</t>
        </is>
      </c>
      <c r="C13">
        <f>MIN(TAN(RADIANS(pe0-omega*e_base))*sref^(1-m_)*A13^m_,A13*TAN(RADIANS(tope)))</f>
        <v/>
      </c>
      <c r="D13">
        <f>DEGREES(ATAN(C13/A13))</f>
        <v/>
      </c>
      <c r="E13">
        <f>MIN(DEGREES(ATAN(TAN(RADIANS(Parametros!$E$12-omega*e_base))*(A13/sref)^(Parametros!$B$12-1))),DEGREES(ATAN(TAN(RADIANS(Parametros!$E$13-omega*e_base))*(A13/sref)^(Parametros!$B$13-1))),DEGREES(ATAN(TAN(RADIANS(Parametros!$E$14-omega*e_base))*(A13/sref)^(Parametros!$B$14-1))),DEGREES(ATAN(TAN(RADIANS(Parametros!$E$15-omega*e_base))*(A13/sref)^(Parametros!$B$15-1))),DEGREES(ATAN(TAN(RADIANS(Parametros!$E$16-omega*e_base))*(A13/sref)^(Parametros!$B$16-1))))</f>
        <v/>
      </c>
      <c r="F13">
        <f>MAX(DEGREES(ATAN(TAN(RADIANS(Parametros!$F$12-omega*e_base))*(A13/sref)^(Parametros!$B$12-1))),DEGREES(ATAN(TAN(RADIANS(Parametros!$F$13-omega*e_base))*(A13/sref)^(Parametros!$B$13-1))),DEGREES(ATAN(TAN(RADIANS(Parametros!$F$14-omega*e_base))*(A13/sref)^(Parametros!$B$14-1))),DEGREES(ATAN(TAN(RADIANS(Parametros!$F$15-omega*e_base))*(A13/sref)^(Parametros!$B$15-1))),DEGREES(ATAN(TAN(RADIANS(Parametros!$F$16-omega*e_base))*(A13/sref)^(Parametros!$B$16-1))))</f>
        <v/>
      </c>
      <c r="G13">
        <f>A13*TAN(RADIANS(E13))</f>
        <v/>
      </c>
      <c r="H13">
        <f>A13*TAN(RADIANS(F13))</f>
        <v/>
      </c>
      <c r="I13">
        <f>MIN(TAN(RADIANS(pe0-omega*0.55))*sref^(1-m_)*A13^m_,A13*TAN(RADIANS(tope)))</f>
        <v/>
      </c>
      <c r="J13">
        <f>MIN(TAN(RADIANS(pe0-omega*0.65))*sref^(1-m_)*A13^m_,A13*TAN(RADIANS(tope)))</f>
        <v/>
      </c>
      <c r="K13">
        <f>IF(MAX(A13,sv_piso)&lt;=1,e_base-cc_bajo*LOG10(MAX(A13,sv_piso)/sv_piso),e_base-cc_bajo*LOG10(1/sv_piso)-cc_alto*LOG10(A13))</f>
        <v/>
      </c>
      <c r="L13">
        <f>MIN(TAN(RADIANS(pe0-omega*K13))*sref^(1-m_)*A13^m_,A13*TAN(RADIANS(tope)))</f>
        <v/>
      </c>
      <c r="M13" t="n">
        <v>0.3934</v>
      </c>
      <c r="N13">
        <f>MIN(TAN(RADIANS(pe0-omega*M13))*sref^(1-m_)*A13^m_,A13*TAN(RADIANS(tope)))</f>
        <v/>
      </c>
      <c r="O13">
        <f>DEGREES(ATAN(TAN(RADIANS(33))*(A13/sref)^(0.9-1)))</f>
        <v/>
      </c>
      <c r="P13">
        <f>DEGREES(ATAN(1.446*(A13*1000)^0.898/(A13*1000)))</f>
        <v/>
      </c>
      <c r="Q13">
        <f>A13*TAN(RADIANS(O13))</f>
        <v/>
      </c>
      <c r="R13">
        <f>A13*TAN(RADIANS(P13))</f>
        <v/>
      </c>
      <c r="S13">
        <f>A13*TAN(RADIANS(37))</f>
        <v/>
      </c>
    </row>
    <row r="14">
      <c r="A14" t="n">
        <v>1.5</v>
      </c>
      <c r="B14" t="inlineStr">
        <is>
          <t>con ensayos de Antamina</t>
        </is>
      </c>
      <c r="C14">
        <f>MIN(TAN(RADIANS(pe0-omega*e_base))*sref^(1-m_)*A14^m_,A14*TAN(RADIANS(tope)))</f>
        <v/>
      </c>
      <c r="D14">
        <f>DEGREES(ATAN(C14/A14))</f>
        <v/>
      </c>
      <c r="E14">
        <f>MIN(DEGREES(ATAN(TAN(RADIANS(Parametros!$E$12-omega*e_base))*(A14/sref)^(Parametros!$B$12-1))),DEGREES(ATAN(TAN(RADIANS(Parametros!$E$13-omega*e_base))*(A14/sref)^(Parametros!$B$13-1))),DEGREES(ATAN(TAN(RADIANS(Parametros!$E$14-omega*e_base))*(A14/sref)^(Parametros!$B$14-1))),DEGREES(ATAN(TAN(RADIANS(Parametros!$E$15-omega*e_base))*(A14/sref)^(Parametros!$B$15-1))),DEGREES(ATAN(TAN(RADIANS(Parametros!$E$16-omega*e_base))*(A14/sref)^(Parametros!$B$16-1))))</f>
        <v/>
      </c>
      <c r="F14">
        <f>MAX(DEGREES(ATAN(TAN(RADIANS(Parametros!$F$12-omega*e_base))*(A14/sref)^(Parametros!$B$12-1))),DEGREES(ATAN(TAN(RADIANS(Parametros!$F$13-omega*e_base))*(A14/sref)^(Parametros!$B$13-1))),DEGREES(ATAN(TAN(RADIANS(Parametros!$F$14-omega*e_base))*(A14/sref)^(Parametros!$B$14-1))),DEGREES(ATAN(TAN(RADIANS(Parametros!$F$15-omega*e_base))*(A14/sref)^(Parametros!$B$15-1))),DEGREES(ATAN(TAN(RADIANS(Parametros!$F$16-omega*e_base))*(A14/sref)^(Parametros!$B$16-1))))</f>
        <v/>
      </c>
      <c r="G14">
        <f>A14*TAN(RADIANS(E14))</f>
        <v/>
      </c>
      <c r="H14">
        <f>A14*TAN(RADIANS(F14))</f>
        <v/>
      </c>
      <c r="I14">
        <f>MIN(TAN(RADIANS(pe0-omega*0.55))*sref^(1-m_)*A14^m_,A14*TAN(RADIANS(tope)))</f>
        <v/>
      </c>
      <c r="J14">
        <f>MIN(TAN(RADIANS(pe0-omega*0.65))*sref^(1-m_)*A14^m_,A14*TAN(RADIANS(tope)))</f>
        <v/>
      </c>
      <c r="K14">
        <f>IF(MAX(A14,sv_piso)&lt;=1,e_base-cc_bajo*LOG10(MAX(A14,sv_piso)/sv_piso),e_base-cc_bajo*LOG10(1/sv_piso)-cc_alto*LOG10(A14))</f>
        <v/>
      </c>
      <c r="L14">
        <f>MIN(TAN(RADIANS(pe0-omega*K14))*sref^(1-m_)*A14^m_,A14*TAN(RADIANS(tope)))</f>
        <v/>
      </c>
      <c r="M14" t="n">
        <v>0.3707</v>
      </c>
      <c r="N14">
        <f>MIN(TAN(RADIANS(pe0-omega*M14))*sref^(1-m_)*A14^m_,A14*TAN(RADIANS(tope)))</f>
        <v/>
      </c>
      <c r="O14">
        <f>DEGREES(ATAN(TAN(RADIANS(33))*(A14/sref)^(0.9-1)))</f>
        <v/>
      </c>
      <c r="P14">
        <f>DEGREES(ATAN(1.446*(A14*1000)^0.898/(A14*1000)))</f>
        <v/>
      </c>
      <c r="Q14">
        <f>A14*TAN(RADIANS(O14))</f>
        <v/>
      </c>
      <c r="R14">
        <f>A14*TAN(RADIANS(P14))</f>
        <v/>
      </c>
      <c r="S14">
        <f>A14*TAN(RADIANS(37))</f>
        <v/>
      </c>
    </row>
    <row r="15">
      <c r="A15" t="n">
        <v>2</v>
      </c>
      <c r="B15" t="inlineStr">
        <is>
          <t>con ensayos de Antamina</t>
        </is>
      </c>
      <c r="C15">
        <f>MIN(TAN(RADIANS(pe0-omega*e_base))*sref^(1-m_)*A15^m_,A15*TAN(RADIANS(tope)))</f>
        <v/>
      </c>
      <c r="D15">
        <f>DEGREES(ATAN(C15/A15))</f>
        <v/>
      </c>
      <c r="E15">
        <f>MIN(DEGREES(ATAN(TAN(RADIANS(Parametros!$E$12-omega*e_base))*(A15/sref)^(Parametros!$B$12-1))),DEGREES(ATAN(TAN(RADIANS(Parametros!$E$13-omega*e_base))*(A15/sref)^(Parametros!$B$13-1))),DEGREES(ATAN(TAN(RADIANS(Parametros!$E$14-omega*e_base))*(A15/sref)^(Parametros!$B$14-1))),DEGREES(ATAN(TAN(RADIANS(Parametros!$E$15-omega*e_base))*(A15/sref)^(Parametros!$B$15-1))),DEGREES(ATAN(TAN(RADIANS(Parametros!$E$16-omega*e_base))*(A15/sref)^(Parametros!$B$16-1))))</f>
        <v/>
      </c>
      <c r="F15">
        <f>MAX(DEGREES(ATAN(TAN(RADIANS(Parametros!$F$12-omega*e_base))*(A15/sref)^(Parametros!$B$12-1))),DEGREES(ATAN(TAN(RADIANS(Parametros!$F$13-omega*e_base))*(A15/sref)^(Parametros!$B$13-1))),DEGREES(ATAN(TAN(RADIANS(Parametros!$F$14-omega*e_base))*(A15/sref)^(Parametros!$B$14-1))),DEGREES(ATAN(TAN(RADIANS(Parametros!$F$15-omega*e_base))*(A15/sref)^(Parametros!$B$15-1))),DEGREES(ATAN(TAN(RADIANS(Parametros!$F$16-omega*e_base))*(A15/sref)^(Parametros!$B$16-1))))</f>
        <v/>
      </c>
      <c r="G15">
        <f>A15*TAN(RADIANS(E15))</f>
        <v/>
      </c>
      <c r="H15">
        <f>A15*TAN(RADIANS(F15))</f>
        <v/>
      </c>
      <c r="I15">
        <f>MIN(TAN(RADIANS(pe0-omega*0.55))*sref^(1-m_)*A15^m_,A15*TAN(RADIANS(tope)))</f>
        <v/>
      </c>
      <c r="J15">
        <f>MIN(TAN(RADIANS(pe0-omega*0.65))*sref^(1-m_)*A15^m_,A15*TAN(RADIANS(tope)))</f>
        <v/>
      </c>
      <c r="K15">
        <f>IF(MAX(A15,sv_piso)&lt;=1,e_base-cc_bajo*LOG10(MAX(A15,sv_piso)/sv_piso),e_base-cc_bajo*LOG10(1/sv_piso)-cc_alto*LOG10(A15))</f>
        <v/>
      </c>
      <c r="L15">
        <f>MIN(TAN(RADIANS(pe0-omega*K15))*sref^(1-m_)*A15^m_,A15*TAN(RADIANS(tope)))</f>
        <v/>
      </c>
      <c r="M15" t="n">
        <v>0.3493</v>
      </c>
      <c r="N15">
        <f>MIN(TAN(RADIANS(pe0-omega*M15))*sref^(1-m_)*A15^m_,A15*TAN(RADIANS(tope)))</f>
        <v/>
      </c>
      <c r="O15">
        <f>DEGREES(ATAN(TAN(RADIANS(33))*(A15/sref)^(0.9-1)))</f>
        <v/>
      </c>
      <c r="P15">
        <f>DEGREES(ATAN(1.446*(A15*1000)^0.898/(A15*1000)))</f>
        <v/>
      </c>
      <c r="Q15">
        <f>A15*TAN(RADIANS(O15))</f>
        <v/>
      </c>
      <c r="R15">
        <f>A15*TAN(RADIANS(P15))</f>
        <v/>
      </c>
      <c r="S15">
        <f>A15*TAN(RADIANS(37))</f>
        <v/>
      </c>
    </row>
    <row r="16">
      <c r="A16" t="n">
        <v>3</v>
      </c>
      <c r="B16" t="inlineStr">
        <is>
          <t>con ensayos de Antamina</t>
        </is>
      </c>
      <c r="C16">
        <f>MIN(TAN(RADIANS(pe0-omega*e_base))*sref^(1-m_)*A16^m_,A16*TAN(RADIANS(tope)))</f>
        <v/>
      </c>
      <c r="D16">
        <f>DEGREES(ATAN(C16/A16))</f>
        <v/>
      </c>
      <c r="E16">
        <f>MIN(DEGREES(ATAN(TAN(RADIANS(Parametros!$E$12-omega*e_base))*(A16/sref)^(Parametros!$B$12-1))),DEGREES(ATAN(TAN(RADIANS(Parametros!$E$13-omega*e_base))*(A16/sref)^(Parametros!$B$13-1))),DEGREES(ATAN(TAN(RADIANS(Parametros!$E$14-omega*e_base))*(A16/sref)^(Parametros!$B$14-1))),DEGREES(ATAN(TAN(RADIANS(Parametros!$E$15-omega*e_base))*(A16/sref)^(Parametros!$B$15-1))),DEGREES(ATAN(TAN(RADIANS(Parametros!$E$16-omega*e_base))*(A16/sref)^(Parametros!$B$16-1))))</f>
        <v/>
      </c>
      <c r="F16">
        <f>MAX(DEGREES(ATAN(TAN(RADIANS(Parametros!$F$12-omega*e_base))*(A16/sref)^(Parametros!$B$12-1))),DEGREES(ATAN(TAN(RADIANS(Parametros!$F$13-omega*e_base))*(A16/sref)^(Parametros!$B$13-1))),DEGREES(ATAN(TAN(RADIANS(Parametros!$F$14-omega*e_base))*(A16/sref)^(Parametros!$B$14-1))),DEGREES(ATAN(TAN(RADIANS(Parametros!$F$15-omega*e_base))*(A16/sref)^(Parametros!$B$15-1))),DEGREES(ATAN(TAN(RADIANS(Parametros!$F$16-omega*e_base))*(A16/sref)^(Parametros!$B$16-1))))</f>
        <v/>
      </c>
      <c r="G16">
        <f>A16*TAN(RADIANS(E16))</f>
        <v/>
      </c>
      <c r="H16">
        <f>A16*TAN(RADIANS(F16))</f>
        <v/>
      </c>
      <c r="I16">
        <f>MIN(TAN(RADIANS(pe0-omega*0.55))*sref^(1-m_)*A16^m_,A16*TAN(RADIANS(tope)))</f>
        <v/>
      </c>
      <c r="J16">
        <f>MIN(TAN(RADIANS(pe0-omega*0.65))*sref^(1-m_)*A16^m_,A16*TAN(RADIANS(tope)))</f>
        <v/>
      </c>
      <c r="K16">
        <f>IF(MAX(A16,sv_piso)&lt;=1,e_base-cc_bajo*LOG10(MAX(A16,sv_piso)/sv_piso),e_base-cc_bajo*LOG10(1/sv_piso)-cc_alto*LOG10(A16))</f>
        <v/>
      </c>
      <c r="L16">
        <f>MIN(TAN(RADIANS(pe0-omega*K16))*sref^(1-m_)*A16^m_,A16*TAN(RADIANS(tope)))</f>
        <v/>
      </c>
      <c r="M16" t="n">
        <v>0.3091</v>
      </c>
      <c r="N16">
        <f>MIN(TAN(RADIANS(pe0-omega*M16))*sref^(1-m_)*A16^m_,A16*TAN(RADIANS(tope)))</f>
        <v/>
      </c>
      <c r="O16">
        <f>DEGREES(ATAN(TAN(RADIANS(33))*(A16/sref)^(0.9-1)))</f>
        <v/>
      </c>
      <c r="P16">
        <f>DEGREES(ATAN(1.446*(A16*1000)^0.898/(A16*1000)))</f>
        <v/>
      </c>
      <c r="Q16">
        <f>A16*TAN(RADIANS(O16))</f>
        <v/>
      </c>
      <c r="R16">
        <f>A16*TAN(RADIANS(P16))</f>
        <v/>
      </c>
      <c r="S16">
        <f>A16*TAN(RADIANS(37))</f>
        <v/>
      </c>
    </row>
    <row r="17">
      <c r="A17" t="n">
        <v>4</v>
      </c>
      <c r="B17" t="inlineStr">
        <is>
          <t>con ensayos de Antamina</t>
        </is>
      </c>
      <c r="C17">
        <f>MIN(TAN(RADIANS(pe0-omega*e_base))*sref^(1-m_)*A17^m_,A17*TAN(RADIANS(tope)))</f>
        <v/>
      </c>
      <c r="D17">
        <f>DEGREES(ATAN(C17/A17))</f>
        <v/>
      </c>
      <c r="E17">
        <f>MIN(DEGREES(ATAN(TAN(RADIANS(Parametros!$E$12-omega*e_base))*(A17/sref)^(Parametros!$B$12-1))),DEGREES(ATAN(TAN(RADIANS(Parametros!$E$13-omega*e_base))*(A17/sref)^(Parametros!$B$13-1))),DEGREES(ATAN(TAN(RADIANS(Parametros!$E$14-omega*e_base))*(A17/sref)^(Parametros!$B$14-1))),DEGREES(ATAN(TAN(RADIANS(Parametros!$E$15-omega*e_base))*(A17/sref)^(Parametros!$B$15-1))),DEGREES(ATAN(TAN(RADIANS(Parametros!$E$16-omega*e_base))*(A17/sref)^(Parametros!$B$16-1))))</f>
        <v/>
      </c>
      <c r="F17">
        <f>MAX(DEGREES(ATAN(TAN(RADIANS(Parametros!$F$12-omega*e_base))*(A17/sref)^(Parametros!$B$12-1))),DEGREES(ATAN(TAN(RADIANS(Parametros!$F$13-omega*e_base))*(A17/sref)^(Parametros!$B$13-1))),DEGREES(ATAN(TAN(RADIANS(Parametros!$F$14-omega*e_base))*(A17/sref)^(Parametros!$B$14-1))),DEGREES(ATAN(TAN(RADIANS(Parametros!$F$15-omega*e_base))*(A17/sref)^(Parametros!$B$15-1))),DEGREES(ATAN(TAN(RADIANS(Parametros!$F$16-omega*e_base))*(A17/sref)^(Parametros!$B$16-1))))</f>
        <v/>
      </c>
      <c r="G17">
        <f>A17*TAN(RADIANS(E17))</f>
        <v/>
      </c>
      <c r="H17">
        <f>A17*TAN(RADIANS(F17))</f>
        <v/>
      </c>
      <c r="I17">
        <f>MIN(TAN(RADIANS(pe0-omega*0.55))*sref^(1-m_)*A17^m_,A17*TAN(RADIANS(tope)))</f>
        <v/>
      </c>
      <c r="J17">
        <f>MIN(TAN(RADIANS(pe0-omega*0.65))*sref^(1-m_)*A17^m_,A17*TAN(RADIANS(tope)))</f>
        <v/>
      </c>
      <c r="K17">
        <f>IF(MAX(A17,sv_piso)&lt;=1,e_base-cc_bajo*LOG10(MAX(A17,sv_piso)/sv_piso),e_base-cc_bajo*LOG10(1/sv_piso)-cc_alto*LOG10(A17))</f>
        <v/>
      </c>
      <c r="L17">
        <f>MIN(TAN(RADIANS(pe0-omega*K17))*sref^(1-m_)*A17^m_,A17*TAN(RADIANS(tope)))</f>
        <v/>
      </c>
      <c r="M17" t="n">
        <v>0.2721</v>
      </c>
      <c r="N17">
        <f>MIN(TAN(RADIANS(pe0-omega*M17))*sref^(1-m_)*A17^m_,A17*TAN(RADIANS(tope)))</f>
        <v/>
      </c>
      <c r="O17">
        <f>DEGREES(ATAN(TAN(RADIANS(33))*(A17/sref)^(0.9-1)))</f>
        <v/>
      </c>
      <c r="P17">
        <f>DEGREES(ATAN(1.446*(A17*1000)^0.898/(A17*1000)))</f>
        <v/>
      </c>
      <c r="Q17">
        <f>A17*TAN(RADIANS(O17))</f>
        <v/>
      </c>
      <c r="R17">
        <f>A17*TAN(RADIANS(P17))</f>
        <v/>
      </c>
      <c r="S17">
        <f>A17*TAN(RADIANS(37))</f>
        <v/>
      </c>
    </row>
    <row r="18">
      <c r="A18" t="n">
        <v>4.6</v>
      </c>
      <c r="B18" t="inlineStr">
        <is>
          <t>con ensayos de Antamina</t>
        </is>
      </c>
      <c r="C18">
        <f>MIN(TAN(RADIANS(pe0-omega*e_base))*sref^(1-m_)*A18^m_,A18*TAN(RADIANS(tope)))</f>
        <v/>
      </c>
      <c r="D18">
        <f>DEGREES(ATAN(C18/A18))</f>
        <v/>
      </c>
      <c r="E18">
        <f>MIN(DEGREES(ATAN(TAN(RADIANS(Parametros!$E$12-omega*e_base))*(A18/sref)^(Parametros!$B$12-1))),DEGREES(ATAN(TAN(RADIANS(Parametros!$E$13-omega*e_base))*(A18/sref)^(Parametros!$B$13-1))),DEGREES(ATAN(TAN(RADIANS(Parametros!$E$14-omega*e_base))*(A18/sref)^(Parametros!$B$14-1))),DEGREES(ATAN(TAN(RADIANS(Parametros!$E$15-omega*e_base))*(A18/sref)^(Parametros!$B$15-1))),DEGREES(ATAN(TAN(RADIANS(Parametros!$E$16-omega*e_base))*(A18/sref)^(Parametros!$B$16-1))))</f>
        <v/>
      </c>
      <c r="F18">
        <f>MAX(DEGREES(ATAN(TAN(RADIANS(Parametros!$F$12-omega*e_base))*(A18/sref)^(Parametros!$B$12-1))),DEGREES(ATAN(TAN(RADIANS(Parametros!$F$13-omega*e_base))*(A18/sref)^(Parametros!$B$13-1))),DEGREES(ATAN(TAN(RADIANS(Parametros!$F$14-omega*e_base))*(A18/sref)^(Parametros!$B$14-1))),DEGREES(ATAN(TAN(RADIANS(Parametros!$F$15-omega*e_base))*(A18/sref)^(Parametros!$B$15-1))),DEGREES(ATAN(TAN(RADIANS(Parametros!$F$16-omega*e_base))*(A18/sref)^(Parametros!$B$16-1))))</f>
        <v/>
      </c>
      <c r="G18">
        <f>A18*TAN(RADIANS(E18))</f>
        <v/>
      </c>
      <c r="H18">
        <f>A18*TAN(RADIANS(F18))</f>
        <v/>
      </c>
      <c r="I18">
        <f>MIN(TAN(RADIANS(pe0-omega*0.55))*sref^(1-m_)*A18^m_,A18*TAN(RADIANS(tope)))</f>
        <v/>
      </c>
      <c r="J18">
        <f>MIN(TAN(RADIANS(pe0-omega*0.65))*sref^(1-m_)*A18^m_,A18*TAN(RADIANS(tope)))</f>
        <v/>
      </c>
      <c r="K18">
        <f>IF(MAX(A18,sv_piso)&lt;=1,e_base-cc_bajo*LOG10(MAX(A18,sv_piso)/sv_piso),e_base-cc_bajo*LOG10(1/sv_piso)-cc_alto*LOG10(A18))</f>
        <v/>
      </c>
      <c r="L18">
        <f>MIN(TAN(RADIANS(pe0-omega*K18))*sref^(1-m_)*A18^m_,A18*TAN(RADIANS(tope)))</f>
        <v/>
      </c>
      <c r="M18" t="n">
        <v>0.2541</v>
      </c>
      <c r="N18">
        <f>MIN(TAN(RADIANS(pe0-omega*M18))*sref^(1-m_)*A18^m_,A18*TAN(RADIANS(tope)))</f>
        <v/>
      </c>
      <c r="O18">
        <f>DEGREES(ATAN(TAN(RADIANS(33))*(A18/sref)^(0.9-1)))</f>
        <v/>
      </c>
      <c r="P18">
        <f>DEGREES(ATAN(1.446*(A18*1000)^0.898/(A18*1000)))</f>
        <v/>
      </c>
      <c r="Q18">
        <f>A18*TAN(RADIANS(O18))</f>
        <v/>
      </c>
      <c r="R18">
        <f>A18*TAN(RADIANS(P18))</f>
        <v/>
      </c>
      <c r="S18">
        <f>A18*TAN(RADIANS(37))</f>
        <v/>
      </c>
    </row>
    <row r="19">
      <c r="A19" t="n">
        <v>5</v>
      </c>
      <c r="B19" t="inlineStr">
        <is>
          <t>solo base mundial</t>
        </is>
      </c>
      <c r="C19">
        <f>MIN(TAN(RADIANS(pe0-omega*e_base))*sref^(1-m_)*A19^m_,A19*TAN(RADIANS(tope)))</f>
        <v/>
      </c>
      <c r="D19">
        <f>DEGREES(ATAN(C19/A19))</f>
        <v/>
      </c>
      <c r="E19">
        <f>MIN(DEGREES(ATAN(TAN(RADIANS(Parametros!$E$12-omega*e_base))*(A19/sref)^(Parametros!$B$12-1))),DEGREES(ATAN(TAN(RADIANS(Parametros!$E$13-omega*e_base))*(A19/sref)^(Parametros!$B$13-1))),DEGREES(ATAN(TAN(RADIANS(Parametros!$E$14-omega*e_base))*(A19/sref)^(Parametros!$B$14-1))),DEGREES(ATAN(TAN(RADIANS(Parametros!$E$15-omega*e_base))*(A19/sref)^(Parametros!$B$15-1))),DEGREES(ATAN(TAN(RADIANS(Parametros!$E$16-omega*e_base))*(A19/sref)^(Parametros!$B$16-1))))</f>
        <v/>
      </c>
      <c r="F19">
        <f>MAX(DEGREES(ATAN(TAN(RADIANS(Parametros!$F$12-omega*e_base))*(A19/sref)^(Parametros!$B$12-1))),DEGREES(ATAN(TAN(RADIANS(Parametros!$F$13-omega*e_base))*(A19/sref)^(Parametros!$B$13-1))),DEGREES(ATAN(TAN(RADIANS(Parametros!$F$14-omega*e_base))*(A19/sref)^(Parametros!$B$14-1))),DEGREES(ATAN(TAN(RADIANS(Parametros!$F$15-omega*e_base))*(A19/sref)^(Parametros!$B$15-1))),DEGREES(ATAN(TAN(RADIANS(Parametros!$F$16-omega*e_base))*(A19/sref)^(Parametros!$B$16-1))))</f>
        <v/>
      </c>
      <c r="G19">
        <f>A19*TAN(RADIANS(E19))</f>
        <v/>
      </c>
      <c r="H19">
        <f>A19*TAN(RADIANS(F19))</f>
        <v/>
      </c>
      <c r="I19">
        <f>MIN(TAN(RADIANS(pe0-omega*0.55))*sref^(1-m_)*A19^m_,A19*TAN(RADIANS(tope)))</f>
        <v/>
      </c>
      <c r="J19">
        <f>MIN(TAN(RADIANS(pe0-omega*0.65))*sref^(1-m_)*A19^m_,A19*TAN(RADIANS(tope)))</f>
        <v/>
      </c>
      <c r="K19">
        <f>IF(MAX(A19,sv_piso)&lt;=1,e_base-cc_bajo*LOG10(MAX(A19,sv_piso)/sv_piso),e_base-cc_bajo*LOG10(1/sv_piso)-cc_alto*LOG10(A19))</f>
        <v/>
      </c>
      <c r="L19">
        <f>MIN(TAN(RADIANS(pe0-omega*K19))*sref^(1-m_)*A19^m_,A19*TAN(RADIANS(tope)))</f>
        <v/>
      </c>
      <c r="M19" t="n">
        <v>0.2433</v>
      </c>
      <c r="N19">
        <f>MIN(TAN(RADIANS(pe0-omega*M19))*sref^(1-m_)*A19^m_,A19*TAN(RADIANS(tope)))</f>
        <v/>
      </c>
      <c r="O19">
        <f>DEGREES(ATAN(TAN(RADIANS(33))*(A19/sref)^(0.9-1)))</f>
        <v/>
      </c>
      <c r="P19">
        <f>DEGREES(ATAN(1.446*(A19*1000)^0.898/(A19*1000)))</f>
        <v/>
      </c>
      <c r="Q19">
        <f>A19*TAN(RADIANS(O19))</f>
        <v/>
      </c>
      <c r="R19">
        <f>A19*TAN(RADIANS(P19))</f>
        <v/>
      </c>
      <c r="S19">
        <f>A19*TAN(RADIANS(37))</f>
        <v/>
      </c>
      <c r="T19" t="n">
        <v>33</v>
      </c>
    </row>
    <row r="20">
      <c r="A20" t="n">
        <v>6</v>
      </c>
      <c r="B20" t="inlineStr">
        <is>
          <t>solo base mundial</t>
        </is>
      </c>
      <c r="C20">
        <f>MIN(TAN(RADIANS(pe0-omega*e_base))*sref^(1-m_)*A20^m_,A20*TAN(RADIANS(tope)))</f>
        <v/>
      </c>
      <c r="D20">
        <f>DEGREES(ATAN(C20/A20))</f>
        <v/>
      </c>
      <c r="E20">
        <f>MIN(DEGREES(ATAN(TAN(RADIANS(Parametros!$E$12-omega*e_base))*(A20/sref)^(Parametros!$B$12-1))),DEGREES(ATAN(TAN(RADIANS(Parametros!$E$13-omega*e_base))*(A20/sref)^(Parametros!$B$13-1))),DEGREES(ATAN(TAN(RADIANS(Parametros!$E$14-omega*e_base))*(A20/sref)^(Parametros!$B$14-1))),DEGREES(ATAN(TAN(RADIANS(Parametros!$E$15-omega*e_base))*(A20/sref)^(Parametros!$B$15-1))),DEGREES(ATAN(TAN(RADIANS(Parametros!$E$16-omega*e_base))*(A20/sref)^(Parametros!$B$16-1))))</f>
        <v/>
      </c>
      <c r="F20">
        <f>MAX(DEGREES(ATAN(TAN(RADIANS(Parametros!$F$12-omega*e_base))*(A20/sref)^(Parametros!$B$12-1))),DEGREES(ATAN(TAN(RADIANS(Parametros!$F$13-omega*e_base))*(A20/sref)^(Parametros!$B$13-1))),DEGREES(ATAN(TAN(RADIANS(Parametros!$F$14-omega*e_base))*(A20/sref)^(Parametros!$B$14-1))),DEGREES(ATAN(TAN(RADIANS(Parametros!$F$15-omega*e_base))*(A20/sref)^(Parametros!$B$15-1))),DEGREES(ATAN(TAN(RADIANS(Parametros!$F$16-omega*e_base))*(A20/sref)^(Parametros!$B$16-1))))</f>
        <v/>
      </c>
      <c r="G20">
        <f>A20*TAN(RADIANS(E20))</f>
        <v/>
      </c>
      <c r="H20">
        <f>A20*TAN(RADIANS(F20))</f>
        <v/>
      </c>
      <c r="I20">
        <f>MIN(TAN(RADIANS(pe0-omega*0.55))*sref^(1-m_)*A20^m_,A20*TAN(RADIANS(tope)))</f>
        <v/>
      </c>
      <c r="J20">
        <f>MIN(TAN(RADIANS(pe0-omega*0.65))*sref^(1-m_)*A20^m_,A20*TAN(RADIANS(tope)))</f>
        <v/>
      </c>
      <c r="K20">
        <f>IF(MAX(A20,sv_piso)&lt;=1,e_base-cc_bajo*LOG10(MAX(A20,sv_piso)/sv_piso),e_base-cc_bajo*LOG10(1/sv_piso)-cc_alto*LOG10(A20))</f>
        <v/>
      </c>
      <c r="L20">
        <f>MIN(TAN(RADIANS(pe0-omega*K20))*sref^(1-m_)*A20^m_,A20*TAN(RADIANS(tope)))</f>
        <v/>
      </c>
      <c r="M20" t="n">
        <v>0.2176</v>
      </c>
      <c r="N20">
        <f>MIN(TAN(RADIANS(pe0-omega*M20))*sref^(1-m_)*A20^m_,A20*TAN(RADIANS(tope)))</f>
        <v/>
      </c>
      <c r="O20">
        <f>DEGREES(ATAN(TAN(RADIANS(33))*(A20/sref)^(0.9-1)))</f>
        <v/>
      </c>
      <c r="P20">
        <f>DEGREES(ATAN(1.446*(A20*1000)^0.898/(A20*1000)))</f>
        <v/>
      </c>
      <c r="Q20">
        <f>A20*TAN(RADIANS(O20))</f>
        <v/>
      </c>
      <c r="R20">
        <f>A20*TAN(RADIANS(P20))</f>
        <v/>
      </c>
      <c r="S20">
        <f>A20*TAN(RADIANS(37))</f>
        <v/>
      </c>
      <c r="T20" t="n">
        <v>33</v>
      </c>
    </row>
    <row r="21">
      <c r="A21" t="n">
        <v>7</v>
      </c>
      <c r="B21" t="inlineStr">
        <is>
          <t>solo base mundial</t>
        </is>
      </c>
      <c r="C21">
        <f>MIN(TAN(RADIANS(pe0-omega*e_base))*sref^(1-m_)*A21^m_,A21*TAN(RADIANS(tope)))</f>
        <v/>
      </c>
      <c r="D21">
        <f>DEGREES(ATAN(C21/A21))</f>
        <v/>
      </c>
      <c r="E21">
        <f>MIN(DEGREES(ATAN(TAN(RADIANS(Parametros!$E$12-omega*e_base))*(A21/sref)^(Parametros!$B$12-1))),DEGREES(ATAN(TAN(RADIANS(Parametros!$E$13-omega*e_base))*(A21/sref)^(Parametros!$B$13-1))),DEGREES(ATAN(TAN(RADIANS(Parametros!$E$14-omega*e_base))*(A21/sref)^(Parametros!$B$14-1))),DEGREES(ATAN(TAN(RADIANS(Parametros!$E$15-omega*e_base))*(A21/sref)^(Parametros!$B$15-1))),DEGREES(ATAN(TAN(RADIANS(Parametros!$E$16-omega*e_base))*(A21/sref)^(Parametros!$B$16-1))))</f>
        <v/>
      </c>
      <c r="F21">
        <f>MAX(DEGREES(ATAN(TAN(RADIANS(Parametros!$F$12-omega*e_base))*(A21/sref)^(Parametros!$B$12-1))),DEGREES(ATAN(TAN(RADIANS(Parametros!$F$13-omega*e_base))*(A21/sref)^(Parametros!$B$13-1))),DEGREES(ATAN(TAN(RADIANS(Parametros!$F$14-omega*e_base))*(A21/sref)^(Parametros!$B$14-1))),DEGREES(ATAN(TAN(RADIANS(Parametros!$F$15-omega*e_base))*(A21/sref)^(Parametros!$B$15-1))),DEGREES(ATAN(TAN(RADIANS(Parametros!$F$16-omega*e_base))*(A21/sref)^(Parametros!$B$16-1))))</f>
        <v/>
      </c>
      <c r="G21">
        <f>A21*TAN(RADIANS(E21))</f>
        <v/>
      </c>
      <c r="H21">
        <f>A21*TAN(RADIANS(F21))</f>
        <v/>
      </c>
      <c r="I21">
        <f>MIN(TAN(RADIANS(pe0-omega*0.55))*sref^(1-m_)*A21^m_,A21*TAN(RADIANS(tope)))</f>
        <v/>
      </c>
      <c r="J21">
        <f>MIN(TAN(RADIANS(pe0-omega*0.65))*sref^(1-m_)*A21^m_,A21*TAN(RADIANS(tope)))</f>
        <v/>
      </c>
      <c r="K21">
        <f>IF(MAX(A21,sv_piso)&lt;=1,e_base-cc_bajo*LOG10(MAX(A21,sv_piso)/sv_piso),e_base-cc_bajo*LOG10(1/sv_piso)-cc_alto*LOG10(A21))</f>
        <v/>
      </c>
      <c r="L21">
        <f>MIN(TAN(RADIANS(pe0-omega*K21))*sref^(1-m_)*A21^m_,A21*TAN(RADIANS(tope)))</f>
        <v/>
      </c>
      <c r="M21" t="n">
        <v>0.1991</v>
      </c>
      <c r="N21">
        <f>MIN(TAN(RADIANS(pe0-omega*M21))*sref^(1-m_)*A21^m_,A21*TAN(RADIANS(tope)))</f>
        <v/>
      </c>
      <c r="O21">
        <f>DEGREES(ATAN(TAN(RADIANS(33))*(A21/sref)^(0.9-1)))</f>
        <v/>
      </c>
      <c r="P21">
        <f>DEGREES(ATAN(1.446*(A21*1000)^0.898/(A21*1000)))</f>
        <v/>
      </c>
      <c r="Q21">
        <f>A21*TAN(RADIANS(O21))</f>
        <v/>
      </c>
      <c r="R21">
        <f>A21*TAN(RADIANS(P21))</f>
        <v/>
      </c>
      <c r="S21">
        <f>A21*TAN(RADIANS(37))</f>
        <v/>
      </c>
      <c r="T21" t="n">
        <v>33</v>
      </c>
    </row>
    <row r="22">
      <c r="A22" t="n">
        <v>7.86</v>
      </c>
      <c r="B22" t="inlineStr">
        <is>
          <t>solo base mundial</t>
        </is>
      </c>
      <c r="C22">
        <f>MIN(TAN(RADIANS(pe0-omega*e_base))*sref^(1-m_)*A22^m_,A22*TAN(RADIANS(tope)))</f>
        <v/>
      </c>
      <c r="D22">
        <f>DEGREES(ATAN(C22/A22))</f>
        <v/>
      </c>
      <c r="E22">
        <f>MIN(DEGREES(ATAN(TAN(RADIANS(Parametros!$E$12-omega*e_base))*(A22/sref)^(Parametros!$B$12-1))),DEGREES(ATAN(TAN(RADIANS(Parametros!$E$13-omega*e_base))*(A22/sref)^(Parametros!$B$13-1))),DEGREES(ATAN(TAN(RADIANS(Parametros!$E$14-omega*e_base))*(A22/sref)^(Parametros!$B$14-1))),DEGREES(ATAN(TAN(RADIANS(Parametros!$E$15-omega*e_base))*(A22/sref)^(Parametros!$B$15-1))),DEGREES(ATAN(TAN(RADIANS(Parametros!$E$16-omega*e_base))*(A22/sref)^(Parametros!$B$16-1))))</f>
        <v/>
      </c>
      <c r="F22">
        <f>MAX(DEGREES(ATAN(TAN(RADIANS(Parametros!$F$12-omega*e_base))*(A22/sref)^(Parametros!$B$12-1))),DEGREES(ATAN(TAN(RADIANS(Parametros!$F$13-omega*e_base))*(A22/sref)^(Parametros!$B$13-1))),DEGREES(ATAN(TAN(RADIANS(Parametros!$F$14-omega*e_base))*(A22/sref)^(Parametros!$B$14-1))),DEGREES(ATAN(TAN(RADIANS(Parametros!$F$15-omega*e_base))*(A22/sref)^(Parametros!$B$15-1))),DEGREES(ATAN(TAN(RADIANS(Parametros!$F$16-omega*e_base))*(A22/sref)^(Parametros!$B$16-1))))</f>
        <v/>
      </c>
      <c r="G22">
        <f>A22*TAN(RADIANS(E22))</f>
        <v/>
      </c>
      <c r="H22">
        <f>A22*TAN(RADIANS(F22))</f>
        <v/>
      </c>
      <c r="I22">
        <f>MIN(TAN(RADIANS(pe0-omega*0.55))*sref^(1-m_)*A22^m_,A22*TAN(RADIANS(tope)))</f>
        <v/>
      </c>
      <c r="J22">
        <f>MIN(TAN(RADIANS(pe0-omega*0.65))*sref^(1-m_)*A22^m_,A22*TAN(RADIANS(tope)))</f>
        <v/>
      </c>
      <c r="K22">
        <f>IF(MAX(A22,sv_piso)&lt;=1,e_base-cc_bajo*LOG10(MAX(A22,sv_piso)/sv_piso),e_base-cc_bajo*LOG10(1/sv_piso)-cc_alto*LOG10(A22))</f>
        <v/>
      </c>
      <c r="L22">
        <f>MIN(TAN(RADIANS(pe0-omega*K22))*sref^(1-m_)*A22^m_,A22*TAN(RADIANS(tope)))</f>
        <v/>
      </c>
      <c r="M22" t="n">
        <v>0.1841</v>
      </c>
      <c r="N22">
        <f>MIN(TAN(RADIANS(pe0-omega*M22))*sref^(1-m_)*A22^m_,A22*TAN(RADIANS(tope)))</f>
        <v/>
      </c>
      <c r="O22">
        <f>DEGREES(ATAN(TAN(RADIANS(33))*(A22/sref)^(0.9-1)))</f>
        <v/>
      </c>
      <c r="P22">
        <f>DEGREES(ATAN(1.446*(A22*1000)^0.898/(A22*1000)))</f>
        <v/>
      </c>
      <c r="Q22">
        <f>A22*TAN(RADIANS(O22))</f>
        <v/>
      </c>
      <c r="R22">
        <f>A22*TAN(RADIANS(P22))</f>
        <v/>
      </c>
      <c r="S22">
        <f>A22*TAN(RADIANS(37))</f>
        <v/>
      </c>
      <c r="T22" t="n">
        <v>33</v>
      </c>
    </row>
    <row r="23">
      <c r="A23" t="n">
        <v>8</v>
      </c>
      <c r="B23" t="inlineStr">
        <is>
          <t>extrapolación</t>
        </is>
      </c>
      <c r="C23">
        <f>MIN(TAN(RADIANS(pe0-omega*e_base))*sref^(1-m_)*A23^m_,A23*TAN(RADIANS(tope)))</f>
        <v/>
      </c>
      <c r="D23">
        <f>DEGREES(ATAN(C23/A23))</f>
        <v/>
      </c>
      <c r="E23">
        <f>MIN(DEGREES(ATAN(TAN(RADIANS(Parametros!$E$12-omega*e_base))*(A23/sref)^(Parametros!$B$12-1))),DEGREES(ATAN(TAN(RADIANS(Parametros!$E$13-omega*e_base))*(A23/sref)^(Parametros!$B$13-1))),DEGREES(ATAN(TAN(RADIANS(Parametros!$E$14-omega*e_base))*(A23/sref)^(Parametros!$B$14-1))),DEGREES(ATAN(TAN(RADIANS(Parametros!$E$15-omega*e_base))*(A23/sref)^(Parametros!$B$15-1))),DEGREES(ATAN(TAN(RADIANS(Parametros!$E$16-omega*e_base))*(A23/sref)^(Parametros!$B$16-1))))</f>
        <v/>
      </c>
      <c r="F23">
        <f>MAX(DEGREES(ATAN(TAN(RADIANS(Parametros!$F$12-omega*e_base))*(A23/sref)^(Parametros!$B$12-1))),DEGREES(ATAN(TAN(RADIANS(Parametros!$F$13-omega*e_base))*(A23/sref)^(Parametros!$B$13-1))),DEGREES(ATAN(TAN(RADIANS(Parametros!$F$14-omega*e_base))*(A23/sref)^(Parametros!$B$14-1))),DEGREES(ATAN(TAN(RADIANS(Parametros!$F$15-omega*e_base))*(A23/sref)^(Parametros!$B$15-1))),DEGREES(ATAN(TAN(RADIANS(Parametros!$F$16-omega*e_base))*(A23/sref)^(Parametros!$B$16-1))))</f>
        <v/>
      </c>
      <c r="G23">
        <f>A23*TAN(RADIANS(E23))</f>
        <v/>
      </c>
      <c r="H23">
        <f>A23*TAN(RADIANS(F23))</f>
        <v/>
      </c>
      <c r="I23">
        <f>MIN(TAN(RADIANS(pe0-omega*0.55))*sref^(1-m_)*A23^m_,A23*TAN(RADIANS(tope)))</f>
        <v/>
      </c>
      <c r="J23">
        <f>MIN(TAN(RADIANS(pe0-omega*0.65))*sref^(1-m_)*A23^m_,A23*TAN(RADIANS(tope)))</f>
        <v/>
      </c>
      <c r="K23">
        <f>IF(MAX(A23,sv_piso)&lt;=1,e_base-cc_bajo*LOG10(MAX(A23,sv_piso)/sv_piso),e_base-cc_bajo*LOG10(1/sv_piso)-cc_alto*LOG10(A23))</f>
        <v/>
      </c>
      <c r="L23">
        <f>MIN(TAN(RADIANS(pe0-omega*K23))*sref^(1-m_)*A23^m_,A23*TAN(RADIANS(tope)))</f>
        <v/>
      </c>
      <c r="M23" t="n">
        <v>0.1817</v>
      </c>
      <c r="N23">
        <f>MIN(TAN(RADIANS(pe0-omega*M23))*sref^(1-m_)*A23^m_,A23*TAN(RADIANS(tope)))</f>
        <v/>
      </c>
      <c r="O23">
        <f>DEGREES(ATAN(TAN(RADIANS(33))*(A23/sref)^(0.9-1)))</f>
        <v/>
      </c>
      <c r="P23">
        <f>DEGREES(ATAN(1.446*(A23*1000)^0.898/(A23*1000)))</f>
        <v/>
      </c>
      <c r="Q23">
        <f>A23*TAN(RADIANS(O23))</f>
        <v/>
      </c>
      <c r="R23">
        <f>A23*TAN(RADIANS(P23))</f>
        <v/>
      </c>
      <c r="S23">
        <f>A23*TAN(RADIANS(37))</f>
        <v/>
      </c>
      <c r="T23" t="n">
        <v>33</v>
      </c>
    </row>
    <row r="24">
      <c r="A24" t="n">
        <v>9</v>
      </c>
      <c r="B24" t="inlineStr">
        <is>
          <t>extrapolación</t>
        </is>
      </c>
      <c r="C24">
        <f>MIN(TAN(RADIANS(pe0-omega*e_base))*sref^(1-m_)*A24^m_,A24*TAN(RADIANS(tope)))</f>
        <v/>
      </c>
      <c r="D24">
        <f>DEGREES(ATAN(C24/A24))</f>
        <v/>
      </c>
      <c r="E24">
        <f>MIN(DEGREES(ATAN(TAN(RADIANS(Parametros!$E$12-omega*e_base))*(A24/sref)^(Parametros!$B$12-1))),DEGREES(ATAN(TAN(RADIANS(Parametros!$E$13-omega*e_base))*(A24/sref)^(Parametros!$B$13-1))),DEGREES(ATAN(TAN(RADIANS(Parametros!$E$14-omega*e_base))*(A24/sref)^(Parametros!$B$14-1))),DEGREES(ATAN(TAN(RADIANS(Parametros!$E$15-omega*e_base))*(A24/sref)^(Parametros!$B$15-1))),DEGREES(ATAN(TAN(RADIANS(Parametros!$E$16-omega*e_base))*(A24/sref)^(Parametros!$B$16-1))))</f>
        <v/>
      </c>
      <c r="F24">
        <f>MAX(DEGREES(ATAN(TAN(RADIANS(Parametros!$F$12-omega*e_base))*(A24/sref)^(Parametros!$B$12-1))),DEGREES(ATAN(TAN(RADIANS(Parametros!$F$13-omega*e_base))*(A24/sref)^(Parametros!$B$13-1))),DEGREES(ATAN(TAN(RADIANS(Parametros!$F$14-omega*e_base))*(A24/sref)^(Parametros!$B$14-1))),DEGREES(ATAN(TAN(RADIANS(Parametros!$F$15-omega*e_base))*(A24/sref)^(Parametros!$B$15-1))),DEGREES(ATAN(TAN(RADIANS(Parametros!$F$16-omega*e_base))*(A24/sref)^(Parametros!$B$16-1))))</f>
        <v/>
      </c>
      <c r="G24">
        <f>A24*TAN(RADIANS(E24))</f>
        <v/>
      </c>
      <c r="H24">
        <f>A24*TAN(RADIANS(F24))</f>
        <v/>
      </c>
      <c r="I24">
        <f>MIN(TAN(RADIANS(pe0-omega*0.55))*sref^(1-m_)*A24^m_,A24*TAN(RADIANS(tope)))</f>
        <v/>
      </c>
      <c r="J24">
        <f>MIN(TAN(RADIANS(pe0-omega*0.65))*sref^(1-m_)*A24^m_,A24*TAN(RADIANS(tope)))</f>
        <v/>
      </c>
      <c r="K24">
        <f>IF(MAX(A24,sv_piso)&lt;=1,e_base-cc_bajo*LOG10(MAX(A24,sv_piso)/sv_piso),e_base-cc_bajo*LOG10(1/sv_piso)-cc_alto*LOG10(A24))</f>
        <v/>
      </c>
      <c r="L24">
        <f>MIN(TAN(RADIANS(pe0-omega*K24))*sref^(1-m_)*A24^m_,A24*TAN(RADIANS(tope)))</f>
        <v/>
      </c>
      <c r="M24" t="n">
        <v>0.1649</v>
      </c>
      <c r="N24">
        <f>MIN(TAN(RADIANS(pe0-omega*M24))*sref^(1-m_)*A24^m_,A24*TAN(RADIANS(tope)))</f>
        <v/>
      </c>
      <c r="O24">
        <f>DEGREES(ATAN(TAN(RADIANS(33))*(A24/sref)^(0.9-1)))</f>
        <v/>
      </c>
      <c r="P24">
        <f>DEGREES(ATAN(1.446*(A24*1000)^0.898/(A24*1000)))</f>
        <v/>
      </c>
      <c r="Q24">
        <f>A24*TAN(RADIANS(O24))</f>
        <v/>
      </c>
      <c r="R24">
        <f>A24*TAN(RADIANS(P24))</f>
        <v/>
      </c>
      <c r="S24">
        <f>A24*TAN(RADIANS(37))</f>
        <v/>
      </c>
      <c r="T24" t="n">
        <v>33</v>
      </c>
    </row>
    <row r="25">
      <c r="A25" t="n">
        <v>10</v>
      </c>
      <c r="B25" t="inlineStr">
        <is>
          <t>extrapolación</t>
        </is>
      </c>
      <c r="C25">
        <f>MIN(TAN(RADIANS(pe0-omega*e_base))*sref^(1-m_)*A25^m_,A25*TAN(RADIANS(tope)))</f>
        <v/>
      </c>
      <c r="D25">
        <f>DEGREES(ATAN(C25/A25))</f>
        <v/>
      </c>
      <c r="E25">
        <f>MIN(DEGREES(ATAN(TAN(RADIANS(Parametros!$E$12-omega*e_base))*(A25/sref)^(Parametros!$B$12-1))),DEGREES(ATAN(TAN(RADIANS(Parametros!$E$13-omega*e_base))*(A25/sref)^(Parametros!$B$13-1))),DEGREES(ATAN(TAN(RADIANS(Parametros!$E$14-omega*e_base))*(A25/sref)^(Parametros!$B$14-1))),DEGREES(ATAN(TAN(RADIANS(Parametros!$E$15-omega*e_base))*(A25/sref)^(Parametros!$B$15-1))),DEGREES(ATAN(TAN(RADIANS(Parametros!$E$16-omega*e_base))*(A25/sref)^(Parametros!$B$16-1))))</f>
        <v/>
      </c>
      <c r="F25">
        <f>MAX(DEGREES(ATAN(TAN(RADIANS(Parametros!$F$12-omega*e_base))*(A25/sref)^(Parametros!$B$12-1))),DEGREES(ATAN(TAN(RADIANS(Parametros!$F$13-omega*e_base))*(A25/sref)^(Parametros!$B$13-1))),DEGREES(ATAN(TAN(RADIANS(Parametros!$F$14-omega*e_base))*(A25/sref)^(Parametros!$B$14-1))),DEGREES(ATAN(TAN(RADIANS(Parametros!$F$15-omega*e_base))*(A25/sref)^(Parametros!$B$15-1))),DEGREES(ATAN(TAN(RADIANS(Parametros!$F$16-omega*e_base))*(A25/sref)^(Parametros!$B$16-1))))</f>
        <v/>
      </c>
      <c r="G25">
        <f>A25*TAN(RADIANS(E25))</f>
        <v/>
      </c>
      <c r="H25">
        <f>A25*TAN(RADIANS(F25))</f>
        <v/>
      </c>
      <c r="I25">
        <f>MIN(TAN(RADIANS(pe0-omega*0.55))*sref^(1-m_)*A25^m_,A25*TAN(RADIANS(tope)))</f>
        <v/>
      </c>
      <c r="J25">
        <f>MIN(TAN(RADIANS(pe0-omega*0.65))*sref^(1-m_)*A25^m_,A25*TAN(RADIANS(tope)))</f>
        <v/>
      </c>
      <c r="K25">
        <f>IF(MAX(A25,sv_piso)&lt;=1,e_base-cc_bajo*LOG10(MAX(A25,sv_piso)/sv_piso),e_base-cc_bajo*LOG10(1/sv_piso)-cc_alto*LOG10(A25))</f>
        <v/>
      </c>
      <c r="L25">
        <f>MIN(TAN(RADIANS(pe0-omega*K25))*sref^(1-m_)*A25^m_,A25*TAN(RADIANS(tope)))</f>
        <v/>
      </c>
      <c r="M25" t="n">
        <v>0.1496</v>
      </c>
      <c r="N25">
        <f>MIN(TAN(RADIANS(pe0-omega*M25))*sref^(1-m_)*A25^m_,A25*TAN(RADIANS(tope)))</f>
        <v/>
      </c>
      <c r="O25">
        <f>DEGREES(ATAN(TAN(RADIANS(33))*(A25/sref)^(0.9-1)))</f>
        <v/>
      </c>
      <c r="P25">
        <f>DEGREES(ATAN(1.446*(A25*1000)^0.898/(A25*1000)))</f>
        <v/>
      </c>
      <c r="Q25">
        <f>A25*TAN(RADIANS(O25))</f>
        <v/>
      </c>
      <c r="R25">
        <f>A25*TAN(RADIANS(P25))</f>
        <v/>
      </c>
      <c r="S25">
        <f>A25*TAN(RADIANS(37))</f>
        <v/>
      </c>
      <c r="T25" t="n">
        <v>33</v>
      </c>
    </row>
    <row r="26">
      <c r="A26" t="n">
        <v>11</v>
      </c>
      <c r="B26" t="inlineStr">
        <is>
          <t>extrapolación</t>
        </is>
      </c>
      <c r="C26">
        <f>MIN(TAN(RADIANS(pe0-omega*e_base))*sref^(1-m_)*A26^m_,A26*TAN(RADIANS(tope)))</f>
        <v/>
      </c>
      <c r="D26">
        <f>DEGREES(ATAN(C26/A26))</f>
        <v/>
      </c>
      <c r="E26">
        <f>MIN(DEGREES(ATAN(TAN(RADIANS(Parametros!$E$12-omega*e_base))*(A26/sref)^(Parametros!$B$12-1))),DEGREES(ATAN(TAN(RADIANS(Parametros!$E$13-omega*e_base))*(A26/sref)^(Parametros!$B$13-1))),DEGREES(ATAN(TAN(RADIANS(Parametros!$E$14-omega*e_base))*(A26/sref)^(Parametros!$B$14-1))),DEGREES(ATAN(TAN(RADIANS(Parametros!$E$15-omega*e_base))*(A26/sref)^(Parametros!$B$15-1))),DEGREES(ATAN(TAN(RADIANS(Parametros!$E$16-omega*e_base))*(A26/sref)^(Parametros!$B$16-1))))</f>
        <v/>
      </c>
      <c r="F26">
        <f>MAX(DEGREES(ATAN(TAN(RADIANS(Parametros!$F$12-omega*e_base))*(A26/sref)^(Parametros!$B$12-1))),DEGREES(ATAN(TAN(RADIANS(Parametros!$F$13-omega*e_base))*(A26/sref)^(Parametros!$B$13-1))),DEGREES(ATAN(TAN(RADIANS(Parametros!$F$14-omega*e_base))*(A26/sref)^(Parametros!$B$14-1))),DEGREES(ATAN(TAN(RADIANS(Parametros!$F$15-omega*e_base))*(A26/sref)^(Parametros!$B$15-1))),DEGREES(ATAN(TAN(RADIANS(Parametros!$F$16-omega*e_base))*(A26/sref)^(Parametros!$B$16-1))))</f>
        <v/>
      </c>
      <c r="G26">
        <f>A26*TAN(RADIANS(E26))</f>
        <v/>
      </c>
      <c r="H26">
        <f>A26*TAN(RADIANS(F26))</f>
        <v/>
      </c>
      <c r="I26">
        <f>MIN(TAN(RADIANS(pe0-omega*0.55))*sref^(1-m_)*A26^m_,A26*TAN(RADIANS(tope)))</f>
        <v/>
      </c>
      <c r="J26">
        <f>MIN(TAN(RADIANS(pe0-omega*0.65))*sref^(1-m_)*A26^m_,A26*TAN(RADIANS(tope)))</f>
        <v/>
      </c>
      <c r="K26">
        <f>IF(MAX(A26,sv_piso)&lt;=1,e_base-cc_bajo*LOG10(MAX(A26,sv_piso)/sv_piso),e_base-cc_bajo*LOG10(1/sv_piso)-cc_alto*LOG10(A26))</f>
        <v/>
      </c>
      <c r="L26">
        <f>MIN(TAN(RADIANS(pe0-omega*K26))*sref^(1-m_)*A26^m_,A26*TAN(RADIANS(tope)))</f>
        <v/>
      </c>
      <c r="M26" t="n">
        <v>0.1392</v>
      </c>
      <c r="N26">
        <f>MIN(TAN(RADIANS(pe0-omega*M26))*sref^(1-m_)*A26^m_,A26*TAN(RADIANS(tope)))</f>
        <v/>
      </c>
      <c r="O26">
        <f>DEGREES(ATAN(TAN(RADIANS(33))*(A26/sref)^(0.9-1)))</f>
        <v/>
      </c>
      <c r="P26">
        <f>DEGREES(ATAN(1.446*(A26*1000)^0.898/(A26*1000)))</f>
        <v/>
      </c>
      <c r="Q26">
        <f>A26*TAN(RADIANS(O26))</f>
        <v/>
      </c>
      <c r="R26">
        <f>A26*TAN(RADIANS(P26))</f>
        <v/>
      </c>
      <c r="S26">
        <f>A26*TAN(RADIANS(37))</f>
        <v/>
      </c>
      <c r="T26" t="n">
        <v>30</v>
      </c>
    </row>
    <row r="27">
      <c r="A27" t="n">
        <v>12</v>
      </c>
      <c r="B27" t="inlineStr">
        <is>
          <t>extrapolación</t>
        </is>
      </c>
      <c r="C27">
        <f>MIN(TAN(RADIANS(pe0-omega*e_base))*sref^(1-m_)*A27^m_,A27*TAN(RADIANS(tope)))</f>
        <v/>
      </c>
      <c r="D27">
        <f>DEGREES(ATAN(C27/A27))</f>
        <v/>
      </c>
      <c r="E27">
        <f>MIN(DEGREES(ATAN(TAN(RADIANS(Parametros!$E$12-omega*e_base))*(A27/sref)^(Parametros!$B$12-1))),DEGREES(ATAN(TAN(RADIANS(Parametros!$E$13-omega*e_base))*(A27/sref)^(Parametros!$B$13-1))),DEGREES(ATAN(TAN(RADIANS(Parametros!$E$14-omega*e_base))*(A27/sref)^(Parametros!$B$14-1))),DEGREES(ATAN(TAN(RADIANS(Parametros!$E$15-omega*e_base))*(A27/sref)^(Parametros!$B$15-1))),DEGREES(ATAN(TAN(RADIANS(Parametros!$E$16-omega*e_base))*(A27/sref)^(Parametros!$B$16-1))))</f>
        <v/>
      </c>
      <c r="F27">
        <f>MAX(DEGREES(ATAN(TAN(RADIANS(Parametros!$F$12-omega*e_base))*(A27/sref)^(Parametros!$B$12-1))),DEGREES(ATAN(TAN(RADIANS(Parametros!$F$13-omega*e_base))*(A27/sref)^(Parametros!$B$13-1))),DEGREES(ATAN(TAN(RADIANS(Parametros!$F$14-omega*e_base))*(A27/sref)^(Parametros!$B$14-1))),DEGREES(ATAN(TAN(RADIANS(Parametros!$F$15-omega*e_base))*(A27/sref)^(Parametros!$B$15-1))),DEGREES(ATAN(TAN(RADIANS(Parametros!$F$16-omega*e_base))*(A27/sref)^(Parametros!$B$16-1))))</f>
        <v/>
      </c>
      <c r="G27">
        <f>A27*TAN(RADIANS(E27))</f>
        <v/>
      </c>
      <c r="H27">
        <f>A27*TAN(RADIANS(F27))</f>
        <v/>
      </c>
      <c r="I27">
        <f>MIN(TAN(RADIANS(pe0-omega*0.55))*sref^(1-m_)*A27^m_,A27*TAN(RADIANS(tope)))</f>
        <v/>
      </c>
      <c r="J27">
        <f>MIN(TAN(RADIANS(pe0-omega*0.65))*sref^(1-m_)*A27^m_,A27*TAN(RADIANS(tope)))</f>
        <v/>
      </c>
      <c r="K27">
        <f>IF(MAX(A27,sv_piso)&lt;=1,e_base-cc_bajo*LOG10(MAX(A27,sv_piso)/sv_piso),e_base-cc_bajo*LOG10(1/sv_piso)-cc_alto*LOG10(A27))</f>
        <v/>
      </c>
      <c r="L27">
        <f>MIN(TAN(RADIANS(pe0-omega*K27))*sref^(1-m_)*A27^m_,A27*TAN(RADIANS(tope)))</f>
        <v/>
      </c>
      <c r="M27" t="n">
        <v>0.1295</v>
      </c>
      <c r="N27">
        <f>MIN(TAN(RADIANS(pe0-omega*M27))*sref^(1-m_)*A27^m_,A27*TAN(RADIANS(tope)))</f>
        <v/>
      </c>
      <c r="O27">
        <f>DEGREES(ATAN(TAN(RADIANS(33))*(A27/sref)^(0.9-1)))</f>
        <v/>
      </c>
      <c r="P27">
        <f>DEGREES(ATAN(1.446*(A27*1000)^0.898/(A27*1000)))</f>
        <v/>
      </c>
      <c r="Q27">
        <f>A27*TAN(RADIANS(O27))</f>
        <v/>
      </c>
      <c r="R27">
        <f>A27*TAN(RADIANS(P27))</f>
        <v/>
      </c>
      <c r="S27">
        <f>A27*TAN(RADIANS(37))</f>
        <v/>
      </c>
      <c r="T27" t="n">
        <v>30</v>
      </c>
    </row>
    <row r="28">
      <c r="A28" t="n">
        <v>13</v>
      </c>
      <c r="B28" t="inlineStr">
        <is>
          <t>extrapolación</t>
        </is>
      </c>
      <c r="C28">
        <f>MIN(TAN(RADIANS(pe0-omega*e_base))*sref^(1-m_)*A28^m_,A28*TAN(RADIANS(tope)))</f>
        <v/>
      </c>
      <c r="D28">
        <f>DEGREES(ATAN(C28/A28))</f>
        <v/>
      </c>
      <c r="E28">
        <f>MIN(DEGREES(ATAN(TAN(RADIANS(Parametros!$E$12-omega*e_base))*(A28/sref)^(Parametros!$B$12-1))),DEGREES(ATAN(TAN(RADIANS(Parametros!$E$13-omega*e_base))*(A28/sref)^(Parametros!$B$13-1))),DEGREES(ATAN(TAN(RADIANS(Parametros!$E$14-omega*e_base))*(A28/sref)^(Parametros!$B$14-1))),DEGREES(ATAN(TAN(RADIANS(Parametros!$E$15-omega*e_base))*(A28/sref)^(Parametros!$B$15-1))),DEGREES(ATAN(TAN(RADIANS(Parametros!$E$16-omega*e_base))*(A28/sref)^(Parametros!$B$16-1))))</f>
        <v/>
      </c>
      <c r="F28">
        <f>MAX(DEGREES(ATAN(TAN(RADIANS(Parametros!$F$12-omega*e_base))*(A28/sref)^(Parametros!$B$12-1))),DEGREES(ATAN(TAN(RADIANS(Parametros!$F$13-omega*e_base))*(A28/sref)^(Parametros!$B$13-1))),DEGREES(ATAN(TAN(RADIANS(Parametros!$F$14-omega*e_base))*(A28/sref)^(Parametros!$B$14-1))),DEGREES(ATAN(TAN(RADIANS(Parametros!$F$15-omega*e_base))*(A28/sref)^(Parametros!$B$15-1))),DEGREES(ATAN(TAN(RADIANS(Parametros!$F$16-omega*e_base))*(A28/sref)^(Parametros!$B$16-1))))</f>
        <v/>
      </c>
      <c r="G28">
        <f>A28*TAN(RADIANS(E28))</f>
        <v/>
      </c>
      <c r="H28">
        <f>A28*TAN(RADIANS(F28))</f>
        <v/>
      </c>
      <c r="I28">
        <f>MIN(TAN(RADIANS(pe0-omega*0.55))*sref^(1-m_)*A28^m_,A28*TAN(RADIANS(tope)))</f>
        <v/>
      </c>
      <c r="J28">
        <f>MIN(TAN(RADIANS(pe0-omega*0.65))*sref^(1-m_)*A28^m_,A28*TAN(RADIANS(tope)))</f>
        <v/>
      </c>
      <c r="K28">
        <f>IF(MAX(A28,sv_piso)&lt;=1,e_base-cc_bajo*LOG10(MAX(A28,sv_piso)/sv_piso),e_base-cc_bajo*LOG10(1/sv_piso)-cc_alto*LOG10(A28))</f>
        <v/>
      </c>
      <c r="L28">
        <f>MIN(TAN(RADIANS(pe0-omega*K28))*sref^(1-m_)*A28^m_,A28*TAN(RADIANS(tope)))</f>
        <v/>
      </c>
      <c r="M28" t="n">
        <v>0.1221</v>
      </c>
      <c r="N28">
        <f>MIN(TAN(RADIANS(pe0-omega*M28))*sref^(1-m_)*A28^m_,A28*TAN(RADIANS(tope)))</f>
        <v/>
      </c>
      <c r="O28">
        <f>DEGREES(ATAN(TAN(RADIANS(33))*(A28/sref)^(0.9-1)))</f>
        <v/>
      </c>
      <c r="P28">
        <f>DEGREES(ATAN(1.446*(A28*1000)^0.898/(A28*1000)))</f>
        <v/>
      </c>
      <c r="Q28">
        <f>A28*TAN(RADIANS(O28))</f>
        <v/>
      </c>
      <c r="R28">
        <f>A28*TAN(RADIANS(P28))</f>
        <v/>
      </c>
      <c r="S28">
        <f>A28*TAN(RADIANS(37))</f>
        <v/>
      </c>
      <c r="T28" t="n">
        <v>30</v>
      </c>
    </row>
    <row r="29">
      <c r="A29" t="n">
        <v>14</v>
      </c>
      <c r="B29" t="inlineStr">
        <is>
          <t>extrapolación</t>
        </is>
      </c>
      <c r="C29">
        <f>MIN(TAN(RADIANS(pe0-omega*e_base))*sref^(1-m_)*A29^m_,A29*TAN(RADIANS(tope)))</f>
        <v/>
      </c>
      <c r="D29">
        <f>DEGREES(ATAN(C29/A29))</f>
        <v/>
      </c>
      <c r="E29">
        <f>MIN(DEGREES(ATAN(TAN(RADIANS(Parametros!$E$12-omega*e_base))*(A29/sref)^(Parametros!$B$12-1))),DEGREES(ATAN(TAN(RADIANS(Parametros!$E$13-omega*e_base))*(A29/sref)^(Parametros!$B$13-1))),DEGREES(ATAN(TAN(RADIANS(Parametros!$E$14-omega*e_base))*(A29/sref)^(Parametros!$B$14-1))),DEGREES(ATAN(TAN(RADIANS(Parametros!$E$15-omega*e_base))*(A29/sref)^(Parametros!$B$15-1))),DEGREES(ATAN(TAN(RADIANS(Parametros!$E$16-omega*e_base))*(A29/sref)^(Parametros!$B$16-1))))</f>
        <v/>
      </c>
      <c r="F29">
        <f>MAX(DEGREES(ATAN(TAN(RADIANS(Parametros!$F$12-omega*e_base))*(A29/sref)^(Parametros!$B$12-1))),DEGREES(ATAN(TAN(RADIANS(Parametros!$F$13-omega*e_base))*(A29/sref)^(Parametros!$B$13-1))),DEGREES(ATAN(TAN(RADIANS(Parametros!$F$14-omega*e_base))*(A29/sref)^(Parametros!$B$14-1))),DEGREES(ATAN(TAN(RADIANS(Parametros!$F$15-omega*e_base))*(A29/sref)^(Parametros!$B$15-1))),DEGREES(ATAN(TAN(RADIANS(Parametros!$F$16-omega*e_base))*(A29/sref)^(Parametros!$B$16-1))))</f>
        <v/>
      </c>
      <c r="G29">
        <f>A29*TAN(RADIANS(E29))</f>
        <v/>
      </c>
      <c r="H29">
        <f>A29*TAN(RADIANS(F29))</f>
        <v/>
      </c>
      <c r="I29">
        <f>MIN(TAN(RADIANS(pe0-omega*0.55))*sref^(1-m_)*A29^m_,A29*TAN(RADIANS(tope)))</f>
        <v/>
      </c>
      <c r="J29">
        <f>MIN(TAN(RADIANS(pe0-omega*0.65))*sref^(1-m_)*A29^m_,A29*TAN(RADIANS(tope)))</f>
        <v/>
      </c>
      <c r="K29">
        <f>IF(MAX(A29,sv_piso)&lt;=1,e_base-cc_bajo*LOG10(MAX(A29,sv_piso)/sv_piso),e_base-cc_bajo*LOG10(1/sv_piso)-cc_alto*LOG10(A29))</f>
        <v/>
      </c>
      <c r="L29">
        <f>MIN(TAN(RADIANS(pe0-omega*K29))*sref^(1-m_)*A29^m_,A29*TAN(RADIANS(tope)))</f>
        <v/>
      </c>
      <c r="O29">
        <f>DEGREES(ATAN(TAN(RADIANS(33))*(A29/sref)^(0.9-1)))</f>
        <v/>
      </c>
      <c r="P29">
        <f>DEGREES(ATAN(1.446*(A29*1000)^0.898/(A29*1000)))</f>
        <v/>
      </c>
      <c r="Q29">
        <f>A29*TAN(RADIANS(O29))</f>
        <v/>
      </c>
      <c r="R29">
        <f>A29*TAN(RADIANS(P29))</f>
        <v/>
      </c>
      <c r="S29">
        <f>A29*TAN(RADIANS(37))</f>
        <v/>
      </c>
      <c r="T29" t="n">
        <v>30</v>
      </c>
    </row>
    <row r="30">
      <c r="A30" t="n">
        <v>15</v>
      </c>
      <c r="B30" t="inlineStr">
        <is>
          <t>extrapolación</t>
        </is>
      </c>
      <c r="C30">
        <f>MIN(TAN(RADIANS(pe0-omega*e_base))*sref^(1-m_)*A30^m_,A30*TAN(RADIANS(tope)))</f>
        <v/>
      </c>
      <c r="D30">
        <f>DEGREES(ATAN(C30/A30))</f>
        <v/>
      </c>
      <c r="E30">
        <f>MIN(DEGREES(ATAN(TAN(RADIANS(Parametros!$E$12-omega*e_base))*(A30/sref)^(Parametros!$B$12-1))),DEGREES(ATAN(TAN(RADIANS(Parametros!$E$13-omega*e_base))*(A30/sref)^(Parametros!$B$13-1))),DEGREES(ATAN(TAN(RADIANS(Parametros!$E$14-omega*e_base))*(A30/sref)^(Parametros!$B$14-1))),DEGREES(ATAN(TAN(RADIANS(Parametros!$E$15-omega*e_base))*(A30/sref)^(Parametros!$B$15-1))),DEGREES(ATAN(TAN(RADIANS(Parametros!$E$16-omega*e_base))*(A30/sref)^(Parametros!$B$16-1))))</f>
        <v/>
      </c>
      <c r="F30">
        <f>MAX(DEGREES(ATAN(TAN(RADIANS(Parametros!$F$12-omega*e_base))*(A30/sref)^(Parametros!$B$12-1))),DEGREES(ATAN(TAN(RADIANS(Parametros!$F$13-omega*e_base))*(A30/sref)^(Parametros!$B$13-1))),DEGREES(ATAN(TAN(RADIANS(Parametros!$F$14-omega*e_base))*(A30/sref)^(Parametros!$B$14-1))),DEGREES(ATAN(TAN(RADIANS(Parametros!$F$15-omega*e_base))*(A30/sref)^(Parametros!$B$15-1))),DEGREES(ATAN(TAN(RADIANS(Parametros!$F$16-omega*e_base))*(A30/sref)^(Parametros!$B$16-1))))</f>
        <v/>
      </c>
      <c r="G30">
        <f>A30*TAN(RADIANS(E30))</f>
        <v/>
      </c>
      <c r="H30">
        <f>A30*TAN(RADIANS(F30))</f>
        <v/>
      </c>
      <c r="I30">
        <f>MIN(TAN(RADIANS(pe0-omega*0.55))*sref^(1-m_)*A30^m_,A30*TAN(RADIANS(tope)))</f>
        <v/>
      </c>
      <c r="J30">
        <f>MIN(TAN(RADIANS(pe0-omega*0.65))*sref^(1-m_)*A30^m_,A30*TAN(RADIANS(tope)))</f>
        <v/>
      </c>
      <c r="K30">
        <f>IF(MAX(A30,sv_piso)&lt;=1,e_base-cc_bajo*LOG10(MAX(A30,sv_piso)/sv_piso),e_base-cc_bajo*LOG10(1/sv_piso)-cc_alto*LOG10(A30))</f>
        <v/>
      </c>
      <c r="L30">
        <f>MIN(TAN(RADIANS(pe0-omega*K30))*sref^(1-m_)*A30^m_,A30*TAN(RADIANS(tope)))</f>
        <v/>
      </c>
      <c r="O30">
        <f>DEGREES(ATAN(TAN(RADIANS(33))*(A30/sref)^(0.9-1)))</f>
        <v/>
      </c>
      <c r="P30">
        <f>DEGREES(ATAN(1.446*(A30*1000)^0.898/(A30*1000)))</f>
        <v/>
      </c>
      <c r="Q30">
        <f>A30*TAN(RADIANS(O30))</f>
        <v/>
      </c>
      <c r="R30">
        <f>A30*TAN(RADIANS(P30))</f>
        <v/>
      </c>
      <c r="S30">
        <f>A30*TAN(RADIANS(37))</f>
        <v/>
      </c>
      <c r="T30" t="n">
        <v>30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2" max="2"/>
    <col width="8" customWidth="1" min="3" max="3"/>
    <col width="9" customWidth="1" min="4" max="4"/>
    <col width="12" customWidth="1" min="5" max="5"/>
    <col width="3" customWidth="1" min="6" max="6"/>
    <col width="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3" customWidth="1" min="13" max="13"/>
    <col width="14" customWidth="1" min="14" max="14"/>
  </cols>
  <sheetData>
    <row r="1">
      <c r="A1" s="1" t="inlineStr">
        <is>
          <t>Set (ensayos del ajuste)</t>
        </is>
      </c>
      <c r="B1" s="1" t="inlineStr">
        <is>
          <t>Litología</t>
        </is>
      </c>
      <c r="C1" s="1" t="inlineStr">
        <is>
          <t>Ensayos</t>
        </is>
      </c>
      <c r="D1" s="1" t="inlineStr">
        <is>
          <t>e0 media</t>
        </is>
      </c>
      <c r="E1" s="1" t="inlineStr">
        <is>
          <t>φ′1 medio a su e0 (°)</t>
        </is>
      </c>
      <c r="F1" s="1" t="inlineStr"/>
      <c r="G1" s="1" t="inlineStr">
        <is>
          <t>e</t>
        </is>
      </c>
      <c r="H1" s="1" t="inlineStr">
        <is>
          <t>Curva propuesta (°)</t>
        </is>
      </c>
      <c r="I1" s="1" t="inlineStr">
        <is>
          <t>Leps (1970), superior (46°)</t>
        </is>
      </c>
      <c r="J1" s="1" t="inlineStr">
        <is>
          <t>Leps (1970), media (41°)</t>
        </is>
      </c>
      <c r="K1" s="1" t="inlineStr">
        <is>
          <t>Leps (1970), inferior (36°)</t>
        </is>
      </c>
      <c r="L1" s="1" t="inlineStr">
        <is>
          <t>Indraratna et al. (1993) (33°)</t>
        </is>
      </c>
      <c r="M1" s="1" t="inlineStr"/>
      <c r="N1" s="1" t="inlineStr">
        <is>
          <t>φ′e=0 del set = φ′1 + ω·e0 (°)</t>
        </is>
      </c>
    </row>
    <row r="2">
      <c r="A2" t="inlineStr">
        <is>
          <t>G2012 | G2012-MN-C</t>
        </is>
      </c>
      <c r="B2" t="inlineStr">
        <is>
          <t>Mármol</t>
        </is>
      </c>
      <c r="C2">
        <f>COUNTIFS(Ensayos!$A$2:$A$500,"G2012",Ensayos!$B$2:$B$500,"G2012-MN-C",Ensayos!$F$2:$F$500,"Ajuste de la curva propuesta")</f>
        <v/>
      </c>
      <c r="D2">
        <f>AVERAGEIFS(Ensayos!$J$2:$J$500,Ensayos!$A$2:$A$500,"G2012",Ensayos!$B$2:$B$500,"G2012-MN-C",Ensayos!$F$2:$F$500,"Ajuste de la curva propuesta")</f>
        <v/>
      </c>
      <c r="E2">
        <f>AVERAGEIFS(Ensayos!$V$2:$V$500,Ensayos!$A$2:$A$500,"G2012",Ensayos!$B$2:$B$500,"G2012-MN-C",Ensayos!$F$2:$F$500,"Ajuste de la curva propuesta")</f>
        <v/>
      </c>
      <c r="G2" t="n">
        <v>0</v>
      </c>
      <c r="H2">
        <f>pe0-omega*G2</f>
        <v/>
      </c>
      <c r="I2" t="n">
        <v>46</v>
      </c>
      <c r="J2" t="n">
        <v>41</v>
      </c>
      <c r="K2" t="n">
        <v>36</v>
      </c>
      <c r="L2" t="n">
        <v>33</v>
      </c>
      <c r="N2">
        <f>E2+omega*D2</f>
        <v/>
      </c>
    </row>
    <row r="3">
      <c r="A3" t="inlineStr">
        <is>
          <t>G2021 | G21-DESM-COMP</t>
        </is>
      </c>
      <c r="B3" t="inlineStr">
        <is>
          <t>Mezcla</t>
        </is>
      </c>
      <c r="C3">
        <f>COUNTIFS(Ensayos!$A$2:$A$500,"G2021",Ensayos!$B$2:$B$500,"G21-DESM-COMP",Ensayos!$F$2:$F$500,"Ajuste de la curva propuesta")</f>
        <v/>
      </c>
      <c r="D3">
        <f>AVERAGEIFS(Ensayos!$J$2:$J$500,Ensayos!$A$2:$A$500,"G2021",Ensayos!$B$2:$B$500,"G21-DESM-COMP",Ensayos!$F$2:$F$500,"Ajuste de la curva propuesta")</f>
        <v/>
      </c>
      <c r="E3">
        <f>AVERAGEIFS(Ensayos!$V$2:$V$500,Ensayos!$A$2:$A$500,"G2021",Ensayos!$B$2:$B$500,"G21-DESM-COMP",Ensayos!$F$2:$F$500,"Ajuste de la curva propuesta")</f>
        <v/>
      </c>
      <c r="G3" t="n">
        <v>0.05</v>
      </c>
      <c r="H3">
        <f>pe0-omega*G3</f>
        <v/>
      </c>
      <c r="I3" t="n">
        <v>46</v>
      </c>
      <c r="J3" t="n">
        <v>41</v>
      </c>
      <c r="K3" t="n">
        <v>36</v>
      </c>
      <c r="L3" t="n">
        <v>33</v>
      </c>
      <c r="N3">
        <f>E3+omega*D3</f>
        <v/>
      </c>
    </row>
    <row r="4">
      <c r="A4" t="inlineStr">
        <is>
          <t>W2022 | HF-1.0m-IDIEM-mono</t>
        </is>
      </c>
      <c r="B4" t="inlineStr">
        <is>
          <t>Hornfels</t>
        </is>
      </c>
      <c r="C4">
        <f>COUNTIFS(Ensayos!$A$2:$A$500,"W2022",Ensayos!$B$2:$B$500,"HF-1.0m-IDIEM-mono",Ensayos!$F$2:$F$500,"Ajuste de la curva propuesta")</f>
        <v/>
      </c>
      <c r="D4">
        <f>AVERAGEIFS(Ensayos!$J$2:$J$500,Ensayos!$A$2:$A$500,"W2022",Ensayos!$B$2:$B$500,"HF-1.0m-IDIEM-mono",Ensayos!$F$2:$F$500,"Ajuste de la curva propuesta")</f>
        <v/>
      </c>
      <c r="E4">
        <f>AVERAGEIFS(Ensayos!$V$2:$V$500,Ensayos!$A$2:$A$500,"W2022",Ensayos!$B$2:$B$500,"HF-1.0m-IDIEM-mono",Ensayos!$F$2:$F$500,"Ajuste de la curva propuesta")</f>
        <v/>
      </c>
      <c r="G4" t="n">
        <v>0.1</v>
      </c>
      <c r="H4">
        <f>pe0-omega*G4</f>
        <v/>
      </c>
      <c r="I4" t="n">
        <v>46</v>
      </c>
      <c r="J4" t="n">
        <v>41</v>
      </c>
      <c r="K4" t="n">
        <v>36</v>
      </c>
      <c r="L4" t="n">
        <v>33</v>
      </c>
      <c r="N4">
        <f>E4+omega*D4</f>
        <v/>
      </c>
    </row>
    <row r="5">
      <c r="A5" t="inlineStr">
        <is>
          <t>W2022 | HF-1.0m-IDIEM-cd</t>
        </is>
      </c>
      <c r="B5" t="inlineStr">
        <is>
          <t>Hornfels</t>
        </is>
      </c>
      <c r="C5">
        <f>COUNTIFS(Ensayos!$A$2:$A$500,"W2022",Ensayos!$B$2:$B$500,"HF-1.0m-IDIEM-cd",Ensayos!$F$2:$F$500,"Ajuste de la curva propuesta")</f>
        <v/>
      </c>
      <c r="D5">
        <f>AVERAGEIFS(Ensayos!$J$2:$J$500,Ensayos!$A$2:$A$500,"W2022",Ensayos!$B$2:$B$500,"HF-1.0m-IDIEM-cd",Ensayos!$F$2:$F$500,"Ajuste de la curva propuesta")</f>
        <v/>
      </c>
      <c r="E5">
        <f>AVERAGEIFS(Ensayos!$V$2:$V$500,Ensayos!$A$2:$A$500,"W2022",Ensayos!$B$2:$B$500,"HF-1.0m-IDIEM-cd",Ensayos!$F$2:$F$500,"Ajuste de la curva propuesta")</f>
        <v/>
      </c>
      <c r="G5" t="n">
        <v>0.15</v>
      </c>
      <c r="H5">
        <f>pe0-omega*G5</f>
        <v/>
      </c>
      <c r="I5" t="n">
        <v>46</v>
      </c>
      <c r="J5" t="n">
        <v>41</v>
      </c>
      <c r="K5" t="n">
        <v>36</v>
      </c>
      <c r="L5" t="n">
        <v>33</v>
      </c>
      <c r="N5">
        <f>E5+omega*D5</f>
        <v/>
      </c>
    </row>
    <row r="6">
      <c r="A6" t="inlineStr">
        <is>
          <t>W2022 | HF-0.15m-Golder</t>
        </is>
      </c>
      <c r="B6" t="inlineStr">
        <is>
          <t>Hornfels</t>
        </is>
      </c>
      <c r="C6">
        <f>COUNTIFS(Ensayos!$A$2:$A$500,"W2022",Ensayos!$B$2:$B$500,"HF-0.15m-Golder",Ensayos!$F$2:$F$500,"Ajuste de la curva propuesta")</f>
        <v/>
      </c>
      <c r="D6">
        <f>AVERAGEIFS(Ensayos!$J$2:$J$500,Ensayos!$A$2:$A$500,"W2022",Ensayos!$B$2:$B$500,"HF-0.15m-Golder",Ensayos!$F$2:$F$500,"Ajuste de la curva propuesta")</f>
        <v/>
      </c>
      <c r="E6">
        <f>AVERAGEIFS(Ensayos!$V$2:$V$500,Ensayos!$A$2:$A$500,"W2022",Ensayos!$B$2:$B$500,"HF-0.15m-Golder",Ensayos!$F$2:$F$500,"Ajuste de la curva propuesta")</f>
        <v/>
      </c>
      <c r="G6" t="n">
        <v>0.2</v>
      </c>
      <c r="H6">
        <f>pe0-omega*G6</f>
        <v/>
      </c>
      <c r="I6" t="n">
        <v>46</v>
      </c>
      <c r="J6" t="n">
        <v>41</v>
      </c>
      <c r="K6" t="n">
        <v>36</v>
      </c>
      <c r="L6" t="n">
        <v>33</v>
      </c>
      <c r="N6">
        <f>E6+omega*D6</f>
        <v/>
      </c>
    </row>
    <row r="7">
      <c r="A7" t="inlineStr">
        <is>
          <t>W2022 | MN-0.15m-Golder</t>
        </is>
      </c>
      <c r="B7" t="inlineStr">
        <is>
          <t>Mármol</t>
        </is>
      </c>
      <c r="C7">
        <f>COUNTIFS(Ensayos!$A$2:$A$500,"W2022",Ensayos!$B$2:$B$500,"MN-0.15m-Golder",Ensayos!$F$2:$F$500,"Ajuste de la curva propuesta")</f>
        <v/>
      </c>
      <c r="D7">
        <f>AVERAGEIFS(Ensayos!$J$2:$J$500,Ensayos!$A$2:$A$500,"W2022",Ensayos!$B$2:$B$500,"MN-0.15m-Golder",Ensayos!$F$2:$F$500,"Ajuste de la curva propuesta")</f>
        <v/>
      </c>
      <c r="E7">
        <f>AVERAGEIFS(Ensayos!$V$2:$V$500,Ensayos!$A$2:$A$500,"W2022",Ensayos!$B$2:$B$500,"MN-0.15m-Golder",Ensayos!$F$2:$F$500,"Ajuste de la curva propuesta")</f>
        <v/>
      </c>
      <c r="G7" t="n">
        <v>0.25</v>
      </c>
      <c r="H7">
        <f>pe0-omega*G7</f>
        <v/>
      </c>
      <c r="I7" t="n">
        <v>46</v>
      </c>
      <c r="J7" t="n">
        <v>41</v>
      </c>
      <c r="K7" t="n">
        <v>36</v>
      </c>
      <c r="L7" t="n">
        <v>33</v>
      </c>
      <c r="N7">
        <f>E7+omega*D7</f>
        <v/>
      </c>
    </row>
    <row r="8">
      <c r="A8" t="inlineStr">
        <is>
          <t>W2024 | WSP24_C4_MON</t>
        </is>
      </c>
      <c r="B8" t="inlineStr">
        <is>
          <t>Intrusivo</t>
        </is>
      </c>
      <c r="C8">
        <f>COUNTIFS(Ensayos!$A$2:$A$500,"W2024",Ensayos!$B$2:$B$500,"WSP24_C4_MON",Ensayos!$F$2:$F$500,"Ajuste de la curva propuesta")</f>
        <v/>
      </c>
      <c r="D8">
        <f>AVERAGEIFS(Ensayos!$J$2:$J$500,Ensayos!$A$2:$A$500,"W2024",Ensayos!$B$2:$B$500,"WSP24_C4_MON",Ensayos!$F$2:$F$500,"Ajuste de la curva propuesta")</f>
        <v/>
      </c>
      <c r="E8">
        <f>AVERAGEIFS(Ensayos!$V$2:$V$500,Ensayos!$A$2:$A$500,"W2024",Ensayos!$B$2:$B$500,"WSP24_C4_MON",Ensayos!$F$2:$F$500,"Ajuste de la curva propuesta")</f>
        <v/>
      </c>
      <c r="G8" t="n">
        <v>0.3</v>
      </c>
      <c r="H8">
        <f>pe0-omega*G8</f>
        <v/>
      </c>
      <c r="I8" t="n">
        <v>46</v>
      </c>
      <c r="J8" t="n">
        <v>41</v>
      </c>
      <c r="K8" t="n">
        <v>36</v>
      </c>
      <c r="L8" t="n">
        <v>33</v>
      </c>
      <c r="N8">
        <f>E8+omega*D8</f>
        <v/>
      </c>
    </row>
    <row r="9">
      <c r="A9" t="inlineStr">
        <is>
          <t>I2025 | Codisposal 1 (100% Intrusivo)</t>
        </is>
      </c>
      <c r="B9" t="inlineStr">
        <is>
          <t>Intrusivo</t>
        </is>
      </c>
      <c r="C9">
        <f>COUNTIFS(Ensayos!$A$2:$A$500,"I2025",Ensayos!$B$2:$B$500,"Codisposal 1 (100% Intrusivo)",Ensayos!$F$2:$F$500,"Ajuste de la curva propuesta")</f>
        <v/>
      </c>
      <c r="D9">
        <f>AVERAGEIFS(Ensayos!$J$2:$J$500,Ensayos!$A$2:$A$500,"I2025",Ensayos!$B$2:$B$500,"Codisposal 1 (100% Intrusivo)",Ensayos!$F$2:$F$500,"Ajuste de la curva propuesta")</f>
        <v/>
      </c>
      <c r="E9">
        <f>AVERAGEIFS(Ensayos!$V$2:$V$500,Ensayos!$A$2:$A$500,"I2025",Ensayos!$B$2:$B$500,"Codisposal 1 (100% Intrusivo)",Ensayos!$F$2:$F$500,"Ajuste de la curva propuesta")</f>
        <v/>
      </c>
      <c r="G9" t="n">
        <v>0.35</v>
      </c>
      <c r="H9">
        <f>pe0-omega*G9</f>
        <v/>
      </c>
      <c r="I9" t="n">
        <v>46</v>
      </c>
      <c r="J9" t="n">
        <v>41</v>
      </c>
      <c r="K9" t="n">
        <v>36</v>
      </c>
      <c r="L9" t="n">
        <v>33</v>
      </c>
      <c r="N9">
        <f>E9+omega*D9</f>
        <v/>
      </c>
    </row>
    <row r="10">
      <c r="A10" t="inlineStr">
        <is>
          <t>A2024DS | Ruma 02</t>
        </is>
      </c>
      <c r="B10" t="inlineStr">
        <is>
          <t>Hornfels</t>
        </is>
      </c>
      <c r="C10">
        <f>COUNTIFS(Ensayos!$A$2:$A$500,"A2024DS",Ensayos!$B$2:$B$500,"Ruma 02",Ensayos!$F$2:$F$500,"Ajuste de la curva propuesta")</f>
        <v/>
      </c>
      <c r="D10">
        <f>AVERAGEIFS(Ensayos!$J$2:$J$500,Ensayos!$A$2:$A$500,"A2024DS",Ensayos!$B$2:$B$500,"Ruma 02",Ensayos!$F$2:$F$500,"Ajuste de la curva propuesta")</f>
        <v/>
      </c>
      <c r="E10">
        <f>AVERAGEIFS(Ensayos!$V$2:$V$500,Ensayos!$A$2:$A$500,"A2024DS",Ensayos!$B$2:$B$500,"Ruma 02",Ensayos!$F$2:$F$500,"Ajuste de la curva propuesta")</f>
        <v/>
      </c>
      <c r="G10" t="n">
        <v>0.4</v>
      </c>
      <c r="H10">
        <f>pe0-omega*G10</f>
        <v/>
      </c>
      <c r="I10" t="n">
        <v>46</v>
      </c>
      <c r="J10" t="n">
        <v>41</v>
      </c>
      <c r="K10" t="n">
        <v>36</v>
      </c>
      <c r="L10" t="n">
        <v>33</v>
      </c>
      <c r="N10">
        <f>E10+omega*D10</f>
        <v/>
      </c>
    </row>
    <row r="11">
      <c r="A11" t="inlineStr">
        <is>
          <t>A2024DS | Ruma 03 / Fase 10 A</t>
        </is>
      </c>
      <c r="B11" t="inlineStr">
        <is>
          <t>Intrusivo</t>
        </is>
      </c>
      <c r="C11">
        <f>COUNTIFS(Ensayos!$A$2:$A$500,"A2024DS",Ensayos!$B$2:$B$500,"Ruma 03 / Fase 10 A",Ensayos!$F$2:$F$500,"Ajuste de la curva propuesta")</f>
        <v/>
      </c>
      <c r="D11">
        <f>AVERAGEIFS(Ensayos!$J$2:$J$500,Ensayos!$A$2:$A$500,"A2024DS",Ensayos!$B$2:$B$500,"Ruma 03 / Fase 10 A",Ensayos!$F$2:$F$500,"Ajuste de la curva propuesta")</f>
        <v/>
      </c>
      <c r="E11">
        <f>AVERAGEIFS(Ensayos!$V$2:$V$500,Ensayos!$A$2:$A$500,"A2024DS",Ensayos!$B$2:$B$500,"Ruma 03 / Fase 10 A",Ensayos!$F$2:$F$500,"Ajuste de la curva propuesta")</f>
        <v/>
      </c>
      <c r="G11" t="n">
        <v>0.45</v>
      </c>
      <c r="H11">
        <f>pe0-omega*G11</f>
        <v/>
      </c>
      <c r="I11" t="n">
        <v>46</v>
      </c>
      <c r="J11" t="n">
        <v>41</v>
      </c>
      <c r="K11" t="n">
        <v>36</v>
      </c>
      <c r="L11" t="n">
        <v>33</v>
      </c>
      <c r="N11">
        <f>E11+omega*D11</f>
        <v/>
      </c>
    </row>
    <row r="12">
      <c r="A12" t="inlineStr">
        <is>
          <t>A2024DS | Ruma 01</t>
        </is>
      </c>
      <c r="B12" t="inlineStr">
        <is>
          <t>Mármol</t>
        </is>
      </c>
      <c r="C12">
        <f>COUNTIFS(Ensayos!$A$2:$A$500,"A2024DS",Ensayos!$B$2:$B$500,"Ruma 01",Ensayos!$F$2:$F$500,"Ajuste de la curva propuesta")</f>
        <v/>
      </c>
      <c r="D12">
        <f>AVERAGEIFS(Ensayos!$J$2:$J$500,Ensayos!$A$2:$A$500,"A2024DS",Ensayos!$B$2:$B$500,"Ruma 01",Ensayos!$F$2:$F$500,"Ajuste de la curva propuesta")</f>
        <v/>
      </c>
      <c r="E12">
        <f>AVERAGEIFS(Ensayos!$V$2:$V$500,Ensayos!$A$2:$A$500,"A2024DS",Ensayos!$B$2:$B$500,"Ruma 01",Ensayos!$F$2:$F$500,"Ajuste de la curva propuesta")</f>
        <v/>
      </c>
      <c r="G12" t="n">
        <v>0.5</v>
      </c>
      <c r="H12">
        <f>pe0-omega*G12</f>
        <v/>
      </c>
      <c r="I12" t="n">
        <v>46</v>
      </c>
      <c r="J12" t="n">
        <v>41</v>
      </c>
      <c r="K12" t="n">
        <v>36</v>
      </c>
      <c r="L12" t="n">
        <v>33</v>
      </c>
      <c r="N12">
        <f>E12+omega*D12</f>
        <v/>
      </c>
    </row>
    <row r="13">
      <c r="A13" t="inlineStr">
        <is>
          <t>A2024DS | Pila 01 (Mármol + Hornfels)</t>
        </is>
      </c>
      <c r="B13" t="inlineStr">
        <is>
          <t>Mezcla</t>
        </is>
      </c>
      <c r="C13">
        <f>COUNTIFS(Ensayos!$A$2:$A$500,"A2024DS",Ensayos!$B$2:$B$500,"Pila 01 (Mármol + Hornfels)",Ensayos!$F$2:$F$500,"Ajuste de la curva propuesta")</f>
        <v/>
      </c>
      <c r="D13">
        <f>AVERAGEIFS(Ensayos!$J$2:$J$500,Ensayos!$A$2:$A$500,"A2024DS",Ensayos!$B$2:$B$500,"Pila 01 (Mármol + Hornfels)",Ensayos!$F$2:$F$500,"Ajuste de la curva propuesta")</f>
        <v/>
      </c>
      <c r="E13">
        <f>AVERAGEIFS(Ensayos!$V$2:$V$500,Ensayos!$A$2:$A$500,"A2024DS",Ensayos!$B$2:$B$500,"Pila 01 (Mármol + Hornfels)",Ensayos!$F$2:$F$500,"Ajuste de la curva propuesta")</f>
        <v/>
      </c>
      <c r="G13" t="n">
        <v>0.55</v>
      </c>
      <c r="H13">
        <f>pe0-omega*G13</f>
        <v/>
      </c>
      <c r="I13" t="n">
        <v>46</v>
      </c>
      <c r="J13" t="n">
        <v>41</v>
      </c>
      <c r="K13" t="n">
        <v>36</v>
      </c>
      <c r="L13" t="n">
        <v>33</v>
      </c>
      <c r="N13">
        <f>E13+omega*D13</f>
        <v/>
      </c>
    </row>
    <row r="14">
      <c r="A14" t="inlineStr">
        <is>
          <t>A2024DS | Pila 02 (Intrusivo)</t>
        </is>
      </c>
      <c r="B14" t="inlineStr">
        <is>
          <t>Intrusivo</t>
        </is>
      </c>
      <c r="C14">
        <f>COUNTIFS(Ensayos!$A$2:$A$500,"A2024DS",Ensayos!$B$2:$B$500,"Pila 02 (Intrusivo)",Ensayos!$F$2:$F$500,"Ajuste de la curva propuesta")</f>
        <v/>
      </c>
      <c r="D14">
        <f>AVERAGEIFS(Ensayos!$J$2:$J$500,Ensayos!$A$2:$A$500,"A2024DS",Ensayos!$B$2:$B$500,"Pila 02 (Intrusivo)",Ensayos!$F$2:$F$500,"Ajuste de la curva propuesta")</f>
        <v/>
      </c>
      <c r="E14">
        <f>AVERAGEIFS(Ensayos!$V$2:$V$500,Ensayos!$A$2:$A$500,"A2024DS",Ensayos!$B$2:$B$500,"Pila 02 (Intrusivo)",Ensayos!$F$2:$F$500,"Ajuste de la curva propuesta")</f>
        <v/>
      </c>
      <c r="G14" t="n">
        <v>0.6</v>
      </c>
      <c r="H14">
        <f>pe0-omega*G14</f>
        <v/>
      </c>
      <c r="I14" t="n">
        <v>46</v>
      </c>
      <c r="J14" t="n">
        <v>41</v>
      </c>
      <c r="K14" t="n">
        <v>36</v>
      </c>
      <c r="L14" t="n">
        <v>33</v>
      </c>
      <c r="N14">
        <f>E14+omega*D14</f>
        <v/>
      </c>
    </row>
    <row r="15">
      <c r="G15" t="n">
        <v>0.65</v>
      </c>
      <c r="H15">
        <f>pe0-omega*G15</f>
        <v/>
      </c>
      <c r="I15" t="n">
        <v>46</v>
      </c>
      <c r="J15" t="n">
        <v>41</v>
      </c>
      <c r="K15" t="n">
        <v>36</v>
      </c>
      <c r="L15" t="n">
        <v>33</v>
      </c>
      <c r="M15" t="inlineStr">
        <is>
          <t>Media</t>
        </is>
      </c>
      <c r="N15" s="4">
        <f>AVERAGE(N2:N14)</f>
        <v/>
      </c>
    </row>
    <row r="16">
      <c r="A16" t="inlineStr">
        <is>
          <t>φ′1 de cada ensayo: Ensayos!V (a su e0). Cada punto de la figura de Cylwik et al. (2025) es un set; aquí, el promedio de los ensayos del set.</t>
        </is>
      </c>
      <c r="G16" t="n">
        <v>0.7</v>
      </c>
      <c r="H16">
        <f>pe0-omega*G16</f>
        <v/>
      </c>
      <c r="I16" t="n">
        <v>46</v>
      </c>
      <c r="J16" t="n">
        <v>41</v>
      </c>
      <c r="K16" t="n">
        <v>36</v>
      </c>
      <c r="L16" t="n">
        <v>33</v>
      </c>
    </row>
    <row r="17">
      <c r="G17" t="n">
        <v>0.75</v>
      </c>
      <c r="H17">
        <f>pe0-omega*G17</f>
        <v/>
      </c>
      <c r="I17" t="n">
        <v>46</v>
      </c>
      <c r="J17" t="n">
        <v>41</v>
      </c>
      <c r="K17" t="n">
        <v>36</v>
      </c>
      <c r="L17" t="n">
        <v>33</v>
      </c>
      <c r="M17" t="inlineStr">
        <is>
          <t>Nota</t>
        </is>
      </c>
      <c r="N17" t="inlineStr">
        <is>
          <t>Media de los φ′1 de los ensayos de cada set; la curva usa el φ′1 del set ajustado por mínimos cuadrados (a33), por eso esta media difiere algo de Parametros!B2.</t>
        </is>
      </c>
    </row>
    <row r="18">
      <c r="G18" t="n">
        <v>0.8</v>
      </c>
      <c r="H18">
        <f>pe0-omega*G18</f>
        <v/>
      </c>
      <c r="I18" t="n">
        <v>46</v>
      </c>
      <c r="J18" t="n">
        <v>41</v>
      </c>
      <c r="K18" t="n">
        <v>36</v>
      </c>
      <c r="L18" t="n">
        <v>33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8" customWidth="1" min="2" max="2"/>
    <col width="10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1" t="inlineStr">
        <is>
          <t>Hipótesis</t>
        </is>
      </c>
      <c r="B1" s="1" t="inlineStr">
        <is>
          <t>m</t>
        </is>
      </c>
      <c r="C1" s="1" t="inlineStr">
        <is>
          <t>φ′e=0 (°)</t>
        </is>
      </c>
      <c r="D1" s="1" t="inlineStr">
        <is>
          <t>φ′s a 1 MPa (°)</t>
        </is>
      </c>
      <c r="E1" s="1" t="inlineStr">
        <is>
          <t>φ′s a 2 MPa (°)</t>
        </is>
      </c>
      <c r="F1" s="1" t="inlineStr">
        <is>
          <t>φ′s a 3 MPa (°)</t>
        </is>
      </c>
      <c r="G1" s="1" t="inlineStr">
        <is>
          <t>φ′s a 4.6 MPa (°)</t>
        </is>
      </c>
      <c r="H1" s="1" t="inlineStr">
        <is>
          <t>φ′s a 8 MPa (°)</t>
        </is>
      </c>
      <c r="I1" s="1" t="inlineStr">
        <is>
          <t>φ′s a 15 MPa (°)</t>
        </is>
      </c>
    </row>
    <row r="2">
      <c r="A2" t="inlineStr">
        <is>
          <t>m P90 entre materiales</t>
        </is>
      </c>
      <c r="B2">
        <f>Parametros!B12</f>
        <v/>
      </c>
      <c r="C2">
        <f>Parametros!C12</f>
        <v/>
      </c>
      <c r="D2">
        <f>DEGREES(ATAN(TAN(RADIANS(C2-omega*e_base))*(1/sref)^(B2-1)))</f>
        <v/>
      </c>
      <c r="E2">
        <f>DEGREES(ATAN(TAN(RADIANS(C2-omega*e_base))*(2/sref)^(B2-1)))</f>
        <v/>
      </c>
      <c r="F2">
        <f>DEGREES(ATAN(TAN(RADIANS(C2-omega*e_base))*(3/sref)^(B2-1)))</f>
        <v/>
      </c>
      <c r="G2">
        <f>DEGREES(ATAN(TAN(RADIANS(C2-omega*e_base))*(4.6/sref)^(B2-1)))</f>
        <v/>
      </c>
      <c r="H2">
        <f>DEGREES(ATAN(TAN(RADIANS(C2-omega*e_base))*(8/sref)^(B2-1)))</f>
        <v/>
      </c>
      <c r="I2">
        <f>DEGREES(ATAN(TAN(RADIANS(C2-omega*e_base))*(15/sref)^(B2-1)))</f>
        <v/>
      </c>
    </row>
    <row r="3">
      <c r="A3" t="inlineStr">
        <is>
          <t>m alto (IC 90 %)</t>
        </is>
      </c>
      <c r="B3">
        <f>Parametros!B13</f>
        <v/>
      </c>
      <c r="C3">
        <f>Parametros!C13</f>
        <v/>
      </c>
      <c r="D3">
        <f>DEGREES(ATAN(TAN(RADIANS(C3-omega*e_base))*(1/sref)^(B3-1)))</f>
        <v/>
      </c>
      <c r="E3">
        <f>DEGREES(ATAN(TAN(RADIANS(C3-omega*e_base))*(2/sref)^(B3-1)))</f>
        <v/>
      </c>
      <c r="F3">
        <f>DEGREES(ATAN(TAN(RADIANS(C3-omega*e_base))*(3/sref)^(B3-1)))</f>
        <v/>
      </c>
      <c r="G3">
        <f>DEGREES(ATAN(TAN(RADIANS(C3-omega*e_base))*(4.6/sref)^(B3-1)))</f>
        <v/>
      </c>
      <c r="H3">
        <f>DEGREES(ATAN(TAN(RADIANS(C3-omega*e_base))*(8/sref)^(B3-1)))</f>
        <v/>
      </c>
      <c r="I3">
        <f>DEGREES(ATAN(TAN(RADIANS(C3-omega*e_base))*(15/sref)^(B3-1)))</f>
        <v/>
      </c>
    </row>
    <row r="4">
      <c r="A4" t="inlineStr">
        <is>
          <t>Curva propuesta</t>
        </is>
      </c>
      <c r="B4">
        <f>Parametros!B14</f>
        <v/>
      </c>
      <c r="C4">
        <f>Parametros!C14</f>
        <v/>
      </c>
      <c r="D4">
        <f>DEGREES(ATAN(TAN(RADIANS(C4-omega*e_base))*(1/sref)^(B4-1)))</f>
        <v/>
      </c>
      <c r="E4">
        <f>DEGREES(ATAN(TAN(RADIANS(C4-omega*e_base))*(2/sref)^(B4-1)))</f>
        <v/>
      </c>
      <c r="F4">
        <f>DEGREES(ATAN(TAN(RADIANS(C4-omega*e_base))*(3/sref)^(B4-1)))</f>
        <v/>
      </c>
      <c r="G4">
        <f>DEGREES(ATAN(TAN(RADIANS(C4-omega*e_base))*(4.6/sref)^(B4-1)))</f>
        <v/>
      </c>
      <c r="H4">
        <f>DEGREES(ATAN(TAN(RADIANS(C4-omega*e_base))*(8/sref)^(B4-1)))</f>
        <v/>
      </c>
      <c r="I4">
        <f>DEGREES(ATAN(TAN(RADIANS(C4-omega*e_base))*(15/sref)^(B4-1)))</f>
        <v/>
      </c>
    </row>
    <row r="5">
      <c r="A5" t="inlineStr">
        <is>
          <t>m bajo (IC 90 %)</t>
        </is>
      </c>
      <c r="B5">
        <f>Parametros!B15</f>
        <v/>
      </c>
      <c r="C5">
        <f>Parametros!C15</f>
        <v/>
      </c>
      <c r="D5">
        <f>DEGREES(ATAN(TAN(RADIANS(C5-omega*e_base))*(1/sref)^(B5-1)))</f>
        <v/>
      </c>
      <c r="E5">
        <f>DEGREES(ATAN(TAN(RADIANS(C5-omega*e_base))*(2/sref)^(B5-1)))</f>
        <v/>
      </c>
      <c r="F5">
        <f>DEGREES(ATAN(TAN(RADIANS(C5-omega*e_base))*(3/sref)^(B5-1)))</f>
        <v/>
      </c>
      <c r="G5">
        <f>DEGREES(ATAN(TAN(RADIANS(C5-omega*e_base))*(4.6/sref)^(B5-1)))</f>
        <v/>
      </c>
      <c r="H5">
        <f>DEGREES(ATAN(TAN(RADIANS(C5-omega*e_base))*(8/sref)^(B5-1)))</f>
        <v/>
      </c>
      <c r="I5">
        <f>DEGREES(ATAN(TAN(RADIANS(C5-omega*e_base))*(15/sref)^(B5-1)))</f>
        <v/>
      </c>
    </row>
    <row r="6">
      <c r="A6" t="inlineStr">
        <is>
          <t>m P10 entre materiales</t>
        </is>
      </c>
      <c r="B6">
        <f>Parametros!B16</f>
        <v/>
      </c>
      <c r="C6">
        <f>Parametros!C16</f>
        <v/>
      </c>
      <c r="D6">
        <f>DEGREES(ATAN(TAN(RADIANS(C6-omega*e_base))*(1/sref)^(B6-1)))</f>
        <v/>
      </c>
      <c r="E6">
        <f>DEGREES(ATAN(TAN(RADIANS(C6-omega*e_base))*(2/sref)^(B6-1)))</f>
        <v/>
      </c>
      <c r="F6">
        <f>DEGREES(ATAN(TAN(RADIANS(C6-omega*e_base))*(3/sref)^(B6-1)))</f>
        <v/>
      </c>
      <c r="G6">
        <f>DEGREES(ATAN(TAN(RADIANS(C6-omega*e_base))*(4.6/sref)^(B6-1)))</f>
        <v/>
      </c>
      <c r="H6">
        <f>DEGREES(ATAN(TAN(RADIANS(C6-omega*e_base))*(8/sref)^(B6-1)))</f>
        <v/>
      </c>
      <c r="I6">
        <f>DEGREES(ATAN(TAN(RADIANS(C6-omega*e_base))*(15/sref)^(B6-1)))</f>
        <v/>
      </c>
    </row>
    <row r="7">
      <c r="A7" t="inlineStr">
        <is>
          <t>Antamina sola (m = 1), sensibilidad</t>
        </is>
      </c>
      <c r="B7">
        <f>Parametros!B17</f>
        <v/>
      </c>
      <c r="C7">
        <f>Parametros!C17</f>
        <v/>
      </c>
      <c r="D7">
        <f>DEGREES(ATAN(TAN(RADIANS(C7-omega*e_base))*(1/sref)^(B7-1)))</f>
        <v/>
      </c>
      <c r="E7">
        <f>DEGREES(ATAN(TAN(RADIANS(C7-omega*e_base))*(2/sref)^(B7-1)))</f>
        <v/>
      </c>
      <c r="F7">
        <f>DEGREES(ATAN(TAN(RADIANS(C7-omega*e_base))*(3/sref)^(B7-1)))</f>
        <v/>
      </c>
      <c r="G7">
        <f>DEGREES(ATAN(TAN(RADIANS(C7-omega*e_base))*(4.6/sref)^(B7-1)))</f>
        <v/>
      </c>
      <c r="H7">
        <f>DEGREES(ATAN(TAN(RADIANS(C7-omega*e_base))*(8/sref)^(B7-1)))</f>
        <v/>
      </c>
      <c r="I7">
        <f>DEGREES(ATAN(TAN(RADIANS(C7-omega*e_base))*(15/sref)^(B7-1)))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6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8" customWidth="1" min="2" max="2"/>
    <col width="10" customWidth="1" min="3" max="3"/>
    <col width="10" customWidth="1" min="4" max="4"/>
    <col width="12" customWidth="1" min="5" max="5"/>
    <col width="14" customWidth="1" min="6" max="6"/>
    <col width="10" customWidth="1" min="7" max="7"/>
  </cols>
  <sheetData>
    <row r="1">
      <c r="A1" s="1" t="inlineStr">
        <is>
          <t>Set</t>
        </is>
      </c>
      <c r="B1" s="1" t="inlineStr">
        <is>
          <t>e</t>
        </is>
      </c>
      <c r="C1" s="1" t="inlineStr">
        <is>
          <t>σ′n (MPa)</t>
        </is>
      </c>
      <c r="D1" s="1" t="inlineStr">
        <is>
          <t>τ (MPa)</t>
        </is>
      </c>
      <c r="E1" s="1" t="inlineStr">
        <is>
          <t>φ′s ensayo (°)</t>
        </is>
      </c>
      <c r="F1" s="1" t="inlineStr">
        <is>
          <t>φ′s curva a su e (°)</t>
        </is>
      </c>
      <c r="G1" s="1" t="inlineStr">
        <is>
          <t>Δφ′s (°)</t>
        </is>
      </c>
      <c r="I1" s="5" t="inlineStr">
        <is>
          <t>Rango de σ′n</t>
        </is>
      </c>
      <c r="J1" s="5" t="inlineStr">
        <is>
          <t>Ensayos</t>
        </is>
      </c>
      <c r="K1" s="5" t="inlineStr">
        <is>
          <t>Bajo la curva</t>
        </is>
      </c>
      <c r="L1" s="5" t="inlineStr">
        <is>
          <t>Δφ′s mediana (°)</t>
        </is>
      </c>
    </row>
    <row r="2">
      <c r="A2" t="inlineStr">
        <is>
          <t>Holtz &amp; Gibbs (1956) | Ho-aa</t>
        </is>
      </c>
      <c r="B2" t="n">
        <v>0.302</v>
      </c>
      <c r="C2" t="n">
        <v>0.1731832280889229</v>
      </c>
      <c r="D2" t="n">
        <v>0.2029030363785003</v>
      </c>
      <c r="E2">
        <f>DEGREES(ATAN(D2/C2))</f>
        <v/>
      </c>
      <c r="F2">
        <f>DEGREES(ATAN(TAN(RADIANS(pe0-omega*B2))*(C2/sref)^(m_-1)))</f>
        <v/>
      </c>
      <c r="G2">
        <f>E2-F2</f>
        <v/>
      </c>
      <c r="I2" t="inlineStr">
        <is>
          <t>2–4.6 MPa</t>
        </is>
      </c>
      <c r="J2">
        <f>COUNTIFS(C2:C687,"&gt;2",C2:C687,"&lt;=4.6")</f>
        <v/>
      </c>
      <c r="K2">
        <f>COUNTIFS(C2:C687,"&gt;2",C2:C687,"&lt;=4.6",G2:G687,"&lt;0")</f>
        <v/>
      </c>
      <c r="L2">
        <f t="array" ref="L2">MEDIAN(IF((C2:C687&gt;2)*(C2:C687&lt;=4.6),G2:G687))</f>
        <v/>
      </c>
    </row>
    <row r="3">
      <c r="A3" t="inlineStr">
        <is>
          <t>Holtz &amp; Gibbs (1956) | Ho-aa</t>
        </is>
      </c>
      <c r="B3" t="n">
        <v>0.302</v>
      </c>
      <c r="C3" t="n">
        <v>0.3285056784825887</v>
      </c>
      <c r="D3" t="n">
        <v>0.3445431907678837</v>
      </c>
      <c r="E3">
        <f>DEGREES(ATAN(D3/C3))</f>
        <v/>
      </c>
      <c r="F3">
        <f>DEGREES(ATAN(TAN(RADIANS(pe0-omega*B3))*(C3/sref)^(m_-1)))</f>
        <v/>
      </c>
      <c r="G3">
        <f>E3-F3</f>
        <v/>
      </c>
      <c r="I3" t="inlineStr">
        <is>
          <t>4.6–7.9 MPa</t>
        </is>
      </c>
      <c r="J3">
        <f>COUNTIFS(C2:C687,"&gt;4.6",C2:C687,"&lt;=7.9")</f>
        <v/>
      </c>
      <c r="K3">
        <f>COUNTIFS(C2:C687,"&gt;4.6",C2:C687,"&lt;=7.9",G2:G687,"&lt;0")</f>
        <v/>
      </c>
      <c r="L3">
        <f t="array" ref="L3">MEDIAN(IF((C2:C687&gt;4.6)*(C2:C687&lt;=7.9),G2:G687))</f>
        <v/>
      </c>
    </row>
    <row r="4">
      <c r="A4" t="inlineStr">
        <is>
          <t>Holtz &amp; Gibbs (1956) | Ho-aa</t>
        </is>
      </c>
      <c r="B4" t="n">
        <v>0.302</v>
      </c>
      <c r="C4" t="n">
        <v>0.6421749567483283</v>
      </c>
      <c r="D4" t="n">
        <v>0.6200077805819348</v>
      </c>
      <c r="E4">
        <f>DEGREES(ATAN(D4/C4))</f>
        <v/>
      </c>
      <c r="F4">
        <f>DEGREES(ATAN(TAN(RADIANS(pe0-omega*B4))*(C4/sref)^(m_-1)))</f>
        <v/>
      </c>
      <c r="G4">
        <f>E4-F4</f>
        <v/>
      </c>
      <c r="I4" t="inlineStr">
        <is>
          <t>3–7.9 MPa</t>
        </is>
      </c>
      <c r="J4">
        <f>COUNTIFS(C2:C687,"&gt;3",C2:C687,"&lt;=7.9")</f>
        <v/>
      </c>
      <c r="K4">
        <f>COUNTIFS(C2:C687,"&gt;3",C2:C687,"&lt;=7.9",G2:G687,"&lt;0")</f>
        <v/>
      </c>
      <c r="L4">
        <f t="array" ref="L4">MEDIAN(IF((C2:C687&gt;3)*(C2:C687&lt;=7.9),G2:G687))</f>
        <v/>
      </c>
    </row>
    <row r="5">
      <c r="A5" t="inlineStr">
        <is>
          <t>Holtz &amp; Gibbs (1956) | Ho-aa</t>
        </is>
      </c>
      <c r="B5" t="n">
        <v>0.302</v>
      </c>
      <c r="C5" t="n">
        <v>1.23284254193323</v>
      </c>
      <c r="D5" t="n">
        <v>1.071381795297508</v>
      </c>
      <c r="E5">
        <f>DEGREES(ATAN(D5/C5))</f>
        <v/>
      </c>
      <c r="F5">
        <f>DEGREES(ATAN(TAN(RADIANS(pe0-omega*B5))*(C5/sref)^(m_-1)))</f>
        <v/>
      </c>
      <c r="G5">
        <f>E5-F5</f>
        <v/>
      </c>
    </row>
    <row r="6">
      <c r="A6" t="inlineStr">
        <is>
          <t>Holtz &amp; Gibbs (1956) | Ho-bb</t>
        </is>
      </c>
      <c r="B6" t="n">
        <v>0.404</v>
      </c>
      <c r="C6" t="n">
        <v>0.1599789510442817</v>
      </c>
      <c r="D6" t="n">
        <v>0.1610821371899462</v>
      </c>
      <c r="E6">
        <f>DEGREES(ATAN(D6/C6))</f>
        <v/>
      </c>
      <c r="F6">
        <f>DEGREES(ATAN(TAN(RADIANS(pe0-omega*B6))*(C6/sref)^(m_-1)))</f>
        <v/>
      </c>
      <c r="G6">
        <f>E6-F6</f>
        <v/>
      </c>
    </row>
    <row r="7">
      <c r="A7" t="inlineStr">
        <is>
          <t>Holtz &amp; Gibbs (1956) | Ho-bb</t>
        </is>
      </c>
      <c r="B7" t="n">
        <v>0.404</v>
      </c>
      <c r="C7" t="n">
        <v>0.3468240684323217</v>
      </c>
      <c r="D7" t="n">
        <v>0.3695443089262047</v>
      </c>
      <c r="E7">
        <f>DEGREES(ATAN(D7/C7))</f>
        <v/>
      </c>
      <c r="F7">
        <f>DEGREES(ATAN(TAN(RADIANS(pe0-omega*B7))*(C7/sref)^(m_-1)))</f>
        <v/>
      </c>
      <c r="G7">
        <f>E7-F7</f>
        <v/>
      </c>
    </row>
    <row r="8">
      <c r="A8" t="inlineStr">
        <is>
          <t>Holtz &amp; Gibbs (1956) | Ho-bb</t>
        </is>
      </c>
      <c r="B8" t="n">
        <v>0.404</v>
      </c>
      <c r="C8" t="n">
        <v>0.6252039341526918</v>
      </c>
      <c r="D8" t="n">
        <v>0.5636905635563694</v>
      </c>
      <c r="E8">
        <f>DEGREES(ATAN(D8/C8))</f>
        <v/>
      </c>
      <c r="F8">
        <f>DEGREES(ATAN(TAN(RADIANS(pe0-omega*B8))*(C8/sref)^(m_-1)))</f>
        <v/>
      </c>
      <c r="G8">
        <f>E8-F8</f>
        <v/>
      </c>
    </row>
    <row r="9">
      <c r="A9" t="inlineStr">
        <is>
          <t>Holtz &amp; Gibbs (1956) | Ho-bb</t>
        </is>
      </c>
      <c r="B9" t="n">
        <v>0.404</v>
      </c>
      <c r="C9" t="n">
        <v>1.195328141574337</v>
      </c>
      <c r="D9" t="n">
        <v>0.9579495575155205</v>
      </c>
      <c r="E9">
        <f>DEGREES(ATAN(D9/C9))</f>
        <v/>
      </c>
      <c r="F9">
        <f>DEGREES(ATAN(TAN(RADIANS(pe0-omega*B9))*(C9/sref)^(m_-1)))</f>
        <v/>
      </c>
      <c r="G9">
        <f>E9-F9</f>
        <v/>
      </c>
    </row>
    <row r="10">
      <c r="A10" t="inlineStr">
        <is>
          <t>Holtz &amp; Gibbs (1956) | Ho-cc</t>
        </is>
      </c>
      <c r="B10" t="n">
        <v>0.293</v>
      </c>
      <c r="C10" t="n">
        <v>0.1605105128890151</v>
      </c>
      <c r="D10" t="n">
        <v>0.1733531299344607</v>
      </c>
      <c r="E10">
        <f>DEGREES(ATAN(D10/C10))</f>
        <v/>
      </c>
      <c r="F10">
        <f>DEGREES(ATAN(TAN(RADIANS(pe0-omega*B10))*(C10/sref)^(m_-1)))</f>
        <v/>
      </c>
      <c r="G10">
        <f>E10-F10</f>
        <v/>
      </c>
    </row>
    <row r="11">
      <c r="A11" t="inlineStr">
        <is>
          <t>Holtz &amp; Gibbs (1956) | Ho-cc</t>
        </is>
      </c>
      <c r="B11" t="n">
        <v>0.293</v>
      </c>
      <c r="C11" t="n">
        <v>0.3278159179173934</v>
      </c>
      <c r="D11" t="n">
        <v>0.3466647307223906</v>
      </c>
      <c r="E11">
        <f>DEGREES(ATAN(D11/C11))</f>
        <v/>
      </c>
      <c r="F11">
        <f>DEGREES(ATAN(TAN(RADIANS(pe0-omega*B11))*(C11/sref)^(m_-1)))</f>
        <v/>
      </c>
      <c r="G11">
        <f>E11-F11</f>
        <v/>
      </c>
    </row>
    <row r="12">
      <c r="A12" t="inlineStr">
        <is>
          <t>Holtz &amp; Gibbs (1956) | Ho-cc</t>
        </is>
      </c>
      <c r="B12" t="n">
        <v>0.293</v>
      </c>
      <c r="C12" t="n">
        <v>0.6230749005469143</v>
      </c>
      <c r="D12" t="n">
        <v>0.5946344607651751</v>
      </c>
      <c r="E12">
        <f>DEGREES(ATAN(D12/C12))</f>
        <v/>
      </c>
      <c r="F12">
        <f>DEGREES(ATAN(TAN(RADIANS(pe0-omega*B12))*(C12/sref)^(m_-1)))</f>
        <v/>
      </c>
      <c r="G12">
        <f>E12-F12</f>
        <v/>
      </c>
    </row>
    <row r="13">
      <c r="A13" t="inlineStr">
        <is>
          <t>Holtz &amp; Gibbs (1956) | Ho-cc</t>
        </is>
      </c>
      <c r="B13" t="n">
        <v>0.293</v>
      </c>
      <c r="C13" t="n">
        <v>1.223817044037489</v>
      </c>
      <c r="D13" t="n">
        <v>1.089286230621331</v>
      </c>
      <c r="E13">
        <f>DEGREES(ATAN(D13/C13))</f>
        <v/>
      </c>
      <c r="F13">
        <f>DEGREES(ATAN(TAN(RADIANS(pe0-omega*B13))*(C13/sref)^(m_-1)))</f>
        <v/>
      </c>
      <c r="G13">
        <f>E13-F13</f>
        <v/>
      </c>
    </row>
    <row r="14">
      <c r="A14" t="inlineStr">
        <is>
          <t>Holtz &amp; Gibbs (1956) | Ho-dd</t>
        </is>
      </c>
      <c r="B14" t="n">
        <v>0.369</v>
      </c>
      <c r="C14" t="n">
        <v>0.1430941398500995</v>
      </c>
      <c r="D14" t="n">
        <v>0.1223423320489525</v>
      </c>
      <c r="E14">
        <f>DEGREES(ATAN(D14/C14))</f>
        <v/>
      </c>
      <c r="F14">
        <f>DEGREES(ATAN(TAN(RADIANS(pe0-omega*B14))*(C14/sref)^(m_-1)))</f>
        <v/>
      </c>
      <c r="G14">
        <f>E14-F14</f>
        <v/>
      </c>
    </row>
    <row r="15">
      <c r="A15" t="inlineStr">
        <is>
          <t>Holtz &amp; Gibbs (1956) | Ho-dd</t>
        </is>
      </c>
      <c r="B15" t="n">
        <v>0.369</v>
      </c>
      <c r="C15" t="n">
        <v>0.4300279402941915</v>
      </c>
      <c r="D15" t="n">
        <v>0.3578764555740173</v>
      </c>
      <c r="E15">
        <f>DEGREES(ATAN(D15/C15))</f>
        <v/>
      </c>
      <c r="F15">
        <f>DEGREES(ATAN(TAN(RADIANS(pe0-omega*B15))*(C15/sref)^(m_-1)))</f>
        <v/>
      </c>
      <c r="G15">
        <f>E15-F15</f>
        <v/>
      </c>
    </row>
    <row r="16">
      <c r="A16" t="inlineStr">
        <is>
          <t>Holtz &amp; Gibbs (1956) | Ho-dd</t>
        </is>
      </c>
      <c r="B16" t="n">
        <v>0.369</v>
      </c>
      <c r="C16" t="n">
        <v>0.8632240002609876</v>
      </c>
      <c r="D16" t="n">
        <v>0.7092614063787794</v>
      </c>
      <c r="E16">
        <f>DEGREES(ATAN(D16/C16))</f>
        <v/>
      </c>
      <c r="F16">
        <f>DEGREES(ATAN(TAN(RADIANS(pe0-omega*B16))*(C16/sref)^(m_-1)))</f>
        <v/>
      </c>
      <c r="G16">
        <f>E16-F16</f>
        <v/>
      </c>
    </row>
    <row r="17">
      <c r="A17" t="inlineStr">
        <is>
          <t>Holtz &amp; Gibbs (1956) | Ho-ff</t>
        </is>
      </c>
      <c r="B17" t="n">
        <v>0.52</v>
      </c>
      <c r="C17" t="n">
        <v>0.317358802476402</v>
      </c>
      <c r="D17" t="n">
        <v>0.2982308374764925</v>
      </c>
      <c r="E17">
        <f>DEGREES(ATAN(D17/C17))</f>
        <v/>
      </c>
      <c r="F17">
        <f>DEGREES(ATAN(TAN(RADIANS(pe0-omega*B17))*(C17/sref)^(m_-1)))</f>
        <v/>
      </c>
      <c r="G17">
        <f>E17-F17</f>
        <v/>
      </c>
    </row>
    <row r="18">
      <c r="A18" t="inlineStr">
        <is>
          <t>Holtz &amp; Gibbs (1956) | Ho-ff</t>
        </is>
      </c>
      <c r="B18" t="n">
        <v>0.52</v>
      </c>
      <c r="C18" t="n">
        <v>0.4616336140511984</v>
      </c>
      <c r="D18" t="n">
        <v>0.4024000726064961</v>
      </c>
      <c r="E18">
        <f>DEGREES(ATAN(D18/C18))</f>
        <v/>
      </c>
      <c r="F18">
        <f>DEGREES(ATAN(TAN(RADIANS(pe0-omega*B18))*(C18/sref)^(m_-1)))</f>
        <v/>
      </c>
      <c r="G18">
        <f>E18-F18</f>
        <v/>
      </c>
    </row>
    <row r="19">
      <c r="A19" t="inlineStr">
        <is>
          <t>Holtz &amp; Gibbs (1956) | Ho-gg</t>
        </is>
      </c>
      <c r="B19" t="n">
        <v>0.406</v>
      </c>
      <c r="C19" t="n">
        <v>0.1370742019189431</v>
      </c>
      <c r="D19" t="n">
        <v>0.1266552729900665</v>
      </c>
      <c r="E19">
        <f>DEGREES(ATAN(D19/C19))</f>
        <v/>
      </c>
      <c r="F19">
        <f>DEGREES(ATAN(TAN(RADIANS(pe0-omega*B19))*(C19/sref)^(m_-1)))</f>
        <v/>
      </c>
      <c r="G19">
        <f>E19-F19</f>
        <v/>
      </c>
    </row>
    <row r="20">
      <c r="A20" t="inlineStr">
        <is>
          <t>Holtz &amp; Gibbs (1956) | Ho-gg</t>
        </is>
      </c>
      <c r="B20" t="n">
        <v>0.406</v>
      </c>
      <c r="C20" t="n">
        <v>0.3071023912661287</v>
      </c>
      <c r="D20" t="n">
        <v>0.3359009957290366</v>
      </c>
      <c r="E20">
        <f>DEGREES(ATAN(D20/C20))</f>
        <v/>
      </c>
      <c r="F20">
        <f>DEGREES(ATAN(TAN(RADIANS(pe0-omega*B20))*(C20/sref)^(m_-1)))</f>
        <v/>
      </c>
      <c r="G20">
        <f>E20-F20</f>
        <v/>
      </c>
    </row>
    <row r="21">
      <c r="A21" t="inlineStr">
        <is>
          <t>Holtz &amp; Gibbs (1956) | Ho-gg</t>
        </is>
      </c>
      <c r="B21" t="n">
        <v>0.406</v>
      </c>
      <c r="C21" t="n">
        <v>0.4410449872585639</v>
      </c>
      <c r="D21" t="n">
        <v>0.4554088453790127</v>
      </c>
      <c r="E21">
        <f>DEGREES(ATAN(D21/C21))</f>
        <v/>
      </c>
      <c r="F21">
        <f>DEGREES(ATAN(TAN(RADIANS(pe0-omega*B21))*(C21/sref)^(m_-1)))</f>
        <v/>
      </c>
      <c r="G21">
        <f>E21-F21</f>
        <v/>
      </c>
    </row>
    <row r="22">
      <c r="A22" t="inlineStr">
        <is>
          <t>Holtz &amp; Gibbs (1956) | Ho-n</t>
        </is>
      </c>
      <c r="B22" t="n">
        <v>0.468</v>
      </c>
      <c r="C22" t="n">
        <v>0.1482269750814597</v>
      </c>
      <c r="D22" t="n">
        <v>0.126787911968481</v>
      </c>
      <c r="E22">
        <f>DEGREES(ATAN(D22/C22))</f>
        <v/>
      </c>
      <c r="F22">
        <f>DEGREES(ATAN(TAN(RADIANS(pe0-omega*B22))*(C22/sref)^(m_-1)))</f>
        <v/>
      </c>
      <c r="G22">
        <f>E22-F22</f>
        <v/>
      </c>
    </row>
    <row r="23">
      <c r="A23" t="inlineStr">
        <is>
          <t>Holtz &amp; Gibbs (1956) | Ho-n</t>
        </is>
      </c>
      <c r="B23" t="n">
        <v>0.468</v>
      </c>
      <c r="C23" t="n">
        <v>0.2968523919375951</v>
      </c>
      <c r="D23" t="n">
        <v>0.2412042712775001</v>
      </c>
      <c r="E23">
        <f>DEGREES(ATAN(D23/C23))</f>
        <v/>
      </c>
      <c r="F23">
        <f>DEGREES(ATAN(TAN(RADIANS(pe0-omega*B23))*(C23/sref)^(m_-1)))</f>
        <v/>
      </c>
      <c r="G23">
        <f>E23-F23</f>
        <v/>
      </c>
    </row>
    <row r="24">
      <c r="A24" t="inlineStr">
        <is>
          <t>Holtz &amp; Gibbs (1956) | Ho-n</t>
        </is>
      </c>
      <c r="B24" t="n">
        <v>0.468</v>
      </c>
      <c r="C24" t="n">
        <v>0.5865860610905493</v>
      </c>
      <c r="D24" t="n">
        <v>0.4484981158999876</v>
      </c>
      <c r="E24">
        <f>DEGREES(ATAN(D24/C24))</f>
        <v/>
      </c>
      <c r="F24">
        <f>DEGREES(ATAN(TAN(RADIANS(pe0-omega*B24))*(C24/sref)^(m_-1)))</f>
        <v/>
      </c>
      <c r="G24">
        <f>E24-F24</f>
        <v/>
      </c>
    </row>
    <row r="25">
      <c r="A25" t="inlineStr">
        <is>
          <t>Holtz &amp; Gibbs (1956) | Ho-n</t>
        </is>
      </c>
      <c r="B25" t="n">
        <v>0.468</v>
      </c>
      <c r="C25" t="n">
        <v>1.142177397157959</v>
      </c>
      <c r="D25" t="n">
        <v>0.8062112205297663</v>
      </c>
      <c r="E25">
        <f>DEGREES(ATAN(D25/C25))</f>
        <v/>
      </c>
      <c r="F25">
        <f>DEGREES(ATAN(TAN(RADIANS(pe0-omega*B25))*(C25/sref)^(m_-1)))</f>
        <v/>
      </c>
      <c r="G25">
        <f>E25-F25</f>
        <v/>
      </c>
    </row>
    <row r="26">
      <c r="A26" t="inlineStr">
        <is>
          <t>Holtz &amp; Gibbs (1956) | Ho-o</t>
        </is>
      </c>
      <c r="B26" t="n">
        <v>0.49</v>
      </c>
      <c r="C26" t="n">
        <v>0.1599778057768796</v>
      </c>
      <c r="D26" t="n">
        <v>0.1444399886161678</v>
      </c>
      <c r="E26">
        <f>DEGREES(ATAN(D26/C26))</f>
        <v/>
      </c>
      <c r="F26">
        <f>DEGREES(ATAN(TAN(RADIANS(pe0-omega*B26))*(C26/sref)^(m_-1)))</f>
        <v/>
      </c>
      <c r="G26">
        <f>E26-F26</f>
        <v/>
      </c>
    </row>
    <row r="27">
      <c r="A27" t="inlineStr">
        <is>
          <t>Holtz &amp; Gibbs (1956) | Ho-o</t>
        </is>
      </c>
      <c r="B27" t="n">
        <v>0.49</v>
      </c>
      <c r="C27" t="n">
        <v>0.2786419640607634</v>
      </c>
      <c r="D27" t="n">
        <v>0.207600954297032</v>
      </c>
      <c r="E27">
        <f>DEGREES(ATAN(D27/C27))</f>
        <v/>
      </c>
      <c r="F27">
        <f>DEGREES(ATAN(TAN(RADIANS(pe0-omega*B27))*(C27/sref)^(m_-1)))</f>
        <v/>
      </c>
      <c r="G27">
        <f>E27-F27</f>
        <v/>
      </c>
    </row>
    <row r="28">
      <c r="A28" t="inlineStr">
        <is>
          <t>Holtz &amp; Gibbs (1956) | Ho-o</t>
        </is>
      </c>
      <c r="B28" t="n">
        <v>0.49</v>
      </c>
      <c r="C28" t="n">
        <v>0.5604174638153748</v>
      </c>
      <c r="D28" t="n">
        <v>0.4194957973477851</v>
      </c>
      <c r="E28">
        <f>DEGREES(ATAN(D28/C28))</f>
        <v/>
      </c>
      <c r="F28">
        <f>DEGREES(ATAN(TAN(RADIANS(pe0-omega*B28))*(C28/sref)^(m_-1)))</f>
        <v/>
      </c>
      <c r="G28">
        <f>E28-F28</f>
        <v/>
      </c>
    </row>
    <row r="29">
      <c r="A29" t="inlineStr">
        <is>
          <t>Holtz &amp; Gibbs (1956) | Ho-o</t>
        </is>
      </c>
      <c r="B29" t="n">
        <v>0.49</v>
      </c>
      <c r="C29" t="n">
        <v>1.121646641351685</v>
      </c>
      <c r="D29" t="n">
        <v>0.826261891089181</v>
      </c>
      <c r="E29">
        <f>DEGREES(ATAN(D29/C29))</f>
        <v/>
      </c>
      <c r="F29">
        <f>DEGREES(ATAN(TAN(RADIANS(pe0-omega*B29))*(C29/sref)^(m_-1)))</f>
        <v/>
      </c>
      <c r="G29">
        <f>E29-F29</f>
        <v/>
      </c>
    </row>
    <row r="30">
      <c r="A30" t="inlineStr">
        <is>
          <t>Holtz &amp; Gibbs (1956) | Ho-p</t>
        </is>
      </c>
      <c r="B30" t="n">
        <v>0.418</v>
      </c>
      <c r="C30" t="n">
        <v>0.1694256347217161</v>
      </c>
      <c r="D30" t="n">
        <v>0.1710976728686718</v>
      </c>
      <c r="E30">
        <f>DEGREES(ATAN(D30/C30))</f>
        <v/>
      </c>
      <c r="F30">
        <f>DEGREES(ATAN(TAN(RADIANS(pe0-omega*B30))*(C30/sref)^(m_-1)))</f>
        <v/>
      </c>
      <c r="G30">
        <f>E30-F30</f>
        <v/>
      </c>
    </row>
    <row r="31">
      <c r="A31" t="inlineStr">
        <is>
          <t>Holtz &amp; Gibbs (1956) | Ho-p</t>
        </is>
      </c>
      <c r="B31" t="n">
        <v>0.418</v>
      </c>
      <c r="C31" t="n">
        <v>0.3125645861914576</v>
      </c>
      <c r="D31" t="n">
        <v>0.283483581986696</v>
      </c>
      <c r="E31">
        <f>DEGREES(ATAN(D31/C31))</f>
        <v/>
      </c>
      <c r="F31">
        <f>DEGREES(ATAN(TAN(RADIANS(pe0-omega*B31))*(C31/sref)^(m_-1)))</f>
        <v/>
      </c>
      <c r="G31">
        <f>E31-F31</f>
        <v/>
      </c>
    </row>
    <row r="32">
      <c r="A32" t="inlineStr">
        <is>
          <t>Holtz &amp; Gibbs (1956) | Ho-p</t>
        </is>
      </c>
      <c r="B32" t="n">
        <v>0.418</v>
      </c>
      <c r="C32" t="n">
        <v>0.615234540769934</v>
      </c>
      <c r="D32" t="n">
        <v>0.5301593334752834</v>
      </c>
      <c r="E32">
        <f>DEGREES(ATAN(D32/C32))</f>
        <v/>
      </c>
      <c r="F32">
        <f>DEGREES(ATAN(TAN(RADIANS(pe0-omega*B32))*(C32/sref)^(m_-1)))</f>
        <v/>
      </c>
      <c r="G32">
        <f>E32-F32</f>
        <v/>
      </c>
    </row>
    <row r="33">
      <c r="A33" t="inlineStr">
        <is>
          <t>Holtz &amp; Gibbs (1956) | Ho-p</t>
        </is>
      </c>
      <c r="B33" t="n">
        <v>0.418</v>
      </c>
      <c r="C33" t="n">
        <v>0.8945101377530101</v>
      </c>
      <c r="D33" t="n">
        <v>0.7189947295687404</v>
      </c>
      <c r="E33">
        <f>DEGREES(ATAN(D33/C33))</f>
        <v/>
      </c>
      <c r="F33">
        <f>DEGREES(ATAN(TAN(RADIANS(pe0-omega*B33))*(C33/sref)^(m_-1)))</f>
        <v/>
      </c>
      <c r="G33">
        <f>E33-F33</f>
        <v/>
      </c>
    </row>
    <row r="34">
      <c r="A34" t="inlineStr">
        <is>
          <t>Holtz &amp; Gibbs (1956) | Ho-q</t>
        </is>
      </c>
      <c r="B34" t="n">
        <v>0.422</v>
      </c>
      <c r="C34" t="n">
        <v>0.1627483649628275</v>
      </c>
      <c r="D34" t="n">
        <v>0.1645169136132481</v>
      </c>
      <c r="E34">
        <f>DEGREES(ATAN(D34/C34))</f>
        <v/>
      </c>
      <c r="F34">
        <f>DEGREES(ATAN(TAN(RADIANS(pe0-omega*B34))*(C34/sref)^(m_-1)))</f>
        <v/>
      </c>
      <c r="G34">
        <f>E34-F34</f>
        <v/>
      </c>
    </row>
    <row r="35">
      <c r="A35" t="inlineStr">
        <is>
          <t>Holtz &amp; Gibbs (1956) | Ho-q</t>
        </is>
      </c>
      <c r="B35" t="n">
        <v>0.422</v>
      </c>
      <c r="C35" t="n">
        <v>0.3128419333782876</v>
      </c>
      <c r="D35" t="n">
        <v>0.2898280898767414</v>
      </c>
      <c r="E35">
        <f>DEGREES(ATAN(D35/C35))</f>
        <v/>
      </c>
      <c r="F35">
        <f>DEGREES(ATAN(TAN(RADIANS(pe0-omega*B35))*(C35/sref)^(m_-1)))</f>
        <v/>
      </c>
      <c r="G35">
        <f>E35-F35</f>
        <v/>
      </c>
    </row>
    <row r="36">
      <c r="A36" t="inlineStr">
        <is>
          <t>Holtz &amp; Gibbs (1956) | Ho-q</t>
        </is>
      </c>
      <c r="B36" t="n">
        <v>0.422</v>
      </c>
      <c r="C36" t="n">
        <v>0.6100114463996881</v>
      </c>
      <c r="D36" t="n">
        <v>0.5240376426084101</v>
      </c>
      <c r="E36">
        <f>DEGREES(ATAN(D36/C36))</f>
        <v/>
      </c>
      <c r="F36">
        <f>DEGREES(ATAN(TAN(RADIANS(pe0-omega*B36))*(C36/sref)^(m_-1)))</f>
        <v/>
      </c>
      <c r="G36">
        <f>E36-F36</f>
        <v/>
      </c>
    </row>
    <row r="37">
      <c r="A37" t="inlineStr">
        <is>
          <t>Holtz &amp; Gibbs (1956) | Ho-q</t>
        </is>
      </c>
      <c r="B37" t="n">
        <v>0.422</v>
      </c>
      <c r="C37" t="n">
        <v>1.173812827836743</v>
      </c>
      <c r="D37" t="n">
        <v>0.915118727970086</v>
      </c>
      <c r="E37">
        <f>DEGREES(ATAN(D37/C37))</f>
        <v/>
      </c>
      <c r="F37">
        <f>DEGREES(ATAN(TAN(RADIANS(pe0-omega*B37))*(C37/sref)^(m_-1)))</f>
        <v/>
      </c>
      <c r="G37">
        <f>E37-F37</f>
        <v/>
      </c>
    </row>
    <row r="38">
      <c r="A38" t="inlineStr">
        <is>
          <t>Holtz &amp; Gibbs (1956) | Ho-r</t>
        </is>
      </c>
      <c r="B38" t="n">
        <v>0.418</v>
      </c>
      <c r="C38" t="n">
        <v>0.1656407481252759</v>
      </c>
      <c r="D38" t="n">
        <v>0.1675622638007076</v>
      </c>
      <c r="E38">
        <f>DEGREES(ATAN(D38/C38))</f>
        <v/>
      </c>
      <c r="F38">
        <f>DEGREES(ATAN(TAN(RADIANS(pe0-omega*B38))*(C38/sref)^(m_-1)))</f>
        <v/>
      </c>
      <c r="G38">
        <f>E38-F38</f>
        <v/>
      </c>
    </row>
    <row r="39">
      <c r="A39" t="inlineStr">
        <is>
          <t>Holtz &amp; Gibbs (1956) | Ho-r</t>
        </is>
      </c>
      <c r="B39" t="n">
        <v>0.418</v>
      </c>
      <c r="C39" t="n">
        <v>0.3185847658003653</v>
      </c>
      <c r="D39" t="n">
        <v>0.3004975615160099</v>
      </c>
      <c r="E39">
        <f>DEGREES(ATAN(D39/C39))</f>
        <v/>
      </c>
      <c r="F39">
        <f>DEGREES(ATAN(TAN(RADIANS(pe0-omega*B39))*(C39/sref)^(m_-1)))</f>
        <v/>
      </c>
      <c r="G39">
        <f>E39-F39</f>
        <v/>
      </c>
    </row>
    <row r="40">
      <c r="A40" t="inlineStr">
        <is>
          <t>Holtz &amp; Gibbs (1956) | Ho-r</t>
        </is>
      </c>
      <c r="B40" t="n">
        <v>0.418</v>
      </c>
      <c r="C40" t="n">
        <v>0.6007084754605753</v>
      </c>
      <c r="D40" t="n">
        <v>0.5089619139221059</v>
      </c>
      <c r="E40">
        <f>DEGREES(ATAN(D40/C40))</f>
        <v/>
      </c>
      <c r="F40">
        <f>DEGREES(ATAN(TAN(RADIANS(pe0-omega*B40))*(C40/sref)^(m_-1)))</f>
        <v/>
      </c>
      <c r="G40">
        <f>E40-F40</f>
        <v/>
      </c>
    </row>
    <row r="41">
      <c r="A41" t="inlineStr">
        <is>
          <t>Holtz &amp; Gibbs (1956) | Ho-r</t>
        </is>
      </c>
      <c r="B41" t="n">
        <v>0.418</v>
      </c>
      <c r="C41" t="n">
        <v>1.173890515947988</v>
      </c>
      <c r="D41" t="n">
        <v>0.9174607817087289</v>
      </c>
      <c r="E41">
        <f>DEGREES(ATAN(D41/C41))</f>
        <v/>
      </c>
      <c r="F41">
        <f>DEGREES(ATAN(TAN(RADIANS(pe0-omega*B41))*(C41/sref)^(m_-1)))</f>
        <v/>
      </c>
      <c r="G41">
        <f>E41-F41</f>
        <v/>
      </c>
    </row>
    <row r="42">
      <c r="A42" t="inlineStr">
        <is>
          <t>Holtz &amp; Gibbs (1956) | Ho-s</t>
        </is>
      </c>
      <c r="B42" t="n">
        <v>0.365</v>
      </c>
      <c r="C42" t="n">
        <v>0.1692681886086403</v>
      </c>
      <c r="D42" t="n">
        <v>0.1850784941621606</v>
      </c>
      <c r="E42">
        <f>DEGREES(ATAN(D42/C42))</f>
        <v/>
      </c>
      <c r="F42">
        <f>DEGREES(ATAN(TAN(RADIANS(pe0-omega*B42))*(C42/sref)^(m_-1)))</f>
        <v/>
      </c>
      <c r="G42">
        <f>E42-F42</f>
        <v/>
      </c>
    </row>
    <row r="43">
      <c r="A43" t="inlineStr">
        <is>
          <t>Holtz &amp; Gibbs (1956) | Ho-s</t>
        </is>
      </c>
      <c r="B43" t="n">
        <v>0.365</v>
      </c>
      <c r="C43" t="n">
        <v>0.3211152426643705</v>
      </c>
      <c r="D43" t="n">
        <v>0.316350869999079</v>
      </c>
      <c r="E43">
        <f>DEGREES(ATAN(D43/C43))</f>
        <v/>
      </c>
      <c r="F43">
        <f>DEGREES(ATAN(TAN(RADIANS(pe0-omega*B43))*(C43/sref)^(m_-1)))</f>
        <v/>
      </c>
      <c r="G43">
        <f>E43-F43</f>
        <v/>
      </c>
    </row>
    <row r="44">
      <c r="A44" t="inlineStr">
        <is>
          <t>Holtz &amp; Gibbs (1956) | Ho-s</t>
        </is>
      </c>
      <c r="B44" t="n">
        <v>0.365</v>
      </c>
      <c r="C44" t="n">
        <v>0.6207799829712412</v>
      </c>
      <c r="D44" t="n">
        <v>0.5583645457610802</v>
      </c>
      <c r="E44">
        <f>DEGREES(ATAN(D44/C44))</f>
        <v/>
      </c>
      <c r="F44">
        <f>DEGREES(ATAN(TAN(RADIANS(pe0-omega*B44))*(C44/sref)^(m_-1)))</f>
        <v/>
      </c>
      <c r="G44">
        <f>E44-F44</f>
        <v/>
      </c>
    </row>
    <row r="45">
      <c r="A45" t="inlineStr">
        <is>
          <t>Holtz &amp; Gibbs (1956) | Ho-s</t>
        </is>
      </c>
      <c r="B45" t="n">
        <v>0.365</v>
      </c>
      <c r="C45" t="n">
        <v>1.212182982565783</v>
      </c>
      <c r="D45" t="n">
        <v>1.003344438884749</v>
      </c>
      <c r="E45">
        <f>DEGREES(ATAN(D45/C45))</f>
        <v/>
      </c>
      <c r="F45">
        <f>DEGREES(ATAN(TAN(RADIANS(pe0-omega*B45))*(C45/sref)^(m_-1)))</f>
        <v/>
      </c>
      <c r="G45">
        <f>E45-F45</f>
        <v/>
      </c>
    </row>
    <row r="46">
      <c r="A46" t="inlineStr">
        <is>
          <t>Holtz &amp; Gibbs (1956) | Ho-t</t>
        </is>
      </c>
      <c r="B46" t="n">
        <v>0.317</v>
      </c>
      <c r="C46" t="n">
        <v>0.1719958252824175</v>
      </c>
      <c r="D46" t="n">
        <v>0.1975533432693712</v>
      </c>
      <c r="E46">
        <f>DEGREES(ATAN(D46/C46))</f>
        <v/>
      </c>
      <c r="F46">
        <f>DEGREES(ATAN(TAN(RADIANS(pe0-omega*B46))*(C46/sref)^(m_-1)))</f>
        <v/>
      </c>
      <c r="G46">
        <f>E46-F46</f>
        <v/>
      </c>
    </row>
    <row r="47">
      <c r="A47" t="inlineStr">
        <is>
          <t>Holtz &amp; Gibbs (1956) | Ho-t</t>
        </is>
      </c>
      <c r="B47" t="n">
        <v>0.317</v>
      </c>
      <c r="C47" t="n">
        <v>0.3295873002704303</v>
      </c>
      <c r="D47" t="n">
        <v>0.3476718495794601</v>
      </c>
      <c r="E47">
        <f>DEGREES(ATAN(D47/C47))</f>
        <v/>
      </c>
      <c r="F47">
        <f>DEGREES(ATAN(TAN(RADIANS(pe0-omega*B47))*(C47/sref)^(m_-1)))</f>
        <v/>
      </c>
      <c r="G47">
        <f>E47-F47</f>
        <v/>
      </c>
    </row>
    <row r="48">
      <c r="A48" t="inlineStr">
        <is>
          <t>Holtz &amp; Gibbs (1956) | Ho-t</t>
        </is>
      </c>
      <c r="B48" t="n">
        <v>0.317</v>
      </c>
      <c r="C48" t="n">
        <v>0.6254492510838096</v>
      </c>
      <c r="D48" t="n">
        <v>0.5929172407667332</v>
      </c>
      <c r="E48">
        <f>DEGREES(ATAN(D48/C48))</f>
        <v/>
      </c>
      <c r="F48">
        <f>DEGREES(ATAN(TAN(RADIANS(pe0-omega*B48))*(C48/sref)^(m_-1)))</f>
        <v/>
      </c>
      <c r="G48">
        <f>E48-F48</f>
        <v/>
      </c>
    </row>
    <row r="49">
      <c r="A49" t="inlineStr">
        <is>
          <t>Holtz &amp; Gibbs (1956) | Ho-t</t>
        </is>
      </c>
      <c r="B49" t="n">
        <v>0.317</v>
      </c>
      <c r="C49" t="n">
        <v>1.218886574778633</v>
      </c>
      <c r="D49" t="n">
        <v>1.054472589943034</v>
      </c>
      <c r="E49">
        <f>DEGREES(ATAN(D49/C49))</f>
        <v/>
      </c>
      <c r="F49">
        <f>DEGREES(ATAN(TAN(RADIANS(pe0-omega*B49))*(C49/sref)^(m_-1)))</f>
        <v/>
      </c>
      <c r="G49">
        <f>E49-F49</f>
        <v/>
      </c>
    </row>
    <row r="50">
      <c r="A50" t="inlineStr">
        <is>
          <t>Holtz &amp; Gibbs (1956) | Ho-u</t>
        </is>
      </c>
      <c r="B50" t="n">
        <v>0.298</v>
      </c>
      <c r="C50" t="n">
        <v>0.154107708220048</v>
      </c>
      <c r="D50" t="n">
        <v>0.1519877009426734</v>
      </c>
      <c r="E50">
        <f>DEGREES(ATAN(D50/C50))</f>
        <v/>
      </c>
      <c r="F50">
        <f>DEGREES(ATAN(TAN(RADIANS(pe0-omega*B50))*(C50/sref)^(m_-1)))</f>
        <v/>
      </c>
      <c r="G50">
        <f>E50-F50</f>
        <v/>
      </c>
    </row>
    <row r="51">
      <c r="A51" t="inlineStr">
        <is>
          <t>Holtz &amp; Gibbs (1956) | Ho-u</t>
        </is>
      </c>
      <c r="B51" t="n">
        <v>0.298</v>
      </c>
      <c r="C51" t="n">
        <v>0.3214272767167155</v>
      </c>
      <c r="D51" t="n">
        <v>0.3190641365361481</v>
      </c>
      <c r="E51">
        <f>DEGREES(ATAN(D51/C51))</f>
        <v/>
      </c>
      <c r="F51">
        <f>DEGREES(ATAN(TAN(RADIANS(pe0-omega*B51))*(C51/sref)^(m_-1)))</f>
        <v/>
      </c>
      <c r="G51">
        <f>E51-F51</f>
        <v/>
      </c>
    </row>
    <row r="52">
      <c r="A52" t="inlineStr">
        <is>
          <t>Holtz &amp; Gibbs (1956) | Ho-u</t>
        </is>
      </c>
      <c r="B52" t="n">
        <v>0.298</v>
      </c>
      <c r="C52" t="n">
        <v>0.6072606079517988</v>
      </c>
      <c r="D52" t="n">
        <v>0.5352634497898019</v>
      </c>
      <c r="E52">
        <f>DEGREES(ATAN(D52/C52))</f>
        <v/>
      </c>
      <c r="F52">
        <f>DEGREES(ATAN(TAN(RADIANS(pe0-omega*B52))*(C52/sref)^(m_-1)))</f>
        <v/>
      </c>
      <c r="G52">
        <f>E52-F52</f>
        <v/>
      </c>
    </row>
    <row r="53">
      <c r="A53" t="inlineStr">
        <is>
          <t>Holtz &amp; Gibbs (1956) | Ho-u</t>
        </is>
      </c>
      <c r="B53" t="n">
        <v>0.298</v>
      </c>
      <c r="C53" t="n">
        <v>1.200467898391637</v>
      </c>
      <c r="D53" t="n">
        <v>0.9911848686841895</v>
      </c>
      <c r="E53">
        <f>DEGREES(ATAN(D53/C53))</f>
        <v/>
      </c>
      <c r="F53">
        <f>DEGREES(ATAN(TAN(RADIANS(pe0-omega*B53))*(C53/sref)^(m_-1)))</f>
        <v/>
      </c>
      <c r="G53">
        <f>E53-F53</f>
        <v/>
      </c>
    </row>
    <row r="54">
      <c r="A54" t="inlineStr">
        <is>
          <t>Holtz &amp; Gibbs (1956) | Ho-v</t>
        </is>
      </c>
      <c r="B54" t="n">
        <v>0.4</v>
      </c>
      <c r="C54" t="n">
        <v>0.1678000087216709</v>
      </c>
      <c r="D54" t="n">
        <v>0.1789142548980464</v>
      </c>
      <c r="E54">
        <f>DEGREES(ATAN(D54/C54))</f>
        <v/>
      </c>
      <c r="F54">
        <f>DEGREES(ATAN(TAN(RADIANS(pe0-omega*B54))*(C54/sref)^(m_-1)))</f>
        <v/>
      </c>
      <c r="G54">
        <f>E54-F54</f>
        <v/>
      </c>
    </row>
    <row r="55">
      <c r="A55" t="inlineStr">
        <is>
          <t>Holtz &amp; Gibbs (1956) | Ho-v</t>
        </is>
      </c>
      <c r="B55" t="n">
        <v>0.4</v>
      </c>
      <c r="C55" t="n">
        <v>0.3002316545670805</v>
      </c>
      <c r="D55" t="n">
        <v>0.2646518223417849</v>
      </c>
      <c r="E55">
        <f>DEGREES(ATAN(D55/C55))</f>
        <v/>
      </c>
      <c r="F55">
        <f>DEGREES(ATAN(TAN(RADIANS(pe0-omega*B55))*(C55/sref)^(m_-1)))</f>
        <v/>
      </c>
      <c r="G55">
        <f>E55-F55</f>
        <v/>
      </c>
    </row>
    <row r="56">
      <c r="A56" t="inlineStr">
        <is>
          <t>Holtz &amp; Gibbs (1956) | Ho-v</t>
        </is>
      </c>
      <c r="B56" t="n">
        <v>0.4</v>
      </c>
      <c r="C56" t="n">
        <v>0.6266965176939526</v>
      </c>
      <c r="D56" t="n">
        <v>0.5582678277788451</v>
      </c>
      <c r="E56">
        <f>DEGREES(ATAN(D56/C56))</f>
        <v/>
      </c>
      <c r="F56">
        <f>DEGREES(ATAN(TAN(RADIANS(pe0-omega*B56))*(C56/sref)^(m_-1)))</f>
        <v/>
      </c>
      <c r="G56">
        <f>E56-F56</f>
        <v/>
      </c>
    </row>
    <row r="57">
      <c r="A57" t="inlineStr">
        <is>
          <t>Holtz &amp; Gibbs (1956) | Ho-v</t>
        </is>
      </c>
      <c r="B57" t="n">
        <v>0.4</v>
      </c>
      <c r="C57" t="n">
        <v>1.179128583196418</v>
      </c>
      <c r="D57" t="n">
        <v>0.9236940847170894</v>
      </c>
      <c r="E57">
        <f>DEGREES(ATAN(D57/C57))</f>
        <v/>
      </c>
      <c r="F57">
        <f>DEGREES(ATAN(TAN(RADIANS(pe0-omega*B57))*(C57/sref)^(m_-1)))</f>
        <v/>
      </c>
      <c r="G57">
        <f>E57-F57</f>
        <v/>
      </c>
    </row>
    <row r="58">
      <c r="A58" t="inlineStr">
        <is>
          <t>Holtz &amp; Gibbs (1956) | Ho-x</t>
        </is>
      </c>
      <c r="B58" t="n">
        <v>0.31</v>
      </c>
      <c r="C58" t="n">
        <v>0.1707013046285802</v>
      </c>
      <c r="D58" t="n">
        <v>0.193236466276701</v>
      </c>
      <c r="E58">
        <f>DEGREES(ATAN(D58/C58))</f>
        <v/>
      </c>
      <c r="F58">
        <f>DEGREES(ATAN(TAN(RADIANS(pe0-omega*B58))*(C58/sref)^(m_-1)))</f>
        <v/>
      </c>
      <c r="G58">
        <f>E58-F58</f>
        <v/>
      </c>
    </row>
    <row r="59">
      <c r="A59" t="inlineStr">
        <is>
          <t>Holtz &amp; Gibbs (1956) | Ho-x</t>
        </is>
      </c>
      <c r="B59" t="n">
        <v>0.31</v>
      </c>
      <c r="C59" t="n">
        <v>0.3103547491497322</v>
      </c>
      <c r="D59" t="n">
        <v>0.3002077364253468</v>
      </c>
      <c r="E59">
        <f>DEGREES(ATAN(D59/C59))</f>
        <v/>
      </c>
      <c r="F59">
        <f>DEGREES(ATAN(TAN(RADIANS(pe0-omega*B59))*(C59/sref)^(m_-1)))</f>
        <v/>
      </c>
      <c r="G59">
        <f>E59-F59</f>
        <v/>
      </c>
    </row>
    <row r="60">
      <c r="A60" t="inlineStr">
        <is>
          <t>Holtz &amp; Gibbs (1956) | Ho-x</t>
        </is>
      </c>
      <c r="B60" t="n">
        <v>0.31</v>
      </c>
      <c r="C60" t="n">
        <v>0.6069061198694435</v>
      </c>
      <c r="D60" t="n">
        <v>0.5429928814846511</v>
      </c>
      <c r="E60">
        <f>DEGREES(ATAN(D60/C60))</f>
        <v/>
      </c>
      <c r="F60">
        <f>DEGREES(ATAN(TAN(RADIANS(pe0-omega*B60))*(C60/sref)^(m_-1)))</f>
        <v/>
      </c>
      <c r="G60">
        <f>E60-F60</f>
        <v/>
      </c>
    </row>
    <row r="61">
      <c r="A61" t="inlineStr">
        <is>
          <t>Holtz &amp; Gibbs (1956) | Ho-x</t>
        </is>
      </c>
      <c r="B61" t="n">
        <v>0.31</v>
      </c>
      <c r="C61" t="n">
        <v>1.213718517700457</v>
      </c>
      <c r="D61" t="n">
        <v>1.031400070351932</v>
      </c>
      <c r="E61">
        <f>DEGREES(ATAN(D61/C61))</f>
        <v/>
      </c>
      <c r="F61">
        <f>DEGREES(ATAN(TAN(RADIANS(pe0-omega*B61))*(C61/sref)^(m_-1)))</f>
        <v/>
      </c>
      <c r="G61">
        <f>E61-F61</f>
        <v/>
      </c>
    </row>
    <row r="62">
      <c r="A62" t="inlineStr">
        <is>
          <t>Holtz &amp; Gibbs (1956) | Ho-z</t>
        </is>
      </c>
      <c r="B62" t="n">
        <v>0.407</v>
      </c>
      <c r="C62" t="n">
        <v>0.1657514825603232</v>
      </c>
      <c r="D62" t="n">
        <v>0.173997828725438</v>
      </c>
      <c r="E62">
        <f>DEGREES(ATAN(D62/C62))</f>
        <v/>
      </c>
      <c r="F62">
        <f>DEGREES(ATAN(TAN(RADIANS(pe0-omega*B62))*(C62/sref)^(m_-1)))</f>
        <v/>
      </c>
      <c r="G62">
        <f>E62-F62</f>
        <v/>
      </c>
    </row>
    <row r="63">
      <c r="A63" t="inlineStr">
        <is>
          <t>Holtz &amp; Gibbs (1956) | Ho-z</t>
        </is>
      </c>
      <c r="B63" t="n">
        <v>0.407</v>
      </c>
      <c r="C63" t="n">
        <v>0.3198258870339145</v>
      </c>
      <c r="D63" t="n">
        <v>0.3067457247299877</v>
      </c>
      <c r="E63">
        <f>DEGREES(ATAN(D63/C63))</f>
        <v/>
      </c>
      <c r="F63">
        <f>DEGREES(ATAN(TAN(RADIANS(pe0-omega*B63))*(C63/sref)^(m_-1)))</f>
        <v/>
      </c>
      <c r="G63">
        <f>E63-F63</f>
        <v/>
      </c>
    </row>
    <row r="64">
      <c r="A64" t="inlineStr">
        <is>
          <t>Holtz &amp; Gibbs (1956) | Ho-z</t>
        </is>
      </c>
      <c r="B64" t="n">
        <v>0.407</v>
      </c>
      <c r="C64" t="n">
        <v>0.6135726837354061</v>
      </c>
      <c r="D64" t="n">
        <v>0.5342938477175883</v>
      </c>
      <c r="E64">
        <f>DEGREES(ATAN(D64/C64))</f>
        <v/>
      </c>
      <c r="F64">
        <f>DEGREES(ATAN(TAN(RADIANS(pe0-omega*B64))*(C64/sref)^(m_-1)))</f>
        <v/>
      </c>
      <c r="G64">
        <f>E64-F64</f>
        <v/>
      </c>
    </row>
    <row r="65">
      <c r="A65" t="inlineStr">
        <is>
          <t>Holtz &amp; Gibbs (1956) | Ho-z</t>
        </is>
      </c>
      <c r="B65" t="n">
        <v>0.407</v>
      </c>
      <c r="C65" t="n">
        <v>1.182802679261763</v>
      </c>
      <c r="D65" t="n">
        <v>0.9392909390937694</v>
      </c>
      <c r="E65">
        <f>DEGREES(ATAN(D65/C65))</f>
        <v/>
      </c>
      <c r="F65">
        <f>DEGREES(ATAN(TAN(RADIANS(pe0-omega*B65))*(C65/sref)^(m_-1)))</f>
        <v/>
      </c>
      <c r="G65">
        <f>E65-F65</f>
        <v/>
      </c>
    </row>
    <row r="66">
      <c r="A66" t="inlineStr">
        <is>
          <t>Hall &amp; Gordon (1963) | EB-65b</t>
        </is>
      </c>
      <c r="B66" t="n">
        <v>0.331</v>
      </c>
      <c r="C66" t="n">
        <v>0.1789063753703859</v>
      </c>
      <c r="D66" t="n">
        <v>0.1473641610387256</v>
      </c>
      <c r="E66">
        <f>DEGREES(ATAN(D66/C66))</f>
        <v/>
      </c>
      <c r="F66">
        <f>DEGREES(ATAN(TAN(RADIANS(pe0-omega*B66))*(C66/sref)^(m_-1)))</f>
        <v/>
      </c>
      <c r="G66">
        <f>E66-F66</f>
        <v/>
      </c>
    </row>
    <row r="67">
      <c r="A67" t="inlineStr">
        <is>
          <t>Hall &amp; Gordon (1963) | EB-65b</t>
        </is>
      </c>
      <c r="B67" t="n">
        <v>0.317</v>
      </c>
      <c r="C67" t="n">
        <v>0.2970783167647893</v>
      </c>
      <c r="D67" t="n">
        <v>0.2805749195819083</v>
      </c>
      <c r="E67">
        <f>DEGREES(ATAN(D67/C67))</f>
        <v/>
      </c>
      <c r="F67">
        <f>DEGREES(ATAN(TAN(RADIANS(pe0-omega*B67))*(C67/sref)^(m_-1)))</f>
        <v/>
      </c>
      <c r="G67">
        <f>E67-F67</f>
        <v/>
      </c>
    </row>
    <row r="68">
      <c r="A68" t="inlineStr">
        <is>
          <t>Hall &amp; Gordon (1963) | EB-65b</t>
        </is>
      </c>
      <c r="B68" t="n">
        <v>0.291</v>
      </c>
      <c r="C68" t="n">
        <v>0.5144878111816809</v>
      </c>
      <c r="D68" t="n">
        <v>0.5009171243584454</v>
      </c>
      <c r="E68">
        <f>DEGREES(ATAN(D68/C68))</f>
        <v/>
      </c>
      <c r="F68">
        <f>DEGREES(ATAN(TAN(RADIANS(pe0-omega*B68))*(C68/sref)^(m_-1)))</f>
        <v/>
      </c>
      <c r="G68">
        <f>E68-F68</f>
        <v/>
      </c>
    </row>
    <row r="69">
      <c r="A69" t="inlineStr">
        <is>
          <t>Hall &amp; Gordon (1963) | EB-65b</t>
        </is>
      </c>
      <c r="B69" t="n">
        <v>0.29</v>
      </c>
      <c r="C69" t="n">
        <v>0.7716714455861061</v>
      </c>
      <c r="D69" t="n">
        <v>0.7983738034205009</v>
      </c>
      <c r="E69">
        <f>DEGREES(ATAN(D69/C69))</f>
        <v/>
      </c>
      <c r="F69">
        <f>DEGREES(ATAN(TAN(RADIANS(pe0-omega*B69))*(C69/sref)^(m_-1)))</f>
        <v/>
      </c>
      <c r="G69">
        <f>E69-F69</f>
        <v/>
      </c>
    </row>
    <row r="70">
      <c r="A70" t="inlineStr">
        <is>
          <t>Hall &amp; Gordon (1963) | EB-65b</t>
        </is>
      </c>
      <c r="B70" t="n">
        <v>0.264</v>
      </c>
      <c r="C70" t="n">
        <v>1.308450443155569</v>
      </c>
      <c r="D70" t="n">
        <v>1.264134341558624</v>
      </c>
      <c r="E70">
        <f>DEGREES(ATAN(D70/C70))</f>
        <v/>
      </c>
      <c r="F70">
        <f>DEGREES(ATAN(TAN(RADIANS(pe0-omega*B70))*(C70/sref)^(m_-1)))</f>
        <v/>
      </c>
      <c r="G70">
        <f>E70-F70</f>
        <v/>
      </c>
    </row>
    <row r="71">
      <c r="A71" t="inlineStr">
        <is>
          <t>Hall &amp; Gordon (1963) | EB-71b</t>
        </is>
      </c>
      <c r="B71" t="n">
        <v>0.326</v>
      </c>
      <c r="C71" t="n">
        <v>0.2661072387699049</v>
      </c>
      <c r="D71" t="n">
        <v>0.2581798533658166</v>
      </c>
      <c r="E71">
        <f>DEGREES(ATAN(D71/C71))</f>
        <v/>
      </c>
      <c r="F71">
        <f>DEGREES(ATAN(TAN(RADIANS(pe0-omega*B71))*(C71/sref)^(m_-1)))</f>
        <v/>
      </c>
      <c r="G71">
        <f>E71-F71</f>
        <v/>
      </c>
    </row>
    <row r="72">
      <c r="A72" t="inlineStr">
        <is>
          <t>Hall &amp; Gordon (1963) | EB-71b</t>
        </is>
      </c>
      <c r="B72" t="n">
        <v>0.297</v>
      </c>
      <c r="C72" t="n">
        <v>0.48563407823801</v>
      </c>
      <c r="D72" t="n">
        <v>0.3926578585788854</v>
      </c>
      <c r="E72">
        <f>DEGREES(ATAN(D72/C72))</f>
        <v/>
      </c>
      <c r="F72">
        <f>DEGREES(ATAN(TAN(RADIANS(pe0-omega*B72))*(C72/sref)^(m_-1)))</f>
        <v/>
      </c>
      <c r="G72">
        <f>E72-F72</f>
        <v/>
      </c>
    </row>
    <row r="73">
      <c r="A73" t="inlineStr">
        <is>
          <t>Hall &amp; Gordon (1963) | EB-71b</t>
        </is>
      </c>
      <c r="B73" t="n">
        <v>0.299</v>
      </c>
      <c r="C73" t="n">
        <v>0.9065567586243827</v>
      </c>
      <c r="D73" t="n">
        <v>0.6208978145738984</v>
      </c>
      <c r="E73">
        <f>DEGREES(ATAN(D73/C73))</f>
        <v/>
      </c>
      <c r="F73">
        <f>DEGREES(ATAN(TAN(RADIANS(pe0-omega*B73))*(C73/sref)^(m_-1)))</f>
        <v/>
      </c>
      <c r="G73">
        <f>E73-F73</f>
        <v/>
      </c>
    </row>
    <row r="74">
      <c r="A74" t="inlineStr">
        <is>
          <t>Hall &amp; Gordon (1963) | EB-71b</t>
        </is>
      </c>
      <c r="B74" t="n">
        <v>0.281</v>
      </c>
      <c r="C74" t="n">
        <v>1.467000930039367</v>
      </c>
      <c r="D74" t="n">
        <v>1.015648436226653</v>
      </c>
      <c r="E74">
        <f>DEGREES(ATAN(D74/C74))</f>
        <v/>
      </c>
      <c r="F74">
        <f>DEGREES(ATAN(TAN(RADIANS(pe0-omega*B74))*(C74/sref)^(m_-1)))</f>
        <v/>
      </c>
      <c r="G74">
        <f>E74-F74</f>
        <v/>
      </c>
    </row>
    <row r="75">
      <c r="A75" t="inlineStr">
        <is>
          <t>Hall &amp; Gordon (1963) | EB-71c</t>
        </is>
      </c>
      <c r="B75" t="n">
        <v>0.313</v>
      </c>
      <c r="C75" t="n">
        <v>0.5754797396581265</v>
      </c>
      <c r="D75" t="n">
        <v>0.3991951231888908</v>
      </c>
      <c r="E75">
        <f>DEGREES(ATAN(D75/C75))</f>
        <v/>
      </c>
      <c r="F75">
        <f>DEGREES(ATAN(TAN(RADIANS(pe0-omega*B75))*(C75/sref)^(m_-1)))</f>
        <v/>
      </c>
      <c r="G75">
        <f>E75-F75</f>
        <v/>
      </c>
    </row>
    <row r="76">
      <c r="A76" t="inlineStr">
        <is>
          <t>Hall &amp; Gordon (1963) | EB-71c</t>
        </is>
      </c>
      <c r="B76" t="n">
        <v>0.253</v>
      </c>
      <c r="C76" t="n">
        <v>1.52062132607843</v>
      </c>
      <c r="D76" t="n">
        <v>1.007258054471547</v>
      </c>
      <c r="E76">
        <f>DEGREES(ATAN(D76/C76))</f>
        <v/>
      </c>
      <c r="F76">
        <f>DEGREES(ATAN(TAN(RADIANS(pe0-omega*B76))*(C76/sref)^(m_-1)))</f>
        <v/>
      </c>
      <c r="G76">
        <f>E76-F76</f>
        <v/>
      </c>
    </row>
    <row r="77">
      <c r="A77" t="inlineStr">
        <is>
          <t>Hall &amp; Gordon (1963) | EB-71d</t>
        </is>
      </c>
      <c r="B77" t="n">
        <v>0.363</v>
      </c>
      <c r="C77" t="n">
        <v>0.1359856577207063</v>
      </c>
      <c r="D77" t="n">
        <v>0.1330114219702228</v>
      </c>
      <c r="E77">
        <f>DEGREES(ATAN(D77/C77))</f>
        <v/>
      </c>
      <c r="F77">
        <f>DEGREES(ATAN(TAN(RADIANS(pe0-omega*B77))*(C77/sref)^(m_-1)))</f>
        <v/>
      </c>
      <c r="G77">
        <f>E77-F77</f>
        <v/>
      </c>
    </row>
    <row r="78">
      <c r="A78" t="inlineStr">
        <is>
          <t>Hall &amp; Gordon (1963) | EB-71d</t>
        </is>
      </c>
      <c r="B78" t="n">
        <v>0.324</v>
      </c>
      <c r="C78" t="n">
        <v>0.5361288562374465</v>
      </c>
      <c r="D78" t="n">
        <v>0.3748744945753568</v>
      </c>
      <c r="E78">
        <f>DEGREES(ATAN(D78/C78))</f>
        <v/>
      </c>
      <c r="F78">
        <f>DEGREES(ATAN(TAN(RADIANS(pe0-omega*B78))*(C78/sref)^(m_-1)))</f>
        <v/>
      </c>
      <c r="G78">
        <f>E78-F78</f>
        <v/>
      </c>
    </row>
    <row r="79">
      <c r="A79" t="inlineStr">
        <is>
          <t>Hall &amp; Gordon (1963) | TP15</t>
        </is>
      </c>
      <c r="B79" t="n">
        <v>0.258</v>
      </c>
      <c r="C79" t="n">
        <v>1.491488836729443</v>
      </c>
      <c r="D79" t="n">
        <v>1.331979761408234</v>
      </c>
      <c r="E79">
        <f>DEGREES(ATAN(D79/C79))</f>
        <v/>
      </c>
      <c r="F79">
        <f>DEGREES(ATAN(TAN(RADIANS(pe0-omega*B79))*(C79/sref)^(m_-1)))</f>
        <v/>
      </c>
      <c r="G79">
        <f>E79-F79</f>
        <v/>
      </c>
    </row>
    <row r="80">
      <c r="A80" t="inlineStr">
        <is>
          <t>Hall &amp; Gordon (1963) | TP15</t>
        </is>
      </c>
      <c r="B80" t="n">
        <v>0.231</v>
      </c>
      <c r="C80" t="n">
        <v>2.488339983938734</v>
      </c>
      <c r="D80" t="n">
        <v>2.282473494105612</v>
      </c>
      <c r="E80">
        <f>DEGREES(ATAN(D80/C80))</f>
        <v/>
      </c>
      <c r="F80">
        <f>DEGREES(ATAN(TAN(RADIANS(pe0-omega*B80))*(C80/sref)^(m_-1)))</f>
        <v/>
      </c>
      <c r="G80">
        <f>E80-F80</f>
        <v/>
      </c>
    </row>
    <row r="81">
      <c r="A81" t="inlineStr">
        <is>
          <t>Hall &amp; Gordon (1963) | TP15</t>
        </is>
      </c>
      <c r="B81" t="n">
        <v>0.233</v>
      </c>
      <c r="C81" t="n">
        <v>3.560772054351121</v>
      </c>
      <c r="D81" t="n">
        <v>3.001480150380661</v>
      </c>
      <c r="E81">
        <f>DEGREES(ATAN(D81/C81))</f>
        <v/>
      </c>
      <c r="F81">
        <f>DEGREES(ATAN(TAN(RADIANS(pe0-omega*B81))*(C81/sref)^(m_-1)))</f>
        <v/>
      </c>
      <c r="G81">
        <f>E81-F81</f>
        <v/>
      </c>
    </row>
    <row r="82">
      <c r="A82" t="inlineStr">
        <is>
          <t>Hall &amp; Gordon (1963) | TP24</t>
        </is>
      </c>
      <c r="B82" t="n">
        <v>0.263</v>
      </c>
      <c r="C82" t="n">
        <v>1.529056584653798</v>
      </c>
      <c r="D82" t="n">
        <v>1.334674543204972</v>
      </c>
      <c r="E82">
        <f>DEGREES(ATAN(D82/C82))</f>
        <v/>
      </c>
      <c r="F82">
        <f>DEGREES(ATAN(TAN(RADIANS(pe0-omega*B82))*(C82/sref)^(m_-1)))</f>
        <v/>
      </c>
      <c r="G82">
        <f>E82-F82</f>
        <v/>
      </c>
    </row>
    <row r="83">
      <c r="A83" t="inlineStr">
        <is>
          <t>Hall &amp; Gordon (1963) | TP24</t>
        </is>
      </c>
      <c r="B83" t="n">
        <v>0.239</v>
      </c>
      <c r="C83" t="n">
        <v>2.466907656627065</v>
      </c>
      <c r="D83" t="n">
        <v>2.104101781684721</v>
      </c>
      <c r="E83">
        <f>DEGREES(ATAN(D83/C83))</f>
        <v/>
      </c>
      <c r="F83">
        <f>DEGREES(ATAN(TAN(RADIANS(pe0-omega*B83))*(C83/sref)^(m_-1)))</f>
        <v/>
      </c>
      <c r="G83">
        <f>E83-F83</f>
        <v/>
      </c>
    </row>
    <row r="84">
      <c r="A84" t="inlineStr">
        <is>
          <t>Hall &amp; Gordon (1963) | TP24</t>
        </is>
      </c>
      <c r="B84" t="n">
        <v>0.234</v>
      </c>
      <c r="C84" t="n">
        <v>3.593557982811703</v>
      </c>
      <c r="D84" t="n">
        <v>2.867216218035659</v>
      </c>
      <c r="E84">
        <f>DEGREES(ATAN(D84/C84))</f>
        <v/>
      </c>
      <c r="F84">
        <f>DEGREES(ATAN(TAN(RADIANS(pe0-omega*B84))*(C84/sref)^(m_-1)))</f>
        <v/>
      </c>
      <c r="G84">
        <f>E84-F84</f>
        <v/>
      </c>
    </row>
    <row r="85">
      <c r="A85" t="inlineStr">
        <is>
          <t>Hall &amp; Gordon (1963) | TP24</t>
        </is>
      </c>
      <c r="B85" t="n">
        <v>0.219</v>
      </c>
      <c r="C85" t="n">
        <v>6.218448783190459</v>
      </c>
      <c r="D85" t="n">
        <v>4.38250724080959</v>
      </c>
      <c r="E85">
        <f>DEGREES(ATAN(D85/C85))</f>
        <v/>
      </c>
      <c r="F85">
        <f>DEGREES(ATAN(TAN(RADIANS(pe0-omega*B85))*(C85/sref)^(m_-1)))</f>
        <v/>
      </c>
      <c r="G85">
        <f>E85-F85</f>
        <v/>
      </c>
    </row>
    <row r="86">
      <c r="A86" t="inlineStr">
        <is>
          <t>Marsal et al. (1965) | a</t>
        </is>
      </c>
      <c r="B86" t="n">
        <v>0.7</v>
      </c>
      <c r="C86" t="n">
        <v>0.1356142648411726</v>
      </c>
      <c r="D86" t="n">
        <v>0.142736780812706</v>
      </c>
      <c r="E86">
        <f>DEGREES(ATAN(D86/C86))</f>
        <v/>
      </c>
      <c r="F86">
        <f>DEGREES(ATAN(TAN(RADIANS(pe0-omega*B86))*(C86/sref)^(m_-1)))</f>
        <v/>
      </c>
      <c r="G86">
        <f>E86-F86</f>
        <v/>
      </c>
    </row>
    <row r="87">
      <c r="A87" t="inlineStr">
        <is>
          <t>Marsal et al. (1965) | a</t>
        </is>
      </c>
      <c r="B87" t="n">
        <v>0.6</v>
      </c>
      <c r="C87" t="n">
        <v>0.1245992273030038</v>
      </c>
      <c r="D87" t="n">
        <v>0.1297407181033242</v>
      </c>
      <c r="E87">
        <f>DEGREES(ATAN(D87/C87))</f>
        <v/>
      </c>
      <c r="F87">
        <f>DEGREES(ATAN(TAN(RADIANS(pe0-omega*B87))*(C87/sref)^(m_-1)))</f>
        <v/>
      </c>
      <c r="G87">
        <f>E87-F87</f>
        <v/>
      </c>
    </row>
    <row r="88">
      <c r="A88" t="inlineStr">
        <is>
          <t>Marsal et al. (1965) | a</t>
        </is>
      </c>
      <c r="B88" t="n">
        <v>0.62</v>
      </c>
      <c r="C88" t="n">
        <v>0.1244393424801139</v>
      </c>
      <c r="D88" t="n">
        <v>0.1293742188996425</v>
      </c>
      <c r="E88">
        <f>DEGREES(ATAN(D88/C88))</f>
        <v/>
      </c>
      <c r="F88">
        <f>DEGREES(ATAN(TAN(RADIANS(pe0-omega*B88))*(C88/sref)^(m_-1)))</f>
        <v/>
      </c>
      <c r="G88">
        <f>E88-F88</f>
        <v/>
      </c>
    </row>
    <row r="89">
      <c r="A89" t="inlineStr">
        <is>
          <t>Marsal et al. (1965) | b</t>
        </is>
      </c>
      <c r="B89" t="n">
        <v>0.55</v>
      </c>
      <c r="C89" t="n">
        <v>0.355345937796901</v>
      </c>
      <c r="D89" t="n">
        <v>0.3598288775780625</v>
      </c>
      <c r="E89">
        <f>DEGREES(ATAN(D89/C89))</f>
        <v/>
      </c>
      <c r="F89">
        <f>DEGREES(ATAN(TAN(RADIANS(pe0-omega*B89))*(C89/sref)^(m_-1)))</f>
        <v/>
      </c>
      <c r="G89">
        <f>E89-F89</f>
        <v/>
      </c>
    </row>
    <row r="90">
      <c r="A90" t="inlineStr">
        <is>
          <t>Marsal et al. (1965) | b</t>
        </is>
      </c>
      <c r="B90" t="n">
        <v>0.55</v>
      </c>
      <c r="C90" t="n">
        <v>0.8585313866909698</v>
      </c>
      <c r="D90" t="n">
        <v>0.7448211635039538</v>
      </c>
      <c r="E90">
        <f>DEGREES(ATAN(D90/C90))</f>
        <v/>
      </c>
      <c r="F90">
        <f>DEGREES(ATAN(TAN(RADIANS(pe0-omega*B90))*(C90/sref)^(m_-1)))</f>
        <v/>
      </c>
      <c r="G90">
        <f>E90-F90</f>
        <v/>
      </c>
    </row>
    <row r="91">
      <c r="A91" t="inlineStr">
        <is>
          <t>Marsal et al. (1965) | b</t>
        </is>
      </c>
      <c r="B91" t="n">
        <v>0.62</v>
      </c>
      <c r="C91" t="n">
        <v>1.74623177845652</v>
      </c>
      <c r="D91" t="n">
        <v>1.43193251964039</v>
      </c>
      <c r="E91">
        <f>DEGREES(ATAN(D91/C91))</f>
        <v/>
      </c>
      <c r="F91">
        <f>DEGREES(ATAN(TAN(RADIANS(pe0-omega*B91))*(C91/sref)^(m_-1)))</f>
        <v/>
      </c>
      <c r="G91">
        <f>E91-F91</f>
        <v/>
      </c>
    </row>
    <row r="92">
      <c r="A92" t="inlineStr">
        <is>
          <t>Marsal et al. (1965) | b</t>
        </is>
      </c>
      <c r="B92" t="n">
        <v>0.51</v>
      </c>
      <c r="C92" t="n">
        <v>2.907772822580126</v>
      </c>
      <c r="D92" t="n">
        <v>2.254862386027376</v>
      </c>
      <c r="E92">
        <f>DEGREES(ATAN(D92/C92))</f>
        <v/>
      </c>
      <c r="F92">
        <f>DEGREES(ATAN(TAN(RADIANS(pe0-omega*B92))*(C92/sref)^(m_-1)))</f>
        <v/>
      </c>
      <c r="G92">
        <f>E92-F92</f>
        <v/>
      </c>
    </row>
    <row r="93">
      <c r="A93" t="inlineStr">
        <is>
          <t>Marsal et al. (1965) | c</t>
        </is>
      </c>
      <c r="B93" t="n">
        <v>0.61</v>
      </c>
      <c r="C93" t="n">
        <v>0.1677150580935834</v>
      </c>
      <c r="D93" t="n">
        <v>0.1732187559072535</v>
      </c>
      <c r="E93">
        <f>DEGREES(ATAN(D93/C93))</f>
        <v/>
      </c>
      <c r="F93">
        <f>DEGREES(ATAN(TAN(RADIANS(pe0-omega*B93))*(C93/sref)^(m_-1)))</f>
        <v/>
      </c>
      <c r="G93">
        <f>E93-F93</f>
        <v/>
      </c>
    </row>
    <row r="94">
      <c r="A94" t="inlineStr">
        <is>
          <t>Marsal et al. (1965) | c</t>
        </is>
      </c>
      <c r="B94" t="n">
        <v>0.62</v>
      </c>
      <c r="C94" t="n">
        <v>0.349870559916499</v>
      </c>
      <c r="D94" t="n">
        <v>0.3411319941561003</v>
      </c>
      <c r="E94">
        <f>DEGREES(ATAN(D94/C94))</f>
        <v/>
      </c>
      <c r="F94">
        <f>DEGREES(ATAN(TAN(RADIANS(pe0-omega*B94))*(C94/sref)^(m_-1)))</f>
        <v/>
      </c>
      <c r="G94">
        <f>E94-F94</f>
        <v/>
      </c>
    </row>
    <row r="95">
      <c r="A95" t="inlineStr">
        <is>
          <t>Marsal et al. (1965) | c</t>
        </is>
      </c>
      <c r="B95" t="n">
        <v>0.73</v>
      </c>
      <c r="C95" t="n">
        <v>0.8681915084000073</v>
      </c>
      <c r="D95" t="n">
        <v>0.7486174533045172</v>
      </c>
      <c r="E95">
        <f>DEGREES(ATAN(D95/C95))</f>
        <v/>
      </c>
      <c r="F95">
        <f>DEGREES(ATAN(TAN(RADIANS(pe0-omega*B95))*(C95/sref)^(m_-1)))</f>
        <v/>
      </c>
      <c r="G95">
        <f>E95-F95</f>
        <v/>
      </c>
    </row>
    <row r="96">
      <c r="A96" t="inlineStr">
        <is>
          <t>Marsal et al. (1965) | d</t>
        </is>
      </c>
      <c r="B96" t="n">
        <v>0.45</v>
      </c>
      <c r="C96" t="n">
        <v>4.278525330149727</v>
      </c>
      <c r="D96" t="n">
        <v>3.218064055086224</v>
      </c>
      <c r="E96">
        <f>DEGREES(ATAN(D96/C96))</f>
        <v/>
      </c>
      <c r="F96">
        <f>DEGREES(ATAN(TAN(RADIANS(pe0-omega*B96))*(C96/sref)^(m_-1)))</f>
        <v/>
      </c>
      <c r="G96">
        <f>E96-F96</f>
        <v/>
      </c>
    </row>
    <row r="97">
      <c r="A97" t="inlineStr">
        <is>
          <t>Marsal et al. (1965) | d</t>
        </is>
      </c>
      <c r="B97" t="n">
        <v>0.51</v>
      </c>
      <c r="C97" t="n">
        <v>0.3548789855296927</v>
      </c>
      <c r="D97" t="n">
        <v>0.3603252172431498</v>
      </c>
      <c r="E97">
        <f>DEGREES(ATAN(D97/C97))</f>
        <v/>
      </c>
      <c r="F97">
        <f>DEGREES(ATAN(TAN(RADIANS(pe0-omega*B97))*(C97/sref)^(m_-1)))</f>
        <v/>
      </c>
      <c r="G97">
        <f>E97-F97</f>
        <v/>
      </c>
    </row>
    <row r="98">
      <c r="A98" t="inlineStr">
        <is>
          <t>Marsal et al. (1965) | d</t>
        </is>
      </c>
      <c r="B98" t="n">
        <v>0.5</v>
      </c>
      <c r="C98" t="n">
        <v>0.8849492998728138</v>
      </c>
      <c r="D98" t="n">
        <v>0.8005697424139472</v>
      </c>
      <c r="E98">
        <f>DEGREES(ATAN(D98/C98))</f>
        <v/>
      </c>
      <c r="F98">
        <f>DEGREES(ATAN(TAN(RADIANS(pe0-omega*B98))*(C98/sref)^(m_-1)))</f>
        <v/>
      </c>
      <c r="G98">
        <f>E98-F98</f>
        <v/>
      </c>
    </row>
    <row r="99">
      <c r="A99" t="inlineStr">
        <is>
          <t>Marsal et al. (1965) | d</t>
        </is>
      </c>
      <c r="B99" t="n">
        <v>0.4</v>
      </c>
      <c r="C99" t="n">
        <v>1.742295332693996</v>
      </c>
      <c r="D99" t="n">
        <v>1.423722673646512</v>
      </c>
      <c r="E99">
        <f>DEGREES(ATAN(D99/C99))</f>
        <v/>
      </c>
      <c r="F99">
        <f>DEGREES(ATAN(TAN(RADIANS(pe0-omega*B99))*(C99/sref)^(m_-1)))</f>
        <v/>
      </c>
      <c r="G99">
        <f>E99-F99</f>
        <v/>
      </c>
    </row>
    <row r="100">
      <c r="A100" t="inlineStr">
        <is>
          <t>Marsal et al. (1965) | d</t>
        </is>
      </c>
      <c r="B100" t="n">
        <v>0.4</v>
      </c>
      <c r="C100" t="n">
        <v>2.901577127435341</v>
      </c>
      <c r="D100" t="n">
        <v>2.237178061057292</v>
      </c>
      <c r="E100">
        <f>DEGREES(ATAN(D100/C100))</f>
        <v/>
      </c>
      <c r="F100">
        <f>DEGREES(ATAN(TAN(RADIANS(pe0-omega*B100))*(C100/sref)^(m_-1)))</f>
        <v/>
      </c>
      <c r="G100">
        <f>E100-F100</f>
        <v/>
      </c>
    </row>
    <row r="101">
      <c r="A101" t="inlineStr">
        <is>
          <t>Marsal et al. (1965) | d</t>
        </is>
      </c>
      <c r="B101" t="n">
        <v>0.46</v>
      </c>
      <c r="C101" t="n">
        <v>4.209435160314183</v>
      </c>
      <c r="D101" t="n">
        <v>3.090396321371176</v>
      </c>
      <c r="E101">
        <f>DEGREES(ATAN(D101/C101))</f>
        <v/>
      </c>
      <c r="F101">
        <f>DEGREES(ATAN(TAN(RADIANS(pe0-omega*B101))*(C101/sref)^(m_-1)))</f>
        <v/>
      </c>
      <c r="G101">
        <f>E101-F101</f>
        <v/>
      </c>
    </row>
    <row r="102">
      <c r="A102" t="inlineStr">
        <is>
          <t>Marsal et al. (1965) | e</t>
        </is>
      </c>
      <c r="B102" t="n">
        <v>0.55</v>
      </c>
      <c r="C102" t="n">
        <v>1.708040164894426</v>
      </c>
      <c r="D102" t="n">
        <v>1.291031030676679</v>
      </c>
      <c r="E102">
        <f>DEGREES(ATAN(D102/C102))</f>
        <v/>
      </c>
      <c r="F102">
        <f>DEGREES(ATAN(TAN(RADIANS(pe0-omega*B102))*(C102/sref)^(m_-1)))</f>
        <v/>
      </c>
      <c r="G102">
        <f>E102-F102</f>
        <v/>
      </c>
    </row>
    <row r="103">
      <c r="A103" t="inlineStr">
        <is>
          <t>Marsal et al. (1965) | e</t>
        </is>
      </c>
      <c r="B103" t="n">
        <v>0.51</v>
      </c>
      <c r="C103" t="n">
        <v>2.806417870927503</v>
      </c>
      <c r="D103" t="n">
        <v>1.960913550395246</v>
      </c>
      <c r="E103">
        <f>DEGREES(ATAN(D103/C103))</f>
        <v/>
      </c>
      <c r="F103">
        <f>DEGREES(ATAN(TAN(RADIANS(pe0-omega*B103))*(C103/sref)^(m_-1)))</f>
        <v/>
      </c>
      <c r="G103">
        <f>E103-F103</f>
        <v/>
      </c>
    </row>
    <row r="104">
      <c r="A104" t="inlineStr">
        <is>
          <t>Marsal et al. (1965) | e</t>
        </is>
      </c>
      <c r="B104" t="n">
        <v>0.5</v>
      </c>
      <c r="C104" t="n">
        <v>4.165609626986039</v>
      </c>
      <c r="D104" t="n">
        <v>2.873335685999964</v>
      </c>
      <c r="E104">
        <f>DEGREES(ATAN(D104/C104))</f>
        <v/>
      </c>
      <c r="F104">
        <f>DEGREES(ATAN(TAN(RADIANS(pe0-omega*B104))*(C104/sref)^(m_-1)))</f>
        <v/>
      </c>
      <c r="G104">
        <f>E104-F104</f>
        <v/>
      </c>
    </row>
    <row r="105">
      <c r="A105" t="inlineStr">
        <is>
          <t>Marsal et al. (1965) | f</t>
        </is>
      </c>
      <c r="B105" t="n">
        <v>0.42</v>
      </c>
      <c r="C105" t="n">
        <v>0.3777199250715905</v>
      </c>
      <c r="D105" t="n">
        <v>0.4172188697635797</v>
      </c>
      <c r="E105">
        <f>DEGREES(ATAN(D105/C105))</f>
        <v/>
      </c>
      <c r="F105">
        <f>DEGREES(ATAN(TAN(RADIANS(pe0-omega*B105))*(C105/sref)^(m_-1)))</f>
        <v/>
      </c>
      <c r="G105">
        <f>E105-F105</f>
        <v/>
      </c>
    </row>
    <row r="106">
      <c r="A106" t="inlineStr">
        <is>
          <t>Marsal et al. (1965) | f</t>
        </is>
      </c>
      <c r="B106" t="n">
        <v>0.44</v>
      </c>
      <c r="C106" t="n">
        <v>1.720499148191996</v>
      </c>
      <c r="D106" t="n">
        <v>1.392297562336892</v>
      </c>
      <c r="E106">
        <f>DEGREES(ATAN(D106/C106))</f>
        <v/>
      </c>
      <c r="F106">
        <f>DEGREES(ATAN(TAN(RADIANS(pe0-omega*B106))*(C106/sref)^(m_-1)))</f>
        <v/>
      </c>
      <c r="G106">
        <f>E106-F106</f>
        <v/>
      </c>
    </row>
    <row r="107">
      <c r="A107" t="inlineStr">
        <is>
          <t>Marsal et al. (1965) | f</t>
        </is>
      </c>
      <c r="B107" t="n">
        <v>0.4</v>
      </c>
      <c r="C107" t="n">
        <v>4.246273046806283</v>
      </c>
      <c r="D107" t="n">
        <v>3.176377194816602</v>
      </c>
      <c r="E107">
        <f>DEGREES(ATAN(D107/C107))</f>
        <v/>
      </c>
      <c r="F107">
        <f>DEGREES(ATAN(TAN(RADIANS(pe0-omega*B107))*(C107/sref)^(m_-1)))</f>
        <v/>
      </c>
      <c r="G107">
        <f>E107-F107</f>
        <v/>
      </c>
    </row>
    <row r="108">
      <c r="A108" t="inlineStr">
        <is>
          <t>Marsal et al. (1965) | f</t>
        </is>
      </c>
      <c r="B108" t="n">
        <v>0.43</v>
      </c>
      <c r="C108" t="n">
        <v>4.28040461579138</v>
      </c>
      <c r="D108" t="n">
        <v>3.239804590193919</v>
      </c>
      <c r="E108">
        <f>DEGREES(ATAN(D108/C108))</f>
        <v/>
      </c>
      <c r="F108">
        <f>DEGREES(ATAN(TAN(RADIANS(pe0-omega*B108))*(C108/sref)^(m_-1)))</f>
        <v/>
      </c>
      <c r="G108">
        <f>E108-F108</f>
        <v/>
      </c>
    </row>
    <row r="109">
      <c r="A109" t="inlineStr">
        <is>
          <t>Marsal et al. (1965) | f</t>
        </is>
      </c>
      <c r="B109" t="n">
        <v>0.42</v>
      </c>
      <c r="C109" t="n">
        <v>4.308922439877612</v>
      </c>
      <c r="D109" t="n">
        <v>3.292799848173648</v>
      </c>
      <c r="E109">
        <f>DEGREES(ATAN(D109/C109))</f>
        <v/>
      </c>
      <c r="F109">
        <f>DEGREES(ATAN(TAN(RADIANS(pe0-omega*B109))*(C109/sref)^(m_-1)))</f>
        <v/>
      </c>
      <c r="G109">
        <f>E109-F109</f>
        <v/>
      </c>
    </row>
    <row r="110">
      <c r="A110" t="inlineStr">
        <is>
          <t>Marsal et al. (1965) | g</t>
        </is>
      </c>
      <c r="B110" t="n">
        <v>0.35</v>
      </c>
      <c r="C110" t="n">
        <v>0.1518926994073529</v>
      </c>
      <c r="D110" t="n">
        <v>0.1747873255390143</v>
      </c>
      <c r="E110">
        <f>DEGREES(ATAN(D110/C110))</f>
        <v/>
      </c>
      <c r="F110">
        <f>DEGREES(ATAN(TAN(RADIANS(pe0-omega*B110))*(C110/sref)^(m_-1)))</f>
        <v/>
      </c>
      <c r="G110">
        <f>E110-F110</f>
        <v/>
      </c>
    </row>
    <row r="111">
      <c r="A111" t="inlineStr">
        <is>
          <t>Marsal et al. (1965) | g</t>
        </is>
      </c>
      <c r="B111" t="n">
        <v>0.32</v>
      </c>
      <c r="C111" t="n">
        <v>0.9248700618365455</v>
      </c>
      <c r="D111" t="n">
        <v>0.9308557739354884</v>
      </c>
      <c r="E111">
        <f>DEGREES(ATAN(D111/C111))</f>
        <v/>
      </c>
      <c r="F111">
        <f>DEGREES(ATAN(TAN(RADIANS(pe0-omega*B111))*(C111/sref)^(m_-1)))</f>
        <v/>
      </c>
      <c r="G111">
        <f>E111-F111</f>
        <v/>
      </c>
    </row>
    <row r="112">
      <c r="A112" t="inlineStr">
        <is>
          <t>Marsal et al. (1965) | g</t>
        </is>
      </c>
      <c r="B112" t="n">
        <v>0.38</v>
      </c>
      <c r="C112" t="n">
        <v>2.898944333508329</v>
      </c>
      <c r="D112" t="n">
        <v>2.35020138538147</v>
      </c>
      <c r="E112">
        <f>DEGREES(ATAN(D112/C112))</f>
        <v/>
      </c>
      <c r="F112">
        <f>DEGREES(ATAN(TAN(RADIANS(pe0-omega*B112))*(C112/sref)^(m_-1)))</f>
        <v/>
      </c>
      <c r="G112">
        <f>E112-F112</f>
        <v/>
      </c>
    </row>
    <row r="113">
      <c r="A113" t="inlineStr">
        <is>
          <t>Marsal et al. (1965) | g</t>
        </is>
      </c>
      <c r="B113" t="n">
        <v>0.33</v>
      </c>
      <c r="C113" t="n">
        <v>4.330789163935574</v>
      </c>
      <c r="D113" t="n">
        <v>3.487958759110949</v>
      </c>
      <c r="E113">
        <f>DEGREES(ATAN(D113/C113))</f>
        <v/>
      </c>
      <c r="F113">
        <f>DEGREES(ATAN(TAN(RADIANS(pe0-omega*B113))*(C113/sref)^(m_-1)))</f>
        <v/>
      </c>
      <c r="G113">
        <f>E113-F113</f>
        <v/>
      </c>
    </row>
    <row r="114">
      <c r="A114" t="inlineStr">
        <is>
          <t>Marsal et al. (1965) | g</t>
        </is>
      </c>
      <c r="B114" t="n">
        <v>0.33</v>
      </c>
      <c r="C114" t="n">
        <v>4.394374973851201</v>
      </c>
      <c r="D114" t="n">
        <v>3.61159908825854</v>
      </c>
      <c r="E114">
        <f>DEGREES(ATAN(D114/C114))</f>
        <v/>
      </c>
      <c r="F114">
        <f>DEGREES(ATAN(TAN(RADIANS(pe0-omega*B114))*(C114/sref)^(m_-1)))</f>
        <v/>
      </c>
      <c r="G114">
        <f>E114-F114</f>
        <v/>
      </c>
    </row>
    <row r="115">
      <c r="A115" t="inlineStr">
        <is>
          <t>SMHEA (1965) | XK1/1-a</t>
        </is>
      </c>
      <c r="B115" t="n">
        <v>0.31</v>
      </c>
      <c r="C115" t="n">
        <v>0.1853342869835505</v>
      </c>
      <c r="D115" t="n">
        <v>0.188069308229142</v>
      </c>
      <c r="E115">
        <f>DEGREES(ATAN(D115/C115))</f>
        <v/>
      </c>
      <c r="F115">
        <f>DEGREES(ATAN(TAN(RADIANS(pe0-omega*B115))*(C115/sref)^(m_-1)))</f>
        <v/>
      </c>
      <c r="G115">
        <f>E115-F115</f>
        <v/>
      </c>
    </row>
    <row r="116">
      <c r="A116" t="inlineStr">
        <is>
          <t>SMHEA (1965) | XK1/1-a</t>
        </is>
      </c>
      <c r="B116" t="n">
        <v>0.31</v>
      </c>
      <c r="C116" t="n">
        <v>0.3683262699175433</v>
      </c>
      <c r="D116" t="n">
        <v>0.3521741398941685</v>
      </c>
      <c r="E116">
        <f>DEGREES(ATAN(D116/C116))</f>
        <v/>
      </c>
      <c r="F116">
        <f>DEGREES(ATAN(TAN(RADIANS(pe0-omega*B116))*(C116/sref)^(m_-1)))</f>
        <v/>
      </c>
      <c r="G116">
        <f>E116-F116</f>
        <v/>
      </c>
    </row>
    <row r="117">
      <c r="A117" t="inlineStr">
        <is>
          <t>SMHEA (1965) | XK1/1-a</t>
        </is>
      </c>
      <c r="B117" t="n">
        <v>0.31</v>
      </c>
      <c r="C117" t="n">
        <v>0.7489457429121349</v>
      </c>
      <c r="D117" t="n">
        <v>0.6967556502913176</v>
      </c>
      <c r="E117">
        <f>DEGREES(ATAN(D117/C117))</f>
        <v/>
      </c>
      <c r="F117">
        <f>DEGREES(ATAN(TAN(RADIANS(pe0-omega*B117))*(C117/sref)^(m_-1)))</f>
        <v/>
      </c>
      <c r="G117">
        <f>E117-F117</f>
        <v/>
      </c>
    </row>
    <row r="118">
      <c r="A118" t="inlineStr">
        <is>
          <t>SMHEA (1965) | XK1/1-a</t>
        </is>
      </c>
      <c r="B118" t="n">
        <v>0.31</v>
      </c>
      <c r="C118" t="n">
        <v>1.192458377182428</v>
      </c>
      <c r="D118" t="n">
        <v>1.010249632664509</v>
      </c>
      <c r="E118">
        <f>DEGREES(ATAN(D118/C118))</f>
        <v/>
      </c>
      <c r="F118">
        <f>DEGREES(ATAN(TAN(RADIANS(pe0-omega*B118))*(C118/sref)^(m_-1)))</f>
        <v/>
      </c>
      <c r="G118">
        <f>E118-F118</f>
        <v/>
      </c>
    </row>
    <row r="119">
      <c r="A119" t="inlineStr">
        <is>
          <t>SMHEA (1965) | XK1/1-b</t>
        </is>
      </c>
      <c r="B119" t="n">
        <v>0.31</v>
      </c>
      <c r="C119" t="n">
        <v>0.1913331925900869</v>
      </c>
      <c r="D119" t="n">
        <v>0.1939530810248405</v>
      </c>
      <c r="E119">
        <f>DEGREES(ATAN(D119/C119))</f>
        <v/>
      </c>
      <c r="F119">
        <f>DEGREES(ATAN(TAN(RADIANS(pe0-omega*B119))*(C119/sref)^(m_-1)))</f>
        <v/>
      </c>
      <c r="G119">
        <f>E119-F119</f>
        <v/>
      </c>
    </row>
    <row r="120">
      <c r="A120" t="inlineStr">
        <is>
          <t>SMHEA (1965) | XK1/1-b</t>
        </is>
      </c>
      <c r="B120" t="n">
        <v>0.31</v>
      </c>
      <c r="C120" t="n">
        <v>0.3749225233075478</v>
      </c>
      <c r="D120" t="n">
        <v>0.3502288718182166</v>
      </c>
      <c r="E120">
        <f>DEGREES(ATAN(D120/C120))</f>
        <v/>
      </c>
      <c r="F120">
        <f>DEGREES(ATAN(TAN(RADIANS(pe0-omega*B120))*(C120/sref)^(m_-1)))</f>
        <v/>
      </c>
      <c r="G120">
        <f>E120-F120</f>
        <v/>
      </c>
    </row>
    <row r="121">
      <c r="A121" t="inlineStr">
        <is>
          <t>SMHEA (1965) | XK1/1-b</t>
        </is>
      </c>
      <c r="B121" t="n">
        <v>0.31</v>
      </c>
      <c r="C121" t="n">
        <v>0.7284396662388721</v>
      </c>
      <c r="D121" t="n">
        <v>0.6209725443580045</v>
      </c>
      <c r="E121">
        <f>DEGREES(ATAN(D121/C121))</f>
        <v/>
      </c>
      <c r="F121">
        <f>DEGREES(ATAN(TAN(RADIANS(pe0-omega*B121))*(C121/sref)^(m_-1)))</f>
        <v/>
      </c>
      <c r="G121">
        <f>E121-F121</f>
        <v/>
      </c>
    </row>
    <row r="122">
      <c r="A122" t="inlineStr">
        <is>
          <t>SMHEA (1965) | XK1/1-b</t>
        </is>
      </c>
      <c r="B122" t="n">
        <v>0.31</v>
      </c>
      <c r="C122" t="n">
        <v>1.172917931255657</v>
      </c>
      <c r="D122" t="n">
        <v>0.9161502284648011</v>
      </c>
      <c r="E122">
        <f>DEGREES(ATAN(D122/C122))</f>
        <v/>
      </c>
      <c r="F122">
        <f>DEGREES(ATAN(TAN(RADIANS(pe0-omega*B122))*(C122/sref)^(m_-1)))</f>
        <v/>
      </c>
      <c r="G122">
        <f>E122-F122</f>
        <v/>
      </c>
    </row>
    <row r="123">
      <c r="A123" t="inlineStr">
        <is>
          <t>SMHEA (1965) | XK1/1-c</t>
        </is>
      </c>
      <c r="B123" t="n">
        <v>0.5</v>
      </c>
      <c r="C123" t="n">
        <v>0.2141717133338878</v>
      </c>
      <c r="D123" t="n">
        <v>0.2522500810571715</v>
      </c>
      <c r="E123">
        <f>DEGREES(ATAN(D123/C123))</f>
        <v/>
      </c>
      <c r="F123">
        <f>DEGREES(ATAN(TAN(RADIANS(pe0-omega*B123))*(C123/sref)^(m_-1)))</f>
        <v/>
      </c>
      <c r="G123">
        <f>E123-F123</f>
        <v/>
      </c>
    </row>
    <row r="124">
      <c r="A124" t="inlineStr">
        <is>
          <t>SMHEA (1965) | XK1/1-c</t>
        </is>
      </c>
      <c r="B124" t="n">
        <v>0.5</v>
      </c>
      <c r="C124" t="n">
        <v>0.3986345118816798</v>
      </c>
      <c r="D124" t="n">
        <v>0.4407700120396165</v>
      </c>
      <c r="E124">
        <f>DEGREES(ATAN(D124/C124))</f>
        <v/>
      </c>
      <c r="F124">
        <f>DEGREES(ATAN(TAN(RADIANS(pe0-omega*B124))*(C124/sref)^(m_-1)))</f>
        <v/>
      </c>
      <c r="G124">
        <f>E124-F124</f>
        <v/>
      </c>
    </row>
    <row r="125">
      <c r="A125" t="inlineStr">
        <is>
          <t>SMHEA (1965) | XK1/1-c</t>
        </is>
      </c>
      <c r="B125" t="n">
        <v>0.5</v>
      </c>
      <c r="C125" t="n">
        <v>0.7615228062367994</v>
      </c>
      <c r="D125" t="n">
        <v>0.7517913227029712</v>
      </c>
      <c r="E125">
        <f>DEGREES(ATAN(D125/C125))</f>
        <v/>
      </c>
      <c r="F125">
        <f>DEGREES(ATAN(TAN(RADIANS(pe0-omega*B125))*(C125/sref)^(m_-1)))</f>
        <v/>
      </c>
      <c r="G125">
        <f>E125-F125</f>
        <v/>
      </c>
    </row>
    <row r="126">
      <c r="A126" t="inlineStr">
        <is>
          <t>SMHEA (1965) | XK1/2-a</t>
        </is>
      </c>
      <c r="B126" t="n">
        <v>0.5</v>
      </c>
      <c r="C126" t="n">
        <v>0.2021329483333929</v>
      </c>
      <c r="D126" t="n">
        <v>0.2430574004858807</v>
      </c>
      <c r="E126">
        <f>DEGREES(ATAN(D126/C126))</f>
        <v/>
      </c>
      <c r="F126">
        <f>DEGREES(ATAN(TAN(RADIANS(pe0-omega*B126))*(C126/sref)^(m_-1)))</f>
        <v/>
      </c>
      <c r="G126">
        <f>E126-F126</f>
        <v/>
      </c>
    </row>
    <row r="127">
      <c r="A127" t="inlineStr">
        <is>
          <t>SMHEA (1965) | XK1/2-a</t>
        </is>
      </c>
      <c r="B127" t="n">
        <v>0.5</v>
      </c>
      <c r="C127" t="n">
        <v>0.3769080003155076</v>
      </c>
      <c r="D127" t="n">
        <v>0.3951335221571519</v>
      </c>
      <c r="E127">
        <f>DEGREES(ATAN(D127/C127))</f>
        <v/>
      </c>
      <c r="F127">
        <f>DEGREES(ATAN(TAN(RADIANS(pe0-omega*B127))*(C127/sref)^(m_-1)))</f>
        <v/>
      </c>
      <c r="G127">
        <f>E127-F127</f>
        <v/>
      </c>
    </row>
    <row r="128">
      <c r="A128" t="inlineStr">
        <is>
          <t>SMHEA (1965) | XK1/2-a</t>
        </is>
      </c>
      <c r="B128" t="n">
        <v>0.5</v>
      </c>
      <c r="C128" t="n">
        <v>0.7629020825234535</v>
      </c>
      <c r="D128" t="n">
        <v>0.7667959578097714</v>
      </c>
      <c r="E128">
        <f>DEGREES(ATAN(D128/C128))</f>
        <v/>
      </c>
      <c r="F128">
        <f>DEGREES(ATAN(TAN(RADIANS(pe0-omega*B128))*(C128/sref)^(m_-1)))</f>
        <v/>
      </c>
      <c r="G128">
        <f>E128-F128</f>
        <v/>
      </c>
    </row>
    <row r="129">
      <c r="A129" t="inlineStr">
        <is>
          <t>SMHEA (1965) | XK1/2-b</t>
        </is>
      </c>
      <c r="B129" t="n">
        <v>0.5</v>
      </c>
      <c r="C129" t="n">
        <v>0.1973800643944792</v>
      </c>
      <c r="D129" t="n">
        <v>0.2371136582299886</v>
      </c>
      <c r="E129">
        <f>DEGREES(ATAN(D129/C129))</f>
        <v/>
      </c>
      <c r="F129">
        <f>DEGREES(ATAN(TAN(RADIANS(pe0-omega*B129))*(C129/sref)^(m_-1)))</f>
        <v/>
      </c>
      <c r="G129">
        <f>E129-F129</f>
        <v/>
      </c>
    </row>
    <row r="130">
      <c r="A130" t="inlineStr">
        <is>
          <t>SMHEA (1965) | XK1/2-b</t>
        </is>
      </c>
      <c r="B130" t="n">
        <v>0.5</v>
      </c>
      <c r="C130" t="n">
        <v>0.3833996850808535</v>
      </c>
      <c r="D130" t="n">
        <v>0.4101242776953097</v>
      </c>
      <c r="E130">
        <f>DEGREES(ATAN(D130/C130))</f>
        <v/>
      </c>
      <c r="F130">
        <f>DEGREES(ATAN(TAN(RADIANS(pe0-omega*B130))*(C130/sref)^(m_-1)))</f>
        <v/>
      </c>
      <c r="G130">
        <f>E130-F130</f>
        <v/>
      </c>
    </row>
    <row r="131">
      <c r="A131" t="inlineStr">
        <is>
          <t>SMHEA (1965) | XK1/2-b</t>
        </is>
      </c>
      <c r="B131" t="n">
        <v>0.5</v>
      </c>
      <c r="C131" t="n">
        <v>0.7715087791058344</v>
      </c>
      <c r="D131" t="n">
        <v>0.8026027306515138</v>
      </c>
      <c r="E131">
        <f>DEGREES(ATAN(D131/C131))</f>
        <v/>
      </c>
      <c r="F131">
        <f>DEGREES(ATAN(TAN(RADIANS(pe0-omega*B131))*(C131/sref)^(m_-1)))</f>
        <v/>
      </c>
      <c r="G131">
        <f>E131-F131</f>
        <v/>
      </c>
    </row>
    <row r="132">
      <c r="A132" t="inlineStr">
        <is>
          <t>SMHEA(1966) | 3B/2/C1/7FD-a</t>
        </is>
      </c>
      <c r="B132" t="n">
        <v>0.2884776119402985</v>
      </c>
      <c r="C132" t="n">
        <v>0.4547959981247321</v>
      </c>
      <c r="D132" t="n">
        <v>0.4463498176699795</v>
      </c>
      <c r="E132">
        <f>DEGREES(ATAN(D132/C132))</f>
        <v/>
      </c>
      <c r="F132">
        <f>DEGREES(ATAN(TAN(RADIANS(pe0-omega*B132))*(C132/sref)^(m_-1)))</f>
        <v/>
      </c>
      <c r="G132">
        <f>E132-F132</f>
        <v/>
      </c>
    </row>
    <row r="133">
      <c r="A133" t="inlineStr">
        <is>
          <t>SMHEA(1966) | 3B/2/C1/7FD-a</t>
        </is>
      </c>
      <c r="B133" t="n">
        <v>0.2884776119402985</v>
      </c>
      <c r="C133" t="n">
        <v>0.8871681798892858</v>
      </c>
      <c r="D133" t="n">
        <v>0.7852114400132795</v>
      </c>
      <c r="E133">
        <f>DEGREES(ATAN(D133/C133))</f>
        <v/>
      </c>
      <c r="F133">
        <f>DEGREES(ATAN(TAN(RADIANS(pe0-omega*B133))*(C133/sref)^(m_-1)))</f>
        <v/>
      </c>
      <c r="G133">
        <f>E133-F133</f>
        <v/>
      </c>
    </row>
    <row r="134">
      <c r="A134" t="inlineStr">
        <is>
          <t>SMHEA(1966) | 3B/2/C1/7FD-a</t>
        </is>
      </c>
      <c r="B134" t="n">
        <v>0.2884776119402985</v>
      </c>
      <c r="C134" t="n">
        <v>1.701066490396201</v>
      </c>
      <c r="D134" t="n">
        <v>1.394446108009183</v>
      </c>
      <c r="E134">
        <f>DEGREES(ATAN(D134/C134))</f>
        <v/>
      </c>
      <c r="F134">
        <f>DEGREES(ATAN(TAN(RADIANS(pe0-omega*B134))*(C134/sref)^(m_-1)))</f>
        <v/>
      </c>
      <c r="G134">
        <f>E134-F134</f>
        <v/>
      </c>
    </row>
    <row r="135">
      <c r="A135" t="inlineStr">
        <is>
          <t>SMHEA(1966) | 3B/2/C3/9FD-a</t>
        </is>
      </c>
      <c r="B135" t="n">
        <v>0.4075217391304351</v>
      </c>
      <c r="C135" t="n">
        <v>0.4760718157782698</v>
      </c>
      <c r="D135" t="n">
        <v>0.4346897541149545</v>
      </c>
      <c r="E135">
        <f>DEGREES(ATAN(D135/C135))</f>
        <v/>
      </c>
      <c r="F135">
        <f>DEGREES(ATAN(TAN(RADIANS(pe0-omega*B135))*(C135/sref)^(m_-1)))</f>
        <v/>
      </c>
      <c r="G135">
        <f>E135-F135</f>
        <v/>
      </c>
    </row>
    <row r="136">
      <c r="A136" t="inlineStr">
        <is>
          <t>SMHEA(1966) | 3B/2/C3/9FD-a</t>
        </is>
      </c>
      <c r="B136" t="n">
        <v>0.4075217391304351</v>
      </c>
      <c r="C136" t="n">
        <v>0.9469442440559898</v>
      </c>
      <c r="D136" t="n">
        <v>0.8186056528348865</v>
      </c>
      <c r="E136">
        <f>DEGREES(ATAN(D136/C136))</f>
        <v/>
      </c>
      <c r="F136">
        <f>DEGREES(ATAN(TAN(RADIANS(pe0-omega*B136))*(C136/sref)^(m_-1)))</f>
        <v/>
      </c>
      <c r="G136">
        <f>E136-F136</f>
        <v/>
      </c>
    </row>
    <row r="137">
      <c r="A137" t="inlineStr">
        <is>
          <t>SMHEA(1966) | 3B/2/CJ-a</t>
        </is>
      </c>
      <c r="B137" t="n">
        <v>0.3418860103626944</v>
      </c>
      <c r="C137" t="n">
        <v>0.2411807458059358</v>
      </c>
      <c r="D137" t="n">
        <v>0.2370147785910877</v>
      </c>
      <c r="E137">
        <f>DEGREES(ATAN(D137/C137))</f>
        <v/>
      </c>
      <c r="F137">
        <f>DEGREES(ATAN(TAN(RADIANS(pe0-omega*B137))*(C137/sref)^(m_-1)))</f>
        <v/>
      </c>
      <c r="G137">
        <f>E137-F137</f>
        <v/>
      </c>
    </row>
    <row r="138">
      <c r="A138" t="inlineStr">
        <is>
          <t>SMHEA(1966) | 3B/2/CJ-a</t>
        </is>
      </c>
      <c r="B138" t="n">
        <v>0.3418860103626944</v>
      </c>
      <c r="C138" t="n">
        <v>0.5123461319494846</v>
      </c>
      <c r="D138" t="n">
        <v>0.5237035334577922</v>
      </c>
      <c r="E138">
        <f>DEGREES(ATAN(D138/C138))</f>
        <v/>
      </c>
      <c r="F138">
        <f>DEGREES(ATAN(TAN(RADIANS(pe0-omega*B138))*(C138/sref)^(m_-1)))</f>
        <v/>
      </c>
      <c r="G138">
        <f>E138-F138</f>
        <v/>
      </c>
    </row>
    <row r="139">
      <c r="A139" t="inlineStr">
        <is>
          <t>SMHEA(1966) | 3B/2/CJ-a</t>
        </is>
      </c>
      <c r="B139" t="n">
        <v>0.3418860103626944</v>
      </c>
      <c r="C139" t="n">
        <v>0.9621756692837226</v>
      </c>
      <c r="D139" t="n">
        <v>0.8725175900605953</v>
      </c>
      <c r="E139">
        <f>DEGREES(ATAN(D139/C139))</f>
        <v/>
      </c>
      <c r="F139">
        <f>DEGREES(ATAN(TAN(RADIANS(pe0-omega*B139))*(C139/sref)^(m_-1)))</f>
        <v/>
      </c>
      <c r="G139">
        <f>E139-F139</f>
        <v/>
      </c>
    </row>
    <row r="140">
      <c r="A140" t="inlineStr">
        <is>
          <t>SMHEA(1966) | 3B/2/CJ-a</t>
        </is>
      </c>
      <c r="B140" t="n">
        <v>0.3418860103626944</v>
      </c>
      <c r="C140" t="n">
        <v>1.773535578943401</v>
      </c>
      <c r="D140" t="n">
        <v>1.522274087946497</v>
      </c>
      <c r="E140">
        <f>DEGREES(ATAN(D140/C140))</f>
        <v/>
      </c>
      <c r="F140">
        <f>DEGREES(ATAN(TAN(RADIANS(pe0-omega*B140))*(C140/sref)^(m_-1)))</f>
        <v/>
      </c>
      <c r="G140">
        <f>E140-F140</f>
        <v/>
      </c>
    </row>
    <row r="141">
      <c r="A141" t="inlineStr">
        <is>
          <t>SMHEA(1966) | 3B/2/CJ-b</t>
        </is>
      </c>
      <c r="B141" t="n">
        <v>0.2757832512315272</v>
      </c>
      <c r="C141" t="n">
        <v>0.5033553016733432</v>
      </c>
      <c r="D141" t="n">
        <v>0.5527406726293581</v>
      </c>
      <c r="E141">
        <f>DEGREES(ATAN(D141/C141))</f>
        <v/>
      </c>
      <c r="F141">
        <f>DEGREES(ATAN(TAN(RADIANS(pe0-omega*B141))*(C141/sref)^(m_-1)))</f>
        <v/>
      </c>
      <c r="G141">
        <f>E141-F141</f>
        <v/>
      </c>
    </row>
    <row r="142">
      <c r="A142" t="inlineStr">
        <is>
          <t>SMHEA(1966) | 3B/2/CJ-b</t>
        </is>
      </c>
      <c r="B142" t="n">
        <v>0.2757832512315272</v>
      </c>
      <c r="C142" t="n">
        <v>0.9428278325097323</v>
      </c>
      <c r="D142" t="n">
        <v>0.9260648811359757</v>
      </c>
      <c r="E142">
        <f>DEGREES(ATAN(D142/C142))</f>
        <v/>
      </c>
      <c r="F142">
        <f>DEGREES(ATAN(TAN(RADIANS(pe0-omega*B142))*(C142/sref)^(m_-1)))</f>
        <v/>
      </c>
      <c r="G142">
        <f>E142-F142</f>
        <v/>
      </c>
    </row>
    <row r="143">
      <c r="A143" t="inlineStr">
        <is>
          <t>SMHEA(1966) | 3B/2/CJ-b</t>
        </is>
      </c>
      <c r="B143" t="n">
        <v>0.2757832512315272</v>
      </c>
      <c r="C143" t="n">
        <v>1.754733467254333</v>
      </c>
      <c r="D143" t="n">
        <v>1.731402936017038</v>
      </c>
      <c r="E143">
        <f>DEGREES(ATAN(D143/C143))</f>
        <v/>
      </c>
      <c r="F143">
        <f>DEGREES(ATAN(TAN(RADIANS(pe0-omega*B143))*(C143/sref)^(m_-1)))</f>
        <v/>
      </c>
      <c r="G143">
        <f>E143-F143</f>
        <v/>
      </c>
    </row>
    <row r="144">
      <c r="A144" t="inlineStr">
        <is>
          <t>SMHEA(1966) | 3B/2/V1/1FD-a</t>
        </is>
      </c>
      <c r="B144" t="n">
        <v>0.4715</v>
      </c>
      <c r="C144" t="n">
        <v>0.4927735075263754</v>
      </c>
      <c r="D144" t="n">
        <v>0.4731537848408758</v>
      </c>
      <c r="E144">
        <f>DEGREES(ATAN(D144/C144))</f>
        <v/>
      </c>
      <c r="F144">
        <f>DEGREES(ATAN(TAN(RADIANS(pe0-omega*B144))*(C144/sref)^(m_-1)))</f>
        <v/>
      </c>
      <c r="G144">
        <f>E144-F144</f>
        <v/>
      </c>
    </row>
    <row r="145">
      <c r="A145" t="inlineStr">
        <is>
          <t>SMHEA(1966) | 3B/2/V1/1FD-a</t>
        </is>
      </c>
      <c r="B145" t="n">
        <v>0.4715</v>
      </c>
      <c r="C145" t="n">
        <v>1.763237894397736</v>
      </c>
      <c r="D145" t="n">
        <v>1.451271533107862</v>
      </c>
      <c r="E145">
        <f>DEGREES(ATAN(D145/C145))</f>
        <v/>
      </c>
      <c r="F145">
        <f>DEGREES(ATAN(TAN(RADIANS(pe0-omega*B145))*(C145/sref)^(m_-1)))</f>
        <v/>
      </c>
      <c r="G145">
        <f>E145-F145</f>
        <v/>
      </c>
    </row>
    <row r="146">
      <c r="A146" t="inlineStr">
        <is>
          <t>SMHEA(1966) | 3B/2/V3/3FD-a</t>
        </is>
      </c>
      <c r="B146" t="n">
        <v>0.560144578313253</v>
      </c>
      <c r="C146" t="n">
        <v>0.4831534122773415</v>
      </c>
      <c r="D146" t="n">
        <v>0.4429941517525273</v>
      </c>
      <c r="E146">
        <f>DEGREES(ATAN(D146/C146))</f>
        <v/>
      </c>
      <c r="F146">
        <f>DEGREES(ATAN(TAN(RADIANS(pe0-omega*B146))*(C146/sref)^(m_-1)))</f>
        <v/>
      </c>
      <c r="G146">
        <f>E146-F146</f>
        <v/>
      </c>
    </row>
    <row r="147">
      <c r="A147" t="inlineStr">
        <is>
          <t>SMHEA(1966) | 3B/2/V3/3FD-b</t>
        </is>
      </c>
      <c r="B147" t="n">
        <v>0.3775744680851065</v>
      </c>
      <c r="C147" t="n">
        <v>0.4952890750820733</v>
      </c>
      <c r="D147" t="n">
        <v>0.4647796276397169</v>
      </c>
      <c r="E147">
        <f>DEGREES(ATAN(D147/C147))</f>
        <v/>
      </c>
      <c r="F147">
        <f>DEGREES(ATAN(TAN(RADIANS(pe0-omega*B147))*(C147/sref)^(m_-1)))</f>
        <v/>
      </c>
      <c r="G147">
        <f>E147-F147</f>
        <v/>
      </c>
    </row>
    <row r="148">
      <c r="A148" t="inlineStr">
        <is>
          <t>SMHEA(1966) | 3B/2/V3/3FD-b</t>
        </is>
      </c>
      <c r="B148" t="n">
        <v>0.3775744680851065</v>
      </c>
      <c r="C148" t="n">
        <v>0.9456984019258705</v>
      </c>
      <c r="D148" t="n">
        <v>0.8152599292923872</v>
      </c>
      <c r="E148">
        <f>DEGREES(ATAN(D148/C148))</f>
        <v/>
      </c>
      <c r="F148">
        <f>DEGREES(ATAN(TAN(RADIANS(pe0-omega*B148))*(C148/sref)^(m_-1)))</f>
        <v/>
      </c>
      <c r="G148">
        <f>E148-F148</f>
        <v/>
      </c>
    </row>
    <row r="149">
      <c r="A149" t="inlineStr">
        <is>
          <t>SMHEA(1966) | 3B/2/V3/3FD-b</t>
        </is>
      </c>
      <c r="B149" t="n">
        <v>0.3775744680851065</v>
      </c>
      <c r="C149" t="n">
        <v>1.75636594499338</v>
      </c>
      <c r="D149" t="n">
        <v>1.414718824178447</v>
      </c>
      <c r="E149">
        <f>DEGREES(ATAN(D149/C149))</f>
        <v/>
      </c>
      <c r="F149">
        <f>DEGREES(ATAN(TAN(RADIANS(pe0-omega*B149))*(C149/sref)^(m_-1)))</f>
        <v/>
      </c>
      <c r="G149">
        <f>E149-F149</f>
        <v/>
      </c>
    </row>
    <row r="150">
      <c r="A150" t="inlineStr">
        <is>
          <t>SMHEA(1966) | 3B/2/VJ-a</t>
        </is>
      </c>
      <c r="B150" t="n">
        <v>0.3146395939086295</v>
      </c>
      <c r="C150" t="n">
        <v>0.5232273574476047</v>
      </c>
      <c r="D150" t="n">
        <v>0.5494589825200128</v>
      </c>
      <c r="E150">
        <f>DEGREES(ATAN(D150/C150))</f>
        <v/>
      </c>
      <c r="F150">
        <f>DEGREES(ATAN(TAN(RADIANS(pe0-omega*B150))*(C150/sref)^(m_-1)))</f>
        <v/>
      </c>
      <c r="G150">
        <f>E150-F150</f>
        <v/>
      </c>
    </row>
    <row r="151">
      <c r="A151" t="inlineStr">
        <is>
          <t>SMHEA(1966) | 3B/2/VJ-a</t>
        </is>
      </c>
      <c r="B151" t="n">
        <v>0.3146395939086295</v>
      </c>
      <c r="C151" t="n">
        <v>0.8954722188967056</v>
      </c>
      <c r="D151" t="n">
        <v>0.8115242705132755</v>
      </c>
      <c r="E151">
        <f>DEGREES(ATAN(D151/C151))</f>
        <v/>
      </c>
      <c r="F151">
        <f>DEGREES(ATAN(TAN(RADIANS(pe0-omega*B151))*(C151/sref)^(m_-1)))</f>
        <v/>
      </c>
      <c r="G151">
        <f>E151-F151</f>
        <v/>
      </c>
    </row>
    <row r="152">
      <c r="A152" t="inlineStr">
        <is>
          <t>SMHEA(1966) | 3B/2/VJ-a</t>
        </is>
      </c>
      <c r="B152" t="n">
        <v>0.3146395939086295</v>
      </c>
      <c r="C152" t="n">
        <v>1.747764590427216</v>
      </c>
      <c r="D152" t="n">
        <v>1.485983794022474</v>
      </c>
      <c r="E152">
        <f>DEGREES(ATAN(D152/C152))</f>
        <v/>
      </c>
      <c r="F152">
        <f>DEGREES(ATAN(TAN(RADIANS(pe0-omega*B152))*(C152/sref)^(m_-1)))</f>
        <v/>
      </c>
      <c r="G152">
        <f>E152-F152</f>
        <v/>
      </c>
    </row>
    <row r="153">
      <c r="A153" t="inlineStr">
        <is>
          <t>SMHEA(1966) | YV/6.6/D/3B/34/S-a</t>
        </is>
      </c>
      <c r="B153" t="n">
        <v>0.4317297297297298</v>
      </c>
      <c r="C153" t="n">
        <v>0.4929645472370928</v>
      </c>
      <c r="D153" t="n">
        <v>0.4509452334760143</v>
      </c>
      <c r="E153">
        <f>DEGREES(ATAN(D153/C153))</f>
        <v/>
      </c>
      <c r="F153">
        <f>DEGREES(ATAN(TAN(RADIANS(pe0-omega*B153))*(C153/sref)^(m_-1)))</f>
        <v/>
      </c>
      <c r="G153">
        <f>E153-F153</f>
        <v/>
      </c>
    </row>
    <row r="154">
      <c r="A154" t="inlineStr">
        <is>
          <t>SMHEA(1966) | ZD/3A/2/B/20D-a</t>
        </is>
      </c>
      <c r="B154" t="n">
        <v>0.2391578947368422</v>
      </c>
      <c r="C154" t="n">
        <v>0.593662557209377</v>
      </c>
      <c r="D154" t="n">
        <v>0.7629437466728571</v>
      </c>
      <c r="E154">
        <f>DEGREES(ATAN(D154/C154))</f>
        <v/>
      </c>
      <c r="F154">
        <f>DEGREES(ATAN(TAN(RADIANS(pe0-omega*B154))*(C154/sref)^(m_-1)))</f>
        <v/>
      </c>
      <c r="G154">
        <f>E154-F154</f>
        <v/>
      </c>
    </row>
    <row r="155">
      <c r="A155" t="inlineStr">
        <is>
          <t>SMHEA(1966) | ZD/3A/2/B/20D-a</t>
        </is>
      </c>
      <c r="B155" t="n">
        <v>0.2391578947368422</v>
      </c>
      <c r="C155" t="n">
        <v>1.079327409633251</v>
      </c>
      <c r="D155" t="n">
        <v>1.160942093424181</v>
      </c>
      <c r="E155">
        <f>DEGREES(ATAN(D155/C155))</f>
        <v/>
      </c>
      <c r="F155">
        <f>DEGREES(ATAN(TAN(RADIANS(pe0-omega*B155))*(C155/sref)^(m_-1)))</f>
        <v/>
      </c>
      <c r="G155">
        <f>E155-F155</f>
        <v/>
      </c>
    </row>
    <row r="156">
      <c r="A156" t="inlineStr">
        <is>
          <t>SMHEA(1966) | ZD/3A/2/B/20D-a</t>
        </is>
      </c>
      <c r="B156" t="n">
        <v>0.2391578947368422</v>
      </c>
      <c r="C156" t="n">
        <v>2.020483848196021</v>
      </c>
      <c r="D156" t="n">
        <v>1.981305357610881</v>
      </c>
      <c r="E156">
        <f>DEGREES(ATAN(D156/C156))</f>
        <v/>
      </c>
      <c r="F156">
        <f>DEGREES(ATAN(TAN(RADIANS(pe0-omega*B156))*(C156/sref)^(m_-1)))</f>
        <v/>
      </c>
      <c r="G156">
        <f>E156-F156</f>
        <v/>
      </c>
    </row>
    <row r="157">
      <c r="A157" t="inlineStr">
        <is>
          <t>SMHEA(1966) | ZD/3A/2/B/20D-a</t>
        </is>
      </c>
      <c r="B157" t="n">
        <v>0.2391578947368422</v>
      </c>
      <c r="C157" t="n">
        <v>2.602168881053026</v>
      </c>
      <c r="D157" t="n">
        <v>2.413545264692997</v>
      </c>
      <c r="E157">
        <f>DEGREES(ATAN(D157/C157))</f>
        <v/>
      </c>
      <c r="F157">
        <f>DEGREES(ATAN(TAN(RADIANS(pe0-omega*B157))*(C157/sref)^(m_-1)))</f>
        <v/>
      </c>
      <c r="G157">
        <f>E157-F157</f>
        <v/>
      </c>
    </row>
    <row r="158">
      <c r="A158" t="inlineStr">
        <is>
          <t>SMHEA(1966) | ZD/3A/2/B/20D-b</t>
        </is>
      </c>
      <c r="B158" t="n">
        <v>0.3146395939086295</v>
      </c>
      <c r="C158" t="n">
        <v>0.5442849992571827</v>
      </c>
      <c r="D158" t="n">
        <v>0.626388342541693</v>
      </c>
      <c r="E158">
        <f>DEGREES(ATAN(D158/C158))</f>
        <v/>
      </c>
      <c r="F158">
        <f>DEGREES(ATAN(TAN(RADIANS(pe0-omega*B158))*(C158/sref)^(m_-1)))</f>
        <v/>
      </c>
      <c r="G158">
        <f>E158-F158</f>
        <v/>
      </c>
    </row>
    <row r="159">
      <c r="A159" t="inlineStr">
        <is>
          <t>SMHEA(1966) | ZD/3A/2/B/20D-b</t>
        </is>
      </c>
      <c r="B159" t="n">
        <v>0.3146395939086295</v>
      </c>
      <c r="C159" t="n">
        <v>0.996646494643747</v>
      </c>
      <c r="D159" t="n">
        <v>0.9767648663536214</v>
      </c>
      <c r="E159">
        <f>DEGREES(ATAN(D159/C159))</f>
        <v/>
      </c>
      <c r="F159">
        <f>DEGREES(ATAN(TAN(RADIANS(pe0-omega*B159))*(C159/sref)^(m_-1)))</f>
        <v/>
      </c>
      <c r="G159">
        <f>E159-F159</f>
        <v/>
      </c>
    </row>
    <row r="160">
      <c r="A160" t="inlineStr">
        <is>
          <t>SMHEA(1966) | ZD/3A/2/B/20D-b</t>
        </is>
      </c>
      <c r="B160" t="n">
        <v>0.3146395939086295</v>
      </c>
      <c r="C160" t="n">
        <v>1.852163624610984</v>
      </c>
      <c r="D160" t="n">
        <v>1.685209335308589</v>
      </c>
      <c r="E160">
        <f>DEGREES(ATAN(D160/C160))</f>
        <v/>
      </c>
      <c r="F160">
        <f>DEGREES(ATAN(TAN(RADIANS(pe0-omega*B160))*(C160/sref)^(m_-1)))</f>
        <v/>
      </c>
      <c r="G160">
        <f>E160-F160</f>
        <v/>
      </c>
    </row>
    <row r="161">
      <c r="A161" t="inlineStr">
        <is>
          <t>SMHEA(1966) | ZD/3A/2/L/19D-a</t>
        </is>
      </c>
      <c r="B161" t="n">
        <v>0.2949200000000001</v>
      </c>
      <c r="C161" t="n">
        <v>0.5343665270740113</v>
      </c>
      <c r="D161" t="n">
        <v>0.5997400959378674</v>
      </c>
      <c r="E161">
        <f>DEGREES(ATAN(D161/C161))</f>
        <v/>
      </c>
      <c r="F161">
        <f>DEGREES(ATAN(TAN(RADIANS(pe0-omega*B161))*(C161/sref)^(m_-1)))</f>
        <v/>
      </c>
      <c r="G161">
        <f>E161-F161</f>
        <v/>
      </c>
    </row>
    <row r="162">
      <c r="A162" t="inlineStr">
        <is>
          <t>SMHEA(1966) | ZD/3A/2/L/19D-a</t>
        </is>
      </c>
      <c r="B162" t="n">
        <v>0.2949200000000001</v>
      </c>
      <c r="C162" t="n">
        <v>1.054350598959844</v>
      </c>
      <c r="D162" t="n">
        <v>1.080248171705178</v>
      </c>
      <c r="E162">
        <f>DEGREES(ATAN(D162/C162))</f>
        <v/>
      </c>
      <c r="F162">
        <f>DEGREES(ATAN(TAN(RADIANS(pe0-omega*B162))*(C162/sref)^(m_-1)))</f>
        <v/>
      </c>
      <c r="G162">
        <f>E162-F162</f>
        <v/>
      </c>
    </row>
    <row r="163">
      <c r="A163" t="inlineStr">
        <is>
          <t>SMHEA(1966) | ZD/3A/2/L/19D-a</t>
        </is>
      </c>
      <c r="B163" t="n">
        <v>0.2949200000000001</v>
      </c>
      <c r="C163" t="n">
        <v>1.886826878979019</v>
      </c>
      <c r="D163" t="n">
        <v>1.718049143468848</v>
      </c>
      <c r="E163">
        <f>DEGREES(ATAN(D163/C163))</f>
        <v/>
      </c>
      <c r="F163">
        <f>DEGREES(ATAN(TAN(RADIANS(pe0-omega*B163))*(C163/sref)^(m_-1)))</f>
        <v/>
      </c>
      <c r="G163">
        <f>E163-F163</f>
        <v/>
      </c>
    </row>
    <row r="164">
      <c r="A164" t="inlineStr">
        <is>
          <t>SMHEA(1966) | ZD/3A/2/L/19D-a</t>
        </is>
      </c>
      <c r="B164" t="n">
        <v>0.2949200000000001</v>
      </c>
      <c r="C164" t="n">
        <v>2.511607568352461</v>
      </c>
      <c r="D164" t="n">
        <v>2.222247740029395</v>
      </c>
      <c r="E164">
        <f>DEGREES(ATAN(D164/C164))</f>
        <v/>
      </c>
      <c r="F164">
        <f>DEGREES(ATAN(TAN(RADIANS(pe0-omega*B164))*(C164/sref)^(m_-1)))</f>
        <v/>
      </c>
      <c r="G164">
        <f>E164-F164</f>
        <v/>
      </c>
    </row>
    <row r="165">
      <c r="A165" t="inlineStr">
        <is>
          <t>SMHEA(1966) | ZD/3A/2/L/19D-b</t>
        </is>
      </c>
      <c r="B165" t="n">
        <v>0.3418860103626944</v>
      </c>
      <c r="C165" t="n">
        <v>0.5186614970102904</v>
      </c>
      <c r="D165" t="n">
        <v>0.5481432894687577</v>
      </c>
      <c r="E165">
        <f>DEGREES(ATAN(D165/C165))</f>
        <v/>
      </c>
      <c r="F165">
        <f>DEGREES(ATAN(TAN(RADIANS(pe0-omega*B165))*(C165/sref)^(m_-1)))</f>
        <v/>
      </c>
      <c r="G165">
        <f>E165-F165</f>
        <v/>
      </c>
    </row>
    <row r="166">
      <c r="A166" t="inlineStr">
        <is>
          <t>SMHEA(1966) | ZD/3A/2/L/19D-b</t>
        </is>
      </c>
      <c r="B166" t="n">
        <v>0.3630736842105264</v>
      </c>
      <c r="C166" t="n">
        <v>1.005391189368354</v>
      </c>
      <c r="D166" t="n">
        <v>0.9650896504701874</v>
      </c>
      <c r="E166">
        <f>DEGREES(ATAN(D166/C166))</f>
        <v/>
      </c>
      <c r="F166">
        <f>DEGREES(ATAN(TAN(RADIANS(pe0-omega*B166))*(C166/sref)^(m_-1)))</f>
        <v/>
      </c>
      <c r="G166">
        <f>E166-F166</f>
        <v/>
      </c>
    </row>
    <row r="167">
      <c r="A167" t="inlineStr">
        <is>
          <t>SMHEA(1966) | ZD/3A/2/L/19D-b</t>
        </is>
      </c>
      <c r="B167" t="n">
        <v>0.3488750000000003</v>
      </c>
      <c r="C167" t="n">
        <v>1.85637209775029</v>
      </c>
      <c r="D167" t="n">
        <v>1.657354882411469</v>
      </c>
      <c r="E167">
        <f>DEGREES(ATAN(D167/C167))</f>
        <v/>
      </c>
      <c r="F167">
        <f>DEGREES(ATAN(TAN(RADIANS(pe0-omega*B167))*(C167/sref)^(m_-1)))</f>
        <v/>
      </c>
      <c r="G167">
        <f>E167-F167</f>
        <v/>
      </c>
    </row>
    <row r="168">
      <c r="A168" t="inlineStr">
        <is>
          <t>SMHEA(1966) | ZD/3A/2/L/19D-b</t>
        </is>
      </c>
      <c r="B168" t="n">
        <v>0.355937172774869</v>
      </c>
      <c r="C168" t="n">
        <v>2.433066681335191</v>
      </c>
      <c r="D168" t="n">
        <v>2.073480088252739</v>
      </c>
      <c r="E168">
        <f>DEGREES(ATAN(D168/C168))</f>
        <v/>
      </c>
      <c r="F168">
        <f>DEGREES(ATAN(TAN(RADIANS(pe0-omega*B168))*(C168/sref)^(m_-1)))</f>
        <v/>
      </c>
      <c r="G168">
        <f>E168-F168</f>
        <v/>
      </c>
    </row>
    <row r="169">
      <c r="A169" t="inlineStr">
        <is>
          <t>SMHEA(1966) | ZD/3A/2/M/21D-a</t>
        </is>
      </c>
      <c r="B169" t="n">
        <v>0.3014271356783922</v>
      </c>
      <c r="C169" t="n">
        <v>0.5210732525709587</v>
      </c>
      <c r="D169" t="n">
        <v>0.5527565687332524</v>
      </c>
      <c r="E169">
        <f>DEGREES(ATAN(D169/C169))</f>
        <v/>
      </c>
      <c r="F169">
        <f>DEGREES(ATAN(TAN(RADIANS(pe0-omega*B169))*(C169/sref)^(m_-1)))</f>
        <v/>
      </c>
      <c r="G169">
        <f>E169-F169</f>
        <v/>
      </c>
    </row>
    <row r="170">
      <c r="A170" t="inlineStr">
        <is>
          <t>SMHEA(1966) | ZD/3A/2/M/21D-a</t>
        </is>
      </c>
      <c r="B170" t="n">
        <v>0.3014271356783922</v>
      </c>
      <c r="C170" t="n">
        <v>1.017789413388067</v>
      </c>
      <c r="D170" t="n">
        <v>0.991395149909099</v>
      </c>
      <c r="E170">
        <f>DEGREES(ATAN(D170/C170))</f>
        <v/>
      </c>
      <c r="F170">
        <f>DEGREES(ATAN(TAN(RADIANS(pe0-omega*B170))*(C170/sref)^(m_-1)))</f>
        <v/>
      </c>
      <c r="G170">
        <f>E170-F170</f>
        <v/>
      </c>
    </row>
    <row r="171">
      <c r="A171" t="inlineStr">
        <is>
          <t>SMHEA(1966) | ZD/3A/2/M/21D-a</t>
        </is>
      </c>
      <c r="B171" t="n">
        <v>0.3014271356783922</v>
      </c>
      <c r="C171" t="n">
        <v>1.84665619939945</v>
      </c>
      <c r="D171" t="n">
        <v>1.636122768460409</v>
      </c>
      <c r="E171">
        <f>DEGREES(ATAN(D171/C171))</f>
        <v/>
      </c>
      <c r="F171">
        <f>DEGREES(ATAN(TAN(RADIANS(pe0-omega*B171))*(C171/sref)^(m_-1)))</f>
        <v/>
      </c>
      <c r="G171">
        <f>E171-F171</f>
        <v/>
      </c>
    </row>
    <row r="172">
      <c r="A172" t="inlineStr">
        <is>
          <t>SMHEA(1966) | ZD/3A/2/M/21D-a</t>
        </is>
      </c>
      <c r="B172" t="n">
        <v>0.3014271356783922</v>
      </c>
      <c r="C172" t="n">
        <v>2.434850554270763</v>
      </c>
      <c r="D172" t="n">
        <v>2.073894324621846</v>
      </c>
      <c r="E172">
        <f>DEGREES(ATAN(D172/C172))</f>
        <v/>
      </c>
      <c r="F172">
        <f>DEGREES(ATAN(TAN(RADIANS(pe0-omega*B172))*(C172/sref)^(m_-1)))</f>
        <v/>
      </c>
      <c r="G172">
        <f>E172-F172</f>
        <v/>
      </c>
    </row>
    <row r="173">
      <c r="A173" t="inlineStr">
        <is>
          <t>SMHEA(1966) | ZD/3B/2/VJ/19D-b</t>
        </is>
      </c>
      <c r="B173" t="n">
        <v>0.3867539267015707</v>
      </c>
      <c r="C173" t="n">
        <v>0.5045343884420248</v>
      </c>
      <c r="D173" t="n">
        <v>0.5206775955783489</v>
      </c>
      <c r="E173">
        <f>DEGREES(ATAN(D173/C173))</f>
        <v/>
      </c>
      <c r="F173">
        <f>DEGREES(ATAN(TAN(RADIANS(pe0-omega*B173))*(C173/sref)^(m_-1)))</f>
        <v/>
      </c>
      <c r="G173">
        <f>E173-F173</f>
        <v/>
      </c>
    </row>
    <row r="174">
      <c r="A174" t="inlineStr">
        <is>
          <t>SMHEA(1966) | ZD/3B/2/VJ/19D-b</t>
        </is>
      </c>
      <c r="B174" t="n">
        <v>0.3867539267015707</v>
      </c>
      <c r="C174" t="n">
        <v>1.022665843975797</v>
      </c>
      <c r="D174" t="n">
        <v>1.008106751556404</v>
      </c>
      <c r="E174">
        <f>DEGREES(ATAN(D174/C174))</f>
        <v/>
      </c>
      <c r="F174">
        <f>DEGREES(ATAN(TAN(RADIANS(pe0-omega*B174))*(C174/sref)^(m_-1)))</f>
        <v/>
      </c>
      <c r="G174">
        <f>E174-F174</f>
        <v/>
      </c>
    </row>
    <row r="175">
      <c r="A175" t="inlineStr">
        <is>
          <t>SMHEA(1966) | ZD/3B/2/VJ/19D-b</t>
        </is>
      </c>
      <c r="B175" t="n">
        <v>0.3867539267015707</v>
      </c>
      <c r="C175" t="n">
        <v>1.850140735945586</v>
      </c>
      <c r="D175" t="n">
        <v>1.665134201369914</v>
      </c>
      <c r="E175">
        <f>DEGREES(ATAN(D175/C175))</f>
        <v/>
      </c>
      <c r="F175">
        <f>DEGREES(ATAN(TAN(RADIANS(pe0-omega*B175))*(C175/sref)^(m_-1)))</f>
        <v/>
      </c>
      <c r="G175">
        <f>E175-F175</f>
        <v/>
      </c>
    </row>
    <row r="176">
      <c r="A176" t="inlineStr">
        <is>
          <t>SMHEA(1966) | ZD/3B/2/VJ/19D-b</t>
        </is>
      </c>
      <c r="B176" t="n">
        <v>0.3867539267015707</v>
      </c>
      <c r="C176" t="n">
        <v>2.43124646055388</v>
      </c>
      <c r="D176" t="n">
        <v>2.093341258311575</v>
      </c>
      <c r="E176">
        <f>DEGREES(ATAN(D176/C176))</f>
        <v/>
      </c>
      <c r="F176">
        <f>DEGREES(ATAN(TAN(RADIANS(pe0-omega*B176))*(C176/sref)^(m_-1)))</f>
        <v/>
      </c>
      <c r="G176">
        <f>E176-F176</f>
        <v/>
      </c>
    </row>
    <row r="177">
      <c r="A177" t="inlineStr">
        <is>
          <t>SMHEA(1966) | ZD18/16T/29E/1D-a</t>
        </is>
      </c>
      <c r="B177" t="n">
        <v>0.4395108695652177</v>
      </c>
      <c r="C177" t="n">
        <v>0.5438307735401396</v>
      </c>
      <c r="D177" t="n">
        <v>0.6358682689629264</v>
      </c>
      <c r="E177">
        <f>DEGREES(ATAN(D177/C177))</f>
        <v/>
      </c>
      <c r="F177">
        <f>DEGREES(ATAN(TAN(RADIANS(pe0-omega*B177))*(C177/sref)^(m_-1)))</f>
        <v/>
      </c>
      <c r="G177">
        <f>E177-F177</f>
        <v/>
      </c>
    </row>
    <row r="178">
      <c r="A178" t="inlineStr">
        <is>
          <t>SMHEA(1966) | ZD18/16T/29E/1D-a</t>
        </is>
      </c>
      <c r="B178" t="n">
        <v>0.4395108695652177</v>
      </c>
      <c r="C178" t="n">
        <v>1.088627067040633</v>
      </c>
      <c r="D178" t="n">
        <v>1.171210011178187</v>
      </c>
      <c r="E178">
        <f>DEGREES(ATAN(D178/C178))</f>
        <v/>
      </c>
      <c r="F178">
        <f>DEGREES(ATAN(TAN(RADIANS(pe0-omega*B178))*(C178/sref)^(m_-1)))</f>
        <v/>
      </c>
      <c r="G178">
        <f>E178-F178</f>
        <v/>
      </c>
    </row>
    <row r="179">
      <c r="A179" t="inlineStr">
        <is>
          <t>SMHEA(1966) | ZD18/16T/29E/1D-a</t>
        </is>
      </c>
      <c r="B179" t="n">
        <v>0.4395108695652177</v>
      </c>
      <c r="C179" t="n">
        <v>1.86876411658231</v>
      </c>
      <c r="D179" t="n">
        <v>1.815759331152179</v>
      </c>
      <c r="E179">
        <f>DEGREES(ATAN(D179/C179))</f>
        <v/>
      </c>
      <c r="F179">
        <f>DEGREES(ATAN(TAN(RADIANS(pe0-omega*B179))*(C179/sref)^(m_-1)))</f>
        <v/>
      </c>
      <c r="G179">
        <f>E179-F179</f>
        <v/>
      </c>
    </row>
    <row r="180">
      <c r="A180" t="inlineStr">
        <is>
          <t>SMHEA(1966) | ZD18/16T/29E/1D-b</t>
        </is>
      </c>
      <c r="B180" t="n">
        <v>0.5049431818181818</v>
      </c>
      <c r="C180" t="n">
        <v>0.5612833429027629</v>
      </c>
      <c r="D180" t="n">
        <v>0.6408750130500735</v>
      </c>
      <c r="E180">
        <f>DEGREES(ATAN(D180/C180))</f>
        <v/>
      </c>
      <c r="F180">
        <f>DEGREES(ATAN(TAN(RADIANS(pe0-omega*B180))*(C180/sref)^(m_-1)))</f>
        <v/>
      </c>
      <c r="G180">
        <f>E180-F180</f>
        <v/>
      </c>
    </row>
    <row r="181">
      <c r="A181" t="inlineStr">
        <is>
          <t>SMHEA(1966) | ZD18/16T/29E/1D-b</t>
        </is>
      </c>
      <c r="B181" t="n">
        <v>0.5049431818181818</v>
      </c>
      <c r="C181" t="n">
        <v>1.081439328321812</v>
      </c>
      <c r="D181" t="n">
        <v>1.128709490074723</v>
      </c>
      <c r="E181">
        <f>DEGREES(ATAN(D181/C181))</f>
        <v/>
      </c>
      <c r="F181">
        <f>DEGREES(ATAN(TAN(RADIANS(pe0-omega*B181))*(C181/sref)^(m_-1)))</f>
        <v/>
      </c>
      <c r="G181">
        <f>E181-F181</f>
        <v/>
      </c>
    </row>
    <row r="182">
      <c r="A182" t="inlineStr">
        <is>
          <t>SMHEA(1966) | ZD18/16T/29E/1D-b</t>
        </is>
      </c>
      <c r="B182" t="n">
        <v>0.5049431818181818</v>
      </c>
      <c r="C182" t="n">
        <v>1.900030316884851</v>
      </c>
      <c r="D182" t="n">
        <v>1.792470029597138</v>
      </c>
      <c r="E182">
        <f>DEGREES(ATAN(D182/C182))</f>
        <v/>
      </c>
      <c r="F182">
        <f>DEGREES(ATAN(TAN(RADIANS(pe0-omega*B182))*(C182/sref)^(m_-1)))</f>
        <v/>
      </c>
      <c r="G182">
        <f>E182-F182</f>
        <v/>
      </c>
    </row>
    <row r="183">
      <c r="A183" t="inlineStr">
        <is>
          <t>SMHEA(1966) | ZD20/12T/Q1/4D</t>
        </is>
      </c>
      <c r="B183" t="n">
        <v>0.4633701657458564</v>
      </c>
      <c r="C183" t="n">
        <v>0.5602313347924925</v>
      </c>
      <c r="D183" t="n">
        <v>0.6232034941733364</v>
      </c>
      <c r="E183">
        <f>DEGREES(ATAN(D183/C183))</f>
        <v/>
      </c>
      <c r="F183">
        <f>DEGREES(ATAN(TAN(RADIANS(pe0-omega*B183))*(C183/sref)^(m_-1)))</f>
        <v/>
      </c>
      <c r="G183">
        <f>E183-F183</f>
        <v/>
      </c>
    </row>
    <row r="184">
      <c r="A184" t="inlineStr">
        <is>
          <t>SMHEA(1966) | ZD20/12T/Q1/4D</t>
        </is>
      </c>
      <c r="B184" t="n">
        <v>0.4633701657458564</v>
      </c>
      <c r="C184" t="n">
        <v>1.016746408077943</v>
      </c>
      <c r="D184" t="n">
        <v>0.9873518322502651</v>
      </c>
      <c r="E184">
        <f>DEGREES(ATAN(D184/C184))</f>
        <v/>
      </c>
      <c r="F184">
        <f>DEGREES(ATAN(TAN(RADIANS(pe0-omega*B184))*(C184/sref)^(m_-1)))</f>
        <v/>
      </c>
      <c r="G184">
        <f>E184-F184</f>
        <v/>
      </c>
    </row>
    <row r="185">
      <c r="A185" t="inlineStr">
        <is>
          <t>SMHEA(1966) | ZD20/12T/Q2/4D</t>
        </is>
      </c>
      <c r="B185" t="n">
        <v>0.4014285714285717</v>
      </c>
      <c r="C185" t="n">
        <v>0.5640420251698274</v>
      </c>
      <c r="D185" t="n">
        <v>0.675940904468068</v>
      </c>
      <c r="E185">
        <f>DEGREES(ATAN(D185/C185))</f>
        <v/>
      </c>
      <c r="F185">
        <f>DEGREES(ATAN(TAN(RADIANS(pe0-omega*B185))*(C185/sref)^(m_-1)))</f>
        <v/>
      </c>
      <c r="G185">
        <f>E185-F185</f>
        <v/>
      </c>
    </row>
    <row r="186">
      <c r="A186" t="inlineStr">
        <is>
          <t>SMHEA(1966) | ZD20/12T/Q2/4D</t>
        </is>
      </c>
      <c r="B186" t="n">
        <v>0.4014285714285717</v>
      </c>
      <c r="C186" t="n">
        <v>1.041298260411434</v>
      </c>
      <c r="D186" t="n">
        <v>1.117168800447362</v>
      </c>
      <c r="E186">
        <f>DEGREES(ATAN(D186/C186))</f>
        <v/>
      </c>
      <c r="F186">
        <f>DEGREES(ATAN(TAN(RADIANS(pe0-omega*B186))*(C186/sref)^(m_-1)))</f>
        <v/>
      </c>
      <c r="G186">
        <f>E186-F186</f>
        <v/>
      </c>
    </row>
    <row r="187">
      <c r="A187" t="inlineStr">
        <is>
          <t>SMHEA(1966) | ZD20/12T/Q2/4D</t>
        </is>
      </c>
      <c r="B187" t="n">
        <v>0.4014285714285717</v>
      </c>
      <c r="C187" t="n">
        <v>1.866697527902729</v>
      </c>
      <c r="D187" t="n">
        <v>1.799547948288194</v>
      </c>
      <c r="E187">
        <f>DEGREES(ATAN(D187/C187))</f>
        <v/>
      </c>
      <c r="F187">
        <f>DEGREES(ATAN(TAN(RADIANS(pe0-omega*B187))*(C187/sref)^(m_-1)))</f>
        <v/>
      </c>
      <c r="G187">
        <f>E187-F187</f>
        <v/>
      </c>
    </row>
    <row r="188">
      <c r="A188" t="inlineStr">
        <is>
          <t>SMHEA(1966) | ZD20/7T/54E/1D-a</t>
        </is>
      </c>
      <c r="B188" t="n">
        <v>0.4088829787234043</v>
      </c>
      <c r="C188" t="n">
        <v>0.5380552494175229</v>
      </c>
      <c r="D188" t="n">
        <v>0.5970327146986858</v>
      </c>
      <c r="E188">
        <f>DEGREES(ATAN(D188/C188))</f>
        <v/>
      </c>
      <c r="F188">
        <f>DEGREES(ATAN(TAN(RADIANS(pe0-omega*B188))*(C188/sref)^(m_-1)))</f>
        <v/>
      </c>
      <c r="G188">
        <f>E188-F188</f>
        <v/>
      </c>
    </row>
    <row r="189">
      <c r="A189" t="inlineStr">
        <is>
          <t>SMHEA(1966) | ZD20/7T/54E/1D-a</t>
        </is>
      </c>
      <c r="B189" t="n">
        <v>0.4088829787234043</v>
      </c>
      <c r="C189" t="n">
        <v>1.028246971162347</v>
      </c>
      <c r="D189" t="n">
        <v>1.028389611337895</v>
      </c>
      <c r="E189">
        <f>DEGREES(ATAN(D189/C189))</f>
        <v/>
      </c>
      <c r="F189">
        <f>DEGREES(ATAN(TAN(RADIANS(pe0-omega*B189))*(C189/sref)^(m_-1)))</f>
        <v/>
      </c>
      <c r="G189">
        <f>E189-F189</f>
        <v/>
      </c>
    </row>
    <row r="190">
      <c r="A190" t="inlineStr">
        <is>
          <t>SMHEA(1966) | ZD20/7T/54E/1D-a</t>
        </is>
      </c>
      <c r="B190" t="n">
        <v>0.4088829787234043</v>
      </c>
      <c r="C190" t="n">
        <v>1.828418923879958</v>
      </c>
      <c r="D190" t="n">
        <v>1.63615567494613</v>
      </c>
      <c r="E190">
        <f>DEGREES(ATAN(D190/C190))</f>
        <v/>
      </c>
      <c r="F190">
        <f>DEGREES(ATAN(TAN(RADIANS(pe0-omega*B190))*(C190/sref)^(m_-1)))</f>
        <v/>
      </c>
      <c r="G190">
        <f>E190-F190</f>
        <v/>
      </c>
    </row>
    <row r="191">
      <c r="A191" t="inlineStr">
        <is>
          <t>Gibbs (1966) | US 27C-X5</t>
        </is>
      </c>
      <c r="B191" t="n">
        <v>0.254548076923077</v>
      </c>
      <c r="C191" t="n">
        <v>0.1590081496453932</v>
      </c>
      <c r="D191" t="n">
        <v>0.1984697126950733</v>
      </c>
      <c r="E191">
        <f>DEGREES(ATAN(D191/C191))</f>
        <v/>
      </c>
      <c r="F191">
        <f>DEGREES(ATAN(TAN(RADIANS(pe0-omega*B191))*(C191/sref)^(m_-1)))</f>
        <v/>
      </c>
      <c r="G191">
        <f>E191-F191</f>
        <v/>
      </c>
    </row>
    <row r="192">
      <c r="A192" t="inlineStr">
        <is>
          <t>Gibbs (1966) | US 27C-X5</t>
        </is>
      </c>
      <c r="B192" t="n">
        <v>0.254548076923077</v>
      </c>
      <c r="C192" t="n">
        <v>0.6353769315598795</v>
      </c>
      <c r="D192" t="n">
        <v>0.5009640508913543</v>
      </c>
      <c r="E192">
        <f>DEGREES(ATAN(D192/C192))</f>
        <v/>
      </c>
      <c r="F192">
        <f>DEGREES(ATAN(TAN(RADIANS(pe0-omega*B192))*(C192/sref)^(m_-1)))</f>
        <v/>
      </c>
      <c r="G192">
        <f>E192-F192</f>
        <v/>
      </c>
    </row>
    <row r="193">
      <c r="A193" t="inlineStr">
        <is>
          <t>Gibbs (1966) | US 27C-X5</t>
        </is>
      </c>
      <c r="B193" t="n">
        <v>0.254548076923077</v>
      </c>
      <c r="C193" t="n">
        <v>0.954868253286146</v>
      </c>
      <c r="D193" t="n">
        <v>0.702033356579974</v>
      </c>
      <c r="E193">
        <f>DEGREES(ATAN(D193/C193))</f>
        <v/>
      </c>
      <c r="F193">
        <f>DEGREES(ATAN(TAN(RADIANS(pe0-omega*B193))*(C193/sref)^(m_-1)))</f>
        <v/>
      </c>
      <c r="G193">
        <f>E193-F193</f>
        <v/>
      </c>
    </row>
    <row r="194">
      <c r="A194" t="inlineStr">
        <is>
          <t>Gibbs (1966) | US 27C-X5</t>
        </is>
      </c>
      <c r="B194" t="n">
        <v>0.254548076923077</v>
      </c>
      <c r="C194" t="n">
        <v>1.123888310601807</v>
      </c>
      <c r="D194" t="n">
        <v>0.7922992626107394</v>
      </c>
      <c r="E194">
        <f>DEGREES(ATAN(D194/C194))</f>
        <v/>
      </c>
      <c r="F194">
        <f>DEGREES(ATAN(TAN(RADIANS(pe0-omega*B194))*(C194/sref)^(m_-1)))</f>
        <v/>
      </c>
      <c r="G194">
        <f>E194-F194</f>
        <v/>
      </c>
    </row>
    <row r="195">
      <c r="A195" t="inlineStr">
        <is>
          <t>Gibbs (1966) | US 27C-X6</t>
        </is>
      </c>
      <c r="B195" t="n">
        <v>0.2025161290322584</v>
      </c>
      <c r="C195" t="n">
        <v>0.2723928394946623</v>
      </c>
      <c r="D195" t="n">
        <v>0.2762542758912983</v>
      </c>
      <c r="E195">
        <f>DEGREES(ATAN(D195/C195))</f>
        <v/>
      </c>
      <c r="F195">
        <f>DEGREES(ATAN(TAN(RADIANS(pe0-omega*B195))*(C195/sref)^(m_-1)))</f>
        <v/>
      </c>
      <c r="G195">
        <f>E195-F195</f>
        <v/>
      </c>
    </row>
    <row r="196">
      <c r="A196" t="inlineStr">
        <is>
          <t>Gibbs (1966) | US 27C-X6</t>
        </is>
      </c>
      <c r="B196" t="n">
        <v>0.2025161290322584</v>
      </c>
      <c r="C196" t="n">
        <v>0.5182034176091677</v>
      </c>
      <c r="D196" t="n">
        <v>0.4424181825210104</v>
      </c>
      <c r="E196">
        <f>DEGREES(ATAN(D196/C196))</f>
        <v/>
      </c>
      <c r="F196">
        <f>DEGREES(ATAN(TAN(RADIANS(pe0-omega*B196))*(C196/sref)^(m_-1)))</f>
        <v/>
      </c>
      <c r="G196">
        <f>E196-F196</f>
        <v/>
      </c>
    </row>
    <row r="197">
      <c r="A197" t="inlineStr">
        <is>
          <t>Gibbs (1966) | US 27C-X6</t>
        </is>
      </c>
      <c r="B197" t="n">
        <v>0.2025161290322584</v>
      </c>
      <c r="C197" t="n">
        <v>1.702472363110306</v>
      </c>
      <c r="D197" t="n">
        <v>1.35605505020226</v>
      </c>
      <c r="E197">
        <f>DEGREES(ATAN(D197/C197))</f>
        <v/>
      </c>
      <c r="F197">
        <f>DEGREES(ATAN(TAN(RADIANS(pe0-omega*B197))*(C197/sref)^(m_-1)))</f>
        <v/>
      </c>
      <c r="G197">
        <f>E197-F197</f>
        <v/>
      </c>
    </row>
    <row r="198">
      <c r="A198" t="inlineStr">
        <is>
          <t>Gibbs (1966) | US 27C-X7</t>
        </is>
      </c>
      <c r="B198" t="n">
        <v>0.1649375000000002</v>
      </c>
      <c r="C198" t="n">
        <v>0.2461162934378402</v>
      </c>
      <c r="D198" t="n">
        <v>0.2575576230675291</v>
      </c>
      <c r="E198">
        <f>DEGREES(ATAN(D198/C198))</f>
        <v/>
      </c>
      <c r="F198">
        <f>DEGREES(ATAN(TAN(RADIANS(pe0-omega*B198))*(C198/sref)^(m_-1)))</f>
        <v/>
      </c>
      <c r="G198">
        <f>E198-F198</f>
        <v/>
      </c>
    </row>
    <row r="199">
      <c r="A199" t="inlineStr">
        <is>
          <t>Gibbs (1966) | US 27C-X7</t>
        </is>
      </c>
      <c r="B199" t="n">
        <v>0.1649375000000002</v>
      </c>
      <c r="C199" t="n">
        <v>0.4598577552856143</v>
      </c>
      <c r="D199" t="n">
        <v>0.4960186347343764</v>
      </c>
      <c r="E199">
        <f>DEGREES(ATAN(D199/C199))</f>
        <v/>
      </c>
      <c r="F199">
        <f>DEGREES(ATAN(TAN(RADIANS(pe0-omega*B199))*(C199/sref)^(m_-1)))</f>
        <v/>
      </c>
      <c r="G199">
        <f>E199-F199</f>
        <v/>
      </c>
    </row>
    <row r="200">
      <c r="A200" t="inlineStr">
        <is>
          <t>Gibbs (1966) | US 27C-X7</t>
        </is>
      </c>
      <c r="B200" t="n">
        <v>0.1649375000000002</v>
      </c>
      <c r="C200" t="n">
        <v>1.144121019609325</v>
      </c>
      <c r="D200" t="n">
        <v>1.067191095093767</v>
      </c>
      <c r="E200">
        <f>DEGREES(ATAN(D200/C200))</f>
        <v/>
      </c>
      <c r="F200">
        <f>DEGREES(ATAN(TAN(RADIANS(pe0-omega*B200))*(C200/sref)^(m_-1)))</f>
        <v/>
      </c>
      <c r="G200">
        <f>E200-F200</f>
        <v/>
      </c>
    </row>
    <row r="201">
      <c r="A201" t="inlineStr">
        <is>
          <t>SMHEA(1967) | ACXII/F1</t>
        </is>
      </c>
      <c r="B201" t="n">
        <v>0.5049431818181818</v>
      </c>
      <c r="C201" t="n">
        <v>0.3399238553756037</v>
      </c>
      <c r="D201" t="n">
        <v>0.3785354159670703</v>
      </c>
      <c r="E201">
        <f>DEGREES(ATAN(D201/C201))</f>
        <v/>
      </c>
      <c r="F201">
        <f>DEGREES(ATAN(TAN(RADIANS(pe0-omega*B201))*(C201/sref)^(m_-1)))</f>
        <v/>
      </c>
      <c r="G201">
        <f>E201-F201</f>
        <v/>
      </c>
    </row>
    <row r="202">
      <c r="A202" t="inlineStr">
        <is>
          <t>SMHEA(1967) | ACXII/F1</t>
        </is>
      </c>
      <c r="B202" t="n">
        <v>0.5049431818181818</v>
      </c>
      <c r="C202" t="n">
        <v>0.649068181730738</v>
      </c>
      <c r="D202" t="n">
        <v>0.6367218070550289</v>
      </c>
      <c r="E202">
        <f>DEGREES(ATAN(D202/C202))</f>
        <v/>
      </c>
      <c r="F202">
        <f>DEGREES(ATAN(TAN(RADIANS(pe0-omega*B202))*(C202/sref)^(m_-1)))</f>
        <v/>
      </c>
      <c r="G202">
        <f>E202-F202</f>
        <v/>
      </c>
    </row>
    <row r="203">
      <c r="A203" t="inlineStr">
        <is>
          <t>SMHEA(1967) | ACXII/F2-a</t>
        </is>
      </c>
      <c r="B203" t="n">
        <v>0.2553080568720378</v>
      </c>
      <c r="C203" t="n">
        <v>1.367377051143668</v>
      </c>
      <c r="D203" t="n">
        <v>1.596096845519759</v>
      </c>
      <c r="E203">
        <f>DEGREES(ATAN(D203/C203))</f>
        <v/>
      </c>
      <c r="F203">
        <f>DEGREES(ATAN(TAN(RADIANS(pe0-omega*B203))*(C203/sref)^(m_-1)))</f>
        <v/>
      </c>
      <c r="G203">
        <f>E203-F203</f>
        <v/>
      </c>
    </row>
    <row r="204">
      <c r="A204" t="inlineStr">
        <is>
          <t>SMHEA(1967) | ACXII/F2-a</t>
        </is>
      </c>
      <c r="B204" t="n">
        <v>0.2553080568720378</v>
      </c>
      <c r="C204" t="n">
        <v>2.256558669357724</v>
      </c>
      <c r="D204" t="n">
        <v>2.452653902071232</v>
      </c>
      <c r="E204">
        <f>DEGREES(ATAN(D204/C204))</f>
        <v/>
      </c>
      <c r="F204">
        <f>DEGREES(ATAN(TAN(RADIANS(pe0-omega*B204))*(C204/sref)^(m_-1)))</f>
        <v/>
      </c>
      <c r="G204">
        <f>E204-F204</f>
        <v/>
      </c>
    </row>
    <row r="205">
      <c r="A205" t="inlineStr">
        <is>
          <t>SMHEA(1967) | ACXII/F2-b</t>
        </is>
      </c>
      <c r="B205" t="n">
        <v>0.2553080568720378</v>
      </c>
      <c r="C205" t="n">
        <v>0.3747111731975119</v>
      </c>
      <c r="D205" t="n">
        <v>0.51078836233432</v>
      </c>
      <c r="E205">
        <f>DEGREES(ATAN(D205/C205))</f>
        <v/>
      </c>
      <c r="F205">
        <f>DEGREES(ATAN(TAN(RADIANS(pe0-omega*B205))*(C205/sref)^(m_-1)))</f>
        <v/>
      </c>
      <c r="G205">
        <f>E205-F205</f>
        <v/>
      </c>
    </row>
    <row r="206">
      <c r="A206" t="inlineStr">
        <is>
          <t>SMHEA(1967) | ACXII/F2-b</t>
        </is>
      </c>
      <c r="B206" t="n">
        <v>0.2553080568720378</v>
      </c>
      <c r="C206" t="n">
        <v>0.6865015260450988</v>
      </c>
      <c r="D206" t="n">
        <v>0.7842363496957986</v>
      </c>
      <c r="E206">
        <f>DEGREES(ATAN(D206/C206))</f>
        <v/>
      </c>
      <c r="F206">
        <f>DEGREES(ATAN(TAN(RADIANS(pe0-omega*B206))*(C206/sref)^(m_-1)))</f>
        <v/>
      </c>
      <c r="G206">
        <f>E206-F206</f>
        <v/>
      </c>
    </row>
    <row r="207">
      <c r="A207" t="inlineStr">
        <is>
          <t>SMHEA(1967) | ACXII/F2-b</t>
        </is>
      </c>
      <c r="B207" t="n">
        <v>0.2553080568720378</v>
      </c>
      <c r="C207" t="n">
        <v>1.363807884002221</v>
      </c>
      <c r="D207" t="n">
        <v>1.415810452699454</v>
      </c>
      <c r="E207">
        <f>DEGREES(ATAN(D207/C207))</f>
        <v/>
      </c>
      <c r="F207">
        <f>DEGREES(ATAN(TAN(RADIANS(pe0-omega*B207))*(C207/sref)^(m_-1)))</f>
        <v/>
      </c>
      <c r="G207">
        <f>E207-F207</f>
        <v/>
      </c>
    </row>
    <row r="208">
      <c r="A208" t="inlineStr">
        <is>
          <t>SMHEA(1967) | ACXII/F2-b</t>
        </is>
      </c>
      <c r="B208" t="n">
        <v>0.2553080568720378</v>
      </c>
      <c r="C208" t="n">
        <v>1.646638710757076</v>
      </c>
      <c r="D208" t="n">
        <v>1.604571561268669</v>
      </c>
      <c r="E208">
        <f>DEGREES(ATAN(D208/C208))</f>
        <v/>
      </c>
      <c r="F208">
        <f>DEGREES(ATAN(TAN(RADIANS(pe0-omega*B208))*(C208/sref)^(m_-1)))</f>
        <v/>
      </c>
      <c r="G208">
        <f>E208-F208</f>
        <v/>
      </c>
    </row>
    <row r="209">
      <c r="A209" t="inlineStr">
        <is>
          <t>SMHEA(1967) | ACXII/O3</t>
        </is>
      </c>
      <c r="B209" t="n">
        <v>0.4715</v>
      </c>
      <c r="C209" t="n">
        <v>0.1578307473426661</v>
      </c>
      <c r="D209" t="n">
        <v>0.1550561094989568</v>
      </c>
      <c r="E209">
        <f>DEGREES(ATAN(D209/C209))</f>
        <v/>
      </c>
      <c r="F209">
        <f>DEGREES(ATAN(TAN(RADIANS(pe0-omega*B209))*(C209/sref)^(m_-1)))</f>
        <v/>
      </c>
      <c r="G209">
        <f>E209-F209</f>
        <v/>
      </c>
    </row>
    <row r="210">
      <c r="A210" t="inlineStr">
        <is>
          <t>SMHEA(1967) | ACXII/O3</t>
        </is>
      </c>
      <c r="B210" t="n">
        <v>0.4715</v>
      </c>
      <c r="C210" t="n">
        <v>0.3658366798900736</v>
      </c>
      <c r="D210" t="n">
        <v>0.3524234362951112</v>
      </c>
      <c r="E210">
        <f>DEGREES(ATAN(D210/C210))</f>
        <v/>
      </c>
      <c r="F210">
        <f>DEGREES(ATAN(TAN(RADIANS(pe0-omega*B210))*(C210/sref)^(m_-1)))</f>
        <v/>
      </c>
      <c r="G210">
        <f>E210-F210</f>
        <v/>
      </c>
    </row>
    <row r="211">
      <c r="A211" t="inlineStr">
        <is>
          <t>SMHEA(1967) | ACXII/W3-a</t>
        </is>
      </c>
      <c r="B211" t="n">
        <v>0.2553080568720378</v>
      </c>
      <c r="C211" t="n">
        <v>1.278373351313166</v>
      </c>
      <c r="D211" t="n">
        <v>1.281679024811564</v>
      </c>
      <c r="E211">
        <f>DEGREES(ATAN(D211/C211))</f>
        <v/>
      </c>
      <c r="F211">
        <f>DEGREES(ATAN(TAN(RADIANS(pe0-omega*B211))*(C211/sref)^(m_-1)))</f>
        <v/>
      </c>
      <c r="G211">
        <f>E211-F211</f>
        <v/>
      </c>
    </row>
    <row r="212">
      <c r="A212" t="inlineStr">
        <is>
          <t>SMHEA(1967) | ACXII/W3-a</t>
        </is>
      </c>
      <c r="B212" t="n">
        <v>0.2553080568720378</v>
      </c>
      <c r="C212" t="n">
        <v>2.458688005142153</v>
      </c>
      <c r="D212" t="n">
        <v>2.242292943249192</v>
      </c>
      <c r="E212">
        <f>DEGREES(ATAN(D212/C212))</f>
        <v/>
      </c>
      <c r="F212">
        <f>DEGREES(ATAN(TAN(RADIANS(pe0-omega*B212))*(C212/sref)^(m_-1)))</f>
        <v/>
      </c>
      <c r="G212">
        <f>E212-F212</f>
        <v/>
      </c>
    </row>
    <row r="213">
      <c r="A213" t="inlineStr">
        <is>
          <t>SMHEA(1967) | ACXII/W3-b</t>
        </is>
      </c>
      <c r="B213" t="n">
        <v>0.2553080568720378</v>
      </c>
      <c r="C213" t="n">
        <v>0.3659013132164951</v>
      </c>
      <c r="D213" t="n">
        <v>0.4802990496736746</v>
      </c>
      <c r="E213">
        <f>DEGREES(ATAN(D213/C213))</f>
        <v/>
      </c>
      <c r="F213">
        <f>DEGREES(ATAN(TAN(RADIANS(pe0-omega*B213))*(C213/sref)^(m_-1)))</f>
        <v/>
      </c>
      <c r="G213">
        <f>E213-F213</f>
        <v/>
      </c>
    </row>
    <row r="214">
      <c r="A214" t="inlineStr">
        <is>
          <t>SMHEA(1967) | ACXII/W3-b</t>
        </is>
      </c>
      <c r="B214" t="n">
        <v>0.2553080568720378</v>
      </c>
      <c r="C214" t="n">
        <v>0.6492378872841095</v>
      </c>
      <c r="D214" t="n">
        <v>0.7113664939557603</v>
      </c>
      <c r="E214">
        <f>DEGREES(ATAN(D214/C214))</f>
        <v/>
      </c>
      <c r="F214">
        <f>DEGREES(ATAN(TAN(RADIANS(pe0-omega*B214))*(C214/sref)^(m_-1)))</f>
        <v/>
      </c>
      <c r="G214">
        <f>E214-F214</f>
        <v/>
      </c>
    </row>
    <row r="215">
      <c r="A215" t="inlineStr">
        <is>
          <t>SMHEA(1967) | ACXII/W3-b</t>
        </is>
      </c>
      <c r="B215" t="n">
        <v>0.2553080568720378</v>
      </c>
      <c r="C215" t="n">
        <v>1.30210190099324</v>
      </c>
      <c r="D215" t="n">
        <v>1.334107693545566</v>
      </c>
      <c r="E215">
        <f>DEGREES(ATAN(D215/C215))</f>
        <v/>
      </c>
      <c r="F215">
        <f>DEGREES(ATAN(TAN(RADIANS(pe0-omega*B215))*(C215/sref)^(m_-1)))</f>
        <v/>
      </c>
      <c r="G215">
        <f>E215-F215</f>
        <v/>
      </c>
    </row>
    <row r="216">
      <c r="A216" t="inlineStr">
        <is>
          <t>SMHEA(1967) | ACXII/W3-b</t>
        </is>
      </c>
      <c r="B216" t="n">
        <v>0.2553080568720378</v>
      </c>
      <c r="C216" t="n">
        <v>1.9240443054742</v>
      </c>
      <c r="D216" t="n">
        <v>1.865247060180822</v>
      </c>
      <c r="E216">
        <f>DEGREES(ATAN(D216/C216))</f>
        <v/>
      </c>
      <c r="F216">
        <f>DEGREES(ATAN(TAN(RADIANS(pe0-omega*B216))*(C216/sref)^(m_-1)))</f>
        <v/>
      </c>
      <c r="G216">
        <f>E216-F216</f>
        <v/>
      </c>
    </row>
    <row r="217">
      <c r="A217" t="inlineStr">
        <is>
          <t>SMHEA(1967) | ZD/3B/2/CJ/32D-a</t>
        </is>
      </c>
      <c r="B217" t="n">
        <v>0.2820990099009903</v>
      </c>
      <c r="C217" t="n">
        <v>0.58173721781671</v>
      </c>
      <c r="D217" t="n">
        <v>0.6639536939309126</v>
      </c>
      <c r="E217">
        <f>DEGREES(ATAN(D217/C217))</f>
        <v/>
      </c>
      <c r="F217">
        <f>DEGREES(ATAN(TAN(RADIANS(pe0-omega*B217))*(C217/sref)^(m_-1)))</f>
        <v/>
      </c>
      <c r="G217">
        <f>E217-F217</f>
        <v/>
      </c>
    </row>
    <row r="218">
      <c r="A218" t="inlineStr">
        <is>
          <t>SMHEA(1967) | ZD/3B/2/CJ/32D-a</t>
        </is>
      </c>
      <c r="B218" t="n">
        <v>0.2820990099009903</v>
      </c>
      <c r="C218" t="n">
        <v>0.9930039821376652</v>
      </c>
      <c r="D218" t="n">
        <v>0.9858468903581585</v>
      </c>
      <c r="E218">
        <f>DEGREES(ATAN(D218/C218))</f>
        <v/>
      </c>
      <c r="F218">
        <f>DEGREES(ATAN(TAN(RADIANS(pe0-omega*B218))*(C218/sref)^(m_-1)))</f>
        <v/>
      </c>
      <c r="G218">
        <f>E218-F218</f>
        <v/>
      </c>
    </row>
    <row r="219">
      <c r="A219" t="inlineStr">
        <is>
          <t>SMHEA(1967) | ZD/3B/2/CJ/32D-a</t>
        </is>
      </c>
      <c r="B219" t="n">
        <v>0.2820990099009903</v>
      </c>
      <c r="C219" t="n">
        <v>1.770540419000116</v>
      </c>
      <c r="D219" t="n">
        <v>1.687066981563785</v>
      </c>
      <c r="E219">
        <f>DEGREES(ATAN(D219/C219))</f>
        <v/>
      </c>
      <c r="F219">
        <f>DEGREES(ATAN(TAN(RADIANS(pe0-omega*B219))*(C219/sref)^(m_-1)))</f>
        <v/>
      </c>
      <c r="G219">
        <f>E219-F219</f>
        <v/>
      </c>
    </row>
    <row r="220">
      <c r="A220" t="inlineStr">
        <is>
          <t>SMHEA(1967) | ZD/3B/2/CJ/32D-a</t>
        </is>
      </c>
      <c r="B220" t="n">
        <v>0.2820990099009903</v>
      </c>
      <c r="C220" t="n">
        <v>2.319242663295635</v>
      </c>
      <c r="D220" t="n">
        <v>2.144886831887838</v>
      </c>
      <c r="E220">
        <f>DEGREES(ATAN(D220/C220))</f>
        <v/>
      </c>
      <c r="F220">
        <f>DEGREES(ATAN(TAN(RADIANS(pe0-omega*B220))*(C220/sref)^(m_-1)))</f>
        <v/>
      </c>
      <c r="G220">
        <f>E220-F220</f>
        <v/>
      </c>
    </row>
    <row r="221">
      <c r="A221" t="inlineStr">
        <is>
          <t>SMHEA(1968) | YV11/005/1M-a</t>
        </is>
      </c>
      <c r="B221" t="n">
        <v>0.4492753623188406</v>
      </c>
      <c r="C221" t="n">
        <v>0.3259411163760386</v>
      </c>
      <c r="D221" t="n">
        <v>0.3844038777936464</v>
      </c>
      <c r="E221">
        <f>DEGREES(ATAN(D221/C221))</f>
        <v/>
      </c>
      <c r="F221">
        <f>DEGREES(ATAN(TAN(RADIANS(pe0-omega*B221))*(C221/sref)^(m_-1)))</f>
        <v/>
      </c>
      <c r="G221">
        <f>E221-F221</f>
        <v/>
      </c>
    </row>
    <row r="222">
      <c r="A222" t="inlineStr">
        <is>
          <t>SMHEA(1968) | YV11/005/1M-a</t>
        </is>
      </c>
      <c r="B222" t="n">
        <v>0.4492753623188406</v>
      </c>
      <c r="C222" t="n">
        <v>0.7716740007584594</v>
      </c>
      <c r="D222" t="n">
        <v>0.8258552712100127</v>
      </c>
      <c r="E222">
        <f>DEGREES(ATAN(D222/C222))</f>
        <v/>
      </c>
      <c r="F222">
        <f>DEGREES(ATAN(TAN(RADIANS(pe0-omega*B222))*(C222/sref)^(m_-1)))</f>
        <v/>
      </c>
      <c r="G222">
        <f>E222-F222</f>
        <v/>
      </c>
    </row>
    <row r="223">
      <c r="A223" t="inlineStr">
        <is>
          <t>SMHEA(1968) | YV11/005/1M-b</t>
        </is>
      </c>
      <c r="B223" t="n">
        <v>0.4492753623188406</v>
      </c>
      <c r="C223" t="n">
        <v>0.1286117477256428</v>
      </c>
      <c r="D223" t="n">
        <v>0.147681339730531</v>
      </c>
      <c r="E223">
        <f>DEGREES(ATAN(D223/C223))</f>
        <v/>
      </c>
      <c r="F223">
        <f>DEGREES(ATAN(TAN(RADIANS(pe0-omega*B223))*(C223/sref)^(m_-1)))</f>
        <v/>
      </c>
      <c r="G223">
        <f>E223-F223</f>
        <v/>
      </c>
    </row>
    <row r="224">
      <c r="A224" t="inlineStr">
        <is>
          <t>SMHEA(1968) | YV11/005/1M-b</t>
        </is>
      </c>
      <c r="B224" t="n">
        <v>0.4492753623188406</v>
      </c>
      <c r="C224" t="n">
        <v>0.2995320577603918</v>
      </c>
      <c r="D224" t="n">
        <v>0.3174453312566872</v>
      </c>
      <c r="E224">
        <f>DEGREES(ATAN(D224/C224))</f>
        <v/>
      </c>
      <c r="F224">
        <f>DEGREES(ATAN(TAN(RADIANS(pe0-omega*B224))*(C224/sref)^(m_-1)))</f>
        <v/>
      </c>
      <c r="G224">
        <f>E224-F224</f>
        <v/>
      </c>
    </row>
    <row r="225">
      <c r="A225" t="inlineStr">
        <is>
          <t>SMHEA(1968) | YV11/005/1M-b</t>
        </is>
      </c>
      <c r="B225" t="n">
        <v>0.4492753623188406</v>
      </c>
      <c r="C225" t="n">
        <v>0.7241026467899637</v>
      </c>
      <c r="D225" t="n">
        <v>0.7371467929328431</v>
      </c>
      <c r="E225">
        <f>DEGREES(ATAN(D225/C225))</f>
        <v/>
      </c>
      <c r="F225">
        <f>DEGREES(ATAN(TAN(RADIANS(pe0-omega*B225))*(C225/sref)^(m_-1)))</f>
        <v/>
      </c>
      <c r="G225">
        <f>E225-F225</f>
        <v/>
      </c>
    </row>
    <row r="226">
      <c r="A226" t="inlineStr">
        <is>
          <t>SMHEA(1968) | YV11/Q1/4-a</t>
        </is>
      </c>
      <c r="B226" t="n">
        <v>0.4492753623188406</v>
      </c>
      <c r="C226" t="n">
        <v>0.129352578001261</v>
      </c>
      <c r="D226" t="n">
        <v>0.1589108324083972</v>
      </c>
      <c r="E226">
        <f>DEGREES(ATAN(D226/C226))</f>
        <v/>
      </c>
      <c r="F226">
        <f>DEGREES(ATAN(TAN(RADIANS(pe0-omega*B226))*(C226/sref)^(m_-1)))</f>
        <v/>
      </c>
      <c r="G226">
        <f>E226-F226</f>
        <v/>
      </c>
    </row>
    <row r="227">
      <c r="A227" t="inlineStr">
        <is>
          <t>SMHEA(1968) | YV11/Q1/4-a</t>
        </is>
      </c>
      <c r="B227" t="n">
        <v>0.4492753623188406</v>
      </c>
      <c r="C227" t="n">
        <v>0.327869126576769</v>
      </c>
      <c r="D227" t="n">
        <v>0.348465498844564</v>
      </c>
      <c r="E227">
        <f>DEGREES(ATAN(D227/C227))</f>
        <v/>
      </c>
      <c r="F227">
        <f>DEGREES(ATAN(TAN(RADIANS(pe0-omega*B227))*(C227/sref)^(m_-1)))</f>
        <v/>
      </c>
      <c r="G227">
        <f>E227-F227</f>
        <v/>
      </c>
    </row>
    <row r="228">
      <c r="A228" t="inlineStr">
        <is>
          <t>SMHEA(1968) | YV11/Q1/4-a</t>
        </is>
      </c>
      <c r="B228" t="n">
        <v>0.4492753623188406</v>
      </c>
      <c r="C228" t="n">
        <v>0.7448456477030894</v>
      </c>
      <c r="D228" t="n">
        <v>0.7126478515419418</v>
      </c>
      <c r="E228">
        <f>DEGREES(ATAN(D228/C228))</f>
        <v/>
      </c>
      <c r="F228">
        <f>DEGREES(ATAN(TAN(RADIANS(pe0-omega*B228))*(C228/sref)^(m_-1)))</f>
        <v/>
      </c>
      <c r="G228">
        <f>E228-F228</f>
        <v/>
      </c>
    </row>
    <row r="229">
      <c r="A229" t="inlineStr">
        <is>
          <t>SMHEA(1968) | YV11/Q1/4-b</t>
        </is>
      </c>
      <c r="B229" t="n">
        <v>0.4492753623188406</v>
      </c>
      <c r="C229" t="n">
        <v>0.1262264148077986</v>
      </c>
      <c r="D229" t="n">
        <v>0.1311997475093222</v>
      </c>
      <c r="E229">
        <f>DEGREES(ATAN(D229/C229))</f>
        <v/>
      </c>
      <c r="F229">
        <f>DEGREES(ATAN(TAN(RADIANS(pe0-omega*B229))*(C229/sref)^(m_-1)))</f>
        <v/>
      </c>
      <c r="G229">
        <f>E229-F229</f>
        <v/>
      </c>
    </row>
    <row r="230">
      <c r="A230" t="inlineStr">
        <is>
          <t>SMHEA(1968) | YV11/Q1/4-b</t>
        </is>
      </c>
      <c r="B230" t="n">
        <v>0.4492753623188406</v>
      </c>
      <c r="C230" t="n">
        <v>0.2870818882452871</v>
      </c>
      <c r="D230" t="n">
        <v>0.2613423720954829</v>
      </c>
      <c r="E230">
        <f>DEGREES(ATAN(D230/C230))</f>
        <v/>
      </c>
      <c r="F230">
        <f>DEGREES(ATAN(TAN(RADIANS(pe0-omega*B230))*(C230/sref)^(m_-1)))</f>
        <v/>
      </c>
      <c r="G230">
        <f>E230-F230</f>
        <v/>
      </c>
    </row>
    <row r="231">
      <c r="A231" t="inlineStr">
        <is>
          <t>SMHEA(1968) | YV11/Q1/4-b</t>
        </is>
      </c>
      <c r="B231" t="n">
        <v>0.4492753623188406</v>
      </c>
      <c r="C231" t="n">
        <v>0.7055467624973871</v>
      </c>
      <c r="D231" t="n">
        <v>0.6601645188967633</v>
      </c>
      <c r="E231">
        <f>DEGREES(ATAN(D231/C231))</f>
        <v/>
      </c>
      <c r="F231">
        <f>DEGREES(ATAN(TAN(RADIANS(pe0-omega*B231))*(C231/sref)^(m_-1)))</f>
        <v/>
      </c>
      <c r="G231">
        <f>E231-F231</f>
        <v/>
      </c>
    </row>
    <row r="232">
      <c r="A232" t="inlineStr">
        <is>
          <t>SMHEA(1968) | YV11/Q1/4-c</t>
        </is>
      </c>
      <c r="B232" t="n">
        <v>0.4492753623188406</v>
      </c>
      <c r="C232" t="n">
        <v>0.1196767999782224</v>
      </c>
      <c r="D232" t="n">
        <v>0.1345408006524639</v>
      </c>
      <c r="E232">
        <f>DEGREES(ATAN(D232/C232))</f>
        <v/>
      </c>
      <c r="F232">
        <f>DEGREES(ATAN(TAN(RADIANS(pe0-omega*B232))*(C232/sref)^(m_-1)))</f>
        <v/>
      </c>
      <c r="G232">
        <f>E232-F232</f>
        <v/>
      </c>
    </row>
    <row r="233">
      <c r="A233" t="inlineStr">
        <is>
          <t>SMHEA(1968) | YV11/Q1/4-c</t>
        </is>
      </c>
      <c r="B233" t="n">
        <v>0.4492753623188406</v>
      </c>
      <c r="C233" t="n">
        <v>0.3001402470409129</v>
      </c>
      <c r="D233" t="n">
        <v>0.2810764402943264</v>
      </c>
      <c r="E233">
        <f>DEGREES(ATAN(D233/C233))</f>
        <v/>
      </c>
      <c r="F233">
        <f>DEGREES(ATAN(TAN(RADIANS(pe0-omega*B233))*(C233/sref)^(m_-1)))</f>
        <v/>
      </c>
      <c r="G233">
        <f>E233-F233</f>
        <v/>
      </c>
    </row>
    <row r="234">
      <c r="A234" t="inlineStr">
        <is>
          <t>SMHEA(1968) | YV11/Q1/4-c</t>
        </is>
      </c>
      <c r="B234" t="n">
        <v>0.4492753623188406</v>
      </c>
      <c r="C234" t="n">
        <v>0.7138683332867802</v>
      </c>
      <c r="D234" t="n">
        <v>0.6089552399243747</v>
      </c>
      <c r="E234">
        <f>DEGREES(ATAN(D234/C234))</f>
        <v/>
      </c>
      <c r="F234">
        <f>DEGREES(ATAN(TAN(RADIANS(pe0-omega*B234))*(C234/sref)^(m_-1)))</f>
        <v/>
      </c>
      <c r="G234">
        <f>E234-F234</f>
        <v/>
      </c>
    </row>
    <row r="235">
      <c r="A235" t="inlineStr">
        <is>
          <t>SMHEA(1968) | YV11/T2B/Q5/1D-a</t>
        </is>
      </c>
      <c r="B235" t="n">
        <v>0.4492753623188406</v>
      </c>
      <c r="C235" t="n">
        <v>0.1196907637007418</v>
      </c>
      <c r="D235" t="n">
        <v>0.1536514745127468</v>
      </c>
      <c r="E235">
        <f>DEGREES(ATAN(D235/C235))</f>
        <v/>
      </c>
      <c r="F235">
        <f>DEGREES(ATAN(TAN(RADIANS(pe0-omega*B235))*(C235/sref)^(m_-1)))</f>
        <v/>
      </c>
      <c r="G235">
        <f>E235-F235</f>
        <v/>
      </c>
    </row>
    <row r="236">
      <c r="A236" t="inlineStr">
        <is>
          <t>SMHEA(1968) | YV11/T2B/Q5/1D-a</t>
        </is>
      </c>
      <c r="B236" t="n">
        <v>0.4492753623188406</v>
      </c>
      <c r="C236" t="n">
        <v>0.1884710333665715</v>
      </c>
      <c r="D236" t="n">
        <v>0.2329018983272826</v>
      </c>
      <c r="E236">
        <f>DEGREES(ATAN(D236/C236))</f>
        <v/>
      </c>
      <c r="F236">
        <f>DEGREES(ATAN(TAN(RADIANS(pe0-omega*B236))*(C236/sref)^(m_-1)))</f>
        <v/>
      </c>
      <c r="G236">
        <f>E236-F236</f>
        <v/>
      </c>
    </row>
    <row r="237">
      <c r="A237" t="inlineStr">
        <is>
          <t>SMHEA(1968) | YV11/T2B/Q5/1D-a</t>
        </is>
      </c>
      <c r="B237" t="n">
        <v>0.4492753623188406</v>
      </c>
      <c r="C237" t="n">
        <v>0.7253205716058883</v>
      </c>
      <c r="D237" t="n">
        <v>0.6586649000246008</v>
      </c>
      <c r="E237">
        <f>DEGREES(ATAN(D237/C237))</f>
        <v/>
      </c>
      <c r="F237">
        <f>DEGREES(ATAN(TAN(RADIANS(pe0-omega*B237))*(C237/sref)^(m_-1)))</f>
        <v/>
      </c>
      <c r="G237">
        <f>E237-F237</f>
        <v/>
      </c>
    </row>
    <row r="238">
      <c r="A238" t="inlineStr">
        <is>
          <t>SMHEA(1968) | YV11/T2B/Q5/1D-a</t>
        </is>
      </c>
      <c r="B238" t="n">
        <v>0.4492753623188406</v>
      </c>
      <c r="C238" t="n">
        <v>0.9294378010311313</v>
      </c>
      <c r="D238" t="n">
        <v>0.8633202650502289</v>
      </c>
      <c r="E238">
        <f>DEGREES(ATAN(D238/C238))</f>
        <v/>
      </c>
      <c r="F238">
        <f>DEGREES(ATAN(TAN(RADIANS(pe0-omega*B238))*(C238/sref)^(m_-1)))</f>
        <v/>
      </c>
      <c r="G238">
        <f>E238-F238</f>
        <v/>
      </c>
    </row>
    <row r="239">
      <c r="A239" t="inlineStr">
        <is>
          <t>SMHEA(1968) | YV11/T2B/Q5/1D-a</t>
        </is>
      </c>
      <c r="B239" t="n">
        <v>0.4492753623188406</v>
      </c>
      <c r="C239" t="n">
        <v>1.115117247611397</v>
      </c>
      <c r="D239" t="n">
        <v>1.023930061442574</v>
      </c>
      <c r="E239">
        <f>DEGREES(ATAN(D239/C239))</f>
        <v/>
      </c>
      <c r="F239">
        <f>DEGREES(ATAN(TAN(RADIANS(pe0-omega*B239))*(C239/sref)^(m_-1)))</f>
        <v/>
      </c>
      <c r="G239">
        <f>E239-F239</f>
        <v/>
      </c>
    </row>
    <row r="240">
      <c r="A240" t="inlineStr">
        <is>
          <t>SMHEA(1968) | YV11/T2B/Q5/1D-a</t>
        </is>
      </c>
      <c r="B240" t="n">
        <v>0.4492753623188406</v>
      </c>
      <c r="C240" t="n">
        <v>1.294489286955643</v>
      </c>
      <c r="D240" t="n">
        <v>1.162228333159201</v>
      </c>
      <c r="E240">
        <f>DEGREES(ATAN(D240/C240))</f>
        <v/>
      </c>
      <c r="F240">
        <f>DEGREES(ATAN(TAN(RADIANS(pe0-omega*B240))*(C240/sref)^(m_-1)))</f>
        <v/>
      </c>
      <c r="G240">
        <f>E240-F240</f>
        <v/>
      </c>
    </row>
    <row r="241">
      <c r="A241" t="inlineStr">
        <is>
          <t>SMHEA(1968) | YV11/T2B/Q5/1D-c</t>
        </is>
      </c>
      <c r="B241" t="n">
        <v>0.3513513513513514</v>
      </c>
      <c r="C241" t="n">
        <v>0.1522534021392691</v>
      </c>
      <c r="D241" t="n">
        <v>0.2393459129080013</v>
      </c>
      <c r="E241">
        <f>DEGREES(ATAN(D241/C241))</f>
        <v/>
      </c>
      <c r="F241">
        <f>DEGREES(ATAN(TAN(RADIANS(pe0-omega*B241))*(C241/sref)^(m_-1)))</f>
        <v/>
      </c>
      <c r="G241">
        <f>E241-F241</f>
        <v/>
      </c>
    </row>
    <row r="242">
      <c r="A242" t="inlineStr">
        <is>
          <t>SMHEA(1968) | YV11/T2B/Q5/1D-c</t>
        </is>
      </c>
      <c r="B242" t="n">
        <v>0.3513513513513514</v>
      </c>
      <c r="C242" t="n">
        <v>0.2118136560610742</v>
      </c>
      <c r="D242" t="n">
        <v>0.2916108228435971</v>
      </c>
      <c r="E242">
        <f>DEGREES(ATAN(D242/C242))</f>
        <v/>
      </c>
      <c r="F242">
        <f>DEGREES(ATAN(TAN(RADIANS(pe0-omega*B242))*(C242/sref)^(m_-1)))</f>
        <v/>
      </c>
      <c r="G242">
        <f>E242-F242</f>
        <v/>
      </c>
    </row>
    <row r="243">
      <c r="A243" t="inlineStr">
        <is>
          <t>SMHEA(1968) | YV11/T2B/Q5/1D-c</t>
        </is>
      </c>
      <c r="B243" t="n">
        <v>0.3513513513513514</v>
      </c>
      <c r="C243" t="n">
        <v>0.3948843053201917</v>
      </c>
      <c r="D243" t="n">
        <v>0.5545034104898827</v>
      </c>
      <c r="E243">
        <f>DEGREES(ATAN(D243/C243))</f>
        <v/>
      </c>
      <c r="F243">
        <f>DEGREES(ATAN(TAN(RADIANS(pe0-omega*B243))*(C243/sref)^(m_-1)))</f>
        <v/>
      </c>
      <c r="G243">
        <f>E243-F243</f>
        <v/>
      </c>
    </row>
    <row r="244">
      <c r="A244" t="inlineStr">
        <is>
          <t>SMHEA(1968) | YV11/T2B/Q5/1D-c</t>
        </is>
      </c>
      <c r="B244" t="n">
        <v>0.3513513513513514</v>
      </c>
      <c r="C244" t="n">
        <v>0.7159771061044105</v>
      </c>
      <c r="D244" t="n">
        <v>0.8372413474556616</v>
      </c>
      <c r="E244">
        <f>DEGREES(ATAN(D244/C244))</f>
        <v/>
      </c>
      <c r="F244">
        <f>DEGREES(ATAN(TAN(RADIANS(pe0-omega*B244))*(C244/sref)^(m_-1)))</f>
        <v/>
      </c>
      <c r="G244">
        <f>E244-F244</f>
        <v/>
      </c>
    </row>
    <row r="245">
      <c r="A245" t="inlineStr">
        <is>
          <t>SMHEA(1968) | YV11/T2B/Q5/1D-c</t>
        </is>
      </c>
      <c r="B245" t="n">
        <v>0.3513513513513514</v>
      </c>
      <c r="C245" t="n">
        <v>1.369439587662931</v>
      </c>
      <c r="D245" t="n">
        <v>1.399788402065317</v>
      </c>
      <c r="E245">
        <f>DEGREES(ATAN(D245/C245))</f>
        <v/>
      </c>
      <c r="F245">
        <f>DEGREES(ATAN(TAN(RADIANS(pe0-omega*B245))*(C245/sref)^(m_-1)))</f>
        <v/>
      </c>
      <c r="G245">
        <f>E245-F245</f>
        <v/>
      </c>
    </row>
    <row r="246">
      <c r="A246" t="inlineStr">
        <is>
          <t>SMHEA(1968) | YV11/T2B/Q5/1D-c</t>
        </is>
      </c>
      <c r="B246" t="n">
        <v>0.3513513513513514</v>
      </c>
      <c r="C246" t="n">
        <v>1.957907501214291</v>
      </c>
      <c r="D246" t="n">
        <v>1.810522983871927</v>
      </c>
      <c r="E246">
        <f>DEGREES(ATAN(D246/C246))</f>
        <v/>
      </c>
      <c r="F246">
        <f>DEGREES(ATAN(TAN(RADIANS(pe0-omega*B246))*(C246/sref)^(m_-1)))</f>
        <v/>
      </c>
      <c r="G246">
        <f>E246-F246</f>
        <v/>
      </c>
    </row>
    <row r="247">
      <c r="A247" t="inlineStr">
        <is>
          <t>SMHEA(1968) | YV32/1E/1D</t>
        </is>
      </c>
      <c r="B247" t="n">
        <v>0.4492753623188406</v>
      </c>
      <c r="C247" t="n">
        <v>0.1177511017969857</v>
      </c>
      <c r="D247" t="n">
        <v>0.1399501941613751</v>
      </c>
      <c r="E247">
        <f>DEGREES(ATAN(D247/C247))</f>
        <v/>
      </c>
      <c r="F247">
        <f>DEGREES(ATAN(TAN(RADIANS(pe0-omega*B247))*(C247/sref)^(m_-1)))</f>
        <v/>
      </c>
      <c r="G247">
        <f>E247-F247</f>
        <v/>
      </c>
    </row>
    <row r="248">
      <c r="A248" t="inlineStr">
        <is>
          <t>SMHEA(1968) | YV32/1E/1D</t>
        </is>
      </c>
      <c r="B248" t="n">
        <v>0.4492753623188406</v>
      </c>
      <c r="C248" t="n">
        <v>0.3308338408405602</v>
      </c>
      <c r="D248" t="n">
        <v>0.37373759334374</v>
      </c>
      <c r="E248">
        <f>DEGREES(ATAN(D248/C248))</f>
        <v/>
      </c>
      <c r="F248">
        <f>DEGREES(ATAN(TAN(RADIANS(pe0-omega*B248))*(C248/sref)^(m_-1)))</f>
        <v/>
      </c>
      <c r="G248">
        <f>E248-F248</f>
        <v/>
      </c>
    </row>
    <row r="249">
      <c r="A249" t="inlineStr">
        <is>
          <t>SMHEA(1968) | YV32/1E/1D</t>
        </is>
      </c>
      <c r="B249" t="n">
        <v>0.4492753623188406</v>
      </c>
      <c r="C249" t="n">
        <v>0.7465789313589687</v>
      </c>
      <c r="D249" t="n">
        <v>0.6877943667517284</v>
      </c>
      <c r="E249">
        <f>DEGREES(ATAN(D249/C249))</f>
        <v/>
      </c>
      <c r="F249">
        <f>DEGREES(ATAN(TAN(RADIANS(pe0-omega*B249))*(C249/sref)^(m_-1)))</f>
        <v/>
      </c>
      <c r="G249">
        <f>E249-F249</f>
        <v/>
      </c>
    </row>
    <row r="250">
      <c r="A250" t="inlineStr">
        <is>
          <t>SMHEA(1968) | ZD/3B/2/VJ/19D-a</t>
        </is>
      </c>
      <c r="B250" t="n">
        <v>0.2820990099009903</v>
      </c>
      <c r="C250" t="n">
        <v>0.5456519526803771</v>
      </c>
      <c r="D250" t="n">
        <v>0.6254282850201471</v>
      </c>
      <c r="E250">
        <f>DEGREES(ATAN(D250/C250))</f>
        <v/>
      </c>
      <c r="F250">
        <f>DEGREES(ATAN(TAN(RADIANS(pe0-omega*B250))*(C250/sref)^(m_-1)))</f>
        <v/>
      </c>
      <c r="G250">
        <f>E250-F250</f>
        <v/>
      </c>
    </row>
    <row r="251">
      <c r="A251" t="inlineStr">
        <is>
          <t>SMHEA(1968) | ZD/3B/2/VJ/19D-a</t>
        </is>
      </c>
      <c r="B251" t="n">
        <v>0.2820990099009903</v>
      </c>
      <c r="C251" t="n">
        <v>1.039097297291015</v>
      </c>
      <c r="D251" t="n">
        <v>1.052695919174904</v>
      </c>
      <c r="E251">
        <f>DEGREES(ATAN(D251/C251))</f>
        <v/>
      </c>
      <c r="F251">
        <f>DEGREES(ATAN(TAN(RADIANS(pe0-omega*B251))*(C251/sref)^(m_-1)))</f>
        <v/>
      </c>
      <c r="G251">
        <f>E251-F251</f>
        <v/>
      </c>
    </row>
    <row r="252">
      <c r="A252" t="inlineStr">
        <is>
          <t>SMHEA(1968) | ZD/3B/2/VJ/19D-a</t>
        </is>
      </c>
      <c r="B252" t="n">
        <v>0.2820990099009903</v>
      </c>
      <c r="C252" t="n">
        <v>1.886012554791048</v>
      </c>
      <c r="D252" t="n">
        <v>1.735360719265796</v>
      </c>
      <c r="E252">
        <f>DEGREES(ATAN(D252/C252))</f>
        <v/>
      </c>
      <c r="F252">
        <f>DEGREES(ATAN(TAN(RADIANS(pe0-omega*B252))*(C252/sref)^(m_-1)))</f>
        <v/>
      </c>
      <c r="G252">
        <f>E252-F252</f>
        <v/>
      </c>
    </row>
    <row r="253">
      <c r="A253" t="inlineStr">
        <is>
          <t>SMHEA(1968) | ZD/3B/2/VJ/19D-a</t>
        </is>
      </c>
      <c r="B253" t="n">
        <v>0.2820990099009903</v>
      </c>
      <c r="C253" t="n">
        <v>2.493946921019188</v>
      </c>
      <c r="D253" t="n">
        <v>2.20532834053198</v>
      </c>
      <c r="E253">
        <f>DEGREES(ATAN(D253/C253))</f>
        <v/>
      </c>
      <c r="F253">
        <f>DEGREES(ATAN(TAN(RADIANS(pe0-omega*B253))*(C253/sref)^(m_-1)))</f>
        <v/>
      </c>
      <c r="G253">
        <f>E253-F253</f>
        <v/>
      </c>
    </row>
    <row r="254">
      <c r="A254" t="inlineStr">
        <is>
          <t>HEC (1970) | I-4066</t>
        </is>
      </c>
      <c r="B254" t="n">
        <v>0.3</v>
      </c>
      <c r="C254" t="n">
        <v>0.1361104662068904</v>
      </c>
      <c r="D254" t="n">
        <v>0.1825658533229494</v>
      </c>
      <c r="E254">
        <f>DEGREES(ATAN(D254/C254))</f>
        <v/>
      </c>
      <c r="F254">
        <f>DEGREES(ATAN(TAN(RADIANS(pe0-omega*B254))*(C254/sref)^(m_-1)))</f>
        <v/>
      </c>
      <c r="G254">
        <f>E254-F254</f>
        <v/>
      </c>
    </row>
    <row r="255">
      <c r="A255" t="inlineStr">
        <is>
          <t>HEC (1970) | I-4066</t>
        </is>
      </c>
      <c r="B255" t="n">
        <v>0.3</v>
      </c>
      <c r="C255" t="n">
        <v>0.3358797053047765</v>
      </c>
      <c r="D255" t="n">
        <v>0.4046694758637063</v>
      </c>
      <c r="E255">
        <f>DEGREES(ATAN(D255/C255))</f>
        <v/>
      </c>
      <c r="F255">
        <f>DEGREES(ATAN(TAN(RADIANS(pe0-omega*B255))*(C255/sref)^(m_-1)))</f>
        <v/>
      </c>
      <c r="G255">
        <f>E255-F255</f>
        <v/>
      </c>
    </row>
    <row r="256">
      <c r="A256" t="inlineStr">
        <is>
          <t>HEC (1970) | I-4066</t>
        </is>
      </c>
      <c r="B256" t="n">
        <v>0.3</v>
      </c>
      <c r="C256" t="n">
        <v>0.6608462579271271</v>
      </c>
      <c r="D256" t="n">
        <v>0.7322279644497472</v>
      </c>
      <c r="E256">
        <f>DEGREES(ATAN(D256/C256))</f>
        <v/>
      </c>
      <c r="F256">
        <f>DEGREES(ATAN(TAN(RADIANS(pe0-omega*B256))*(C256/sref)^(m_-1)))</f>
        <v/>
      </c>
      <c r="G256">
        <f>E256-F256</f>
        <v/>
      </c>
    </row>
    <row r="257">
      <c r="A257" t="inlineStr">
        <is>
          <t>HEC (1970) | I-4066</t>
        </is>
      </c>
      <c r="B257" t="n">
        <v>0.3</v>
      </c>
      <c r="C257" t="n">
        <v>1.268341491294954</v>
      </c>
      <c r="D257" t="n">
        <v>1.259661969369103</v>
      </c>
      <c r="E257">
        <f>DEGREES(ATAN(D257/C257))</f>
        <v/>
      </c>
      <c r="F257">
        <f>DEGREES(ATAN(TAN(RADIANS(pe0-omega*B257))*(C257/sref)^(m_-1)))</f>
        <v/>
      </c>
      <c r="G257">
        <f>E257-F257</f>
        <v/>
      </c>
    </row>
    <row r="258">
      <c r="A258" t="inlineStr">
        <is>
          <t>HEC (1970) | I-4067</t>
        </is>
      </c>
      <c r="B258" t="n">
        <v>0.3</v>
      </c>
      <c r="C258" t="n">
        <v>0.1334449421431248</v>
      </c>
      <c r="D258" t="n">
        <v>0.1526418268762296</v>
      </c>
      <c r="E258">
        <f>DEGREES(ATAN(D258/C258))</f>
        <v/>
      </c>
      <c r="F258">
        <f>DEGREES(ATAN(TAN(RADIANS(pe0-omega*B258))*(C258/sref)^(m_-1)))</f>
        <v/>
      </c>
      <c r="G258">
        <f>E258-F258</f>
        <v/>
      </c>
    </row>
    <row r="259">
      <c r="A259" t="inlineStr">
        <is>
          <t>HEC (1970) | I-4067</t>
        </is>
      </c>
      <c r="B259" t="n">
        <v>0.3</v>
      </c>
      <c r="C259" t="n">
        <v>0.3090565934799643</v>
      </c>
      <c r="D259" t="n">
        <v>0.3014626992833197</v>
      </c>
      <c r="E259">
        <f>DEGREES(ATAN(D259/C259))</f>
        <v/>
      </c>
      <c r="F259">
        <f>DEGREES(ATAN(TAN(RADIANS(pe0-omega*B259))*(C259/sref)^(m_-1)))</f>
        <v/>
      </c>
      <c r="G259">
        <f>E259-F259</f>
        <v/>
      </c>
    </row>
    <row r="260">
      <c r="A260" t="inlineStr">
        <is>
          <t>HEC (1970) | I-4067</t>
        </is>
      </c>
      <c r="B260" t="n">
        <v>0.3</v>
      </c>
      <c r="C260" t="n">
        <v>0.6087415583237512</v>
      </c>
      <c r="D260" t="n">
        <v>0.5536239240510331</v>
      </c>
      <c r="E260">
        <f>DEGREES(ATAN(D260/C260))</f>
        <v/>
      </c>
      <c r="F260">
        <f>DEGREES(ATAN(TAN(RADIANS(pe0-omega*B260))*(C260/sref)^(m_-1)))</f>
        <v/>
      </c>
      <c r="G260">
        <f>E260-F260</f>
        <v/>
      </c>
    </row>
    <row r="261">
      <c r="A261" t="inlineStr">
        <is>
          <t>HEC (1970) | I-4067</t>
        </is>
      </c>
      <c r="B261" t="n">
        <v>0.3</v>
      </c>
      <c r="C261" t="n">
        <v>1.202886476740875</v>
      </c>
      <c r="D261" t="n">
        <v>1.025683208041682</v>
      </c>
      <c r="E261">
        <f>DEGREES(ATAN(D261/C261))</f>
        <v/>
      </c>
      <c r="F261">
        <f>DEGREES(ATAN(TAN(RADIANS(pe0-omega*B261))*(C261/sref)^(m_-1)))</f>
        <v/>
      </c>
      <c r="G261">
        <f>E261-F261</f>
        <v/>
      </c>
    </row>
    <row r="262">
      <c r="A262" t="inlineStr">
        <is>
          <t>HEC (1970) | I-4124</t>
        </is>
      </c>
      <c r="B262" t="n">
        <v>0.35</v>
      </c>
      <c r="C262" t="n">
        <v>0.1490571655835242</v>
      </c>
      <c r="D262" t="n">
        <v>0.1876618162260235</v>
      </c>
      <c r="E262">
        <f>DEGREES(ATAN(D262/C262))</f>
        <v/>
      </c>
      <c r="F262">
        <f>DEGREES(ATAN(TAN(RADIANS(pe0-omega*B262))*(C262/sref)^(m_-1)))</f>
        <v/>
      </c>
      <c r="G262">
        <f>E262-F262</f>
        <v/>
      </c>
    </row>
    <row r="263">
      <c r="A263" t="inlineStr">
        <is>
          <t>HEC (1970) | I-4124</t>
        </is>
      </c>
      <c r="B263" t="n">
        <v>0.35</v>
      </c>
      <c r="C263" t="n">
        <v>0.3016997654694042</v>
      </c>
      <c r="D263" t="n">
        <v>0.2798575445888344</v>
      </c>
      <c r="E263">
        <f>DEGREES(ATAN(D263/C263))</f>
        <v/>
      </c>
      <c r="F263">
        <f>DEGREES(ATAN(TAN(RADIANS(pe0-omega*B263))*(C263/sref)^(m_-1)))</f>
        <v/>
      </c>
      <c r="G263">
        <f>E263-F263</f>
        <v/>
      </c>
    </row>
    <row r="264">
      <c r="A264" t="inlineStr">
        <is>
          <t>HEC (1970) | I-4124</t>
        </is>
      </c>
      <c r="B264" t="n">
        <v>0.35</v>
      </c>
      <c r="C264" t="n">
        <v>0.587298145036122</v>
      </c>
      <c r="D264" t="n">
        <v>0.4951550290924599</v>
      </c>
      <c r="E264">
        <f>DEGREES(ATAN(D264/C264))</f>
        <v/>
      </c>
      <c r="F264">
        <f>DEGREES(ATAN(TAN(RADIANS(pe0-omega*B264))*(C264/sref)^(m_-1)))</f>
        <v/>
      </c>
      <c r="G264">
        <f>E264-F264</f>
        <v/>
      </c>
    </row>
    <row r="265">
      <c r="A265" t="inlineStr">
        <is>
          <t>HEC (1970) | I-4124</t>
        </is>
      </c>
      <c r="B265" t="n">
        <v>0.35</v>
      </c>
      <c r="C265" t="n">
        <v>1.225520035258011</v>
      </c>
      <c r="D265" t="n">
        <v>1.035081902388046</v>
      </c>
      <c r="E265">
        <f>DEGREES(ATAN(D265/C265))</f>
        <v/>
      </c>
      <c r="F265">
        <f>DEGREES(ATAN(TAN(RADIANS(pe0-omega*B265))*(C265/sref)^(m_-1)))</f>
        <v/>
      </c>
      <c r="G265">
        <f>E265-F265</f>
        <v/>
      </c>
    </row>
    <row r="266">
      <c r="A266" t="inlineStr">
        <is>
          <t>HEC (1970) | II-4119/3</t>
        </is>
      </c>
      <c r="B266" t="n">
        <v>0.52</v>
      </c>
      <c r="C266" t="n">
        <v>0.1246331470032373</v>
      </c>
      <c r="D266" t="n">
        <v>0.1139450493291706</v>
      </c>
      <c r="E266">
        <f>DEGREES(ATAN(D266/C266))</f>
        <v/>
      </c>
      <c r="F266">
        <f>DEGREES(ATAN(TAN(RADIANS(pe0-omega*B266))*(C266/sref)^(m_-1)))</f>
        <v/>
      </c>
      <c r="G266">
        <f>E266-F266</f>
        <v/>
      </c>
    </row>
    <row r="267">
      <c r="A267" t="inlineStr">
        <is>
          <t>HEC (1970) | II-4119/3</t>
        </is>
      </c>
      <c r="B267" t="n">
        <v>0.57</v>
      </c>
      <c r="C267" t="n">
        <v>0.2375986921300413</v>
      </c>
      <c r="D267" t="n">
        <v>0.1932562927226976</v>
      </c>
      <c r="E267">
        <f>DEGREES(ATAN(D267/C267))</f>
        <v/>
      </c>
      <c r="F267">
        <f>DEGREES(ATAN(TAN(RADIANS(pe0-omega*B267))*(C267/sref)^(m_-1)))</f>
        <v/>
      </c>
      <c r="G267">
        <f>E267-F267</f>
        <v/>
      </c>
    </row>
    <row r="268">
      <c r="A268" t="inlineStr">
        <is>
          <t>HEC (1970) | II-4119/3</t>
        </is>
      </c>
      <c r="B268" t="n">
        <v>0.5600000000000001</v>
      </c>
      <c r="C268" t="n">
        <v>0.4634523839206012</v>
      </c>
      <c r="D268" t="n">
        <v>0.3453277445062478</v>
      </c>
      <c r="E268">
        <f>DEGREES(ATAN(D268/C268))</f>
        <v/>
      </c>
      <c r="F268">
        <f>DEGREES(ATAN(TAN(RADIANS(pe0-omega*B268))*(C268/sref)^(m_-1)))</f>
        <v/>
      </c>
      <c r="G268">
        <f>E268-F268</f>
        <v/>
      </c>
    </row>
    <row r="269">
      <c r="A269" t="inlineStr">
        <is>
          <t>HEC (1970) | II-4119/3</t>
        </is>
      </c>
      <c r="B269" t="n">
        <v>0.55</v>
      </c>
      <c r="C269" t="n">
        <v>0.9042226838829327</v>
      </c>
      <c r="D269" t="n">
        <v>0.617494010813384</v>
      </c>
      <c r="E269">
        <f>DEGREES(ATAN(D269/C269))</f>
        <v/>
      </c>
      <c r="F269">
        <f>DEGREES(ATAN(TAN(RADIANS(pe0-omega*B269))*(C269/sref)^(m_-1)))</f>
        <v/>
      </c>
      <c r="G269">
        <f>E269-F269</f>
        <v/>
      </c>
    </row>
    <row r="270">
      <c r="A270" t="inlineStr">
        <is>
          <t>HEC (1971) | I-4119/4</t>
        </is>
      </c>
      <c r="B270" t="n">
        <v>0.5</v>
      </c>
      <c r="C270" t="n">
        <v>0.238325148153314</v>
      </c>
      <c r="D270" t="n">
        <v>0.188699497773556</v>
      </c>
      <c r="E270">
        <f>DEGREES(ATAN(D270/C270))</f>
        <v/>
      </c>
      <c r="F270">
        <f>DEGREES(ATAN(TAN(RADIANS(pe0-omega*B270))*(C270/sref)^(m_-1)))</f>
        <v/>
      </c>
      <c r="G270">
        <f>E270-F270</f>
        <v/>
      </c>
    </row>
    <row r="271">
      <c r="A271" t="inlineStr">
        <is>
          <t>HEC (1971) | I-4119/4</t>
        </is>
      </c>
      <c r="B271" t="n">
        <v>0.5</v>
      </c>
      <c r="C271" t="n">
        <v>0.8775738139344041</v>
      </c>
      <c r="D271" t="n">
        <v>0.5623510133745856</v>
      </c>
      <c r="E271">
        <f>DEGREES(ATAN(D271/C271))</f>
        <v/>
      </c>
      <c r="F271">
        <f>DEGREES(ATAN(TAN(RADIANS(pe0-omega*B271))*(C271/sref)^(m_-1)))</f>
        <v/>
      </c>
      <c r="G271">
        <f>E271-F271</f>
        <v/>
      </c>
    </row>
    <row r="272">
      <c r="A272" t="inlineStr">
        <is>
          <t>HEC (1971) | III-4119/4</t>
        </is>
      </c>
      <c r="B272" t="n">
        <v>0.28</v>
      </c>
      <c r="C272" t="n">
        <v>0.1527534959658449</v>
      </c>
      <c r="D272" t="n">
        <v>0.2065312124447725</v>
      </c>
      <c r="E272">
        <f>DEGREES(ATAN(D272/C272))</f>
        <v/>
      </c>
      <c r="F272">
        <f>DEGREES(ATAN(TAN(RADIANS(pe0-omega*B272))*(C272/sref)^(m_-1)))</f>
        <v/>
      </c>
      <c r="G272">
        <f>E272-F272</f>
        <v/>
      </c>
    </row>
    <row r="273">
      <c r="A273" t="inlineStr">
        <is>
          <t>HEC (1971) | III-4119/4</t>
        </is>
      </c>
      <c r="B273" t="n">
        <v>0.28</v>
      </c>
      <c r="C273" t="n">
        <v>0.2907635227749968</v>
      </c>
      <c r="D273" t="n">
        <v>0.3370631810949213</v>
      </c>
      <c r="E273">
        <f>DEGREES(ATAN(D273/C273))</f>
        <v/>
      </c>
      <c r="F273">
        <f>DEGREES(ATAN(TAN(RADIANS(pe0-omega*B273))*(C273/sref)^(m_-1)))</f>
        <v/>
      </c>
      <c r="G273">
        <f>E273-F273</f>
        <v/>
      </c>
    </row>
    <row r="274">
      <c r="A274" t="inlineStr">
        <is>
          <t>HEC (1971) | III-4119/4</t>
        </is>
      </c>
      <c r="B274" t="n">
        <v>0.28</v>
      </c>
      <c r="C274" t="n">
        <v>0.5565774043264283</v>
      </c>
      <c r="D274" t="n">
        <v>0.557801454725169</v>
      </c>
      <c r="E274">
        <f>DEGREES(ATAN(D274/C274))</f>
        <v/>
      </c>
      <c r="F274">
        <f>DEGREES(ATAN(TAN(RADIANS(pe0-omega*B274))*(C274/sref)^(m_-1)))</f>
        <v/>
      </c>
      <c r="G274">
        <f>E274-F274</f>
        <v/>
      </c>
    </row>
    <row r="275">
      <c r="A275" t="inlineStr">
        <is>
          <t>HEC (1971) | III-4119/4</t>
        </is>
      </c>
      <c r="B275" t="n">
        <v>0.28</v>
      </c>
      <c r="C275" t="n">
        <v>0.8098524157924277</v>
      </c>
      <c r="D275" t="n">
        <v>0.7454943975696349</v>
      </c>
      <c r="E275">
        <f>DEGREES(ATAN(D275/C275))</f>
        <v/>
      </c>
      <c r="F275">
        <f>DEGREES(ATAN(TAN(RADIANS(pe0-omega*B275))*(C275/sref)^(m_-1)))</f>
        <v/>
      </c>
      <c r="G275">
        <f>E275-F275</f>
        <v/>
      </c>
    </row>
    <row r="276">
      <c r="A276" t="inlineStr">
        <is>
          <t>HEC (1971) | III-4119/4</t>
        </is>
      </c>
      <c r="B276" t="n">
        <v>0.28</v>
      </c>
      <c r="C276" t="n">
        <v>1.04645322211495</v>
      </c>
      <c r="D276" t="n">
        <v>0.8970436585190409</v>
      </c>
      <c r="E276">
        <f>DEGREES(ATAN(D276/C276))</f>
        <v/>
      </c>
      <c r="F276">
        <f>DEGREES(ATAN(TAN(RADIANS(pe0-omega*B276))*(C276/sref)^(m_-1)))</f>
        <v/>
      </c>
      <c r="G276">
        <f>E276-F276</f>
        <v/>
      </c>
    </row>
    <row r="277">
      <c r="A277" t="inlineStr">
        <is>
          <t>Marsal (1971) | C-Cd</t>
        </is>
      </c>
      <c r="B277" t="n">
        <v>0.59</v>
      </c>
      <c r="C277" t="n">
        <v>0.1353044195643151</v>
      </c>
      <c r="D277" t="n">
        <v>0.1290212713935451</v>
      </c>
      <c r="E277">
        <f>DEGREES(ATAN(D277/C277))</f>
        <v/>
      </c>
      <c r="F277">
        <f>DEGREES(ATAN(TAN(RADIANS(pe0-omega*B277))*(C277/sref)^(m_-1)))</f>
        <v/>
      </c>
      <c r="G277">
        <f>E277-F277</f>
        <v/>
      </c>
    </row>
    <row r="278">
      <c r="A278" t="inlineStr">
        <is>
          <t>Marsal (1971) | C-Cd</t>
        </is>
      </c>
      <c r="B278" t="n">
        <v>0.58</v>
      </c>
      <c r="C278" t="n">
        <v>0.8428413527468479</v>
      </c>
      <c r="D278" t="n">
        <v>0.6688153277595006</v>
      </c>
      <c r="E278">
        <f>DEGREES(ATAN(D278/C278))</f>
        <v/>
      </c>
      <c r="F278">
        <f>DEGREES(ATAN(TAN(RADIANS(pe0-omega*B278))*(C278/sref)^(m_-1)))</f>
        <v/>
      </c>
      <c r="G278">
        <f>E278-F278</f>
        <v/>
      </c>
    </row>
    <row r="279">
      <c r="A279" t="inlineStr">
        <is>
          <t>Marsal (1971) | C-Cl</t>
        </is>
      </c>
      <c r="B279" t="n">
        <v>0.68</v>
      </c>
      <c r="C279" t="n">
        <v>0.1314664384227864</v>
      </c>
      <c r="D279" t="n">
        <v>0.1174106958041656</v>
      </c>
      <c r="E279">
        <f>DEGREES(ATAN(D279/C279))</f>
        <v/>
      </c>
      <c r="F279">
        <f>DEGREES(ATAN(TAN(RADIANS(pe0-omega*B279))*(C279/sref)^(m_-1)))</f>
        <v/>
      </c>
      <c r="G279">
        <f>E279-F279</f>
        <v/>
      </c>
    </row>
    <row r="280">
      <c r="A280" t="inlineStr">
        <is>
          <t>Marsal (1971) | C-Cl</t>
        </is>
      </c>
      <c r="B280" t="n">
        <v>0.62</v>
      </c>
      <c r="C280" t="n">
        <v>0.8325977765700244</v>
      </c>
      <c r="D280" t="n">
        <v>0.6356053015711667</v>
      </c>
      <c r="E280">
        <f>DEGREES(ATAN(D280/C280))</f>
        <v/>
      </c>
      <c r="F280">
        <f>DEGREES(ATAN(TAN(RADIANS(pe0-omega*B280))*(C280/sref)^(m_-1)))</f>
        <v/>
      </c>
      <c r="G280">
        <f>E280-F280</f>
        <v/>
      </c>
    </row>
    <row r="281">
      <c r="A281" t="inlineStr">
        <is>
          <t>Marsal (1971) | C-Dd</t>
        </is>
      </c>
      <c r="B281" t="n">
        <v>0.74</v>
      </c>
      <c r="C281" t="n">
        <v>0.1356962046770926</v>
      </c>
      <c r="D281" t="n">
        <v>0.1182668479423371</v>
      </c>
      <c r="E281">
        <f>DEGREES(ATAN(D281/C281))</f>
        <v/>
      </c>
      <c r="F281">
        <f>DEGREES(ATAN(TAN(RADIANS(pe0-omega*B281))*(C281/sref)^(m_-1)))</f>
        <v/>
      </c>
      <c r="G281">
        <f>E281-F281</f>
        <v/>
      </c>
    </row>
    <row r="282">
      <c r="A282" t="inlineStr">
        <is>
          <t>Marsal (1971) | C-Dd</t>
        </is>
      </c>
      <c r="B282" t="n">
        <v>0.75</v>
      </c>
      <c r="C282" t="n">
        <v>0.8120878353420294</v>
      </c>
      <c r="D282" t="n">
        <v>0.5340076464603463</v>
      </c>
      <c r="E282">
        <f>DEGREES(ATAN(D282/C282))</f>
        <v/>
      </c>
      <c r="F282">
        <f>DEGREES(ATAN(TAN(RADIANS(pe0-omega*B282))*(C282/sref)^(m_-1)))</f>
        <v/>
      </c>
      <c r="G282">
        <f>E282-F282</f>
        <v/>
      </c>
    </row>
    <row r="283">
      <c r="A283" t="inlineStr">
        <is>
          <t>Marsal (1971) | C-Ed</t>
        </is>
      </c>
      <c r="B283" t="n">
        <v>0.3</v>
      </c>
      <c r="C283" t="n">
        <v>0.1311027728026301</v>
      </c>
      <c r="D283" t="n">
        <v>0.1261706712099387</v>
      </c>
      <c r="E283">
        <f>DEGREES(ATAN(D283/C283))</f>
        <v/>
      </c>
      <c r="F283">
        <f>DEGREES(ATAN(TAN(RADIANS(pe0-omega*B283))*(C283/sref)^(m_-1)))</f>
        <v/>
      </c>
      <c r="G283">
        <f>E283-F283</f>
        <v/>
      </c>
    </row>
    <row r="284">
      <c r="A284" t="inlineStr">
        <is>
          <t>Marsal (1971) | C-Ed</t>
        </is>
      </c>
      <c r="B284" t="n">
        <v>0.32</v>
      </c>
      <c r="C284" t="n">
        <v>0.8612509018793724</v>
      </c>
      <c r="D284" t="n">
        <v>0.7500563356689833</v>
      </c>
      <c r="E284">
        <f>DEGREES(ATAN(D284/C284))</f>
        <v/>
      </c>
      <c r="F284">
        <f>DEGREES(ATAN(TAN(RADIANS(pe0-omega*B284))*(C284/sref)^(m_-1)))</f>
        <v/>
      </c>
      <c r="G284">
        <f>E284-F284</f>
        <v/>
      </c>
    </row>
    <row r="285">
      <c r="A285" t="inlineStr">
        <is>
          <t>Marsal (1971) | C-Ed</t>
        </is>
      </c>
      <c r="B285" t="n">
        <v>0.3</v>
      </c>
      <c r="C285" t="n">
        <v>2.675696903804108</v>
      </c>
      <c r="D285" t="n">
        <v>2.138996708340685</v>
      </c>
      <c r="E285">
        <f>DEGREES(ATAN(D285/C285))</f>
        <v/>
      </c>
      <c r="F285">
        <f>DEGREES(ATAN(TAN(RADIANS(pe0-omega*B285))*(C285/sref)^(m_-1)))</f>
        <v/>
      </c>
      <c r="G285">
        <f>E285-F285</f>
        <v/>
      </c>
    </row>
    <row r="286">
      <c r="A286" t="inlineStr">
        <is>
          <t>Marsal (1971) | C-Ed</t>
        </is>
      </c>
      <c r="B286" t="n">
        <v>0.33</v>
      </c>
      <c r="C286" t="n">
        <v>3.587956948569327</v>
      </c>
      <c r="D286" t="n">
        <v>2.728547601792416</v>
      </c>
      <c r="E286">
        <f>DEGREES(ATAN(D286/C286))</f>
        <v/>
      </c>
      <c r="F286">
        <f>DEGREES(ATAN(TAN(RADIANS(pe0-omega*B286))*(C286/sref)^(m_-1)))</f>
        <v/>
      </c>
      <c r="G286">
        <f>E286-F286</f>
        <v/>
      </c>
    </row>
    <row r="287">
      <c r="A287" t="inlineStr">
        <is>
          <t>Marsal (1971) | LA-Cd</t>
        </is>
      </c>
      <c r="B287" t="n">
        <v>0.36</v>
      </c>
      <c r="C287" t="n">
        <v>0.1214408782280581</v>
      </c>
      <c r="D287" t="n">
        <v>0.09058015823238512</v>
      </c>
      <c r="E287">
        <f>DEGREES(ATAN(D287/C287))</f>
        <v/>
      </c>
      <c r="F287">
        <f>DEGREES(ATAN(TAN(RADIANS(pe0-omega*B287))*(C287/sref)^(m_-1)))</f>
        <v/>
      </c>
      <c r="G287">
        <f>E287-F287</f>
        <v/>
      </c>
    </row>
    <row r="288">
      <c r="A288" t="inlineStr">
        <is>
          <t>Marsal (1971) | LA-Cd</t>
        </is>
      </c>
      <c r="B288" t="n">
        <v>0.37</v>
      </c>
      <c r="C288" t="n">
        <v>0.8006657522592532</v>
      </c>
      <c r="D288" t="n">
        <v>0.5846458754191216</v>
      </c>
      <c r="E288">
        <f>DEGREES(ATAN(D288/C288))</f>
        <v/>
      </c>
      <c r="F288">
        <f>DEGREES(ATAN(TAN(RADIANS(pe0-omega*B288))*(C288/sref)^(m_-1)))</f>
        <v/>
      </c>
      <c r="G288">
        <f>E288-F288</f>
        <v/>
      </c>
    </row>
    <row r="289">
      <c r="A289" t="inlineStr">
        <is>
          <t>Marachi et al. (1972) | BL</t>
        </is>
      </c>
      <c r="B289" t="n">
        <v>0.43</v>
      </c>
      <c r="C289" t="n">
        <v>0.401769344964041</v>
      </c>
      <c r="D289" t="n">
        <v>0.4453314694737619</v>
      </c>
      <c r="E289">
        <f>DEGREES(ATAN(D289/C289))</f>
        <v/>
      </c>
      <c r="F289">
        <f>DEGREES(ATAN(TAN(RADIANS(pe0-omega*B289))*(C289/sref)^(m_-1)))</f>
        <v/>
      </c>
      <c r="G289">
        <f>E289-F289</f>
        <v/>
      </c>
    </row>
    <row r="290">
      <c r="A290" t="inlineStr">
        <is>
          <t>Marachi et al. (1972) | BL</t>
        </is>
      </c>
      <c r="B290" t="n">
        <v>0.43</v>
      </c>
      <c r="C290" t="n">
        <v>1.686334119413079</v>
      </c>
      <c r="D290" t="n">
        <v>1.459650635259555</v>
      </c>
      <c r="E290">
        <f>DEGREES(ATAN(D290/C290))</f>
        <v/>
      </c>
      <c r="F290">
        <f>DEGREES(ATAN(TAN(RADIANS(pe0-omega*B290))*(C290/sref)^(m_-1)))</f>
        <v/>
      </c>
      <c r="G290">
        <f>E290-F290</f>
        <v/>
      </c>
    </row>
    <row r="291">
      <c r="A291" t="inlineStr">
        <is>
          <t>Marachi et al. (1972) | BM</t>
        </is>
      </c>
      <c r="B291" t="n">
        <v>0.43</v>
      </c>
      <c r="C291" t="n">
        <v>0.3958128496743342</v>
      </c>
      <c r="D291" t="n">
        <v>0.4461435642739394</v>
      </c>
      <c r="E291">
        <f>DEGREES(ATAN(D291/C291))</f>
        <v/>
      </c>
      <c r="F291">
        <f>DEGREES(ATAN(TAN(RADIANS(pe0-omega*B291))*(C291/sref)^(m_-1)))</f>
        <v/>
      </c>
      <c r="G291">
        <f>E291-F291</f>
        <v/>
      </c>
    </row>
    <row r="292">
      <c r="A292" t="inlineStr">
        <is>
          <t>Marachi et al. (1972) | BM</t>
        </is>
      </c>
      <c r="B292" t="n">
        <v>0.43</v>
      </c>
      <c r="C292" t="n">
        <v>1.728636835034508</v>
      </c>
      <c r="D292" t="n">
        <v>1.582962343801351</v>
      </c>
      <c r="E292">
        <f>DEGREES(ATAN(D292/C292))</f>
        <v/>
      </c>
      <c r="F292">
        <f>DEGREES(ATAN(TAN(RADIANS(pe0-omega*B292))*(C292/sref)^(m_-1)))</f>
        <v/>
      </c>
      <c r="G292">
        <f>E292-F292</f>
        <v/>
      </c>
    </row>
    <row r="293">
      <c r="A293" t="inlineStr">
        <is>
          <t>Marachi et al. (1972) | BM</t>
        </is>
      </c>
      <c r="B293" t="n">
        <v>0.43</v>
      </c>
      <c r="C293" t="n">
        <v>4.994636810532553</v>
      </c>
      <c r="D293" t="n">
        <v>3.991299749972154</v>
      </c>
      <c r="E293">
        <f>DEGREES(ATAN(D293/C293))</f>
        <v/>
      </c>
      <c r="F293">
        <f>DEGREES(ATAN(TAN(RADIANS(pe0-omega*B293))*(C293/sref)^(m_-1)))</f>
        <v/>
      </c>
      <c r="G293">
        <f>E293-F293</f>
        <v/>
      </c>
    </row>
    <row r="294">
      <c r="A294" t="inlineStr">
        <is>
          <t>Marachi et al. (1972) | BS</t>
        </is>
      </c>
      <c r="B294" t="n">
        <v>0.43</v>
      </c>
      <c r="C294" t="n">
        <v>0.4264354030490241</v>
      </c>
      <c r="D294" t="n">
        <v>0.5389220080803497</v>
      </c>
      <c r="E294">
        <f>DEGREES(ATAN(D294/C294))</f>
        <v/>
      </c>
      <c r="F294">
        <f>DEGREES(ATAN(TAN(RADIANS(pe0-omega*B294))*(C294/sref)^(m_-1)))</f>
        <v/>
      </c>
      <c r="G294">
        <f>E294-F294</f>
        <v/>
      </c>
    </row>
    <row r="295">
      <c r="A295" t="inlineStr">
        <is>
          <t>Marachi et al. (1972) | BS</t>
        </is>
      </c>
      <c r="B295" t="n">
        <v>0.43</v>
      </c>
      <c r="C295" t="n">
        <v>1.72528950447861</v>
      </c>
      <c r="D295" t="n">
        <v>1.648579652699391</v>
      </c>
      <c r="E295">
        <f>DEGREES(ATAN(D295/C295))</f>
        <v/>
      </c>
      <c r="F295">
        <f>DEGREES(ATAN(TAN(RADIANS(pe0-omega*B295))*(C295/sref)^(m_-1)))</f>
        <v/>
      </c>
      <c r="G295">
        <f>E295-F295</f>
        <v/>
      </c>
    </row>
    <row r="296">
      <c r="A296" t="inlineStr">
        <is>
          <t>Marachi et al. (1972) | BS</t>
        </is>
      </c>
      <c r="B296" t="n">
        <v>0.43</v>
      </c>
      <c r="C296" t="n">
        <v>5.024070924586702</v>
      </c>
      <c r="D296" t="n">
        <v>4.243050142049283</v>
      </c>
      <c r="E296">
        <f>DEGREES(ATAN(D296/C296))</f>
        <v/>
      </c>
      <c r="F296">
        <f>DEGREES(ATAN(TAN(RADIANS(pe0-omega*B296))*(C296/sref)^(m_-1)))</f>
        <v/>
      </c>
      <c r="G296">
        <f>E296-F296</f>
        <v/>
      </c>
    </row>
    <row r="297">
      <c r="A297" t="inlineStr">
        <is>
          <t>Marachi et al. (1972) | BS</t>
        </is>
      </c>
      <c r="B297" t="n">
        <v>0.43</v>
      </c>
      <c r="C297" t="n">
        <v>7.702616782147403</v>
      </c>
      <c r="D297" t="n">
        <v>6.243815354246161</v>
      </c>
      <c r="E297">
        <f>DEGREES(ATAN(D297/C297))</f>
        <v/>
      </c>
      <c r="F297">
        <f>DEGREES(ATAN(TAN(RADIANS(pe0-omega*B297))*(C297/sref)^(m_-1)))</f>
        <v/>
      </c>
      <c r="G297">
        <f>E297-F297</f>
        <v/>
      </c>
    </row>
    <row r="298">
      <c r="A298" t="inlineStr">
        <is>
          <t>Marachi et al. (1972) | OL</t>
        </is>
      </c>
      <c r="B298" t="n">
        <v>0.22</v>
      </c>
      <c r="C298" t="n">
        <v>0.3772709380179193</v>
      </c>
      <c r="D298" t="n">
        <v>0.4090601413009569</v>
      </c>
      <c r="E298">
        <f>DEGREES(ATAN(D298/C298))</f>
        <v/>
      </c>
      <c r="F298">
        <f>DEGREES(ATAN(TAN(RADIANS(pe0-omega*B298))*(C298/sref)^(m_-1)))</f>
        <v/>
      </c>
      <c r="G298">
        <f>E298-F298</f>
        <v/>
      </c>
    </row>
    <row r="299">
      <c r="A299" t="inlineStr">
        <is>
          <t>Marachi et al. (1972) | OL</t>
        </is>
      </c>
      <c r="B299" t="n">
        <v>0.22</v>
      </c>
      <c r="C299" t="n">
        <v>1.732065838954457</v>
      </c>
      <c r="D299" t="n">
        <v>1.638031074750981</v>
      </c>
      <c r="E299">
        <f>DEGREES(ATAN(D299/C299))</f>
        <v/>
      </c>
      <c r="F299">
        <f>DEGREES(ATAN(TAN(RADIANS(pe0-omega*B299))*(C299/sref)^(m_-1)))</f>
        <v/>
      </c>
      <c r="G299">
        <f>E299-F299</f>
        <v/>
      </c>
    </row>
    <row r="300">
      <c r="A300" t="inlineStr">
        <is>
          <t>Marachi et al. (1972) | OL</t>
        </is>
      </c>
      <c r="B300" t="n">
        <v>0.22</v>
      </c>
      <c r="C300" t="n">
        <v>5.060199888350418</v>
      </c>
      <c r="D300" t="n">
        <v>4.269854243283402</v>
      </c>
      <c r="E300">
        <f>DEGREES(ATAN(D300/C300))</f>
        <v/>
      </c>
      <c r="F300">
        <f>DEGREES(ATAN(TAN(RADIANS(pe0-omega*B300))*(C300/sref)^(m_-1)))</f>
        <v/>
      </c>
      <c r="G300">
        <f>E300-F300</f>
        <v/>
      </c>
    </row>
    <row r="301">
      <c r="A301" t="inlineStr">
        <is>
          <t>Marachi et al. (1972) | OL</t>
        </is>
      </c>
      <c r="B301" t="n">
        <v>0.22</v>
      </c>
      <c r="C301" t="n">
        <v>7.597247418742417</v>
      </c>
      <c r="D301" t="n">
        <v>5.988065279567171</v>
      </c>
      <c r="E301">
        <f>DEGREES(ATAN(D301/C301))</f>
        <v/>
      </c>
      <c r="F301">
        <f>DEGREES(ATAN(TAN(RADIANS(pe0-omega*B301))*(C301/sref)^(m_-1)))</f>
        <v/>
      </c>
      <c r="G301">
        <f>E301-F301</f>
        <v/>
      </c>
    </row>
    <row r="302">
      <c r="A302" t="inlineStr">
        <is>
          <t>Marachi et al. (1972) | OM</t>
        </is>
      </c>
      <c r="B302" t="n">
        <v>0.22</v>
      </c>
      <c r="C302" t="n">
        <v>0.3843866900119821</v>
      </c>
      <c r="D302" t="n">
        <v>0.4347707647617152</v>
      </c>
      <c r="E302">
        <f>DEGREES(ATAN(D302/C302))</f>
        <v/>
      </c>
      <c r="F302">
        <f>DEGREES(ATAN(TAN(RADIANS(pe0-omega*B302))*(C302/sref)^(m_-1)))</f>
        <v/>
      </c>
      <c r="G302">
        <f>E302-F302</f>
        <v/>
      </c>
    </row>
    <row r="303">
      <c r="A303" t="inlineStr">
        <is>
          <t>Marachi et al. (1972) | OM</t>
        </is>
      </c>
      <c r="B303" t="n">
        <v>0.22</v>
      </c>
      <c r="C303" t="n">
        <v>1.729024508444054</v>
      </c>
      <c r="D303" t="n">
        <v>1.68382784921261</v>
      </c>
      <c r="E303">
        <f>DEGREES(ATAN(D303/C303))</f>
        <v/>
      </c>
      <c r="F303">
        <f>DEGREES(ATAN(TAN(RADIANS(pe0-omega*B303))*(C303/sref)^(m_-1)))</f>
        <v/>
      </c>
      <c r="G303">
        <f>E303-F303</f>
        <v/>
      </c>
    </row>
    <row r="304">
      <c r="A304" t="inlineStr">
        <is>
          <t>Marachi et al. (1972) | OM</t>
        </is>
      </c>
      <c r="B304" t="n">
        <v>0.22</v>
      </c>
      <c r="C304" t="n">
        <v>5.046813548804225</v>
      </c>
      <c r="D304" t="n">
        <v>4.408571575156508</v>
      </c>
      <c r="E304">
        <f>DEGREES(ATAN(D304/C304))</f>
        <v/>
      </c>
      <c r="F304">
        <f>DEGREES(ATAN(TAN(RADIANS(pe0-omega*B304))*(C304/sref)^(m_-1)))</f>
        <v/>
      </c>
      <c r="G304">
        <f>E304-F304</f>
        <v/>
      </c>
    </row>
    <row r="305">
      <c r="A305" t="inlineStr">
        <is>
          <t>Marachi et al. (1972) | OM</t>
        </is>
      </c>
      <c r="B305" t="n">
        <v>0.22</v>
      </c>
      <c r="C305" t="n">
        <v>7.685931019162973</v>
      </c>
      <c r="D305" t="n">
        <v>6.409447809863146</v>
      </c>
      <c r="E305">
        <f>DEGREES(ATAN(D305/C305))</f>
        <v/>
      </c>
      <c r="F305">
        <f>DEGREES(ATAN(TAN(RADIANS(pe0-omega*B305))*(C305/sref)^(m_-1)))</f>
        <v/>
      </c>
      <c r="G305">
        <f>E305-F305</f>
        <v/>
      </c>
    </row>
    <row r="306">
      <c r="A306" t="inlineStr">
        <is>
          <t>Marachi et al. (1972) | OS</t>
        </is>
      </c>
      <c r="B306" t="n">
        <v>0.22</v>
      </c>
      <c r="C306" t="n">
        <v>0.3965340036333953</v>
      </c>
      <c r="D306" t="n">
        <v>0.4874160735036192</v>
      </c>
      <c r="E306">
        <f>DEGREES(ATAN(D306/C306))</f>
        <v/>
      </c>
      <c r="F306">
        <f>DEGREES(ATAN(TAN(RADIANS(pe0-omega*B306))*(C306/sref)^(m_-1)))</f>
        <v/>
      </c>
      <c r="G306">
        <f>E306-F306</f>
        <v/>
      </c>
    </row>
    <row r="307">
      <c r="A307" t="inlineStr">
        <is>
          <t>Marachi et al. (1972) | OS</t>
        </is>
      </c>
      <c r="B307" t="n">
        <v>0.22</v>
      </c>
      <c r="C307" t="n">
        <v>1.79700187829374</v>
      </c>
      <c r="D307" t="n">
        <v>1.894313210199671</v>
      </c>
      <c r="E307">
        <f>DEGREES(ATAN(D307/C307))</f>
        <v/>
      </c>
      <c r="F307">
        <f>DEGREES(ATAN(TAN(RADIANS(pe0-omega*B307))*(C307/sref)^(m_-1)))</f>
        <v/>
      </c>
      <c r="G307">
        <f>E307-F307</f>
        <v/>
      </c>
    </row>
    <row r="308">
      <c r="A308" t="inlineStr">
        <is>
          <t>Marachi et al. (1972) | OS</t>
        </is>
      </c>
      <c r="B308" t="n">
        <v>0.22</v>
      </c>
      <c r="C308" t="n">
        <v>5.134332202792396</v>
      </c>
      <c r="D308" t="n">
        <v>4.695016428230349</v>
      </c>
      <c r="E308">
        <f>DEGREES(ATAN(D308/C308))</f>
        <v/>
      </c>
      <c r="F308">
        <f>DEGREES(ATAN(TAN(RADIANS(pe0-omega*B308))*(C308/sref)^(m_-1)))</f>
        <v/>
      </c>
      <c r="G308">
        <f>E308-F308</f>
        <v/>
      </c>
    </row>
    <row r="309">
      <c r="A309" t="inlineStr">
        <is>
          <t>Marachi et al. (1972) | OS</t>
        </is>
      </c>
      <c r="B309" t="n">
        <v>0.22</v>
      </c>
      <c r="C309" t="n">
        <v>7.860685101959433</v>
      </c>
      <c r="D309" t="n">
        <v>6.889303500174952</v>
      </c>
      <c r="E309">
        <f>DEGREES(ATAN(D309/C309))</f>
        <v/>
      </c>
      <c r="F309">
        <f>DEGREES(ATAN(TAN(RADIANS(pe0-omega*B309))*(C309/sref)^(m_-1)))</f>
        <v/>
      </c>
      <c r="G309">
        <f>E309-F309</f>
        <v/>
      </c>
    </row>
    <row r="310">
      <c r="A310" t="inlineStr">
        <is>
          <t>Marachi et al. (1972) | PL</t>
        </is>
      </c>
      <c r="B310" t="n">
        <v>0.45</v>
      </c>
      <c r="C310" t="n">
        <v>0.4203483793658108</v>
      </c>
      <c r="D310" t="n">
        <v>0.4429516710019793</v>
      </c>
      <c r="E310">
        <f>DEGREES(ATAN(D310/C310))</f>
        <v/>
      </c>
      <c r="F310">
        <f>DEGREES(ATAN(TAN(RADIANS(pe0-omega*B310))*(C310/sref)^(m_-1)))</f>
        <v/>
      </c>
      <c r="G310">
        <f>E310-F310</f>
        <v/>
      </c>
    </row>
    <row r="311">
      <c r="A311" t="inlineStr">
        <is>
          <t>Marachi et al. (1972) | PL</t>
        </is>
      </c>
      <c r="B311" t="n">
        <v>0.45</v>
      </c>
      <c r="C311" t="n">
        <v>1.474894923602882</v>
      </c>
      <c r="D311" t="n">
        <v>1.00607902337401</v>
      </c>
      <c r="E311">
        <f>DEGREES(ATAN(D311/C311))</f>
        <v/>
      </c>
      <c r="F311">
        <f>DEGREES(ATAN(TAN(RADIANS(pe0-omega*B311))*(C311/sref)^(m_-1)))</f>
        <v/>
      </c>
      <c r="G311">
        <f>E311-F311</f>
        <v/>
      </c>
    </row>
    <row r="312">
      <c r="A312" t="inlineStr">
        <is>
          <t>Marachi et al. (1972) | PM</t>
        </is>
      </c>
      <c r="B312" t="n">
        <v>0.45</v>
      </c>
      <c r="C312" t="n">
        <v>0.3925042802122757</v>
      </c>
      <c r="D312" t="n">
        <v>0.4258281812066953</v>
      </c>
      <c r="E312">
        <f>DEGREES(ATAN(D312/C312))</f>
        <v/>
      </c>
      <c r="F312">
        <f>DEGREES(ATAN(TAN(RADIANS(pe0-omega*B312))*(C312/sref)^(m_-1)))</f>
        <v/>
      </c>
      <c r="G312">
        <f>E312-F312</f>
        <v/>
      </c>
    </row>
    <row r="313">
      <c r="A313" t="inlineStr">
        <is>
          <t>Marachi et al. (1972) | PM</t>
        </is>
      </c>
      <c r="B313" t="n">
        <v>0.45</v>
      </c>
      <c r="C313" t="n">
        <v>1.699821010448251</v>
      </c>
      <c r="D313" t="n">
        <v>1.497109083250262</v>
      </c>
      <c r="E313">
        <f>DEGREES(ATAN(D313/C313))</f>
        <v/>
      </c>
      <c r="F313">
        <f>DEGREES(ATAN(TAN(RADIANS(pe0-omega*B313))*(C313/sref)^(m_-1)))</f>
        <v/>
      </c>
      <c r="G313">
        <f>E313-F313</f>
        <v/>
      </c>
    </row>
    <row r="314">
      <c r="A314" t="inlineStr">
        <is>
          <t>Marachi et al. (1972) | PS</t>
        </is>
      </c>
      <c r="B314" t="n">
        <v>0.45</v>
      </c>
      <c r="C314" t="n">
        <v>0.4111603356833974</v>
      </c>
      <c r="D314" t="n">
        <v>0.4947277112689859</v>
      </c>
      <c r="E314">
        <f>DEGREES(ATAN(D314/C314))</f>
        <v/>
      </c>
      <c r="F314">
        <f>DEGREES(ATAN(TAN(RADIANS(pe0-omega*B314))*(C314/sref)^(m_-1)))</f>
        <v/>
      </c>
      <c r="G314">
        <f>E314-F314</f>
        <v/>
      </c>
    </row>
    <row r="315">
      <c r="A315" t="inlineStr">
        <is>
          <t>Marachi et al. (1972) | PS</t>
        </is>
      </c>
      <c r="B315" t="n">
        <v>0.45</v>
      </c>
      <c r="C315" t="n">
        <v>1.718033450656318</v>
      </c>
      <c r="D315" t="n">
        <v>1.600560717270557</v>
      </c>
      <c r="E315">
        <f>DEGREES(ATAN(D315/C315))</f>
        <v/>
      </c>
      <c r="F315">
        <f>DEGREES(ATAN(TAN(RADIANS(pe0-omega*B315))*(C315/sref)^(m_-1)))</f>
        <v/>
      </c>
      <c r="G315">
        <f>E315-F315</f>
        <v/>
      </c>
    </row>
    <row r="316">
      <c r="A316" t="inlineStr">
        <is>
          <t>Marachi et al. (1972) | PS</t>
        </is>
      </c>
      <c r="B316" t="n">
        <v>0.45</v>
      </c>
      <c r="C316" t="n">
        <v>5.065104722339621</v>
      </c>
      <c r="D316" t="n">
        <v>4.222488680107352</v>
      </c>
      <c r="E316">
        <f>DEGREES(ATAN(D316/C316))</f>
        <v/>
      </c>
      <c r="F316">
        <f>DEGREES(ATAN(TAN(RADIANS(pe0-omega*B316))*(C316/sref)^(m_-1)))</f>
        <v/>
      </c>
      <c r="G316">
        <f>E316-F316</f>
        <v/>
      </c>
    </row>
    <row r="317">
      <c r="A317" t="inlineStr">
        <is>
          <t>Marachi et al. (1972) | PS</t>
        </is>
      </c>
      <c r="B317" t="n">
        <v>0.45</v>
      </c>
      <c r="C317" t="n">
        <v>7.657049331184021</v>
      </c>
      <c r="D317" t="n">
        <v>6.003092022950768</v>
      </c>
      <c r="E317">
        <f>DEGREES(ATAN(D317/C317))</f>
        <v/>
      </c>
      <c r="F317">
        <f>DEGREES(ATAN(TAN(RADIANS(pe0-omega*B317))*(C317/sref)^(m_-1)))</f>
        <v/>
      </c>
      <c r="G317">
        <f>E317-F317</f>
        <v/>
      </c>
    </row>
    <row r="318">
      <c r="A318" t="inlineStr">
        <is>
          <t>Marsal (1973) | M1</t>
        </is>
      </c>
      <c r="B318" t="n">
        <v>0.62</v>
      </c>
      <c r="C318" t="n">
        <v>0.11664357293612</v>
      </c>
      <c r="D318" t="n">
        <v>0.1212926815762496</v>
      </c>
      <c r="E318">
        <f>DEGREES(ATAN(D318/C318))</f>
        <v/>
      </c>
      <c r="F318">
        <f>DEGREES(ATAN(TAN(RADIANS(pe0-omega*B318))*(C318/sref)^(m_-1)))</f>
        <v/>
      </c>
      <c r="G318">
        <f>E318-F318</f>
        <v/>
      </c>
    </row>
    <row r="319">
      <c r="A319" t="inlineStr">
        <is>
          <t>Marsal (1973) | M1</t>
        </is>
      </c>
      <c r="B319" t="n">
        <v>0.61</v>
      </c>
      <c r="C319" t="n">
        <v>0.3479158313913757</v>
      </c>
      <c r="D319" t="n">
        <v>0.3546614360668399</v>
      </c>
      <c r="E319">
        <f>DEGREES(ATAN(D319/C319))</f>
        <v/>
      </c>
      <c r="F319">
        <f>DEGREES(ATAN(TAN(RADIANS(pe0-omega*B319))*(C319/sref)^(m_-1)))</f>
        <v/>
      </c>
      <c r="G319">
        <f>E319-F319</f>
        <v/>
      </c>
    </row>
    <row r="320">
      <c r="A320" t="inlineStr">
        <is>
          <t>Marsal (1973) | M1</t>
        </is>
      </c>
      <c r="B320" t="n">
        <v>0.59</v>
      </c>
      <c r="C320" t="n">
        <v>0.8457027884970512</v>
      </c>
      <c r="D320" t="n">
        <v>0.737764140099347</v>
      </c>
      <c r="E320">
        <f>DEGREES(ATAN(D320/C320))</f>
        <v/>
      </c>
      <c r="F320">
        <f>DEGREES(ATAN(TAN(RADIANS(pe0-omega*B320))*(C320/sref)^(m_-1)))</f>
        <v/>
      </c>
      <c r="G320">
        <f>E320-F320</f>
        <v/>
      </c>
    </row>
    <row r="321">
      <c r="A321" t="inlineStr">
        <is>
          <t>Marsal (1973) | M1</t>
        </is>
      </c>
      <c r="B321" t="n">
        <v>0.46</v>
      </c>
      <c r="C321" t="n">
        <v>1.712072183160668</v>
      </c>
      <c r="D321" t="n">
        <v>1.394917567298167</v>
      </c>
      <c r="E321">
        <f>DEGREES(ATAN(D321/C321))</f>
        <v/>
      </c>
      <c r="F321">
        <f>DEGREES(ATAN(TAN(RADIANS(pe0-omega*B321))*(C321/sref)^(m_-1)))</f>
        <v/>
      </c>
      <c r="G321">
        <f>E321-F321</f>
        <v/>
      </c>
    </row>
    <row r="322">
      <c r="A322" t="inlineStr">
        <is>
          <t>Marsal (1973) | M1</t>
        </is>
      </c>
      <c r="B322" t="n">
        <v>0.57</v>
      </c>
      <c r="C322" t="n">
        <v>2.748649619364773</v>
      </c>
      <c r="D322" t="n">
        <v>1.996478824891366</v>
      </c>
      <c r="E322">
        <f>DEGREES(ATAN(D322/C322))</f>
        <v/>
      </c>
      <c r="F322">
        <f>DEGREES(ATAN(TAN(RADIANS(pe0-omega*B322))*(C322/sref)^(m_-1)))</f>
        <v/>
      </c>
      <c r="G322">
        <f>E322-F322</f>
        <v/>
      </c>
    </row>
    <row r="323">
      <c r="A323" t="inlineStr">
        <is>
          <t>Marsal (1973) | M1</t>
        </is>
      </c>
      <c r="B323" t="n">
        <v>0.51</v>
      </c>
      <c r="C323" t="n">
        <v>4.090523575054197</v>
      </c>
      <c r="D323" t="n">
        <v>2.908876699528892</v>
      </c>
      <c r="E323">
        <f>DEGREES(ATAN(D323/C323))</f>
        <v/>
      </c>
      <c r="F323">
        <f>DEGREES(ATAN(TAN(RADIANS(pe0-omega*B323))*(C323/sref)^(m_-1)))</f>
        <v/>
      </c>
      <c r="G323">
        <f>E323-F323</f>
        <v/>
      </c>
    </row>
    <row r="324">
      <c r="A324" t="inlineStr">
        <is>
          <t>Marsal (1973) | M10</t>
        </is>
      </c>
      <c r="B324" t="n">
        <v>0.89</v>
      </c>
      <c r="C324" t="n">
        <v>0.1296446961488894</v>
      </c>
      <c r="D324" t="n">
        <v>0.1321559879866295</v>
      </c>
      <c r="E324">
        <f>DEGREES(ATAN(D324/C324))</f>
        <v/>
      </c>
      <c r="F324">
        <f>DEGREES(ATAN(TAN(RADIANS(pe0-omega*B324))*(C324/sref)^(m_-1)))</f>
        <v/>
      </c>
      <c r="G324">
        <f>E324-F324</f>
        <v/>
      </c>
    </row>
    <row r="325">
      <c r="A325" t="inlineStr">
        <is>
          <t>Marsal (1973) | M10</t>
        </is>
      </c>
      <c r="B325" t="n">
        <v>0.72</v>
      </c>
      <c r="C325" t="n">
        <v>0.2841144178640304</v>
      </c>
      <c r="D325" t="n">
        <v>0.2748234487695349</v>
      </c>
      <c r="E325">
        <f>DEGREES(ATAN(D325/C325))</f>
        <v/>
      </c>
      <c r="F325">
        <f>DEGREES(ATAN(TAN(RADIANS(pe0-omega*B325))*(C325/sref)^(m_-1)))</f>
        <v/>
      </c>
      <c r="G325">
        <f>E325-F325</f>
        <v/>
      </c>
    </row>
    <row r="326">
      <c r="A326" t="inlineStr">
        <is>
          <t>Marsal (1973) | M10</t>
        </is>
      </c>
      <c r="B326" t="n">
        <v>0.7</v>
      </c>
      <c r="C326" t="n">
        <v>0.8017110060126765</v>
      </c>
      <c r="D326" t="n">
        <v>0.6208756108354349</v>
      </c>
      <c r="E326">
        <f>DEGREES(ATAN(D326/C326))</f>
        <v/>
      </c>
      <c r="F326">
        <f>DEGREES(ATAN(TAN(RADIANS(pe0-omega*B326))*(C326/sref)^(m_-1)))</f>
        <v/>
      </c>
      <c r="G326">
        <f>E326-F326</f>
        <v/>
      </c>
    </row>
    <row r="327">
      <c r="A327" t="inlineStr">
        <is>
          <t>Marsal (1973) | M10</t>
        </is>
      </c>
      <c r="B327" t="n">
        <v>0.68</v>
      </c>
      <c r="C327" t="n">
        <v>1.359284784940547</v>
      </c>
      <c r="D327" t="n">
        <v>0.9414627319864859</v>
      </c>
      <c r="E327">
        <f>DEGREES(ATAN(D327/C327))</f>
        <v/>
      </c>
      <c r="F327">
        <f>DEGREES(ATAN(TAN(RADIANS(pe0-omega*B327))*(C327/sref)^(m_-1)))</f>
        <v/>
      </c>
      <c r="G327">
        <f>E327-F327</f>
        <v/>
      </c>
    </row>
    <row r="328">
      <c r="A328" t="inlineStr">
        <is>
          <t>Marsal (1973) | M10</t>
        </is>
      </c>
      <c r="B328" t="n">
        <v>0.79</v>
      </c>
      <c r="C328" t="n">
        <v>2.398827083774077</v>
      </c>
      <c r="D328" t="n">
        <v>1.494599451614506</v>
      </c>
      <c r="E328">
        <f>DEGREES(ATAN(D328/C328))</f>
        <v/>
      </c>
      <c r="F328">
        <f>DEGREES(ATAN(TAN(RADIANS(pe0-omega*B328))*(C328/sref)^(m_-1)))</f>
        <v/>
      </c>
      <c r="G328">
        <f>E328-F328</f>
        <v/>
      </c>
    </row>
    <row r="329">
      <c r="A329" t="inlineStr">
        <is>
          <t>Marsal (1973) | M11</t>
        </is>
      </c>
      <c r="B329" t="n">
        <v>0.33</v>
      </c>
      <c r="C329" t="n">
        <v>0.751308033762529</v>
      </c>
      <c r="D329" t="n">
        <v>0.568530705039005</v>
      </c>
      <c r="E329">
        <f>DEGREES(ATAN(D329/C329))</f>
        <v/>
      </c>
      <c r="F329">
        <f>DEGREES(ATAN(TAN(RADIANS(pe0-omega*B329))*(C329/sref)^(m_-1)))</f>
        <v/>
      </c>
      <c r="G329">
        <f>E329-F329</f>
        <v/>
      </c>
    </row>
    <row r="330">
      <c r="A330" t="inlineStr">
        <is>
          <t>Marsal (1973) | M11</t>
        </is>
      </c>
      <c r="B330" t="n">
        <v>0.36</v>
      </c>
      <c r="C330" t="n">
        <v>1.528470221902683</v>
      </c>
      <c r="D330" t="n">
        <v>1.030333479908403</v>
      </c>
      <c r="E330">
        <f>DEGREES(ATAN(D330/C330))</f>
        <v/>
      </c>
      <c r="F330">
        <f>DEGREES(ATAN(TAN(RADIANS(pe0-omega*B330))*(C330/sref)^(m_-1)))</f>
        <v/>
      </c>
      <c r="G330">
        <f>E330-F330</f>
        <v/>
      </c>
    </row>
    <row r="331">
      <c r="A331" t="inlineStr">
        <is>
          <t>Marsal (1973) | M11</t>
        </is>
      </c>
      <c r="B331" t="n">
        <v>0.38</v>
      </c>
      <c r="C331" t="n">
        <v>2.602491455569447</v>
      </c>
      <c r="D331" t="n">
        <v>1.672857474804583</v>
      </c>
      <c r="E331">
        <f>DEGREES(ATAN(D331/C331))</f>
        <v/>
      </c>
      <c r="F331">
        <f>DEGREES(ATAN(TAN(RADIANS(pe0-omega*B331))*(C331/sref)^(m_-1)))</f>
        <v/>
      </c>
      <c r="G331">
        <f>E331-F331</f>
        <v/>
      </c>
    </row>
    <row r="332">
      <c r="A332" t="inlineStr">
        <is>
          <t>Marsal (1973) | M11</t>
        </is>
      </c>
      <c r="B332" t="n">
        <v>0.36</v>
      </c>
      <c r="C332" t="n">
        <v>3.852437051916872</v>
      </c>
      <c r="D332" t="n">
        <v>2.423055606351756</v>
      </c>
      <c r="E332">
        <f>DEGREES(ATAN(D332/C332))</f>
        <v/>
      </c>
      <c r="F332">
        <f>DEGREES(ATAN(TAN(RADIANS(pe0-omega*B332))*(C332/sref)^(m_-1)))</f>
        <v/>
      </c>
      <c r="G332">
        <f>E332-F332</f>
        <v/>
      </c>
    </row>
    <row r="333">
      <c r="A333" t="inlineStr">
        <is>
          <t>Marsal (1973) | M12</t>
        </is>
      </c>
      <c r="B333" t="n">
        <v>0.63</v>
      </c>
      <c r="C333" t="n">
        <v>1.546633013013442</v>
      </c>
      <c r="D333" t="n">
        <v>1.005344067496165</v>
      </c>
      <c r="E333">
        <f>DEGREES(ATAN(D333/C333))</f>
        <v/>
      </c>
      <c r="F333">
        <f>DEGREES(ATAN(TAN(RADIANS(pe0-omega*B333))*(C333/sref)^(m_-1)))</f>
        <v/>
      </c>
      <c r="G333">
        <f>E333-F333</f>
        <v/>
      </c>
    </row>
    <row r="334">
      <c r="A334" t="inlineStr">
        <is>
          <t>Marsal (1973) | M12</t>
        </is>
      </c>
      <c r="B334" t="n">
        <v>0.67</v>
      </c>
      <c r="C334" t="n">
        <v>3.642688322426917</v>
      </c>
      <c r="D334" t="n">
        <v>1.90607363118449</v>
      </c>
      <c r="E334">
        <f>DEGREES(ATAN(D334/C334))</f>
        <v/>
      </c>
      <c r="F334">
        <f>DEGREES(ATAN(TAN(RADIANS(pe0-omega*B334))*(C334/sref)^(m_-1)))</f>
        <v/>
      </c>
      <c r="G334">
        <f>E334-F334</f>
        <v/>
      </c>
    </row>
    <row r="335">
      <c r="A335" t="inlineStr">
        <is>
          <t>Marsal (1973) | M13</t>
        </is>
      </c>
      <c r="B335" t="n">
        <v>0.36</v>
      </c>
      <c r="C335" t="n">
        <v>0.7181128468308273</v>
      </c>
      <c r="D335" t="n">
        <v>0.5135953259876896</v>
      </c>
      <c r="E335">
        <f>DEGREES(ATAN(D335/C335))</f>
        <v/>
      </c>
      <c r="F335">
        <f>DEGREES(ATAN(TAN(RADIANS(pe0-omega*B335))*(C335/sref)^(m_-1)))</f>
        <v/>
      </c>
      <c r="G335">
        <f>E335-F335</f>
        <v/>
      </c>
    </row>
    <row r="336">
      <c r="A336" t="inlineStr">
        <is>
          <t>Marsal (1973) | M13</t>
        </is>
      </c>
      <c r="B336" t="n">
        <v>0.34</v>
      </c>
      <c r="C336" t="n">
        <v>1.515095453032689</v>
      </c>
      <c r="D336" t="n">
        <v>1.002811227082615</v>
      </c>
      <c r="E336">
        <f>DEGREES(ATAN(D336/C336))</f>
        <v/>
      </c>
      <c r="F336">
        <f>DEGREES(ATAN(TAN(RADIANS(pe0-omega*B336))*(C336/sref)^(m_-1)))</f>
        <v/>
      </c>
      <c r="G336">
        <f>E336-F336</f>
        <v/>
      </c>
    </row>
    <row r="337">
      <c r="A337" t="inlineStr">
        <is>
          <t>Marsal (1973) | M13</t>
        </is>
      </c>
      <c r="B337" t="n">
        <v>0.36</v>
      </c>
      <c r="C337" t="n">
        <v>2.520603361919231</v>
      </c>
      <c r="D337" t="n">
        <v>1.604737431892235</v>
      </c>
      <c r="E337">
        <f>DEGREES(ATAN(D337/C337))</f>
        <v/>
      </c>
      <c r="F337">
        <f>DEGREES(ATAN(TAN(RADIANS(pe0-omega*B337))*(C337/sref)^(m_-1)))</f>
        <v/>
      </c>
      <c r="G337">
        <f>E337-F337</f>
        <v/>
      </c>
    </row>
    <row r="338">
      <c r="A338" t="inlineStr">
        <is>
          <t>Marsal (1973) | M13</t>
        </is>
      </c>
      <c r="B338" t="n">
        <v>0.34</v>
      </c>
      <c r="C338" t="n">
        <v>3.790472497672528</v>
      </c>
      <c r="D338" t="n">
        <v>2.41326761260388</v>
      </c>
      <c r="E338">
        <f>DEGREES(ATAN(D338/C338))</f>
        <v/>
      </c>
      <c r="F338">
        <f>DEGREES(ATAN(TAN(RADIANS(pe0-omega*B338))*(C338/sref)^(m_-1)))</f>
        <v/>
      </c>
      <c r="G338">
        <f>E338-F338</f>
        <v/>
      </c>
    </row>
    <row r="339">
      <c r="A339" t="inlineStr">
        <is>
          <t>Marsal (1973) | M14</t>
        </is>
      </c>
      <c r="B339" t="n">
        <v>0.61</v>
      </c>
      <c r="C339" t="n">
        <v>1.437380057872357</v>
      </c>
      <c r="D339" t="n">
        <v>0.8162366978681288</v>
      </c>
      <c r="E339">
        <f>DEGREES(ATAN(D339/C339))</f>
        <v/>
      </c>
      <c r="F339">
        <f>DEGREES(ATAN(TAN(RADIANS(pe0-omega*B339))*(C339/sref)^(m_-1)))</f>
        <v/>
      </c>
      <c r="G339">
        <f>E339-F339</f>
        <v/>
      </c>
    </row>
    <row r="340">
      <c r="A340" t="inlineStr">
        <is>
          <t>Marsal (1973) | M14</t>
        </is>
      </c>
      <c r="B340" t="n">
        <v>0.59</v>
      </c>
      <c r="C340" t="n">
        <v>2.531305458713422</v>
      </c>
      <c r="D340" t="n">
        <v>1.479525480554182</v>
      </c>
      <c r="E340">
        <f>DEGREES(ATAN(D340/C340))</f>
        <v/>
      </c>
      <c r="F340">
        <f>DEGREES(ATAN(TAN(RADIANS(pe0-omega*B340))*(C340/sref)^(m_-1)))</f>
        <v/>
      </c>
      <c r="G340">
        <f>E340-F340</f>
        <v/>
      </c>
    </row>
    <row r="341">
      <c r="A341" t="inlineStr">
        <is>
          <t>Marsal (1973) | M14</t>
        </is>
      </c>
      <c r="B341" t="n">
        <v>0.67</v>
      </c>
      <c r="C341" t="n">
        <v>3.686601399658649</v>
      </c>
      <c r="D341" t="n">
        <v>2.028141332064806</v>
      </c>
      <c r="E341">
        <f>DEGREES(ATAN(D341/C341))</f>
        <v/>
      </c>
      <c r="F341">
        <f>DEGREES(ATAN(TAN(RADIANS(pe0-omega*B341))*(C341/sref)^(m_-1)))</f>
        <v/>
      </c>
      <c r="G341">
        <f>E341-F341</f>
        <v/>
      </c>
    </row>
    <row r="342">
      <c r="A342" t="inlineStr">
        <is>
          <t>Marsal (1973) | M2</t>
        </is>
      </c>
      <c r="B342" t="n">
        <v>0.63</v>
      </c>
      <c r="C342" t="n">
        <v>0.1656713902595394</v>
      </c>
      <c r="D342" t="n">
        <v>0.1734472915397039</v>
      </c>
      <c r="E342">
        <f>DEGREES(ATAN(D342/C342))</f>
        <v/>
      </c>
      <c r="F342">
        <f>DEGREES(ATAN(TAN(RADIANS(pe0-omega*B342))*(C342/sref)^(m_-1)))</f>
        <v/>
      </c>
      <c r="G342">
        <f>E342-F342</f>
        <v/>
      </c>
    </row>
    <row r="343">
      <c r="A343" t="inlineStr">
        <is>
          <t>Marsal (1973) | M2</t>
        </is>
      </c>
      <c r="B343" t="n">
        <v>0.6</v>
      </c>
      <c r="C343" t="n">
        <v>0.3477293815577428</v>
      </c>
      <c r="D343" t="n">
        <v>0.3428332700547556</v>
      </c>
      <c r="E343">
        <f>DEGREES(ATAN(D343/C343))</f>
        <v/>
      </c>
      <c r="F343">
        <f>DEGREES(ATAN(TAN(RADIANS(pe0-omega*B343))*(C343/sref)^(m_-1)))</f>
        <v/>
      </c>
      <c r="G343">
        <f>E343-F343</f>
        <v/>
      </c>
    </row>
    <row r="344">
      <c r="A344" t="inlineStr">
        <is>
          <t>Marsal (1973) | M2</t>
        </is>
      </c>
      <c r="B344" t="n">
        <v>0.53</v>
      </c>
      <c r="C344" t="n">
        <v>0.8185260303497863</v>
      </c>
      <c r="D344" t="n">
        <v>0.6647437780971818</v>
      </c>
      <c r="E344">
        <f>DEGREES(ATAN(D344/C344))</f>
        <v/>
      </c>
      <c r="F344">
        <f>DEGREES(ATAN(TAN(RADIANS(pe0-omega*B344))*(C344/sref)^(m_-1)))</f>
        <v/>
      </c>
      <c r="G344">
        <f>E344-F344</f>
        <v/>
      </c>
    </row>
    <row r="345">
      <c r="A345" t="inlineStr">
        <is>
          <t>Marsal (1973) | M2</t>
        </is>
      </c>
      <c r="B345" t="n">
        <v>0.5600000000000001</v>
      </c>
      <c r="C345" t="n">
        <v>1.649136680423321</v>
      </c>
      <c r="D345" t="n">
        <v>1.243496445742229</v>
      </c>
      <c r="E345">
        <f>DEGREES(ATAN(D345/C345))</f>
        <v/>
      </c>
      <c r="F345">
        <f>DEGREES(ATAN(TAN(RADIANS(pe0-omega*B345))*(C345/sref)^(m_-1)))</f>
        <v/>
      </c>
      <c r="G345">
        <f>E345-F345</f>
        <v/>
      </c>
    </row>
    <row r="346">
      <c r="A346" t="inlineStr">
        <is>
          <t>Marsal (1973) | M2</t>
        </is>
      </c>
      <c r="B346" t="n">
        <v>0.51</v>
      </c>
      <c r="C346" t="n">
        <v>2.752467404849264</v>
      </c>
      <c r="D346" t="n">
        <v>1.957515014412029</v>
      </c>
      <c r="E346">
        <f>DEGREES(ATAN(D346/C346))</f>
        <v/>
      </c>
      <c r="F346">
        <f>DEGREES(ATAN(TAN(RADIANS(pe0-omega*B346))*(C346/sref)^(m_-1)))</f>
        <v/>
      </c>
      <c r="G346">
        <f>E346-F346</f>
        <v/>
      </c>
    </row>
    <row r="347">
      <c r="A347" t="inlineStr">
        <is>
          <t>Marsal (1973) | M2</t>
        </is>
      </c>
      <c r="B347" t="n">
        <v>0.49</v>
      </c>
      <c r="C347" t="n">
        <v>4.018447474317356</v>
      </c>
      <c r="D347" t="n">
        <v>2.738542309737558</v>
      </c>
      <c r="E347">
        <f>DEGREES(ATAN(D347/C347))</f>
        <v/>
      </c>
      <c r="F347">
        <f>DEGREES(ATAN(TAN(RADIANS(pe0-omega*B347))*(C347/sref)^(m_-1)))</f>
        <v/>
      </c>
      <c r="G347">
        <f>E347-F347</f>
        <v/>
      </c>
    </row>
    <row r="348">
      <c r="A348" t="inlineStr">
        <is>
          <t>Marsal (1973) | M3</t>
        </is>
      </c>
      <c r="B348" t="n">
        <v>0.29</v>
      </c>
      <c r="C348" t="n">
        <v>0.3597938817294333</v>
      </c>
      <c r="D348" t="n">
        <v>0.4075416737654805</v>
      </c>
      <c r="E348">
        <f>DEGREES(ATAN(D348/C348))</f>
        <v/>
      </c>
      <c r="F348">
        <f>DEGREES(ATAN(TAN(RADIANS(pe0-omega*B348))*(C348/sref)^(m_-1)))</f>
        <v/>
      </c>
      <c r="G348">
        <f>E348-F348</f>
        <v/>
      </c>
    </row>
    <row r="349">
      <c r="A349" t="inlineStr">
        <is>
          <t>Marsal (1973) | M3</t>
        </is>
      </c>
      <c r="B349" t="n">
        <v>0.28</v>
      </c>
      <c r="C349" t="n">
        <v>0.9712912790435511</v>
      </c>
      <c r="D349" t="n">
        <v>0.9037483481282991</v>
      </c>
      <c r="E349">
        <f>DEGREES(ATAN(D349/C349))</f>
        <v/>
      </c>
      <c r="F349">
        <f>DEGREES(ATAN(TAN(RADIANS(pe0-omega*B349))*(C349/sref)^(m_-1)))</f>
        <v/>
      </c>
      <c r="G349">
        <f>E349-F349</f>
        <v/>
      </c>
    </row>
    <row r="350">
      <c r="A350" t="inlineStr">
        <is>
          <t>Marsal (1973) | M3</t>
        </is>
      </c>
      <c r="B350" t="n">
        <v>0.29</v>
      </c>
      <c r="C350" t="n">
        <v>1.822855617727342</v>
      </c>
      <c r="D350" t="n">
        <v>1.624175210522204</v>
      </c>
      <c r="E350">
        <f>DEGREES(ATAN(D350/C350))</f>
        <v/>
      </c>
      <c r="F350">
        <f>DEGREES(ATAN(TAN(RADIANS(pe0-omega*B350))*(C350/sref)^(m_-1)))</f>
        <v/>
      </c>
      <c r="G350">
        <f>E350-F350</f>
        <v/>
      </c>
    </row>
    <row r="351">
      <c r="A351" t="inlineStr">
        <is>
          <t>Marsal (1973) | M3</t>
        </is>
      </c>
      <c r="B351" t="n">
        <v>0.31</v>
      </c>
      <c r="C351" t="n">
        <v>2.824083922738184</v>
      </c>
      <c r="D351" t="n">
        <v>2.305452124445935</v>
      </c>
      <c r="E351">
        <f>DEGREES(ATAN(D351/C351))</f>
        <v/>
      </c>
      <c r="F351">
        <f>DEGREES(ATAN(TAN(RADIANS(pe0-omega*B351))*(C351/sref)^(m_-1)))</f>
        <v/>
      </c>
      <c r="G351">
        <f>E351-F351</f>
        <v/>
      </c>
    </row>
    <row r="352">
      <c r="A352" t="inlineStr">
        <is>
          <t>Marsal (1973) | M3</t>
        </is>
      </c>
      <c r="B352" t="n">
        <v>0.29</v>
      </c>
      <c r="C352" t="n">
        <v>4.198244164091486</v>
      </c>
      <c r="D352" t="n">
        <v>3.371447270309121</v>
      </c>
      <c r="E352">
        <f>DEGREES(ATAN(D352/C352))</f>
        <v/>
      </c>
      <c r="F352">
        <f>DEGREES(ATAN(TAN(RADIANS(pe0-omega*B352))*(C352/sref)^(m_-1)))</f>
        <v/>
      </c>
      <c r="G352">
        <f>E352-F352</f>
        <v/>
      </c>
    </row>
    <row r="353">
      <c r="A353" t="inlineStr">
        <is>
          <t>Marsal (1973) | M4</t>
        </is>
      </c>
      <c r="B353" t="n">
        <v>0.43</v>
      </c>
      <c r="C353" t="n">
        <v>0.3617621695525765</v>
      </c>
      <c r="D353" t="n">
        <v>0.4028767939148858</v>
      </c>
      <c r="E353">
        <f>DEGREES(ATAN(D353/C353))</f>
        <v/>
      </c>
      <c r="F353">
        <f>DEGREES(ATAN(TAN(RADIANS(pe0-omega*B353))*(C353/sref)^(m_-1)))</f>
        <v/>
      </c>
      <c r="G353">
        <f>E353-F353</f>
        <v/>
      </c>
    </row>
    <row r="354">
      <c r="A354" t="inlineStr">
        <is>
          <t>Marsal (1973) | M4</t>
        </is>
      </c>
      <c r="B354" t="n">
        <v>0.34</v>
      </c>
      <c r="C354" t="n">
        <v>0.9265083132874516</v>
      </c>
      <c r="D354" t="n">
        <v>0.9349886468518166</v>
      </c>
      <c r="E354">
        <f>DEGREES(ATAN(D354/C354))</f>
        <v/>
      </c>
      <c r="F354">
        <f>DEGREES(ATAN(TAN(RADIANS(pe0-omega*B354))*(C354/sref)^(m_-1)))</f>
        <v/>
      </c>
      <c r="G354">
        <f>E354-F354</f>
        <v/>
      </c>
    </row>
    <row r="355">
      <c r="A355" t="inlineStr">
        <is>
          <t>Marsal (1973) | M4</t>
        </is>
      </c>
      <c r="B355" t="n">
        <v>0.45</v>
      </c>
      <c r="C355" t="n">
        <v>1.648222529071147</v>
      </c>
      <c r="D355" t="n">
        <v>1.313469402431206</v>
      </c>
      <c r="E355">
        <f>DEGREES(ATAN(D355/C355))</f>
        <v/>
      </c>
      <c r="F355">
        <f>DEGREES(ATAN(TAN(RADIANS(pe0-omega*B355))*(C355/sref)^(m_-1)))</f>
        <v/>
      </c>
      <c r="G355">
        <f>E355-F355</f>
        <v/>
      </c>
    </row>
    <row r="356">
      <c r="A356" t="inlineStr">
        <is>
          <t>Marsal (1973) | M4</t>
        </is>
      </c>
      <c r="B356" t="n">
        <v>0.37</v>
      </c>
      <c r="C356" t="n">
        <v>2.91194829857802</v>
      </c>
      <c r="D356" t="n">
        <v>2.357161699289323</v>
      </c>
      <c r="E356">
        <f>DEGREES(ATAN(D356/C356))</f>
        <v/>
      </c>
      <c r="F356">
        <f>DEGREES(ATAN(TAN(RADIANS(pe0-omega*B356))*(C356/sref)^(m_-1)))</f>
        <v/>
      </c>
      <c r="G356">
        <f>E356-F356</f>
        <v/>
      </c>
    </row>
    <row r="357">
      <c r="A357" t="inlineStr">
        <is>
          <t>Marsal (1973) | M4</t>
        </is>
      </c>
      <c r="B357" t="n">
        <v>0.39</v>
      </c>
      <c r="C357" t="n">
        <v>4.150485707182948</v>
      </c>
      <c r="D357" t="n">
        <v>3.107721493100157</v>
      </c>
      <c r="E357">
        <f>DEGREES(ATAN(D357/C357))</f>
        <v/>
      </c>
      <c r="F357">
        <f>DEGREES(ATAN(TAN(RADIANS(pe0-omega*B357))*(C357/sref)^(m_-1)))</f>
        <v/>
      </c>
      <c r="G357">
        <f>E357-F357</f>
        <v/>
      </c>
    </row>
    <row r="358">
      <c r="A358" t="inlineStr">
        <is>
          <t>Marsal (1973) | M5</t>
        </is>
      </c>
      <c r="B358" t="n">
        <v>0.39</v>
      </c>
      <c r="C358" t="n">
        <v>0.8594876616608169</v>
      </c>
      <c r="D358" t="n">
        <v>0.8493920344062799</v>
      </c>
      <c r="E358">
        <f>DEGREES(ATAN(D358/C358))</f>
        <v/>
      </c>
      <c r="F358">
        <f>DEGREES(ATAN(TAN(RADIANS(pe0-omega*B358))*(C358/sref)^(m_-1)))</f>
        <v/>
      </c>
      <c r="G358">
        <f>E358-F358</f>
        <v/>
      </c>
    </row>
    <row r="359">
      <c r="A359" t="inlineStr">
        <is>
          <t>Marsal (1973) | M5</t>
        </is>
      </c>
      <c r="B359" t="n">
        <v>0.33</v>
      </c>
      <c r="C359" t="n">
        <v>1.657171792667374</v>
      </c>
      <c r="D359" t="n">
        <v>1.418356084041239</v>
      </c>
      <c r="E359">
        <f>DEGREES(ATAN(D359/C359))</f>
        <v/>
      </c>
      <c r="F359">
        <f>DEGREES(ATAN(TAN(RADIANS(pe0-omega*B359))*(C359/sref)^(m_-1)))</f>
        <v/>
      </c>
      <c r="G359">
        <f>E359-F359</f>
        <v/>
      </c>
    </row>
    <row r="360">
      <c r="A360" t="inlineStr">
        <is>
          <t>Marsal (1973) | M5</t>
        </is>
      </c>
      <c r="B360" t="n">
        <v>0.38</v>
      </c>
      <c r="C360" t="n">
        <v>4.154666987011391</v>
      </c>
      <c r="D360" t="n">
        <v>3.228960556121979</v>
      </c>
      <c r="E360">
        <f>DEGREES(ATAN(D360/C360))</f>
        <v/>
      </c>
      <c r="F360">
        <f>DEGREES(ATAN(TAN(RADIANS(pe0-omega*B360))*(C360/sref)^(m_-1)))</f>
        <v/>
      </c>
      <c r="G360">
        <f>E360-F360</f>
        <v/>
      </c>
    </row>
    <row r="361">
      <c r="A361" t="inlineStr">
        <is>
          <t>Marsal (1973) | M6</t>
        </is>
      </c>
      <c r="B361" t="n">
        <v>0.39</v>
      </c>
      <c r="C361" t="n">
        <v>0.8751942238542714</v>
      </c>
      <c r="D361" t="n">
        <v>0.9009018076420273</v>
      </c>
      <c r="E361">
        <f>DEGREES(ATAN(D361/C361))</f>
        <v/>
      </c>
      <c r="F361">
        <f>DEGREES(ATAN(TAN(RADIANS(pe0-omega*B361))*(C361/sref)^(m_-1)))</f>
        <v/>
      </c>
      <c r="G361">
        <f>E361-F361</f>
        <v/>
      </c>
    </row>
    <row r="362">
      <c r="A362" t="inlineStr">
        <is>
          <t>Marsal (1973) | M6</t>
        </is>
      </c>
      <c r="B362" t="n">
        <v>0.33</v>
      </c>
      <c r="C362" t="n">
        <v>1.730141534418154</v>
      </c>
      <c r="D362" t="n">
        <v>1.559530874594786</v>
      </c>
      <c r="E362">
        <f>DEGREES(ATAN(D362/C362))</f>
        <v/>
      </c>
      <c r="F362">
        <f>DEGREES(ATAN(TAN(RADIANS(pe0-omega*B362))*(C362/sref)^(m_-1)))</f>
        <v/>
      </c>
      <c r="G362">
        <f>E362-F362</f>
        <v/>
      </c>
    </row>
    <row r="363">
      <c r="A363" t="inlineStr">
        <is>
          <t>Marsal (1973) | M6</t>
        </is>
      </c>
      <c r="B363" t="n">
        <v>0.35</v>
      </c>
      <c r="C363" t="n">
        <v>4.205844679801795</v>
      </c>
      <c r="D363" t="n">
        <v>3.280446882675866</v>
      </c>
      <c r="E363">
        <f>DEGREES(ATAN(D363/C363))</f>
        <v/>
      </c>
      <c r="F363">
        <f>DEGREES(ATAN(TAN(RADIANS(pe0-omega*B363))*(C363/sref)^(m_-1)))</f>
        <v/>
      </c>
      <c r="G363">
        <f>E363-F363</f>
        <v/>
      </c>
    </row>
    <row r="364">
      <c r="A364" t="inlineStr">
        <is>
          <t>Marsal (1973) | M7</t>
        </is>
      </c>
      <c r="B364" t="n">
        <v>0.55</v>
      </c>
      <c r="C364" t="n">
        <v>0.2894814026360203</v>
      </c>
      <c r="D364" t="n">
        <v>0.2922730640325381</v>
      </c>
      <c r="E364">
        <f>DEGREES(ATAN(D364/C364))</f>
        <v/>
      </c>
      <c r="F364">
        <f>DEGREES(ATAN(TAN(RADIANS(pe0-omega*B364))*(C364/sref)^(m_-1)))</f>
        <v/>
      </c>
      <c r="G364">
        <f>E364-F364</f>
        <v/>
      </c>
    </row>
    <row r="365">
      <c r="A365" t="inlineStr">
        <is>
          <t>Marsal (1973) | M7</t>
        </is>
      </c>
      <c r="B365" t="n">
        <v>0.55</v>
      </c>
      <c r="C365" t="n">
        <v>0.7914364211682904</v>
      </c>
      <c r="D365" t="n">
        <v>0.6764655825593273</v>
      </c>
      <c r="E365">
        <f>DEGREES(ATAN(D365/C365))</f>
        <v/>
      </c>
      <c r="F365">
        <f>DEGREES(ATAN(TAN(RADIANS(pe0-omega*B365))*(C365/sref)^(m_-1)))</f>
        <v/>
      </c>
      <c r="G365">
        <f>E365-F365</f>
        <v/>
      </c>
    </row>
    <row r="366">
      <c r="A366" t="inlineStr">
        <is>
          <t>Marsal (1973) | M7</t>
        </is>
      </c>
      <c r="B366" t="n">
        <v>0.55</v>
      </c>
      <c r="C366" t="n">
        <v>1.537882909038962</v>
      </c>
      <c r="D366" t="n">
        <v>1.077576449782383</v>
      </c>
      <c r="E366">
        <f>DEGREES(ATAN(D366/C366))</f>
        <v/>
      </c>
      <c r="F366">
        <f>DEGREES(ATAN(TAN(RADIANS(pe0-omega*B366))*(C366/sref)^(m_-1)))</f>
        <v/>
      </c>
      <c r="G366">
        <f>E366-F366</f>
        <v/>
      </c>
    </row>
    <row r="367">
      <c r="A367" t="inlineStr">
        <is>
          <t>Marsal (1973) | M7</t>
        </is>
      </c>
      <c r="B367" t="n">
        <v>0.42</v>
      </c>
      <c r="C367" t="n">
        <v>3.986896022135815</v>
      </c>
      <c r="D367" t="n">
        <v>2.703072154738213</v>
      </c>
      <c r="E367">
        <f>DEGREES(ATAN(D367/C367))</f>
        <v/>
      </c>
      <c r="F367">
        <f>DEGREES(ATAN(TAN(RADIANS(pe0-omega*B367))*(C367/sref)^(m_-1)))</f>
        <v/>
      </c>
      <c r="G367">
        <f>E367-F367</f>
        <v/>
      </c>
    </row>
    <row r="368">
      <c r="A368" t="inlineStr">
        <is>
          <t>Marsal (1973) | M8</t>
        </is>
      </c>
      <c r="B368" t="n">
        <v>0.75</v>
      </c>
      <c r="C368" t="n">
        <v>0.1772124502506861</v>
      </c>
      <c r="D368" t="n">
        <v>0.1855811479378937</v>
      </c>
      <c r="E368">
        <f>DEGREES(ATAN(D368/C368))</f>
        <v/>
      </c>
      <c r="F368">
        <f>DEGREES(ATAN(TAN(RADIANS(pe0-omega*B368))*(C368/sref)^(m_-1)))</f>
        <v/>
      </c>
      <c r="G368">
        <f>E368-F368</f>
        <v/>
      </c>
    </row>
    <row r="369">
      <c r="A369" t="inlineStr">
        <is>
          <t>Marsal (1973) | M8</t>
        </is>
      </c>
      <c r="B369" t="n">
        <v>0.75</v>
      </c>
      <c r="C369" t="n">
        <v>0.2894104758838897</v>
      </c>
      <c r="D369" t="n">
        <v>0.2593034423233331</v>
      </c>
      <c r="E369">
        <f>DEGREES(ATAN(D369/C369))</f>
        <v/>
      </c>
      <c r="F369">
        <f>DEGREES(ATAN(TAN(RADIANS(pe0-omega*B369))*(C369/sref)^(m_-1)))</f>
        <v/>
      </c>
      <c r="G369">
        <f>E369-F369</f>
        <v/>
      </c>
    </row>
    <row r="370">
      <c r="A370" t="inlineStr">
        <is>
          <t>Marsal (1973) | M8</t>
        </is>
      </c>
      <c r="B370" t="n">
        <v>0.78</v>
      </c>
      <c r="C370" t="n">
        <v>0.7593510290524976</v>
      </c>
      <c r="D370" t="n">
        <v>0.5609899498838795</v>
      </c>
      <c r="E370">
        <f>DEGREES(ATAN(D370/C370))</f>
        <v/>
      </c>
      <c r="F370">
        <f>DEGREES(ATAN(TAN(RADIANS(pe0-omega*B370))*(C370/sref)^(m_-1)))</f>
        <v/>
      </c>
      <c r="G370">
        <f>E370-F370</f>
        <v/>
      </c>
    </row>
    <row r="371">
      <c r="A371" t="inlineStr">
        <is>
          <t>Marsal (1973) | M8</t>
        </is>
      </c>
      <c r="B371" t="n">
        <v>0.77</v>
      </c>
      <c r="C371" t="n">
        <v>1.452291036777824</v>
      </c>
      <c r="D371" t="n">
        <v>0.897919076566157</v>
      </c>
      <c r="E371">
        <f>DEGREES(ATAN(D371/C371))</f>
        <v/>
      </c>
      <c r="F371">
        <f>DEGREES(ATAN(TAN(RADIANS(pe0-omega*B371))*(C371/sref)^(m_-1)))</f>
        <v/>
      </c>
      <c r="G371">
        <f>E371-F371</f>
        <v/>
      </c>
    </row>
    <row r="372">
      <c r="A372" t="inlineStr">
        <is>
          <t>Marsal (1973) | M8</t>
        </is>
      </c>
      <c r="B372" t="n">
        <v>0.75</v>
      </c>
      <c r="C372" t="n">
        <v>2.681762336892489</v>
      </c>
      <c r="D372" t="n">
        <v>1.769858244145893</v>
      </c>
      <c r="E372">
        <f>DEGREES(ATAN(D372/C372))</f>
        <v/>
      </c>
      <c r="F372">
        <f>DEGREES(ATAN(TAN(RADIANS(pe0-omega*B372))*(C372/sref)^(m_-1)))</f>
        <v/>
      </c>
      <c r="G372">
        <f>E372-F372</f>
        <v/>
      </c>
    </row>
    <row r="373">
      <c r="A373" t="inlineStr">
        <is>
          <t>Marsal (1973) | M9</t>
        </is>
      </c>
      <c r="B373" t="n">
        <v>0.64</v>
      </c>
      <c r="C373" t="n">
        <v>0.312594370349396</v>
      </c>
      <c r="D373" t="n">
        <v>0.3095942748334244</v>
      </c>
      <c r="E373">
        <f>DEGREES(ATAN(D373/C373))</f>
        <v/>
      </c>
      <c r="F373">
        <f>DEGREES(ATAN(TAN(RADIANS(pe0-omega*B373))*(C373/sref)^(m_-1)))</f>
        <v/>
      </c>
      <c r="G373">
        <f>E373-F373</f>
        <v/>
      </c>
    </row>
    <row r="374">
      <c r="A374" t="inlineStr">
        <is>
          <t>Marsal (1973) | M9</t>
        </is>
      </c>
      <c r="B374" t="n">
        <v>0.68</v>
      </c>
      <c r="C374" t="n">
        <v>0.794503554940083</v>
      </c>
      <c r="D374" t="n">
        <v>0.6421712468875387</v>
      </c>
      <c r="E374">
        <f>DEGREES(ATAN(D374/C374))</f>
        <v/>
      </c>
      <c r="F374">
        <f>DEGREES(ATAN(TAN(RADIANS(pe0-omega*B374))*(C374/sref)^(m_-1)))</f>
        <v/>
      </c>
      <c r="G374">
        <f>E374-F374</f>
        <v/>
      </c>
    </row>
    <row r="375">
      <c r="A375" t="inlineStr">
        <is>
          <t>Marsal (1973) | M9</t>
        </is>
      </c>
      <c r="B375" t="n">
        <v>0.63</v>
      </c>
      <c r="C375" t="n">
        <v>1.372947951217505</v>
      </c>
      <c r="D375" t="n">
        <v>1.048937449236229</v>
      </c>
      <c r="E375">
        <f>DEGREES(ATAN(D375/C375))</f>
        <v/>
      </c>
      <c r="F375">
        <f>DEGREES(ATAN(TAN(RADIANS(pe0-omega*B375))*(C375/sref)^(m_-1)))</f>
        <v/>
      </c>
      <c r="G375">
        <f>E375-F375</f>
        <v/>
      </c>
    </row>
    <row r="376">
      <c r="A376" t="inlineStr">
        <is>
          <t>Marsal (1973) | M9</t>
        </is>
      </c>
      <c r="B376" t="n">
        <v>0.58</v>
      </c>
      <c r="C376" t="n">
        <v>2.450592264400703</v>
      </c>
      <c r="D376" t="n">
        <v>1.67754067596474</v>
      </c>
      <c r="E376">
        <f>DEGREES(ATAN(D376/C376))</f>
        <v/>
      </c>
      <c r="F376">
        <f>DEGREES(ATAN(TAN(RADIANS(pe0-omega*B376))*(C376/sref)^(m_-1)))</f>
        <v/>
      </c>
      <c r="G376">
        <f>E376-F376</f>
        <v/>
      </c>
    </row>
    <row r="377">
      <c r="A377" t="inlineStr">
        <is>
          <t>Marsal (1973) | M9</t>
        </is>
      </c>
      <c r="B377" t="n">
        <v>0.59</v>
      </c>
      <c r="C377" t="n">
        <v>3.673248706828043</v>
      </c>
      <c r="D377" t="n">
        <v>2.364714284710831</v>
      </c>
      <c r="E377">
        <f>DEGREES(ATAN(D377/C377))</f>
        <v/>
      </c>
      <c r="F377">
        <f>DEGREES(ATAN(TAN(RADIANS(pe0-omega*B377))*(C377/sref)^(m_-1)))</f>
        <v/>
      </c>
      <c r="G377">
        <f>E377-F377</f>
        <v/>
      </c>
    </row>
    <row r="378">
      <c r="A378" t="inlineStr">
        <is>
          <t>SMEC (1973) | WH11/1Q/1M - a</t>
        </is>
      </c>
      <c r="B378" t="n">
        <v>0.3445177664974621</v>
      </c>
      <c r="C378" t="n">
        <v>0.6149755140032985</v>
      </c>
      <c r="D378" t="n">
        <v>0.5779005570784729</v>
      </c>
      <c r="E378">
        <f>DEGREES(ATAN(D378/C378))</f>
        <v/>
      </c>
      <c r="F378">
        <f>DEGREES(ATAN(TAN(RADIANS(pe0-omega*B378))*(C378/sref)^(m_-1)))</f>
        <v/>
      </c>
      <c r="G378">
        <f>E378-F378</f>
        <v/>
      </c>
    </row>
    <row r="379">
      <c r="A379" t="inlineStr">
        <is>
          <t>SMEC (1973) | WH11/1Q/1M - a</t>
        </is>
      </c>
      <c r="B379" t="n">
        <v>0.3310050251256282</v>
      </c>
      <c r="C379" t="n">
        <v>1.24334931710744</v>
      </c>
      <c r="D379" t="n">
        <v>1.116586709971243</v>
      </c>
      <c r="E379">
        <f>DEGREES(ATAN(D379/C379))</f>
        <v/>
      </c>
      <c r="F379">
        <f>DEGREES(ATAN(TAN(RADIANS(pe0-omega*B379))*(C379/sref)^(m_-1)))</f>
        <v/>
      </c>
      <c r="G379">
        <f>E379-F379</f>
        <v/>
      </c>
    </row>
    <row r="380">
      <c r="A380" t="inlineStr">
        <is>
          <t>SMEC (1973) | WH11/1Q/1M - a</t>
        </is>
      </c>
      <c r="B380" t="n">
        <v>0.3583076923076924</v>
      </c>
      <c r="C380" t="n">
        <v>2.344366463969984</v>
      </c>
      <c r="D380" t="n">
        <v>1.874173677351552</v>
      </c>
      <c r="E380">
        <f>DEGREES(ATAN(D380/C380))</f>
        <v/>
      </c>
      <c r="F380">
        <f>DEGREES(ATAN(TAN(RADIANS(pe0-omega*B380))*(C380/sref)^(m_-1)))</f>
        <v/>
      </c>
      <c r="G380">
        <f>E380-F380</f>
        <v/>
      </c>
    </row>
    <row r="381">
      <c r="A381" t="inlineStr">
        <is>
          <t>SMEC (1973) | WH11/1Q/1M - b</t>
        </is>
      </c>
      <c r="B381" t="n">
        <v>0.37953125</v>
      </c>
      <c r="C381" t="n">
        <v>0.6220602673387879</v>
      </c>
      <c r="D381" t="n">
        <v>0.5879712821136616</v>
      </c>
      <c r="E381">
        <f>DEGREES(ATAN(D381/C381))</f>
        <v/>
      </c>
      <c r="F381">
        <f>DEGREES(ATAN(TAN(RADIANS(pe0-omega*B381))*(C381/sref)^(m_-1)))</f>
        <v/>
      </c>
      <c r="G381">
        <f>E381-F381</f>
        <v/>
      </c>
    </row>
    <row r="382">
      <c r="A382" t="inlineStr">
        <is>
          <t>SMEC (1973) | WH11/1Q/1M - b</t>
        </is>
      </c>
      <c r="B382" t="n">
        <v>0.3940526315789474</v>
      </c>
      <c r="C382" t="n">
        <v>1.199529131432973</v>
      </c>
      <c r="D382" t="n">
        <v>1.028580840542895</v>
      </c>
      <c r="E382">
        <f>DEGREES(ATAN(D382/C382))</f>
        <v/>
      </c>
      <c r="F382">
        <f>DEGREES(ATAN(TAN(RADIANS(pe0-omega*B382))*(C382/sref)^(m_-1)))</f>
        <v/>
      </c>
      <c r="G382">
        <f>E382-F382</f>
        <v/>
      </c>
    </row>
    <row r="383">
      <c r="A383" t="inlineStr">
        <is>
          <t>SMEC (1973) | WH11/1Q/1M - b</t>
        </is>
      </c>
      <c r="B383" t="n">
        <v>0.3867539267015707</v>
      </c>
      <c r="C383" t="n">
        <v>2.35541074409007</v>
      </c>
      <c r="D383" t="n">
        <v>1.88236122620778</v>
      </c>
      <c r="E383">
        <f>DEGREES(ATAN(D383/C383))</f>
        <v/>
      </c>
      <c r="F383">
        <f>DEGREES(ATAN(TAN(RADIANS(pe0-omega*B383))*(C383/sref)^(m_-1)))</f>
        <v/>
      </c>
      <c r="G383">
        <f>E383-F383</f>
        <v/>
      </c>
    </row>
    <row r="384">
      <c r="A384" t="inlineStr">
        <is>
          <t>SMEC (1973) | WH11/1Q/1M - c</t>
        </is>
      </c>
      <c r="B384" t="n">
        <v>0.3177611940298508</v>
      </c>
      <c r="C384" t="n">
        <v>0.651480922946911</v>
      </c>
      <c r="D384" t="n">
        <v>0.6750541327856463</v>
      </c>
      <c r="E384">
        <f>DEGREES(ATAN(D384/C384))</f>
        <v/>
      </c>
      <c r="F384">
        <f>DEGREES(ATAN(TAN(RADIANS(pe0-omega*B384))*(C384/sref)^(m_-1)))</f>
        <v/>
      </c>
      <c r="G384">
        <f>E384-F384</f>
        <v/>
      </c>
    </row>
    <row r="385">
      <c r="A385" t="inlineStr">
        <is>
          <t>SMEC (1973) | WH11/1Q/1M - c</t>
        </is>
      </c>
      <c r="B385" t="n">
        <v>0.3177611940298508</v>
      </c>
      <c r="C385" t="n">
        <v>1.275851253810476</v>
      </c>
      <c r="D385" t="n">
        <v>1.209427287468873</v>
      </c>
      <c r="E385">
        <f>DEGREES(ATAN(D385/C385))</f>
        <v/>
      </c>
      <c r="F385">
        <f>DEGREES(ATAN(TAN(RADIANS(pe0-omega*B385))*(C385/sref)^(m_-1)))</f>
        <v/>
      </c>
      <c r="G385">
        <f>E385-F385</f>
        <v/>
      </c>
    </row>
    <row r="386">
      <c r="A386" t="inlineStr">
        <is>
          <t>SMEC (1973) | WH11/1Q/1M - c</t>
        </is>
      </c>
      <c r="B386" t="n">
        <v>0.3112376237623764</v>
      </c>
      <c r="C386" t="n">
        <v>2.43069376777882</v>
      </c>
      <c r="D386" t="n">
        <v>2.02118514876962</v>
      </c>
      <c r="E386">
        <f>DEGREES(ATAN(D386/C386))</f>
        <v/>
      </c>
      <c r="F386">
        <f>DEGREES(ATAN(TAN(RADIANS(pe0-omega*B386))*(C386/sref)^(m_-1)))</f>
        <v/>
      </c>
      <c r="G386">
        <f>E386-F386</f>
        <v/>
      </c>
    </row>
    <row r="387">
      <c r="A387" t="inlineStr">
        <is>
          <t>SMEC (1973) | WH11/1Q/2M</t>
        </is>
      </c>
      <c r="B387" t="n">
        <v>0.3513775510204082</v>
      </c>
      <c r="C387" t="n">
        <v>0.6321427142314426</v>
      </c>
      <c r="D387" t="n">
        <v>0.6097721183181535</v>
      </c>
      <c r="E387">
        <f>DEGREES(ATAN(D387/C387))</f>
        <v/>
      </c>
      <c r="F387">
        <f>DEGREES(ATAN(TAN(RADIANS(pe0-omega*B387))*(C387/sref)^(m_-1)))</f>
        <v/>
      </c>
      <c r="G387">
        <f>E387-F387</f>
        <v/>
      </c>
    </row>
    <row r="388">
      <c r="A388" t="inlineStr">
        <is>
          <t>SMEC (1973) | WH11/1Q/2M</t>
        </is>
      </c>
      <c r="B388" t="n">
        <v>0.3445177664974621</v>
      </c>
      <c r="C388" t="n">
        <v>1.209602520872116</v>
      </c>
      <c r="D388" t="n">
        <v>1.045151686565863</v>
      </c>
      <c r="E388">
        <f>DEGREES(ATAN(D388/C388))</f>
        <v/>
      </c>
      <c r="F388">
        <f>DEGREES(ATAN(TAN(RADIANS(pe0-omega*B388))*(C388/sref)^(m_-1)))</f>
        <v/>
      </c>
      <c r="G388">
        <f>E388-F388</f>
        <v/>
      </c>
    </row>
    <row r="389">
      <c r="A389" t="inlineStr">
        <is>
          <t>SMEC (1973) | WH11/1Q/3M</t>
        </is>
      </c>
      <c r="B389" t="n">
        <v>0.3583076923076924</v>
      </c>
      <c r="C389" t="n">
        <v>0.6451847587333833</v>
      </c>
      <c r="D389" t="n">
        <v>0.6505234311902065</v>
      </c>
      <c r="E389">
        <f>DEGREES(ATAN(D389/C389))</f>
        <v/>
      </c>
      <c r="F389">
        <f>DEGREES(ATAN(TAN(RADIANS(pe0-omega*B389))*(C389/sref)^(m_-1)))</f>
        <v/>
      </c>
      <c r="G389">
        <f>E389-F389</f>
        <v/>
      </c>
    </row>
    <row r="390">
      <c r="A390" t="inlineStr">
        <is>
          <t>SMEC (1973) | WH11/1Q/3M</t>
        </is>
      </c>
      <c r="B390" t="n">
        <v>0.3583076923076924</v>
      </c>
      <c r="C390" t="n">
        <v>1.273611201382193</v>
      </c>
      <c r="D390" t="n">
        <v>1.194245205572608</v>
      </c>
      <c r="E390">
        <f>DEGREES(ATAN(D390/C390))</f>
        <v/>
      </c>
      <c r="F390">
        <f>DEGREES(ATAN(TAN(RADIANS(pe0-omega*B390))*(C390/sref)^(m_-1)))</f>
        <v/>
      </c>
      <c r="G390">
        <f>E390-F390</f>
        <v/>
      </c>
    </row>
    <row r="391">
      <c r="A391" t="inlineStr">
        <is>
          <t>SMEC (1973) | WH11/1Q/3M</t>
        </is>
      </c>
      <c r="B391" t="n">
        <v>0.3445177664974621</v>
      </c>
      <c r="C391" t="n">
        <v>2.439832919013861</v>
      </c>
      <c r="D391" t="n">
        <v>2.004039084414737</v>
      </c>
      <c r="E391">
        <f>DEGREES(ATAN(D391/C391))</f>
        <v/>
      </c>
      <c r="F391">
        <f>DEGREES(ATAN(TAN(RADIANS(pe0-omega*B391))*(C391/sref)^(m_-1)))</f>
        <v/>
      </c>
      <c r="G391">
        <f>E391-F391</f>
        <v/>
      </c>
    </row>
    <row r="392">
      <c r="A392" t="inlineStr">
        <is>
          <t>SMEC (1973) | WH3/3E/3D</t>
        </is>
      </c>
      <c r="B392" t="n">
        <v>0.4317297297297298</v>
      </c>
      <c r="C392" t="n">
        <v>0.6407477679206522</v>
      </c>
      <c r="D392" t="n">
        <v>0.6373745113336404</v>
      </c>
      <c r="E392">
        <f>DEGREES(ATAN(D392/C392))</f>
        <v/>
      </c>
      <c r="F392">
        <f>DEGREES(ATAN(TAN(RADIANS(pe0-omega*B392))*(C392/sref)^(m_-1)))</f>
        <v/>
      </c>
      <c r="G392">
        <f>E392-F392</f>
        <v/>
      </c>
    </row>
    <row r="393">
      <c r="A393" t="inlineStr">
        <is>
          <t>SMEC (1973) | WH3/3E/3D</t>
        </is>
      </c>
      <c r="B393" t="n">
        <v>0.4395108695652177</v>
      </c>
      <c r="C393" t="n">
        <v>1.277700272098578</v>
      </c>
      <c r="D393" t="n">
        <v>1.171823913234382</v>
      </c>
      <c r="E393">
        <f>DEGREES(ATAN(D393/C393))</f>
        <v/>
      </c>
      <c r="F393">
        <f>DEGREES(ATAN(TAN(RADIANS(pe0-omega*B393))*(C393/sref)^(m_-1)))</f>
        <v/>
      </c>
      <c r="G393">
        <f>E393-F393</f>
        <v/>
      </c>
    </row>
    <row r="394">
      <c r="A394" t="inlineStr">
        <is>
          <t>SMEC (1973) | WH3/3E/3D</t>
        </is>
      </c>
      <c r="B394" t="n">
        <v>0.4395108695652177</v>
      </c>
      <c r="C394" t="n">
        <v>2.457064374334345</v>
      </c>
      <c r="D394" t="n">
        <v>2.022360176385877</v>
      </c>
      <c r="E394">
        <f>DEGREES(ATAN(D394/C394))</f>
        <v/>
      </c>
      <c r="F394">
        <f>DEGREES(ATAN(TAN(RADIANS(pe0-omega*B394))*(C394/sref)^(m_-1)))</f>
        <v/>
      </c>
      <c r="G394">
        <f>E394-F394</f>
        <v/>
      </c>
    </row>
    <row r="395">
      <c r="A395" t="inlineStr">
        <is>
          <t>Good (1976) | G</t>
        </is>
      </c>
      <c r="B395" t="n">
        <v>0.1531052631578949</v>
      </c>
      <c r="C395" t="n">
        <v>0.3008195731266245</v>
      </c>
      <c r="D395" t="n">
        <v>0.3383328284170051</v>
      </c>
      <c r="E395">
        <f>DEGREES(ATAN(D395/C395))</f>
        <v/>
      </c>
      <c r="F395">
        <f>DEGREES(ATAN(TAN(RADIANS(pe0-omega*B395))*(C395/sref)^(m_-1)))</f>
        <v/>
      </c>
      <c r="G395">
        <f>E395-F395</f>
        <v/>
      </c>
    </row>
    <row r="396">
      <c r="A396" t="inlineStr">
        <is>
          <t>Good (1976) | G</t>
        </is>
      </c>
      <c r="B396" t="n">
        <v>0.1531052631578949</v>
      </c>
      <c r="C396" t="n">
        <v>0.5553504487999054</v>
      </c>
      <c r="D396" t="n">
        <v>0.5772691309141252</v>
      </c>
      <c r="E396">
        <f>DEGREES(ATAN(D396/C396))</f>
        <v/>
      </c>
      <c r="F396">
        <f>DEGREES(ATAN(TAN(RADIANS(pe0-omega*B396))*(C396/sref)^(m_-1)))</f>
        <v/>
      </c>
      <c r="G396">
        <f>E396-F396</f>
        <v/>
      </c>
    </row>
    <row r="397">
      <c r="A397" t="inlineStr">
        <is>
          <t>Good (1976) | G</t>
        </is>
      </c>
      <c r="B397" t="n">
        <v>0.1531052631578949</v>
      </c>
      <c r="C397" t="n">
        <v>0.9587036906198014</v>
      </c>
      <c r="D397" t="n">
        <v>0.872364479174513</v>
      </c>
      <c r="E397">
        <f>DEGREES(ATAN(D397/C397))</f>
        <v/>
      </c>
      <c r="F397">
        <f>DEGREES(ATAN(TAN(RADIANS(pe0-omega*B397))*(C397/sref)^(m_-1)))</f>
        <v/>
      </c>
      <c r="G397">
        <f>E397-F397</f>
        <v/>
      </c>
    </row>
    <row r="398">
      <c r="A398" t="inlineStr">
        <is>
          <t>Good (1976) | G</t>
        </is>
      </c>
      <c r="B398" t="n">
        <v>0.1531052631578949</v>
      </c>
      <c r="C398" t="n">
        <v>1.837259356587972</v>
      </c>
      <c r="D398" t="n">
        <v>1.463398126495726</v>
      </c>
      <c r="E398">
        <f>DEGREES(ATAN(D398/C398))</f>
        <v/>
      </c>
      <c r="F398">
        <f>DEGREES(ATAN(TAN(RADIANS(pe0-omega*B398))*(C398/sref)^(m_-1)))</f>
        <v/>
      </c>
      <c r="G398">
        <f>E398-F398</f>
        <v/>
      </c>
    </row>
    <row r="399">
      <c r="A399" t="inlineStr">
        <is>
          <t>Donaghe &amp; Cohen (1978) | D180</t>
        </is>
      </c>
      <c r="B399" t="n">
        <v>0.41</v>
      </c>
      <c r="C399" t="n">
        <v>0.7865847513708977</v>
      </c>
      <c r="D399" t="n">
        <v>0.8399152633762176</v>
      </c>
      <c r="E399">
        <f>DEGREES(ATAN(D399/C399))</f>
        <v/>
      </c>
      <c r="F399">
        <f>DEGREES(ATAN(TAN(RADIANS(pe0-omega*B399))*(C399/sref)^(m_-1)))</f>
        <v/>
      </c>
      <c r="G399">
        <f>E399-F399</f>
        <v/>
      </c>
    </row>
    <row r="400">
      <c r="A400" t="inlineStr">
        <is>
          <t>Donaghe &amp; Cohen (1978) | D180</t>
        </is>
      </c>
      <c r="B400" t="n">
        <v>0.41</v>
      </c>
      <c r="C400" t="n">
        <v>1.574598803562325</v>
      </c>
      <c r="D400" t="n">
        <v>1.501885849649113</v>
      </c>
      <c r="E400">
        <f>DEGREES(ATAN(D400/C400))</f>
        <v/>
      </c>
      <c r="F400">
        <f>DEGREES(ATAN(TAN(RADIANS(pe0-omega*B400))*(C400/sref)^(m_-1)))</f>
        <v/>
      </c>
      <c r="G400">
        <f>E400-F400</f>
        <v/>
      </c>
    </row>
    <row r="401">
      <c r="A401" t="inlineStr">
        <is>
          <t>Donaghe &amp; Cohen (1978) | D196</t>
        </is>
      </c>
      <c r="B401" t="n">
        <v>0.37</v>
      </c>
      <c r="C401" t="n">
        <v>0.8250118129759803</v>
      </c>
      <c r="D401" t="n">
        <v>0.907785123112384</v>
      </c>
      <c r="E401">
        <f>DEGREES(ATAN(D401/C401))</f>
        <v/>
      </c>
      <c r="F401">
        <f>DEGREES(ATAN(TAN(RADIANS(pe0-omega*B401))*(C401/sref)^(m_-1)))</f>
        <v/>
      </c>
      <c r="G401">
        <f>E401-F401</f>
        <v/>
      </c>
    </row>
    <row r="402">
      <c r="A402" t="inlineStr">
        <is>
          <t>Donaghe &amp; Cohen (1978) | D196</t>
        </is>
      </c>
      <c r="B402" t="n">
        <v>0.39</v>
      </c>
      <c r="C402" t="n">
        <v>1.683812168239982</v>
      </c>
      <c r="D402" t="n">
        <v>1.655813925438044</v>
      </c>
      <c r="E402">
        <f>DEGREES(ATAN(D402/C402))</f>
        <v/>
      </c>
      <c r="F402">
        <f>DEGREES(ATAN(TAN(RADIANS(pe0-omega*B402))*(C402/sref)^(m_-1)))</f>
        <v/>
      </c>
      <c r="G402">
        <f>E402-F402</f>
        <v/>
      </c>
    </row>
    <row r="403">
      <c r="A403" t="inlineStr">
        <is>
          <t>Donaghe &amp; Cohen (1978) | D196</t>
        </is>
      </c>
      <c r="B403" t="n">
        <v>0.37</v>
      </c>
      <c r="C403" t="n">
        <v>3.645013521002105</v>
      </c>
      <c r="D403" t="n">
        <v>2.879657078944462</v>
      </c>
      <c r="E403">
        <f>DEGREES(ATAN(D403/C403))</f>
        <v/>
      </c>
      <c r="F403">
        <f>DEGREES(ATAN(TAN(RADIANS(pe0-omega*B403))*(C403/sref)^(m_-1)))</f>
        <v/>
      </c>
      <c r="G403">
        <f>E403-F403</f>
        <v/>
      </c>
    </row>
    <row r="404">
      <c r="A404" t="inlineStr">
        <is>
          <t>Donaghe &amp; Cohen (1978) | D196</t>
        </is>
      </c>
      <c r="B404" t="n">
        <v>0.37</v>
      </c>
      <c r="C404" t="n">
        <v>4.916642643470547</v>
      </c>
      <c r="D404" t="n">
        <v>3.824823883656745</v>
      </c>
      <c r="E404">
        <f>DEGREES(ATAN(D404/C404))</f>
        <v/>
      </c>
      <c r="F404">
        <f>DEGREES(ATAN(TAN(RADIANS(pe0-omega*B404))*(C404/sref)^(m_-1)))</f>
        <v/>
      </c>
      <c r="G404">
        <f>E404-F404</f>
        <v/>
      </c>
    </row>
    <row r="405">
      <c r="A405" t="inlineStr">
        <is>
          <t>Donaghe &amp; Cohen (1978) | D206</t>
        </is>
      </c>
      <c r="B405" t="n">
        <v>0.36</v>
      </c>
      <c r="C405" t="n">
        <v>0.8811503646045754</v>
      </c>
      <c r="D405" t="n">
        <v>1.078270381036657</v>
      </c>
      <c r="E405">
        <f>DEGREES(ATAN(D405/C405))</f>
        <v/>
      </c>
      <c r="F405">
        <f>DEGREES(ATAN(TAN(RADIANS(pe0-omega*B405))*(C405/sref)^(m_-1)))</f>
        <v/>
      </c>
      <c r="G405">
        <f>E405-F405</f>
        <v/>
      </c>
    </row>
    <row r="406">
      <c r="A406" t="inlineStr">
        <is>
          <t>Donaghe &amp; Cohen (1978) | D206</t>
        </is>
      </c>
      <c r="B406" t="n">
        <v>0.36</v>
      </c>
      <c r="C406" t="n">
        <v>1.639900400740674</v>
      </c>
      <c r="D406" t="n">
        <v>1.650069356389634</v>
      </c>
      <c r="E406">
        <f>DEGREES(ATAN(D406/C406))</f>
        <v/>
      </c>
      <c r="F406">
        <f>DEGREES(ATAN(TAN(RADIANS(pe0-omega*B406))*(C406/sref)^(m_-1)))</f>
        <v/>
      </c>
      <c r="G406">
        <f>E406-F406</f>
        <v/>
      </c>
    </row>
    <row r="407">
      <c r="A407" t="inlineStr">
        <is>
          <t>Donaghe &amp; Cohen (1978) | D206</t>
        </is>
      </c>
      <c r="B407" t="n">
        <v>0.36</v>
      </c>
      <c r="C407" t="n">
        <v>3.716392890777972</v>
      </c>
      <c r="D407" t="n">
        <v>3.182963241582274</v>
      </c>
      <c r="E407">
        <f>DEGREES(ATAN(D407/C407))</f>
        <v/>
      </c>
      <c r="F407">
        <f>DEGREES(ATAN(TAN(RADIANS(pe0-omega*B407))*(C407/sref)^(m_-1)))</f>
        <v/>
      </c>
      <c r="G407">
        <f>E407-F407</f>
        <v/>
      </c>
    </row>
    <row r="408">
      <c r="A408" t="inlineStr">
        <is>
          <t>Donaghe &amp; Cohen (1978) | D206</t>
        </is>
      </c>
      <c r="B408" t="n">
        <v>0.37</v>
      </c>
      <c r="C408" t="n">
        <v>4.957357877166493</v>
      </c>
      <c r="D408" t="n">
        <v>4.12472491915392</v>
      </c>
      <c r="E408">
        <f>DEGREES(ATAN(D408/C408))</f>
        <v/>
      </c>
      <c r="F408">
        <f>DEGREES(ATAN(TAN(RADIANS(pe0-omega*B408))*(C408/sref)^(m_-1)))</f>
        <v/>
      </c>
      <c r="G408">
        <f>E408-F408</f>
        <v/>
      </c>
    </row>
    <row r="409">
      <c r="A409" t="inlineStr">
        <is>
          <t>Donaghe &amp; Cohen (1978) | D228</t>
        </is>
      </c>
      <c r="B409" t="n">
        <v>0.29</v>
      </c>
      <c r="C409" t="n">
        <v>0.7708778224868339</v>
      </c>
      <c r="D409" t="n">
        <v>0.8425399642575824</v>
      </c>
      <c r="E409">
        <f>DEGREES(ATAN(D409/C409))</f>
        <v/>
      </c>
      <c r="F409">
        <f>DEGREES(ATAN(TAN(RADIANS(pe0-omega*B409))*(C409/sref)^(m_-1)))</f>
        <v/>
      </c>
      <c r="G409">
        <f>E409-F409</f>
        <v/>
      </c>
    </row>
    <row r="410">
      <c r="A410" t="inlineStr">
        <is>
          <t>Donaghe &amp; Cohen (1978) | D228</t>
        </is>
      </c>
      <c r="B410" t="n">
        <v>0.29</v>
      </c>
      <c r="C410" t="n">
        <v>1.65064465715889</v>
      </c>
      <c r="D410" t="n">
        <v>1.728714795797194</v>
      </c>
      <c r="E410">
        <f>DEGREES(ATAN(D410/C410))</f>
        <v/>
      </c>
      <c r="F410">
        <f>DEGREES(ATAN(TAN(RADIANS(pe0-omega*B410))*(C410/sref)^(m_-1)))</f>
        <v/>
      </c>
      <c r="G410">
        <f>E410-F410</f>
        <v/>
      </c>
    </row>
    <row r="411">
      <c r="A411" t="inlineStr">
        <is>
          <t>Donaghe &amp; Cohen (1978) | D228</t>
        </is>
      </c>
      <c r="B411" t="n">
        <v>0.29</v>
      </c>
      <c r="C411" t="n">
        <v>3.787397489541179</v>
      </c>
      <c r="D411" t="n">
        <v>3.470363950166055</v>
      </c>
      <c r="E411">
        <f>DEGREES(ATAN(D411/C411))</f>
        <v/>
      </c>
      <c r="F411">
        <f>DEGREES(ATAN(TAN(RADIANS(pe0-omega*B411))*(C411/sref)^(m_-1)))</f>
        <v/>
      </c>
      <c r="G411">
        <f>E411-F411</f>
        <v/>
      </c>
    </row>
    <row r="412">
      <c r="A412" t="inlineStr">
        <is>
          <t>Donaghe &amp; Cohen (1978) | D228</t>
        </is>
      </c>
      <c r="B412" t="n">
        <v>0.29</v>
      </c>
      <c r="C412" t="n">
        <v>4.897871092505662</v>
      </c>
      <c r="D412" t="n">
        <v>4.212942130814018</v>
      </c>
      <c r="E412">
        <f>DEGREES(ATAN(D412/C412))</f>
        <v/>
      </c>
      <c r="F412">
        <f>DEGREES(ATAN(TAN(RADIANS(pe0-omega*B412))*(C412/sref)^(m_-1)))</f>
        <v/>
      </c>
      <c r="G412">
        <f>E412-F412</f>
        <v/>
      </c>
    </row>
    <row r="413">
      <c r="A413" t="inlineStr">
        <is>
          <t>Donaghe &amp; Cohen (1978) | D250</t>
        </is>
      </c>
      <c r="B413" t="n">
        <v>0.31</v>
      </c>
      <c r="C413" t="n">
        <v>0.7601941073979097</v>
      </c>
      <c r="D413" t="n">
        <v>0.7442065392075622</v>
      </c>
      <c r="E413">
        <f>DEGREES(ATAN(D413/C413))</f>
        <v/>
      </c>
      <c r="F413">
        <f>DEGREES(ATAN(TAN(RADIANS(pe0-omega*B413))*(C413/sref)^(m_-1)))</f>
        <v/>
      </c>
      <c r="G413">
        <f>E413-F413</f>
        <v/>
      </c>
    </row>
    <row r="414">
      <c r="A414" t="inlineStr">
        <is>
          <t>Donaghe &amp; Cohen (1978) | D250</t>
        </is>
      </c>
      <c r="B414" t="n">
        <v>0.31</v>
      </c>
      <c r="C414" t="n">
        <v>1.549840446975338</v>
      </c>
      <c r="D414" t="n">
        <v>1.402616635211941</v>
      </c>
      <c r="E414">
        <f>DEGREES(ATAN(D414/C414))</f>
        <v/>
      </c>
      <c r="F414">
        <f>DEGREES(ATAN(TAN(RADIANS(pe0-omega*B414))*(C414/sref)^(m_-1)))</f>
        <v/>
      </c>
      <c r="G414">
        <f>E414-F414</f>
        <v/>
      </c>
    </row>
    <row r="415">
      <c r="A415" t="inlineStr">
        <is>
          <t>Donaghe &amp; Cohen (1978) | D250</t>
        </is>
      </c>
      <c r="B415" t="n">
        <v>0.32</v>
      </c>
      <c r="C415" t="n">
        <v>3.484854574074189</v>
      </c>
      <c r="D415" t="n">
        <v>2.718974237846685</v>
      </c>
      <c r="E415">
        <f>DEGREES(ATAN(D415/C415))</f>
        <v/>
      </c>
      <c r="F415">
        <f>DEGREES(ATAN(TAN(RADIANS(pe0-omega*B415))*(C415/sref)^(m_-1)))</f>
        <v/>
      </c>
      <c r="G415">
        <f>E415-F415</f>
        <v/>
      </c>
    </row>
    <row r="416">
      <c r="A416" t="inlineStr">
        <is>
          <t>Donaghe &amp; Cohen (1978) | D250</t>
        </is>
      </c>
      <c r="B416" t="n">
        <v>0.32</v>
      </c>
      <c r="C416" t="n">
        <v>5.232749759559717</v>
      </c>
      <c r="D416" t="n">
        <v>3.990711234212676</v>
      </c>
      <c r="E416">
        <f>DEGREES(ATAN(D416/C416))</f>
        <v/>
      </c>
      <c r="F416">
        <f>DEGREES(ATAN(TAN(RADIANS(pe0-omega*B416))*(C416/sref)^(m_-1)))</f>
        <v/>
      </c>
      <c r="G416">
        <f>E416-F416</f>
        <v/>
      </c>
    </row>
    <row r="417">
      <c r="A417" t="inlineStr">
        <is>
          <t>Donaghe &amp; Cohen (1978) | D254</t>
        </is>
      </c>
      <c r="B417" t="n">
        <v>0.4</v>
      </c>
      <c r="C417" t="n">
        <v>0.7051746900383166</v>
      </c>
      <c r="D417" t="n">
        <v>0.5947490084723092</v>
      </c>
      <c r="E417">
        <f>DEGREES(ATAN(D417/C417))</f>
        <v/>
      </c>
      <c r="F417">
        <f>DEGREES(ATAN(TAN(RADIANS(pe0-omega*B417))*(C417/sref)^(m_-1)))</f>
        <v/>
      </c>
      <c r="G417">
        <f>E417-F417</f>
        <v/>
      </c>
    </row>
    <row r="418">
      <c r="A418" t="inlineStr">
        <is>
          <t>Donaghe &amp; Cohen (1978) | D254</t>
        </is>
      </c>
      <c r="B418" t="n">
        <v>0.41</v>
      </c>
      <c r="C418" t="n">
        <v>1.419596811614022</v>
      </c>
      <c r="D418" t="n">
        <v>1.110186367339056</v>
      </c>
      <c r="E418">
        <f>DEGREES(ATAN(D418/C418))</f>
        <v/>
      </c>
      <c r="F418">
        <f>DEGREES(ATAN(TAN(RADIANS(pe0-omega*B418))*(C418/sref)^(m_-1)))</f>
        <v/>
      </c>
      <c r="G418">
        <f>E418-F418</f>
        <v/>
      </c>
    </row>
    <row r="419">
      <c r="A419" t="inlineStr">
        <is>
          <t>Donaghe &amp; Cohen (1978) | D254</t>
        </is>
      </c>
      <c r="B419" t="n">
        <v>0.4</v>
      </c>
      <c r="C419" t="n">
        <v>3.380236505943929</v>
      </c>
      <c r="D419" t="n">
        <v>2.531155197798864</v>
      </c>
      <c r="E419">
        <f>DEGREES(ATAN(D419/C419))</f>
        <v/>
      </c>
      <c r="F419">
        <f>DEGREES(ATAN(TAN(RADIANS(pe0-omega*B419))*(C419/sref)^(m_-1)))</f>
        <v/>
      </c>
      <c r="G419">
        <f>E419-F419</f>
        <v/>
      </c>
    </row>
    <row r="420">
      <c r="A420" t="inlineStr">
        <is>
          <t>Donaghe &amp; Cohen (1978) | D258</t>
        </is>
      </c>
      <c r="B420" t="n">
        <v>0.38</v>
      </c>
      <c r="C420" t="n">
        <v>0.74842984068957</v>
      </c>
      <c r="D420" t="n">
        <v>0.7203411422353148</v>
      </c>
      <c r="E420">
        <f>DEGREES(ATAN(D420/C420))</f>
        <v/>
      </c>
      <c r="F420">
        <f>DEGREES(ATAN(TAN(RADIANS(pe0-omega*B420))*(C420/sref)^(m_-1)))</f>
        <v/>
      </c>
      <c r="G420">
        <f>E420-F420</f>
        <v/>
      </c>
    </row>
    <row r="421">
      <c r="A421" t="inlineStr">
        <is>
          <t>Donaghe &amp; Cohen (1978) | D258</t>
        </is>
      </c>
      <c r="B421" t="n">
        <v>0.39</v>
      </c>
      <c r="C421" t="n">
        <v>1.503523828191862</v>
      </c>
      <c r="D421" t="n">
        <v>1.315239033927481</v>
      </c>
      <c r="E421">
        <f>DEGREES(ATAN(D421/C421))</f>
        <v/>
      </c>
      <c r="F421">
        <f>DEGREES(ATAN(TAN(RADIANS(pe0-omega*B421))*(C421/sref)^(m_-1)))</f>
        <v/>
      </c>
      <c r="G421">
        <f>E421-F421</f>
        <v/>
      </c>
    </row>
    <row r="422">
      <c r="A422" t="inlineStr">
        <is>
          <t>Donaghe &amp; Cohen (1978) | D258</t>
        </is>
      </c>
      <c r="B422" t="n">
        <v>0.38</v>
      </c>
      <c r="C422" t="n">
        <v>3.504896767739356</v>
      </c>
      <c r="D422" t="n">
        <v>2.782340056425697</v>
      </c>
      <c r="E422">
        <f>DEGREES(ATAN(D422/C422))</f>
        <v/>
      </c>
      <c r="F422">
        <f>DEGREES(ATAN(TAN(RADIANS(pe0-omega*B422))*(C422/sref)^(m_-1)))</f>
        <v/>
      </c>
      <c r="G422">
        <f>E422-F422</f>
        <v/>
      </c>
    </row>
    <row r="423">
      <c r="A423" t="inlineStr">
        <is>
          <t>Donaghe &amp; Cohen (1978) | D258</t>
        </is>
      </c>
      <c r="B423" t="n">
        <v>0.39</v>
      </c>
      <c r="C423" t="n">
        <v>5.218437202963976</v>
      </c>
      <c r="D423" t="n">
        <v>4.007625816596246</v>
      </c>
      <c r="E423">
        <f>DEGREES(ATAN(D423/C423))</f>
        <v/>
      </c>
      <c r="F423">
        <f>DEGREES(ATAN(TAN(RADIANS(pe0-omega*B423))*(C423/sref)^(m_-1)))</f>
        <v/>
      </c>
      <c r="G423">
        <f>E423-F423</f>
        <v/>
      </c>
    </row>
    <row r="424">
      <c r="A424" t="inlineStr">
        <is>
          <t>Donaghe &amp; Cohen (1978) | D262</t>
        </is>
      </c>
      <c r="B424" t="n">
        <v>0.48</v>
      </c>
      <c r="C424" t="n">
        <v>0.6924259171906764</v>
      </c>
      <c r="D424" t="n">
        <v>0.5603087079518053</v>
      </c>
      <c r="E424">
        <f>DEGREES(ATAN(D424/C424))</f>
        <v/>
      </c>
      <c r="F424">
        <f>DEGREES(ATAN(TAN(RADIANS(pe0-omega*B424))*(C424/sref)^(m_-1)))</f>
        <v/>
      </c>
      <c r="G424">
        <f>E424-F424</f>
        <v/>
      </c>
    </row>
    <row r="425">
      <c r="A425" t="inlineStr">
        <is>
          <t>Donaghe &amp; Cohen (1978) | D262</t>
        </is>
      </c>
      <c r="B425" t="n">
        <v>0.48</v>
      </c>
      <c r="C425" t="n">
        <v>1.405748570623284</v>
      </c>
      <c r="D425" t="n">
        <v>1.074736562310995</v>
      </c>
      <c r="E425">
        <f>DEGREES(ATAN(D425/C425))</f>
        <v/>
      </c>
      <c r="F425">
        <f>DEGREES(ATAN(TAN(RADIANS(pe0-omega*B425))*(C425/sref)^(m_-1)))</f>
        <v/>
      </c>
      <c r="G425">
        <f>E425-F425</f>
        <v/>
      </c>
    </row>
    <row r="426">
      <c r="A426" t="inlineStr">
        <is>
          <t>Donaghe &amp; Cohen (1978) | D268</t>
        </is>
      </c>
      <c r="B426" t="n">
        <v>0.4</v>
      </c>
      <c r="C426" t="n">
        <v>0.8199545993933682</v>
      </c>
      <c r="D426" t="n">
        <v>0.9233217691093125</v>
      </c>
      <c r="E426">
        <f>DEGREES(ATAN(D426/C426))</f>
        <v/>
      </c>
      <c r="F426">
        <f>DEGREES(ATAN(TAN(RADIANS(pe0-omega*B426))*(C426/sref)^(m_-1)))</f>
        <v/>
      </c>
      <c r="G426">
        <f>E426-F426</f>
        <v/>
      </c>
    </row>
    <row r="427">
      <c r="A427" t="inlineStr">
        <is>
          <t>Donaghe &amp; Cohen (1978) | D268</t>
        </is>
      </c>
      <c r="B427" t="n">
        <v>0.4</v>
      </c>
      <c r="C427" t="n">
        <v>1.62883225566315</v>
      </c>
      <c r="D427" t="n">
        <v>1.598263706458403</v>
      </c>
      <c r="E427">
        <f>DEGREES(ATAN(D427/C427))</f>
        <v/>
      </c>
      <c r="F427">
        <f>DEGREES(ATAN(TAN(RADIANS(pe0-omega*B427))*(C427/sref)^(m_-1)))</f>
        <v/>
      </c>
      <c r="G427">
        <f>E427-F427</f>
        <v/>
      </c>
    </row>
    <row r="428">
      <c r="A428" t="inlineStr">
        <is>
          <t>Donaghe &amp; Cohen (1978) | D268</t>
        </is>
      </c>
      <c r="B428" t="n">
        <v>0.4</v>
      </c>
      <c r="C428" t="n">
        <v>3.812826770297268</v>
      </c>
      <c r="D428" t="n">
        <v>3.302297535218978</v>
      </c>
      <c r="E428">
        <f>DEGREES(ATAN(D428/C428))</f>
        <v/>
      </c>
      <c r="F428">
        <f>DEGREES(ATAN(TAN(RADIANS(pe0-omega*B428))*(C428/sref)^(m_-1)))</f>
        <v/>
      </c>
      <c r="G428">
        <f>E428-F428</f>
        <v/>
      </c>
    </row>
    <row r="429">
      <c r="A429" t="inlineStr">
        <is>
          <t>Donaghe &amp; Cohen (1978) | D268</t>
        </is>
      </c>
      <c r="B429" t="n">
        <v>0.4</v>
      </c>
      <c r="C429" t="n">
        <v>5.98796009651946</v>
      </c>
      <c r="D429" t="n">
        <v>4.570841146658842</v>
      </c>
      <c r="E429">
        <f>DEGREES(ATAN(D429/C429))</f>
        <v/>
      </c>
      <c r="F429">
        <f>DEGREES(ATAN(TAN(RADIANS(pe0-omega*B429))*(C429/sref)^(m_-1)))</f>
        <v/>
      </c>
      <c r="G429">
        <f>E429-F429</f>
        <v/>
      </c>
    </row>
    <row r="430">
      <c r="A430" t="inlineStr">
        <is>
          <t>Donaghe &amp; Cohen (1978) | D272</t>
        </is>
      </c>
      <c r="B430" t="n">
        <v>0.41</v>
      </c>
      <c r="C430" t="n">
        <v>0.8317339286573098</v>
      </c>
      <c r="D430" t="n">
        <v>0.9716943067615481</v>
      </c>
      <c r="E430">
        <f>DEGREES(ATAN(D430/C430))</f>
        <v/>
      </c>
      <c r="F430">
        <f>DEGREES(ATAN(TAN(RADIANS(pe0-omega*B430))*(C430/sref)^(m_-1)))</f>
        <v/>
      </c>
      <c r="G430">
        <f>E430-F430</f>
        <v/>
      </c>
    </row>
    <row r="431">
      <c r="A431" t="inlineStr">
        <is>
          <t>Donaghe &amp; Cohen (1978) | D272</t>
        </is>
      </c>
      <c r="B431" t="n">
        <v>0.41</v>
      </c>
      <c r="C431" t="n">
        <v>1.621284196798939</v>
      </c>
      <c r="D431" t="n">
        <v>1.630581942452347</v>
      </c>
      <c r="E431">
        <f>DEGREES(ATAN(D431/C431))</f>
        <v/>
      </c>
      <c r="F431">
        <f>DEGREES(ATAN(TAN(RADIANS(pe0-omega*B431))*(C431/sref)^(m_-1)))</f>
        <v/>
      </c>
      <c r="G431">
        <f>E431-F431</f>
        <v/>
      </c>
    </row>
    <row r="432">
      <c r="A432" t="inlineStr">
        <is>
          <t>Donaghe &amp; Cohen (1978) | D272</t>
        </is>
      </c>
      <c r="B432" t="n">
        <v>0.41</v>
      </c>
      <c r="C432" t="n">
        <v>3.734831128251071</v>
      </c>
      <c r="D432" t="n">
        <v>3.273327355014418</v>
      </c>
      <c r="E432">
        <f>DEGREES(ATAN(D432/C432))</f>
        <v/>
      </c>
      <c r="F432">
        <f>DEGREES(ATAN(TAN(RADIANS(pe0-omega*B432))*(C432/sref)^(m_-1)))</f>
        <v/>
      </c>
      <c r="G432">
        <f>E432-F432</f>
        <v/>
      </c>
    </row>
    <row r="433">
      <c r="A433" t="inlineStr">
        <is>
          <t>Donaghe &amp; Cohen (1978) | D272</t>
        </is>
      </c>
      <c r="B433" t="n">
        <v>0.4</v>
      </c>
      <c r="C433" t="n">
        <v>6.107466002227746</v>
      </c>
      <c r="D433" t="n">
        <v>4.978586341490125</v>
      </c>
      <c r="E433">
        <f>DEGREES(ATAN(D433/C433))</f>
        <v/>
      </c>
      <c r="F433">
        <f>DEGREES(ATAN(TAN(RADIANS(pe0-omega*B433))*(C433/sref)^(m_-1)))</f>
        <v/>
      </c>
      <c r="G433">
        <f>E433-F433</f>
        <v/>
      </c>
    </row>
    <row r="434">
      <c r="A434" t="inlineStr">
        <is>
          <t>Donaghe &amp; Cohen (1978) | D276</t>
        </is>
      </c>
      <c r="B434" t="n">
        <v>0.52</v>
      </c>
      <c r="C434" t="n">
        <v>0.7826781226172782</v>
      </c>
      <c r="D434" t="n">
        <v>0.7887196346006123</v>
      </c>
      <c r="E434">
        <f>DEGREES(ATAN(D434/C434))</f>
        <v/>
      </c>
      <c r="F434">
        <f>DEGREES(ATAN(TAN(RADIANS(pe0-omega*B434))*(C434/sref)^(m_-1)))</f>
        <v/>
      </c>
      <c r="G434">
        <f>E434-F434</f>
        <v/>
      </c>
    </row>
    <row r="435">
      <c r="A435" t="inlineStr">
        <is>
          <t>Donaghe &amp; Cohen (1978) | D276</t>
        </is>
      </c>
      <c r="B435" t="n">
        <v>0.52</v>
      </c>
      <c r="C435" t="n">
        <v>1.529053553014974</v>
      </c>
      <c r="D435" t="n">
        <v>1.32727265879458</v>
      </c>
      <c r="E435">
        <f>DEGREES(ATAN(D435/C435))</f>
        <v/>
      </c>
      <c r="F435">
        <f>DEGREES(ATAN(TAN(RADIANS(pe0-omega*B435))*(C435/sref)^(m_-1)))</f>
        <v/>
      </c>
      <c r="G435">
        <f>E435-F435</f>
        <v/>
      </c>
    </row>
    <row r="436">
      <c r="A436" t="inlineStr">
        <is>
          <t>Donaghe &amp; Cohen (1978) | D280</t>
        </is>
      </c>
      <c r="B436" t="n">
        <v>0.5</v>
      </c>
      <c r="C436" t="n">
        <v>0.7537167731674587</v>
      </c>
      <c r="D436" t="n">
        <v>0.7478435836050628</v>
      </c>
      <c r="E436">
        <f>DEGREES(ATAN(D436/C436))</f>
        <v/>
      </c>
      <c r="F436">
        <f>DEGREES(ATAN(TAN(RADIANS(pe0-omega*B436))*(C436/sref)^(m_-1)))</f>
        <v/>
      </c>
      <c r="G436">
        <f>E436-F436</f>
        <v/>
      </c>
    </row>
    <row r="437">
      <c r="A437" t="inlineStr">
        <is>
          <t>Donaghe &amp; Cohen (1978) | D280</t>
        </is>
      </c>
      <c r="B437" t="n">
        <v>0.52</v>
      </c>
      <c r="C437" t="n">
        <v>1.521875004505571</v>
      </c>
      <c r="D437" t="n">
        <v>1.370914473712462</v>
      </c>
      <c r="E437">
        <f>DEGREES(ATAN(D437/C437))</f>
        <v/>
      </c>
      <c r="F437">
        <f>DEGREES(ATAN(TAN(RADIANS(pe0-omega*B437))*(C437/sref)^(m_-1)))</f>
        <v/>
      </c>
      <c r="G437">
        <f>E437-F437</f>
        <v/>
      </c>
    </row>
    <row r="438">
      <c r="A438" t="inlineStr">
        <is>
          <t>Donaghe &amp; Torrey (1979) | 10,14</t>
        </is>
      </c>
      <c r="B438" t="n">
        <v>0.358</v>
      </c>
      <c r="C438" t="n">
        <v>0.6778951097657082</v>
      </c>
      <c r="D438" t="n">
        <v>0.5463886439931431</v>
      </c>
      <c r="E438">
        <f>DEGREES(ATAN(D438/C438))</f>
        <v/>
      </c>
      <c r="F438">
        <f>DEGREES(ATAN(TAN(RADIANS(pe0-omega*B438))*(C438/sref)^(m_-1)))</f>
        <v/>
      </c>
      <c r="G438">
        <f>E438-F438</f>
        <v/>
      </c>
    </row>
    <row r="439">
      <c r="A439" t="inlineStr">
        <is>
          <t>Donaghe &amp; Torrey (1979) | 10,14</t>
        </is>
      </c>
      <c r="B439" t="n">
        <v>0.351</v>
      </c>
      <c r="C439" t="n">
        <v>2.248591156807324</v>
      </c>
      <c r="D439" t="n">
        <v>1.779068495344817</v>
      </c>
      <c r="E439">
        <f>DEGREES(ATAN(D439/C439))</f>
        <v/>
      </c>
      <c r="F439">
        <f>DEGREES(ATAN(TAN(RADIANS(pe0-omega*B439))*(C439/sref)^(m_-1)))</f>
        <v/>
      </c>
      <c r="G439">
        <f>E439-F439</f>
        <v/>
      </c>
    </row>
    <row r="440">
      <c r="A440" t="inlineStr">
        <is>
          <t>Donaghe &amp; Torrey (1979) | 15,18</t>
        </is>
      </c>
      <c r="B440" t="n">
        <v>0.275</v>
      </c>
      <c r="C440" t="n">
        <v>0.6631999840134792</v>
      </c>
      <c r="D440" t="n">
        <v>0.4751213545003961</v>
      </c>
      <c r="E440">
        <f>DEGREES(ATAN(D440/C440))</f>
        <v/>
      </c>
      <c r="F440">
        <f>DEGREES(ATAN(TAN(RADIANS(pe0-omega*B440))*(C440/sref)^(m_-1)))</f>
        <v/>
      </c>
      <c r="G440">
        <f>E440-F440</f>
        <v/>
      </c>
    </row>
    <row r="441">
      <c r="A441" t="inlineStr">
        <is>
          <t>Donaghe &amp; Torrey (1979) | 15,18</t>
        </is>
      </c>
      <c r="B441" t="n">
        <v>0.267</v>
      </c>
      <c r="C441" t="n">
        <v>2.217134520209085</v>
      </c>
      <c r="D441" t="n">
        <v>1.528807267085224</v>
      </c>
      <c r="E441">
        <f>DEGREES(ATAN(D441/C441))</f>
        <v/>
      </c>
      <c r="F441">
        <f>DEGREES(ATAN(TAN(RADIANS(pe0-omega*B441))*(C441/sref)^(m_-1)))</f>
        <v/>
      </c>
      <c r="G441">
        <f>E441-F441</f>
        <v/>
      </c>
    </row>
    <row r="442">
      <c r="A442" t="inlineStr">
        <is>
          <t>Donaghe &amp; Torrey (1979) | 16,19</t>
        </is>
      </c>
      <c r="B442" t="n">
        <v>0.268</v>
      </c>
      <c r="C442" t="n">
        <v>0.69463379123069</v>
      </c>
      <c r="D442" t="n">
        <v>0.5613403387073779</v>
      </c>
      <c r="E442">
        <f>DEGREES(ATAN(D442/C442))</f>
        <v/>
      </c>
      <c r="F442">
        <f>DEGREES(ATAN(TAN(RADIANS(pe0-omega*B442))*(C442/sref)^(m_-1)))</f>
        <v/>
      </c>
      <c r="G442">
        <f>E442-F442</f>
        <v/>
      </c>
    </row>
    <row r="443">
      <c r="A443" t="inlineStr">
        <is>
          <t>Donaghe &amp; Torrey (1979) | 16,19</t>
        </is>
      </c>
      <c r="B443" t="n">
        <v>0.251</v>
      </c>
      <c r="C443" t="n">
        <v>2.26182213476151</v>
      </c>
      <c r="D443" t="n">
        <v>1.68414307532597</v>
      </c>
      <c r="E443">
        <f>DEGREES(ATAN(D443/C443))</f>
        <v/>
      </c>
      <c r="F443">
        <f>DEGREES(ATAN(TAN(RADIANS(pe0-omega*B443))*(C443/sref)^(m_-1)))</f>
        <v/>
      </c>
      <c r="G443">
        <f>E443-F443</f>
        <v/>
      </c>
    </row>
    <row r="444">
      <c r="A444" t="inlineStr">
        <is>
          <t>Donaghe &amp; Torrey (1979) | 17,20</t>
        </is>
      </c>
      <c r="B444" t="n">
        <v>0.286</v>
      </c>
      <c r="C444" t="n">
        <v>0.6734622503532642</v>
      </c>
      <c r="D444" t="n">
        <v>0.5717526515752792</v>
      </c>
      <c r="E444">
        <f>DEGREES(ATAN(D444/C444))</f>
        <v/>
      </c>
      <c r="F444">
        <f>DEGREES(ATAN(TAN(RADIANS(pe0-omega*B444))*(C444/sref)^(m_-1)))</f>
        <v/>
      </c>
      <c r="G444">
        <f>E444-F444</f>
        <v/>
      </c>
    </row>
    <row r="445">
      <c r="A445" t="inlineStr">
        <is>
          <t>Donaghe &amp; Torrey (1979) | 17,20</t>
        </is>
      </c>
      <c r="B445" t="n">
        <v>0.284</v>
      </c>
      <c r="C445" t="n">
        <v>2.293906469153411</v>
      </c>
      <c r="D445" t="n">
        <v>2.014490385689628</v>
      </c>
      <c r="E445">
        <f>DEGREES(ATAN(D445/C445))</f>
        <v/>
      </c>
      <c r="F445">
        <f>DEGREES(ATAN(TAN(RADIANS(pe0-omega*B445))*(C445/sref)^(m_-1)))</f>
        <v/>
      </c>
      <c r="G445">
        <f>E445-F445</f>
        <v/>
      </c>
    </row>
    <row r="446">
      <c r="A446" t="inlineStr">
        <is>
          <t>Donaghe &amp; Torrey (1979) | 7,11</t>
        </is>
      </c>
      <c r="B446" t="n">
        <v>0.329</v>
      </c>
      <c r="C446" t="n">
        <v>0.6509150861084902</v>
      </c>
      <c r="D446" t="n">
        <v>0.4370812430309409</v>
      </c>
      <c r="E446">
        <f>DEGREES(ATAN(D446/C446))</f>
        <v/>
      </c>
      <c r="F446">
        <f>DEGREES(ATAN(TAN(RADIANS(pe0-omega*B446))*(C446/sref)^(m_-1)))</f>
        <v/>
      </c>
      <c r="G446">
        <f>E446-F446</f>
        <v/>
      </c>
    </row>
    <row r="447">
      <c r="A447" t="inlineStr">
        <is>
          <t>Donaghe &amp; Torrey (1979) | 7,11</t>
        </is>
      </c>
      <c r="B447" t="n">
        <v>0.326</v>
      </c>
      <c r="C447" t="n">
        <v>2.149125016330471</v>
      </c>
      <c r="D447" t="n">
        <v>1.390853394617465</v>
      </c>
      <c r="E447">
        <f>DEGREES(ATAN(D447/C447))</f>
        <v/>
      </c>
      <c r="F447">
        <f>DEGREES(ATAN(TAN(RADIANS(pe0-omega*B447))*(C447/sref)^(m_-1)))</f>
        <v/>
      </c>
      <c r="G447">
        <f>E447-F447</f>
        <v/>
      </c>
    </row>
    <row r="448">
      <c r="A448" t="inlineStr">
        <is>
          <t>Donaghe &amp; Torrey (1979) | 8,12</t>
        </is>
      </c>
      <c r="B448" t="n">
        <v>0.317</v>
      </c>
      <c r="C448" t="n">
        <v>0.679120815468422</v>
      </c>
      <c r="D448" t="n">
        <v>0.5269252404372051</v>
      </c>
      <c r="E448">
        <f>DEGREES(ATAN(D448/C448))</f>
        <v/>
      </c>
      <c r="F448">
        <f>DEGREES(ATAN(TAN(RADIANS(pe0-omega*B448))*(C448/sref)^(m_-1)))</f>
        <v/>
      </c>
      <c r="G448">
        <f>E448-F448</f>
        <v/>
      </c>
    </row>
    <row r="449">
      <c r="A449" t="inlineStr">
        <is>
          <t>Donaghe &amp; Torrey (1979) | 8,12</t>
        </is>
      </c>
      <c r="B449" t="n">
        <v>0.309</v>
      </c>
      <c r="C449" t="n">
        <v>2.233114144749265</v>
      </c>
      <c r="D449" t="n">
        <v>1.642545322985673</v>
      </c>
      <c r="E449">
        <f>DEGREES(ATAN(D449/C449))</f>
        <v/>
      </c>
      <c r="F449">
        <f>DEGREES(ATAN(TAN(RADIANS(pe0-omega*B449))*(C449/sref)^(m_-1)))</f>
        <v/>
      </c>
      <c r="G449">
        <f>E449-F449</f>
        <v/>
      </c>
    </row>
    <row r="450">
      <c r="A450" t="inlineStr">
        <is>
          <t>Alva-Hurtado et al. (1981) | Al-comp</t>
        </is>
      </c>
      <c r="B450" t="n">
        <v>0.65</v>
      </c>
      <c r="C450" t="n">
        <v>0.1302585883805203</v>
      </c>
      <c r="D450" t="n">
        <v>0.1476329405856522</v>
      </c>
      <c r="E450">
        <f>DEGREES(ATAN(D450/C450))</f>
        <v/>
      </c>
      <c r="F450">
        <f>DEGREES(ATAN(TAN(RADIANS(pe0-omega*B450))*(C450/sref)^(m_-1)))</f>
        <v/>
      </c>
      <c r="G450">
        <f>E450-F450</f>
        <v/>
      </c>
    </row>
    <row r="451">
      <c r="A451" t="inlineStr">
        <is>
          <t>Alva-Hurtado et al. (1981) | Al-comp</t>
        </is>
      </c>
      <c r="B451" t="n">
        <v>0.65</v>
      </c>
      <c r="C451" t="n">
        <v>0.1934573605259714</v>
      </c>
      <c r="D451" t="n">
        <v>0.2135970283504609</v>
      </c>
      <c r="E451">
        <f>DEGREES(ATAN(D451/C451))</f>
        <v/>
      </c>
      <c r="F451">
        <f>DEGREES(ATAN(TAN(RADIANS(pe0-omega*B451))*(C451/sref)^(m_-1)))</f>
        <v/>
      </c>
      <c r="G451">
        <f>E451-F451</f>
        <v/>
      </c>
    </row>
    <row r="452">
      <c r="A452" t="inlineStr">
        <is>
          <t>Alva-Hurtado et al. (1981) | Al-comp</t>
        </is>
      </c>
      <c r="B452" t="n">
        <v>0.65</v>
      </c>
      <c r="C452" t="n">
        <v>0.2519942170536991</v>
      </c>
      <c r="D452" t="n">
        <v>0.260397916607124</v>
      </c>
      <c r="E452">
        <f>DEGREES(ATAN(D452/C452))</f>
        <v/>
      </c>
      <c r="F452">
        <f>DEGREES(ATAN(TAN(RADIANS(pe0-omega*B452))*(C452/sref)^(m_-1)))</f>
        <v/>
      </c>
      <c r="G452">
        <f>E452-F452</f>
        <v/>
      </c>
    </row>
    <row r="453">
      <c r="A453" t="inlineStr">
        <is>
          <t>Alva-Hurtado et al. (1981) | Al-uncomp</t>
        </is>
      </c>
      <c r="B453" t="n">
        <v>0.74</v>
      </c>
      <c r="C453" t="n">
        <v>0.141018314677215</v>
      </c>
      <c r="D453" t="n">
        <v>0.1440483797781866</v>
      </c>
      <c r="E453">
        <f>DEGREES(ATAN(D453/C453))</f>
        <v/>
      </c>
      <c r="F453">
        <f>DEGREES(ATAN(TAN(RADIANS(pe0-omega*B453))*(C453/sref)^(m_-1)))</f>
        <v/>
      </c>
      <c r="G453">
        <f>E453-F453</f>
        <v/>
      </c>
    </row>
    <row r="454">
      <c r="A454" t="inlineStr">
        <is>
          <t>Alva-Hurtado et al. (1981) | Al-uncomp</t>
        </is>
      </c>
      <c r="B454" t="n">
        <v>0.74</v>
      </c>
      <c r="C454" t="n">
        <v>0.1948535101630965</v>
      </c>
      <c r="D454" t="n">
        <v>0.1750985747503964</v>
      </c>
      <c r="E454">
        <f>DEGREES(ATAN(D454/C454))</f>
        <v/>
      </c>
      <c r="F454">
        <f>DEGREES(ATAN(TAN(RADIANS(pe0-omega*B454))*(C454/sref)^(m_-1)))</f>
        <v/>
      </c>
      <c r="G454">
        <f>E454-F454</f>
        <v/>
      </c>
    </row>
    <row r="455">
      <c r="A455" t="inlineStr">
        <is>
          <t>Alva-Hurtado et al. (1981) | Al-uncomp</t>
        </is>
      </c>
      <c r="B455" t="n">
        <v>0.74</v>
      </c>
      <c r="C455" t="n">
        <v>0.2037770360518912</v>
      </c>
      <c r="D455" t="n">
        <v>0.1875421902615807</v>
      </c>
      <c r="E455">
        <f>DEGREES(ATAN(D455/C455))</f>
        <v/>
      </c>
      <c r="F455">
        <f>DEGREES(ATAN(TAN(RADIANS(pe0-omega*B455))*(C455/sref)^(m_-1)))</f>
        <v/>
      </c>
      <c r="G455">
        <f>E455-F455</f>
        <v/>
      </c>
    </row>
    <row r="456">
      <c r="A456" t="inlineStr">
        <is>
          <t>Alva-Hurtado et al. (1981) | Al-uncomp</t>
        </is>
      </c>
      <c r="B456" t="n">
        <v>0.74</v>
      </c>
      <c r="C456" t="n">
        <v>0.2706130321072042</v>
      </c>
      <c r="D456" t="n">
        <v>0.2455696419741717</v>
      </c>
      <c r="E456">
        <f>DEGREES(ATAN(D456/C456))</f>
        <v/>
      </c>
      <c r="F456">
        <f>DEGREES(ATAN(TAN(RADIANS(pe0-omega*B456))*(C456/sref)^(m_-1)))</f>
        <v/>
      </c>
      <c r="G456">
        <f>E456-F456</f>
        <v/>
      </c>
    </row>
    <row r="457">
      <c r="A457" t="inlineStr">
        <is>
          <t>Charles &amp; Watts (1980) | A</t>
        </is>
      </c>
      <c r="B457" t="n">
        <v>0.33</v>
      </c>
      <c r="C457" t="n">
        <v>0.1955983277618764</v>
      </c>
      <c r="D457" t="n">
        <v>0.2352936879668045</v>
      </c>
      <c r="E457">
        <f>DEGREES(ATAN(D457/C457))</f>
        <v/>
      </c>
      <c r="F457">
        <f>DEGREES(ATAN(TAN(RADIANS(pe0-omega*B457))*(C457/sref)^(m_-1)))</f>
        <v/>
      </c>
      <c r="G457">
        <f>E457-F457</f>
        <v/>
      </c>
    </row>
    <row r="458">
      <c r="A458" t="inlineStr">
        <is>
          <t>Charles &amp; Watts (1980) | A</t>
        </is>
      </c>
      <c r="B458" t="n">
        <v>0.33</v>
      </c>
      <c r="C458" t="n">
        <v>0.5318192784395948</v>
      </c>
      <c r="D458" t="n">
        <v>0.4866968498876427</v>
      </c>
      <c r="E458">
        <f>DEGREES(ATAN(D458/C458))</f>
        <v/>
      </c>
      <c r="F458">
        <f>DEGREES(ATAN(TAN(RADIANS(pe0-omega*B458))*(C458/sref)^(m_-1)))</f>
        <v/>
      </c>
      <c r="G458">
        <f>E458-F458</f>
        <v/>
      </c>
    </row>
    <row r="459">
      <c r="A459" t="inlineStr">
        <is>
          <t>Charles &amp; Watts (1980) | A</t>
        </is>
      </c>
      <c r="B459" t="n">
        <v>0.33</v>
      </c>
      <c r="C459" t="n">
        <v>1.262328781412656</v>
      </c>
      <c r="D459" t="n">
        <v>0.992890172646</v>
      </c>
      <c r="E459">
        <f>DEGREES(ATAN(D459/C459))</f>
        <v/>
      </c>
      <c r="F459">
        <f>DEGREES(ATAN(TAN(RADIANS(pe0-omega*B459))*(C459/sref)^(m_-1)))</f>
        <v/>
      </c>
      <c r="G459">
        <f>E459-F459</f>
        <v/>
      </c>
    </row>
    <row r="460">
      <c r="A460" t="inlineStr">
        <is>
          <t>SMEC (1976-80) | UC13/TRH-a</t>
        </is>
      </c>
      <c r="B460" t="n">
        <v>0.2612857142857143</v>
      </c>
      <c r="C460" t="n">
        <v>0.6266373311525412</v>
      </c>
      <c r="D460" t="n">
        <v>0.6546122735534092</v>
      </c>
      <c r="E460">
        <f>DEGREES(ATAN(D460/C460))</f>
        <v/>
      </c>
      <c r="F460">
        <f>DEGREES(ATAN(TAN(RADIANS(pe0-omega*B460))*(C460/sref)^(m_-1)))</f>
        <v/>
      </c>
      <c r="G460">
        <f>E460-F460</f>
        <v/>
      </c>
    </row>
    <row r="461">
      <c r="A461" t="inlineStr">
        <is>
          <t>SMEC (1976-80) | UC13/TRH-a</t>
        </is>
      </c>
      <c r="B461" t="n">
        <v>0.2612857142857143</v>
      </c>
      <c r="C461" t="n">
        <v>2.408672242866448</v>
      </c>
      <c r="D461" t="n">
        <v>1.978686164706502</v>
      </c>
      <c r="E461">
        <f>DEGREES(ATAN(D461/C461))</f>
        <v/>
      </c>
      <c r="F461">
        <f>DEGREES(ATAN(TAN(RADIANS(pe0-omega*B461))*(C461/sref)^(m_-1)))</f>
        <v/>
      </c>
      <c r="G461">
        <f>E461-F461</f>
        <v/>
      </c>
    </row>
    <row r="462">
      <c r="A462" t="inlineStr">
        <is>
          <t>SMEC (1976-80) | UC13/TRH-b</t>
        </is>
      </c>
      <c r="B462" t="n">
        <v>0.2612857142857143</v>
      </c>
      <c r="C462" t="n">
        <v>0.667792352729633</v>
      </c>
      <c r="D462" t="n">
        <v>0.7175397698538728</v>
      </c>
      <c r="E462">
        <f>DEGREES(ATAN(D462/C462))</f>
        <v/>
      </c>
      <c r="F462">
        <f>DEGREES(ATAN(TAN(RADIANS(pe0-omega*B462))*(C462/sref)^(m_-1)))</f>
        <v/>
      </c>
      <c r="G462">
        <f>E462-F462</f>
        <v/>
      </c>
    </row>
    <row r="463">
      <c r="A463" t="inlineStr">
        <is>
          <t>SMEC (1976-80) | UC13/TRH-b</t>
        </is>
      </c>
      <c r="B463" t="n">
        <v>0.2612857142857143</v>
      </c>
      <c r="C463" t="n">
        <v>1.247139334271957</v>
      </c>
      <c r="D463" t="n">
        <v>1.153123034613085</v>
      </c>
      <c r="E463">
        <f>DEGREES(ATAN(D463/C463))</f>
        <v/>
      </c>
      <c r="F463">
        <f>DEGREES(ATAN(TAN(RADIANS(pe0-omega*B463))*(C463/sref)^(m_-1)))</f>
        <v/>
      </c>
      <c r="G463">
        <f>E463-F463</f>
        <v/>
      </c>
    </row>
    <row r="464">
      <c r="A464" t="inlineStr">
        <is>
          <t>SMEC (1976-80) | UC13/TRH-b</t>
        </is>
      </c>
      <c r="B464" t="n">
        <v>0.2612857142857143</v>
      </c>
      <c r="C464" t="n">
        <v>2.44577683446547</v>
      </c>
      <c r="D464" t="n">
        <v>2.075674448022661</v>
      </c>
      <c r="E464">
        <f>DEGREES(ATAN(D464/C464))</f>
        <v/>
      </c>
      <c r="F464">
        <f>DEGREES(ATAN(TAN(RADIANS(pe0-omega*B464))*(C464/sref)^(m_-1)))</f>
        <v/>
      </c>
      <c r="G464">
        <f>E464-F464</f>
        <v/>
      </c>
    </row>
    <row r="465">
      <c r="A465" t="inlineStr">
        <is>
          <t>SMEC (1976-80) | UC13/TRS</t>
        </is>
      </c>
      <c r="B465" t="n">
        <v>0.3583076923076924</v>
      </c>
      <c r="C465" t="n">
        <v>0.6383575632264989</v>
      </c>
      <c r="D465" t="n">
        <v>0.571124951780143</v>
      </c>
      <c r="E465">
        <f>DEGREES(ATAN(D465/C465))</f>
        <v/>
      </c>
      <c r="F465">
        <f>DEGREES(ATAN(TAN(RADIANS(pe0-omega*B465))*(C465/sref)^(m_-1)))</f>
        <v/>
      </c>
      <c r="G465">
        <f>E465-F465</f>
        <v/>
      </c>
    </row>
    <row r="466">
      <c r="A466" t="inlineStr">
        <is>
          <t>SMEC (1976-80) | UC13/TRS</t>
        </is>
      </c>
      <c r="B466" t="n">
        <v>0.3583076923076924</v>
      </c>
      <c r="C466" t="n">
        <v>1.286974281418772</v>
      </c>
      <c r="D466" t="n">
        <v>0.9343691623727297</v>
      </c>
      <c r="E466">
        <f>DEGREES(ATAN(D466/C466))</f>
        <v/>
      </c>
      <c r="F466">
        <f>DEGREES(ATAN(TAN(RADIANS(pe0-omega*B466))*(C466/sref)^(m_-1)))</f>
        <v/>
      </c>
      <c r="G466">
        <f>E466-F466</f>
        <v/>
      </c>
    </row>
    <row r="467">
      <c r="A467" t="inlineStr">
        <is>
          <t>SMEC (1976-80) | UC13/TRS</t>
        </is>
      </c>
      <c r="B467" t="n">
        <v>0.3583076923076924</v>
      </c>
      <c r="C467" t="n">
        <v>1.90992619327569</v>
      </c>
      <c r="D467" t="n">
        <v>1.359272694638719</v>
      </c>
      <c r="E467">
        <f>DEGREES(ATAN(D467/C467))</f>
        <v/>
      </c>
      <c r="F467">
        <f>DEGREES(ATAN(TAN(RADIANS(pe0-omega*B467))*(C467/sref)^(m_-1)))</f>
        <v/>
      </c>
      <c r="G467">
        <f>E467-F467</f>
        <v/>
      </c>
    </row>
    <row r="468">
      <c r="A468" t="inlineStr">
        <is>
          <t>SMEC (1976-80) | UC13/TRS/2-a</t>
        </is>
      </c>
      <c r="B468" t="n">
        <v>0.3867539267015707</v>
      </c>
      <c r="C468" t="n">
        <v>0.2766810973854597</v>
      </c>
      <c r="D468" t="n">
        <v>0.1924112420394781</v>
      </c>
      <c r="E468">
        <f>DEGREES(ATAN(D468/C468))</f>
        <v/>
      </c>
      <c r="F468">
        <f>DEGREES(ATAN(TAN(RADIANS(pe0-omega*B468))*(C468/sref)^(m_-1)))</f>
        <v/>
      </c>
      <c r="G468">
        <f>E468-F468</f>
        <v/>
      </c>
    </row>
    <row r="469">
      <c r="A469" t="inlineStr">
        <is>
          <t>SMEC (1976-80) | UC13/TRS/2-a</t>
        </is>
      </c>
      <c r="B469" t="n">
        <v>0.3867539267015707</v>
      </c>
      <c r="C469" t="n">
        <v>0.5239824625072602</v>
      </c>
      <c r="D469" t="n">
        <v>0.3242745514149088</v>
      </c>
      <c r="E469">
        <f>DEGREES(ATAN(D469/C469))</f>
        <v/>
      </c>
      <c r="F469">
        <f>DEGREES(ATAN(TAN(RADIANS(pe0-omega*B469))*(C469/sref)^(m_-1)))</f>
        <v/>
      </c>
      <c r="G469">
        <f>E469-F469</f>
        <v/>
      </c>
    </row>
    <row r="470">
      <c r="A470" t="inlineStr">
        <is>
          <t>SMEC (1976-80) | UC13/TRS/3-a</t>
        </is>
      </c>
      <c r="B470" t="n">
        <v>0.3583076923076924</v>
      </c>
      <c r="C470" t="n">
        <v>0.520835014944937</v>
      </c>
      <c r="D470" t="n">
        <v>0.3877920779049041</v>
      </c>
      <c r="E470">
        <f>DEGREES(ATAN(D470/C470))</f>
        <v/>
      </c>
      <c r="F470">
        <f>DEGREES(ATAN(TAN(RADIANS(pe0-omega*B470))*(C470/sref)^(m_-1)))</f>
        <v/>
      </c>
      <c r="G470">
        <f>E470-F470</f>
        <v/>
      </c>
    </row>
    <row r="471">
      <c r="A471" t="inlineStr">
        <is>
          <t>SMEC (1976-80) | UC13/TRS/3-a</t>
        </is>
      </c>
      <c r="B471" t="n">
        <v>0.3583076923076924</v>
      </c>
      <c r="C471" t="n">
        <v>0.9548071294991434</v>
      </c>
      <c r="D471" t="n">
        <v>0.6334001287197958</v>
      </c>
      <c r="E471">
        <f>DEGREES(ATAN(D471/C471))</f>
        <v/>
      </c>
      <c r="F471">
        <f>DEGREES(ATAN(TAN(RADIANS(pe0-omega*B471))*(C471/sref)^(m_-1)))</f>
        <v/>
      </c>
      <c r="G471">
        <f>E471-F471</f>
        <v/>
      </c>
    </row>
    <row r="472">
      <c r="A472" t="inlineStr">
        <is>
          <t>SMEC (1976-80) | UC13/TRS/3-a</t>
        </is>
      </c>
      <c r="B472" t="n">
        <v>0.3583076923076924</v>
      </c>
      <c r="C472" t="n">
        <v>1.507819393123812</v>
      </c>
      <c r="D472" t="n">
        <v>1.033329588180035</v>
      </c>
      <c r="E472">
        <f>DEGREES(ATAN(D472/C472))</f>
        <v/>
      </c>
      <c r="F472">
        <f>DEGREES(ATAN(TAN(RADIANS(pe0-omega*B472))*(C472/sref)^(m_-1)))</f>
        <v/>
      </c>
      <c r="G472">
        <f>E472-F472</f>
        <v/>
      </c>
    </row>
    <row r="473">
      <c r="A473" t="inlineStr">
        <is>
          <t>SMEC (1976-80) | UC13/TRS/4-a</t>
        </is>
      </c>
      <c r="B473" t="n">
        <v>0.3583076923076924</v>
      </c>
      <c r="C473" t="n">
        <v>0.6477813399996554</v>
      </c>
      <c r="D473" t="n">
        <v>0.5134572020407893</v>
      </c>
      <c r="E473">
        <f>DEGREES(ATAN(D473/C473))</f>
        <v/>
      </c>
      <c r="F473">
        <f>DEGREES(ATAN(TAN(RADIANS(pe0-omega*B473))*(C473/sref)^(m_-1)))</f>
        <v/>
      </c>
      <c r="G473">
        <f>E473-F473</f>
        <v/>
      </c>
    </row>
    <row r="474">
      <c r="A474" t="inlineStr">
        <is>
          <t>SMEC (1976-80) | UC13/TRS/4-a</t>
        </is>
      </c>
      <c r="B474" t="n">
        <v>0.3583076923076924</v>
      </c>
      <c r="C474" t="n">
        <v>1.057256377471433</v>
      </c>
      <c r="D474" t="n">
        <v>0.8193156313821294</v>
      </c>
      <c r="E474">
        <f>DEGREES(ATAN(D474/C474))</f>
        <v/>
      </c>
      <c r="F474">
        <f>DEGREES(ATAN(TAN(RADIANS(pe0-omega*B474))*(C474/sref)^(m_-1)))</f>
        <v/>
      </c>
      <c r="G474">
        <f>E474-F474</f>
        <v/>
      </c>
    </row>
    <row r="475">
      <c r="A475" t="inlineStr">
        <is>
          <t>SMEC (1976-80) | UC13/TRS/4-b</t>
        </is>
      </c>
      <c r="B475" t="n">
        <v>0.3583076923076924</v>
      </c>
      <c r="C475" t="n">
        <v>0.9685865815825871</v>
      </c>
      <c r="D475" t="n">
        <v>0.7872082648189821</v>
      </c>
      <c r="E475">
        <f>DEGREES(ATAN(D475/C475))</f>
        <v/>
      </c>
      <c r="F475">
        <f>DEGREES(ATAN(TAN(RADIANS(pe0-omega*B475))*(C475/sref)^(m_-1)))</f>
        <v/>
      </c>
      <c r="G475">
        <f>E475-F475</f>
        <v/>
      </c>
    </row>
    <row r="476">
      <c r="A476" t="inlineStr">
        <is>
          <t>SMEC (1976-80) | UC25/3A/19T-a</t>
        </is>
      </c>
      <c r="B476" t="n">
        <v>0.2205990783410139</v>
      </c>
      <c r="C476" t="n">
        <v>0.6550653856684875</v>
      </c>
      <c r="D476" t="n">
        <v>0.6637045717030422</v>
      </c>
      <c r="E476">
        <f>DEGREES(ATAN(D476/C476))</f>
        <v/>
      </c>
      <c r="F476">
        <f>DEGREES(ATAN(TAN(RADIANS(pe0-omega*B476))*(C476/sref)^(m_-1)))</f>
        <v/>
      </c>
      <c r="G476">
        <f>E476-F476</f>
        <v/>
      </c>
    </row>
    <row r="477">
      <c r="A477" t="inlineStr">
        <is>
          <t>SMEC (1976-80) | UC25/3A/19T-a</t>
        </is>
      </c>
      <c r="B477" t="n">
        <v>0.2205990783410139</v>
      </c>
      <c r="C477" t="n">
        <v>1.245338733691128</v>
      </c>
      <c r="D477" t="n">
        <v>1.146601800276684</v>
      </c>
      <c r="E477">
        <f>DEGREES(ATAN(D477/C477))</f>
        <v/>
      </c>
      <c r="F477">
        <f>DEGREES(ATAN(TAN(RADIANS(pe0-omega*B477))*(C477/sref)^(m_-1)))</f>
        <v/>
      </c>
      <c r="G477">
        <f>E477-F477</f>
        <v/>
      </c>
    </row>
    <row r="478">
      <c r="A478" t="inlineStr">
        <is>
          <t>SMEC (1976-80) | UC25/3A/19T-a</t>
        </is>
      </c>
      <c r="B478" t="n">
        <v>0.2205990783410139</v>
      </c>
      <c r="C478" t="n">
        <v>2.449127394537436</v>
      </c>
      <c r="D478" t="n">
        <v>2.106080950724625</v>
      </c>
      <c r="E478">
        <f>DEGREES(ATAN(D478/C478))</f>
        <v/>
      </c>
      <c r="F478">
        <f>DEGREES(ATAN(TAN(RADIANS(pe0-omega*B478))*(C478/sref)^(m_-1)))</f>
        <v/>
      </c>
      <c r="G478">
        <f>E478-F478</f>
        <v/>
      </c>
    </row>
    <row r="479">
      <c r="A479" t="inlineStr">
        <is>
          <t>SMEC (1976-80) | UC25/3A/3T-a</t>
        </is>
      </c>
      <c r="B479" t="n">
        <v>0.1719911504424778</v>
      </c>
      <c r="C479" t="n">
        <v>0.6174070889171842</v>
      </c>
      <c r="D479" t="n">
        <v>0.6579106077763031</v>
      </c>
      <c r="E479">
        <f>DEGREES(ATAN(D479/C479))</f>
        <v/>
      </c>
      <c r="F479">
        <f>DEGREES(ATAN(TAN(RADIANS(pe0-omega*B479))*(C479/sref)^(m_-1)))</f>
        <v/>
      </c>
      <c r="G479">
        <f>E479-F479</f>
        <v/>
      </c>
    </row>
    <row r="480">
      <c r="A480" t="inlineStr">
        <is>
          <t>SMEC (1976-80) | UC25/3A/3T-a</t>
        </is>
      </c>
      <c r="B480" t="n">
        <v>0.1719911504424778</v>
      </c>
      <c r="C480" t="n">
        <v>1.235708935012298</v>
      </c>
      <c r="D480" t="n">
        <v>1.261635827526178</v>
      </c>
      <c r="E480">
        <f>DEGREES(ATAN(D480/C480))</f>
        <v/>
      </c>
      <c r="F480">
        <f>DEGREES(ATAN(TAN(RADIANS(pe0-omega*B480))*(C480/sref)^(m_-1)))</f>
        <v/>
      </c>
      <c r="G480">
        <f>E480-F480</f>
        <v/>
      </c>
    </row>
    <row r="481">
      <c r="A481" t="inlineStr">
        <is>
          <t>SMEC (1976-80) | UC25/3A/3T-a</t>
        </is>
      </c>
      <c r="B481" t="n">
        <v>0.1719911504424778</v>
      </c>
      <c r="C481" t="n">
        <v>2.3153779115916</v>
      </c>
      <c r="D481" t="n">
        <v>2.081740959983828</v>
      </c>
      <c r="E481">
        <f>DEGREES(ATAN(D481/C481))</f>
        <v/>
      </c>
      <c r="F481">
        <f>DEGREES(ATAN(TAN(RADIANS(pe0-omega*B481))*(C481/sref)^(m_-1)))</f>
        <v/>
      </c>
      <c r="G481">
        <f>E481-F481</f>
        <v/>
      </c>
    </row>
    <row r="482">
      <c r="A482" t="inlineStr">
        <is>
          <t>SMEC (1976-80) | UC25/3A/4T-a</t>
        </is>
      </c>
      <c r="B482" t="n">
        <v>0.3310050251256282</v>
      </c>
      <c r="C482" t="n">
        <v>0.5425843270176178</v>
      </c>
      <c r="D482" t="n">
        <v>0.457381428289069</v>
      </c>
      <c r="E482">
        <f>DEGREES(ATAN(D482/C482))</f>
        <v/>
      </c>
      <c r="F482">
        <f>DEGREES(ATAN(TAN(RADIANS(pe0-omega*B482))*(C482/sref)^(m_-1)))</f>
        <v/>
      </c>
      <c r="G482">
        <f>E482-F482</f>
        <v/>
      </c>
    </row>
    <row r="483">
      <c r="A483" t="inlineStr">
        <is>
          <t>SMEC (1976-80) | UC25/3A/4T-a</t>
        </is>
      </c>
      <c r="B483" t="n">
        <v>0.3310050251256282</v>
      </c>
      <c r="C483" t="n">
        <v>1.191044236262178</v>
      </c>
      <c r="D483" t="n">
        <v>1.086032229727739</v>
      </c>
      <c r="E483">
        <f>DEGREES(ATAN(D483/C483))</f>
        <v/>
      </c>
      <c r="F483">
        <f>DEGREES(ATAN(TAN(RADIANS(pe0-omega*B483))*(C483/sref)^(m_-1)))</f>
        <v/>
      </c>
      <c r="G483">
        <f>E483-F483</f>
        <v/>
      </c>
    </row>
    <row r="484">
      <c r="A484" t="inlineStr">
        <is>
          <t>SMEC (1976-80) | UC25/3A/4T-a</t>
        </is>
      </c>
      <c r="B484" t="n">
        <v>0.3310050251256282</v>
      </c>
      <c r="C484" t="n">
        <v>2.315294936982227</v>
      </c>
      <c r="D484" t="n">
        <v>1.927235996445952</v>
      </c>
      <c r="E484">
        <f>DEGREES(ATAN(D484/C484))</f>
        <v/>
      </c>
      <c r="F484">
        <f>DEGREES(ATAN(TAN(RADIANS(pe0-omega*B484))*(C484/sref)^(m_-1)))</f>
        <v/>
      </c>
      <c r="G484">
        <f>E484-F484</f>
        <v/>
      </c>
    </row>
    <row r="485">
      <c r="A485" t="inlineStr">
        <is>
          <t>SMEC (1976-80) | UC25/3A/7T-a</t>
        </is>
      </c>
      <c r="B485" t="n">
        <v>0.2553080568720378</v>
      </c>
      <c r="C485" t="n">
        <v>0.745518626032146</v>
      </c>
      <c r="D485" t="n">
        <v>0.7878682904996146</v>
      </c>
      <c r="E485">
        <f>DEGREES(ATAN(D485/C485))</f>
        <v/>
      </c>
      <c r="F485">
        <f>DEGREES(ATAN(TAN(RADIANS(pe0-omega*B485))*(C485/sref)^(m_-1)))</f>
        <v/>
      </c>
      <c r="G485">
        <f>E485-F485</f>
        <v/>
      </c>
    </row>
    <row r="486">
      <c r="A486" t="inlineStr">
        <is>
          <t>SMEC (1976-80) | UC25/3A/7T-a</t>
        </is>
      </c>
      <c r="B486" t="n">
        <v>0.2553080568720378</v>
      </c>
      <c r="C486" t="n">
        <v>1.368942729446191</v>
      </c>
      <c r="D486" t="n">
        <v>1.18353162558797</v>
      </c>
      <c r="E486">
        <f>DEGREES(ATAN(D486/C486))</f>
        <v/>
      </c>
      <c r="F486">
        <f>DEGREES(ATAN(TAN(RADIANS(pe0-omega*B486))*(C486/sref)^(m_-1)))</f>
        <v/>
      </c>
      <c r="G486">
        <f>E486-F486</f>
        <v/>
      </c>
    </row>
    <row r="487">
      <c r="A487" t="inlineStr">
        <is>
          <t>SMEC (1976-80) | UC25/3A/7T-a</t>
        </is>
      </c>
      <c r="B487" t="n">
        <v>0.2553080568720378</v>
      </c>
      <c r="C487" t="n">
        <v>2.512073078856575</v>
      </c>
      <c r="D487" t="n">
        <v>1.777208955344216</v>
      </c>
      <c r="E487">
        <f>DEGREES(ATAN(D487/C487))</f>
        <v/>
      </c>
      <c r="F487">
        <f>DEGREES(ATAN(TAN(RADIANS(pe0-omega*B487))*(C487/sref)^(m_-1)))</f>
        <v/>
      </c>
      <c r="G487">
        <f>E487-F487</f>
        <v/>
      </c>
    </row>
    <row r="488">
      <c r="A488" t="inlineStr">
        <is>
          <t>SMEC (1976-80) | UC25/4/15T-a</t>
        </is>
      </c>
      <c r="B488" t="n">
        <v>0.3112376237623764</v>
      </c>
      <c r="C488" t="n">
        <v>0.6521480554107055</v>
      </c>
      <c r="D488" t="n">
        <v>0.6322160569409208</v>
      </c>
      <c r="E488">
        <f>DEGREES(ATAN(D488/C488))</f>
        <v/>
      </c>
      <c r="F488">
        <f>DEGREES(ATAN(TAN(RADIANS(pe0-omega*B488))*(C488/sref)^(m_-1)))</f>
        <v/>
      </c>
      <c r="G488">
        <f>E488-F488</f>
        <v/>
      </c>
    </row>
    <row r="489">
      <c r="A489" t="inlineStr">
        <is>
          <t>SMEC (1976-80) | UC25/4/15T-a</t>
        </is>
      </c>
      <c r="B489" t="n">
        <v>0.3112376237623764</v>
      </c>
      <c r="C489" t="n">
        <v>1.242947317671828</v>
      </c>
      <c r="D489" t="n">
        <v>1.071010773150422</v>
      </c>
      <c r="E489">
        <f>DEGREES(ATAN(D489/C489))</f>
        <v/>
      </c>
      <c r="F489">
        <f>DEGREES(ATAN(TAN(RADIANS(pe0-omega*B489))*(C489/sref)^(m_-1)))</f>
        <v/>
      </c>
      <c r="G489">
        <f>E489-F489</f>
        <v/>
      </c>
    </row>
    <row r="490">
      <c r="A490" t="inlineStr">
        <is>
          <t>SMEC (1976-80) | UC25/4/15T-a</t>
        </is>
      </c>
      <c r="B490" t="n">
        <v>0.3112376237623764</v>
      </c>
      <c r="C490" t="n">
        <v>2.418692894292509</v>
      </c>
      <c r="D490" t="n">
        <v>1.889806716478079</v>
      </c>
      <c r="E490">
        <f>DEGREES(ATAN(D490/C490))</f>
        <v/>
      </c>
      <c r="F490">
        <f>DEGREES(ATAN(TAN(RADIANS(pe0-omega*B490))*(C490/sref)^(m_-1)))</f>
        <v/>
      </c>
      <c r="G490">
        <f>E490-F490</f>
        <v/>
      </c>
    </row>
    <row r="491">
      <c r="A491" t="inlineStr">
        <is>
          <t>SMEC (1976-80) | UC25/4/1T-a</t>
        </is>
      </c>
      <c r="B491" t="n">
        <v>0.2734134615384616</v>
      </c>
      <c r="C491" t="n">
        <v>0.5663711856710004</v>
      </c>
      <c r="D491" t="n">
        <v>0.4997691676762543</v>
      </c>
      <c r="E491">
        <f>DEGREES(ATAN(D491/C491))</f>
        <v/>
      </c>
      <c r="F491">
        <f>DEGREES(ATAN(TAN(RADIANS(pe0-omega*B491))*(C491/sref)^(m_-1)))</f>
        <v/>
      </c>
      <c r="G491">
        <f>E491-F491</f>
        <v/>
      </c>
    </row>
    <row r="492">
      <c r="A492" t="inlineStr">
        <is>
          <t>SMEC (1976-80) | UC25/4/1T-a</t>
        </is>
      </c>
      <c r="B492" t="n">
        <v>0.2734134615384616</v>
      </c>
      <c r="C492" t="n">
        <v>1.238691000361746</v>
      </c>
      <c r="D492" t="n">
        <v>1.080985534610377</v>
      </c>
      <c r="E492">
        <f>DEGREES(ATAN(D492/C492))</f>
        <v/>
      </c>
      <c r="F492">
        <f>DEGREES(ATAN(TAN(RADIANS(pe0-omega*B492))*(C492/sref)^(m_-1)))</f>
        <v/>
      </c>
      <c r="G492">
        <f>E492-F492</f>
        <v/>
      </c>
    </row>
    <row r="493">
      <c r="A493" t="inlineStr">
        <is>
          <t>SMEC (1976-80) | UC25/4/1T-a</t>
        </is>
      </c>
      <c r="B493" t="n">
        <v>0.2734134615384616</v>
      </c>
      <c r="C493" t="n">
        <v>1.739429289221783</v>
      </c>
      <c r="D493" t="n">
        <v>1.315965632945316</v>
      </c>
      <c r="E493">
        <f>DEGREES(ATAN(D493/C493))</f>
        <v/>
      </c>
      <c r="F493">
        <f>DEGREES(ATAN(TAN(RADIANS(pe0-omega*B493))*(C493/sref)^(m_-1)))</f>
        <v/>
      </c>
      <c r="G493">
        <f>E493-F493</f>
        <v/>
      </c>
    </row>
    <row r="494">
      <c r="A494" t="inlineStr">
        <is>
          <t>SMEC (1976-80) | UC25/4/1T-a</t>
        </is>
      </c>
      <c r="B494" t="n">
        <v>0.2734134615384616</v>
      </c>
      <c r="C494" t="n">
        <v>2.288592499738147</v>
      </c>
      <c r="D494" t="n">
        <v>1.635386122126971</v>
      </c>
      <c r="E494">
        <f>DEGREES(ATAN(D494/C494))</f>
        <v/>
      </c>
      <c r="F494">
        <f>DEGREES(ATAN(TAN(RADIANS(pe0-omega*B494))*(C494/sref)^(m_-1)))</f>
        <v/>
      </c>
      <c r="G494">
        <f>E494-F494</f>
        <v/>
      </c>
    </row>
    <row r="495">
      <c r="A495" t="inlineStr">
        <is>
          <t>SMEC (1976-80) | UC25/4/6T-a</t>
        </is>
      </c>
      <c r="B495" t="n">
        <v>0.2673205741626796</v>
      </c>
      <c r="C495" t="n">
        <v>0.6068088534466762</v>
      </c>
      <c r="D495" t="n">
        <v>0.6009925676754063</v>
      </c>
      <c r="E495">
        <f>DEGREES(ATAN(D495/C495))</f>
        <v/>
      </c>
      <c r="F495">
        <f>DEGREES(ATAN(TAN(RADIANS(pe0-omega*B495))*(C495/sref)^(m_-1)))</f>
        <v/>
      </c>
      <c r="G495">
        <f>E495-F495</f>
        <v/>
      </c>
    </row>
    <row r="496">
      <c r="A496" t="inlineStr">
        <is>
          <t>SMEC (1976-80) | UC25/4/6T-a</t>
        </is>
      </c>
      <c r="B496" t="n">
        <v>0.2673205741626796</v>
      </c>
      <c r="C496" t="n">
        <v>1.232888405280087</v>
      </c>
      <c r="D496" t="n">
        <v>1.115360723370246</v>
      </c>
      <c r="E496">
        <f>DEGREES(ATAN(D496/C496))</f>
        <v/>
      </c>
      <c r="F496">
        <f>DEGREES(ATAN(TAN(RADIANS(pe0-omega*B496))*(C496/sref)^(m_-1)))</f>
        <v/>
      </c>
      <c r="G496">
        <f>E496-F496</f>
        <v/>
      </c>
    </row>
    <row r="497">
      <c r="A497" t="inlineStr">
        <is>
          <t>SMEC (1976-80) | UC25/4/6T-a</t>
        </is>
      </c>
      <c r="B497" t="n">
        <v>0.2673205741626796</v>
      </c>
      <c r="C497" t="n">
        <v>2.279190670012352</v>
      </c>
      <c r="D497" t="n">
        <v>1.771729038135624</v>
      </c>
      <c r="E497">
        <f>DEGREES(ATAN(D497/C497))</f>
        <v/>
      </c>
      <c r="F497">
        <f>DEGREES(ATAN(TAN(RADIANS(pe0-omega*B497))*(C497/sref)^(m_-1)))</f>
        <v/>
      </c>
      <c r="G497">
        <f>E497-F497</f>
        <v/>
      </c>
    </row>
    <row r="498">
      <c r="A498" t="inlineStr">
        <is>
          <t>SMEC (1976-80) | UC25/4/9T-a</t>
        </is>
      </c>
      <c r="B498" t="n">
        <v>0.3112376237623764</v>
      </c>
      <c r="C498" t="n">
        <v>0.6476708932624695</v>
      </c>
      <c r="D498" t="n">
        <v>0.6531936351470531</v>
      </c>
      <c r="E498">
        <f>DEGREES(ATAN(D498/C498))</f>
        <v/>
      </c>
      <c r="F498">
        <f>DEGREES(ATAN(TAN(RADIANS(pe0-omega*B498))*(C498/sref)^(m_-1)))</f>
        <v/>
      </c>
      <c r="G498">
        <f>E498-F498</f>
        <v/>
      </c>
    </row>
    <row r="499">
      <c r="A499" t="inlineStr">
        <is>
          <t>SMEC (1976-80) | UC25/4/9T-a</t>
        </is>
      </c>
      <c r="B499" t="n">
        <v>0.3112376237623764</v>
      </c>
      <c r="C499" t="n">
        <v>1.241171536822862</v>
      </c>
      <c r="D499" t="n">
        <v>1.108159587260245</v>
      </c>
      <c r="E499">
        <f>DEGREES(ATAN(D499/C499))</f>
        <v/>
      </c>
      <c r="F499">
        <f>DEGREES(ATAN(TAN(RADIANS(pe0-omega*B499))*(C499/sref)^(m_-1)))</f>
        <v/>
      </c>
      <c r="G499">
        <f>E499-F499</f>
        <v/>
      </c>
    </row>
    <row r="500">
      <c r="A500" t="inlineStr">
        <is>
          <t>SMEC (1976-80) | UC25/4/9T-a</t>
        </is>
      </c>
      <c r="B500" t="n">
        <v>0.3112376237623764</v>
      </c>
      <c r="C500" t="n">
        <v>2.44168078202854</v>
      </c>
      <c r="D500" t="n">
        <v>2.011637033260907</v>
      </c>
      <c r="E500">
        <f>DEGREES(ATAN(D500/C500))</f>
        <v/>
      </c>
      <c r="F500">
        <f>DEGREES(ATAN(TAN(RADIANS(pe0-omega*B500))*(C500/sref)^(m_-1)))</f>
        <v/>
      </c>
      <c r="G500">
        <f>E500-F500</f>
        <v/>
      </c>
    </row>
    <row r="501">
      <c r="A501" t="inlineStr">
        <is>
          <t>Al-Hussaini (1983) | A1</t>
        </is>
      </c>
      <c r="B501" t="n">
        <v>0.53</v>
      </c>
      <c r="C501" t="n">
        <v>0.7886555634175524</v>
      </c>
      <c r="D501" t="n">
        <v>0.8017955216424404</v>
      </c>
      <c r="E501">
        <f>DEGREES(ATAN(D501/C501))</f>
        <v/>
      </c>
      <c r="F501">
        <f>DEGREES(ATAN(TAN(RADIANS(pe0-omega*B501))*(C501/sref)^(m_-1)))</f>
        <v/>
      </c>
      <c r="G501">
        <f>E501-F501</f>
        <v/>
      </c>
    </row>
    <row r="502">
      <c r="A502" t="inlineStr">
        <is>
          <t>Al-Hussaini (1983) | A1</t>
        </is>
      </c>
      <c r="B502" t="n">
        <v>0.53</v>
      </c>
      <c r="C502" t="n">
        <v>1.60384988013975</v>
      </c>
      <c r="D502" t="n">
        <v>1.466766774032228</v>
      </c>
      <c r="E502">
        <f>DEGREES(ATAN(D502/C502))</f>
        <v/>
      </c>
      <c r="F502">
        <f>DEGREES(ATAN(TAN(RADIANS(pe0-omega*B502))*(C502/sref)^(m_-1)))</f>
        <v/>
      </c>
      <c r="G502">
        <f>E502-F502</f>
        <v/>
      </c>
    </row>
    <row r="503">
      <c r="A503" t="inlineStr">
        <is>
          <t>Al-Hussaini (1983) | A1</t>
        </is>
      </c>
      <c r="B503" t="n">
        <v>0.53</v>
      </c>
      <c r="C503" t="n">
        <v>3.56667401556889</v>
      </c>
      <c r="D503" t="n">
        <v>2.719996468597368</v>
      </c>
      <c r="E503">
        <f>DEGREES(ATAN(D503/C503))</f>
        <v/>
      </c>
      <c r="F503">
        <f>DEGREES(ATAN(TAN(RADIANS(pe0-omega*B503))*(C503/sref)^(m_-1)))</f>
        <v/>
      </c>
      <c r="G503">
        <f>E503-F503</f>
        <v/>
      </c>
    </row>
    <row r="504">
      <c r="A504" t="inlineStr">
        <is>
          <t>Al-Hussaini (1983) | A13</t>
        </is>
      </c>
      <c r="B504" t="n">
        <v>0.45</v>
      </c>
      <c r="C504" t="n">
        <v>0.811584299891068</v>
      </c>
      <c r="D504" t="n">
        <v>0.8902534918327063</v>
      </c>
      <c r="E504">
        <f>DEGREES(ATAN(D504/C504))</f>
        <v/>
      </c>
      <c r="F504">
        <f>DEGREES(ATAN(TAN(RADIANS(pe0-omega*B504))*(C504/sref)^(m_-1)))</f>
        <v/>
      </c>
      <c r="G504">
        <f>E504-F504</f>
        <v/>
      </c>
    </row>
    <row r="505">
      <c r="A505" t="inlineStr">
        <is>
          <t>Al-Hussaini (1983) | A13</t>
        </is>
      </c>
      <c r="B505" t="n">
        <v>0.45</v>
      </c>
      <c r="C505" t="n">
        <v>1.652442594601603</v>
      </c>
      <c r="D505" t="n">
        <v>1.627697612735952</v>
      </c>
      <c r="E505">
        <f>DEGREES(ATAN(D505/C505))</f>
        <v/>
      </c>
      <c r="F505">
        <f>DEGREES(ATAN(TAN(RADIANS(pe0-omega*B505))*(C505/sref)^(m_-1)))</f>
        <v/>
      </c>
      <c r="G505">
        <f>E505-F505</f>
        <v/>
      </c>
    </row>
    <row r="506">
      <c r="A506" t="inlineStr">
        <is>
          <t>Al-Hussaini (1983) | A13</t>
        </is>
      </c>
      <c r="B506" t="n">
        <v>0.45</v>
      </c>
      <c r="C506" t="n">
        <v>3.637441081417549</v>
      </c>
      <c r="D506" t="n">
        <v>2.955616863456333</v>
      </c>
      <c r="E506">
        <f>DEGREES(ATAN(D506/C506))</f>
        <v/>
      </c>
      <c r="F506">
        <f>DEGREES(ATAN(TAN(RADIANS(pe0-omega*B506))*(C506/sref)^(m_-1)))</f>
        <v/>
      </c>
      <c r="G506">
        <f>E506-F506</f>
        <v/>
      </c>
    </row>
    <row r="507">
      <c r="A507" t="inlineStr">
        <is>
          <t>Al-Hussaini (1983) | A13</t>
        </is>
      </c>
      <c r="B507" t="n">
        <v>0.45</v>
      </c>
      <c r="C507" t="n">
        <v>5.413938357421032</v>
      </c>
      <c r="D507" t="n">
        <v>4.189711089863343</v>
      </c>
      <c r="E507">
        <f>DEGREES(ATAN(D507/C507))</f>
        <v/>
      </c>
      <c r="F507">
        <f>DEGREES(ATAN(TAN(RADIANS(pe0-omega*B507))*(C507/sref)^(m_-1)))</f>
        <v/>
      </c>
      <c r="G507">
        <f>E507-F507</f>
        <v/>
      </c>
    </row>
    <row r="508">
      <c r="A508" t="inlineStr">
        <is>
          <t>Al-Hussaini (1983) | A17</t>
        </is>
      </c>
      <c r="B508" t="n">
        <v>0.36</v>
      </c>
      <c r="C508" t="n">
        <v>0.8634621939599089</v>
      </c>
      <c r="D508" t="n">
        <v>1.047648875232099</v>
      </c>
      <c r="E508">
        <f>DEGREES(ATAN(D508/C508))</f>
        <v/>
      </c>
      <c r="F508">
        <f>DEGREES(ATAN(TAN(RADIANS(pe0-omega*B508))*(C508/sref)^(m_-1)))</f>
        <v/>
      </c>
      <c r="G508">
        <f>E508-F508</f>
        <v/>
      </c>
    </row>
    <row r="509">
      <c r="A509" t="inlineStr">
        <is>
          <t>Al-Hussaini (1983) | A17</t>
        </is>
      </c>
      <c r="B509" t="n">
        <v>0.36</v>
      </c>
      <c r="C509" t="n">
        <v>1.720510981698613</v>
      </c>
      <c r="D509" t="n">
        <v>1.80236298132184</v>
      </c>
      <c r="E509">
        <f>DEGREES(ATAN(D509/C509))</f>
        <v/>
      </c>
      <c r="F509">
        <f>DEGREES(ATAN(TAN(RADIANS(pe0-omega*B509))*(C509/sref)^(m_-1)))</f>
        <v/>
      </c>
      <c r="G509">
        <f>E509-F509</f>
        <v/>
      </c>
    </row>
    <row r="510">
      <c r="A510" t="inlineStr">
        <is>
          <t>Al-Hussaini (1983) | A17</t>
        </is>
      </c>
      <c r="B510" t="n">
        <v>0.36</v>
      </c>
      <c r="C510" t="n">
        <v>3.865051176538359</v>
      </c>
      <c r="D510" t="n">
        <v>3.374990694110947</v>
      </c>
      <c r="E510">
        <f>DEGREES(ATAN(D510/C510))</f>
        <v/>
      </c>
      <c r="F510">
        <f>DEGREES(ATAN(TAN(RADIANS(pe0-omega*B510))*(C510/sref)^(m_-1)))</f>
        <v/>
      </c>
      <c r="G510">
        <f>E510-F510</f>
        <v/>
      </c>
    </row>
    <row r="511">
      <c r="A511" t="inlineStr">
        <is>
          <t>Al-Hussaini (1983) | A17</t>
        </is>
      </c>
      <c r="B511" t="n">
        <v>0.36</v>
      </c>
      <c r="C511" t="n">
        <v>5.618520227256217</v>
      </c>
      <c r="D511" t="n">
        <v>4.511470965640496</v>
      </c>
      <c r="E511">
        <f>DEGREES(ATAN(D511/C511))</f>
        <v/>
      </c>
      <c r="F511">
        <f>DEGREES(ATAN(TAN(RADIANS(pe0-omega*B511))*(C511/sref)^(m_-1)))</f>
        <v/>
      </c>
      <c r="G511">
        <f>E511-F511</f>
        <v/>
      </c>
    </row>
    <row r="512">
      <c r="A512" t="inlineStr">
        <is>
          <t>Al-Hussaini (1983) | A18</t>
        </is>
      </c>
      <c r="B512" t="n">
        <v>0.4325</v>
      </c>
      <c r="C512" t="n">
        <v>0.8120052498433461</v>
      </c>
      <c r="D512" t="n">
        <v>0.9127545491301869</v>
      </c>
      <c r="E512">
        <f>DEGREES(ATAN(D512/C512))</f>
        <v/>
      </c>
      <c r="F512">
        <f>DEGREES(ATAN(TAN(RADIANS(pe0-omega*B512))*(C512/sref)^(m_-1)))</f>
        <v/>
      </c>
      <c r="G512">
        <f>E512-F512</f>
        <v/>
      </c>
    </row>
    <row r="513">
      <c r="A513" t="inlineStr">
        <is>
          <t>Al-Hussaini (1983) | A18</t>
        </is>
      </c>
      <c r="B513" t="n">
        <v>0.4325</v>
      </c>
      <c r="C513" t="n">
        <v>1.621632331117196</v>
      </c>
      <c r="D513" t="n">
        <v>1.603027035128633</v>
      </c>
      <c r="E513">
        <f>DEGREES(ATAN(D513/C513))</f>
        <v/>
      </c>
      <c r="F513">
        <f>DEGREES(ATAN(TAN(RADIANS(pe0-omega*B513))*(C513/sref)^(m_-1)))</f>
        <v/>
      </c>
      <c r="G513">
        <f>E513-F513</f>
        <v/>
      </c>
    </row>
    <row r="514">
      <c r="A514" t="inlineStr">
        <is>
          <t>Al-Hussaini (1983) | A18</t>
        </is>
      </c>
      <c r="B514" t="n">
        <v>0.4325</v>
      </c>
      <c r="C514" t="n">
        <v>3.708084919861048</v>
      </c>
      <c r="D514" t="n">
        <v>3.161858626044204</v>
      </c>
      <c r="E514">
        <f>DEGREES(ATAN(D514/C514))</f>
        <v/>
      </c>
      <c r="F514">
        <f>DEGREES(ATAN(TAN(RADIANS(pe0-omega*B514))*(C514/sref)^(m_-1)))</f>
        <v/>
      </c>
      <c r="G514">
        <f>E514-F514</f>
        <v/>
      </c>
    </row>
    <row r="515">
      <c r="A515" t="inlineStr">
        <is>
          <t>Al-Hussaini (1983) | A18</t>
        </is>
      </c>
      <c r="B515" t="n">
        <v>0.4325</v>
      </c>
      <c r="C515" t="n">
        <v>5.468661296091144</v>
      </c>
      <c r="D515" t="n">
        <v>4.388665773712647</v>
      </c>
      <c r="E515">
        <f>DEGREES(ATAN(D515/C515))</f>
        <v/>
      </c>
      <c r="F515">
        <f>DEGREES(ATAN(TAN(RADIANS(pe0-omega*B515))*(C515/sref)^(m_-1)))</f>
        <v/>
      </c>
      <c r="G515">
        <f>E515-F515</f>
        <v/>
      </c>
    </row>
    <row r="516">
      <c r="A516" t="inlineStr">
        <is>
          <t>Al-Hussaini (1983) | A21</t>
        </is>
      </c>
      <c r="B516" t="n">
        <v>0.635</v>
      </c>
      <c r="C516" t="n">
        <v>0.7322804050071678</v>
      </c>
      <c r="D516" t="n">
        <v>0.6608222652313942</v>
      </c>
      <c r="E516">
        <f>DEGREES(ATAN(D516/C516))</f>
        <v/>
      </c>
      <c r="F516">
        <f>DEGREES(ATAN(TAN(RADIANS(pe0-omega*B516))*(C516/sref)^(m_-1)))</f>
        <v/>
      </c>
      <c r="G516">
        <f>E516-F516</f>
        <v/>
      </c>
    </row>
    <row r="517">
      <c r="A517" t="inlineStr">
        <is>
          <t>Al-Hussaini (1983) | A21</t>
        </is>
      </c>
      <c r="B517" t="n">
        <v>0.635</v>
      </c>
      <c r="C517" t="n">
        <v>1.484872083898512</v>
      </c>
      <c r="D517" t="n">
        <v>1.227489668347439</v>
      </c>
      <c r="E517">
        <f>DEGREES(ATAN(D517/C517))</f>
        <v/>
      </c>
      <c r="F517">
        <f>DEGREES(ATAN(TAN(RADIANS(pe0-omega*B517))*(C517/sref)^(m_-1)))</f>
        <v/>
      </c>
      <c r="G517">
        <f>E517-F517</f>
        <v/>
      </c>
    </row>
    <row r="518">
      <c r="A518" t="inlineStr">
        <is>
          <t>Al-Hussaini (1983) | A25</t>
        </is>
      </c>
      <c r="B518" t="n">
        <v>0.5475</v>
      </c>
      <c r="C518" t="n">
        <v>0.7865304254497217</v>
      </c>
      <c r="D518" t="n">
        <v>0.8000206367194032</v>
      </c>
      <c r="E518">
        <f>DEGREES(ATAN(D518/C518))</f>
        <v/>
      </c>
      <c r="F518">
        <f>DEGREES(ATAN(TAN(RADIANS(pe0-omega*B518))*(C518/sref)^(m_-1)))</f>
        <v/>
      </c>
      <c r="G518">
        <f>E518-F518</f>
        <v/>
      </c>
    </row>
    <row r="519">
      <c r="A519" t="inlineStr">
        <is>
          <t>Al-Hussaini (1983) | A25</t>
        </is>
      </c>
      <c r="B519" t="n">
        <v>0.5475</v>
      </c>
      <c r="C519" t="n">
        <v>1.505326881886999</v>
      </c>
      <c r="D519" t="n">
        <v>1.292987872994084</v>
      </c>
      <c r="E519">
        <f>DEGREES(ATAN(D519/C519))</f>
        <v/>
      </c>
      <c r="F519">
        <f>DEGREES(ATAN(TAN(RADIANS(pe0-omega*B519))*(C519/sref)^(m_-1)))</f>
        <v/>
      </c>
      <c r="G519">
        <f>E519-F519</f>
        <v/>
      </c>
    </row>
    <row r="520">
      <c r="A520" t="inlineStr">
        <is>
          <t>Al-Hussaini (1983) | A29</t>
        </is>
      </c>
      <c r="B520" t="n">
        <v>0.4925</v>
      </c>
      <c r="C520" t="n">
        <v>0.8061158807679122</v>
      </c>
      <c r="D520" t="n">
        <v>0.8628533615883314</v>
      </c>
      <c r="E520">
        <f>DEGREES(ATAN(D520/C520))</f>
        <v/>
      </c>
      <c r="F520">
        <f>DEGREES(ATAN(TAN(RADIANS(pe0-omega*B520))*(C520/sref)^(m_-1)))</f>
        <v/>
      </c>
      <c r="G520">
        <f>E520-F520</f>
        <v/>
      </c>
    </row>
    <row r="521">
      <c r="A521" t="inlineStr">
        <is>
          <t>Al-Hussaini (1983) | A29</t>
        </is>
      </c>
      <c r="B521" t="n">
        <v>0.4925</v>
      </c>
      <c r="C521" t="n">
        <v>1.609710969770937</v>
      </c>
      <c r="D521" t="n">
        <v>1.521096083978685</v>
      </c>
      <c r="E521">
        <f>DEGREES(ATAN(D521/C521))</f>
        <v/>
      </c>
      <c r="F521">
        <f>DEGREES(ATAN(TAN(RADIANS(pe0-omega*B521))*(C521/sref)^(m_-1)))</f>
        <v/>
      </c>
      <c r="G521">
        <f>E521-F521</f>
        <v/>
      </c>
    </row>
    <row r="522">
      <c r="A522" t="inlineStr">
        <is>
          <t>Al-Hussaini (1983) | A29</t>
        </is>
      </c>
      <c r="B522" t="n">
        <v>0.4925</v>
      </c>
      <c r="C522" t="n">
        <v>3.636708705795544</v>
      </c>
      <c r="D522" t="n">
        <v>2.9284425735892</v>
      </c>
      <c r="E522">
        <f>DEGREES(ATAN(D522/C522))</f>
        <v/>
      </c>
      <c r="F522">
        <f>DEGREES(ATAN(TAN(RADIANS(pe0-omega*B522))*(C522/sref)^(m_-1)))</f>
        <v/>
      </c>
      <c r="G522">
        <f>E522-F522</f>
        <v/>
      </c>
    </row>
    <row r="523">
      <c r="A523" t="inlineStr">
        <is>
          <t>Al-Hussaini (1983) | A29</t>
        </is>
      </c>
      <c r="B523" t="n">
        <v>0.4925</v>
      </c>
      <c r="C523" t="n">
        <v>5.346117899596247</v>
      </c>
      <c r="D523" t="n">
        <v>4.036468063453208</v>
      </c>
      <c r="E523">
        <f>DEGREES(ATAN(D523/C523))</f>
        <v/>
      </c>
      <c r="F523">
        <f>DEGREES(ATAN(TAN(RADIANS(pe0-omega*B523))*(C523/sref)^(m_-1)))</f>
        <v/>
      </c>
      <c r="G523">
        <f>E523-F523</f>
        <v/>
      </c>
    </row>
    <row r="524">
      <c r="A524" t="inlineStr">
        <is>
          <t>Al-Hussaini (1983) | A33</t>
        </is>
      </c>
      <c r="B524" t="n">
        <v>0.37</v>
      </c>
      <c r="C524" t="n">
        <v>0.848076598651044</v>
      </c>
      <c r="D524" t="n">
        <v>1.032847759164826</v>
      </c>
      <c r="E524">
        <f>DEGREES(ATAN(D524/C524))</f>
        <v/>
      </c>
      <c r="F524">
        <f>DEGREES(ATAN(TAN(RADIANS(pe0-omega*B524))*(C524/sref)^(m_-1)))</f>
        <v/>
      </c>
      <c r="G524">
        <f>E524-F524</f>
        <v/>
      </c>
    </row>
    <row r="525">
      <c r="A525" t="inlineStr">
        <is>
          <t>Al-Hussaini (1983) | A33</t>
        </is>
      </c>
      <c r="B525" t="n">
        <v>0.37</v>
      </c>
      <c r="C525" t="n">
        <v>1.71479587412114</v>
      </c>
      <c r="D525" t="n">
        <v>1.844600455439041</v>
      </c>
      <c r="E525">
        <f>DEGREES(ATAN(D525/C525))</f>
        <v/>
      </c>
      <c r="F525">
        <f>DEGREES(ATAN(TAN(RADIANS(pe0-omega*B525))*(C525/sref)^(m_-1)))</f>
        <v/>
      </c>
      <c r="G525">
        <f>E525-F525</f>
        <v/>
      </c>
    </row>
    <row r="526">
      <c r="A526" t="inlineStr">
        <is>
          <t>Al-Hussaini (1983) | A33</t>
        </is>
      </c>
      <c r="B526" t="n">
        <v>0.37</v>
      </c>
      <c r="C526" t="n">
        <v>3.823917272434676</v>
      </c>
      <c r="D526" t="n">
        <v>3.424810221933812</v>
      </c>
      <c r="E526">
        <f>DEGREES(ATAN(D526/C526))</f>
        <v/>
      </c>
      <c r="F526">
        <f>DEGREES(ATAN(TAN(RADIANS(pe0-omega*B526))*(C526/sref)^(m_-1)))</f>
        <v/>
      </c>
      <c r="G526">
        <f>E526-F526</f>
        <v/>
      </c>
    </row>
    <row r="527">
      <c r="A527" t="inlineStr">
        <is>
          <t>Al-Hussaini (1983) | A33</t>
        </is>
      </c>
      <c r="B527" t="n">
        <v>0.37</v>
      </c>
      <c r="C527" t="n">
        <v>5.625568604802858</v>
      </c>
      <c r="D527" t="n">
        <v>4.707486426608837</v>
      </c>
      <c r="E527">
        <f>DEGREES(ATAN(D527/C527))</f>
        <v/>
      </c>
      <c r="F527">
        <f>DEGREES(ATAN(TAN(RADIANS(pe0-omega*B527))*(C527/sref)^(m_-1)))</f>
        <v/>
      </c>
      <c r="G527">
        <f>E527-F527</f>
        <v/>
      </c>
    </row>
    <row r="528">
      <c r="A528" t="inlineStr">
        <is>
          <t>Al-Hussaini (1983) | A5</t>
        </is>
      </c>
      <c r="B528" t="n">
        <v>0.45</v>
      </c>
      <c r="C528" t="n">
        <v>0.7857515185433948</v>
      </c>
      <c r="D528" t="n">
        <v>0.8223526472736606</v>
      </c>
      <c r="E528">
        <f>DEGREES(ATAN(D528/C528))</f>
        <v/>
      </c>
      <c r="F528">
        <f>DEGREES(ATAN(TAN(RADIANS(pe0-omega*B528))*(C528/sref)^(m_-1)))</f>
        <v/>
      </c>
      <c r="G528">
        <f>E528-F528</f>
        <v/>
      </c>
    </row>
    <row r="529">
      <c r="A529" t="inlineStr">
        <is>
          <t>Al-Hussaini (1983) | A5</t>
        </is>
      </c>
      <c r="B529" t="n">
        <v>0.45</v>
      </c>
      <c r="C529" t="n">
        <v>1.599819108340429</v>
      </c>
      <c r="D529" t="n">
        <v>1.513430831610735</v>
      </c>
      <c r="E529">
        <f>DEGREES(ATAN(D529/C529))</f>
        <v/>
      </c>
      <c r="F529">
        <f>DEGREES(ATAN(TAN(RADIANS(pe0-omega*B529))*(C529/sref)^(m_-1)))</f>
        <v/>
      </c>
      <c r="G529">
        <f>E529-F529</f>
        <v/>
      </c>
    </row>
    <row r="530">
      <c r="A530" t="inlineStr">
        <is>
          <t>Al-Hussaini (1983) | A5</t>
        </is>
      </c>
      <c r="B530" t="n">
        <v>0.45</v>
      </c>
      <c r="C530" t="n">
        <v>3.582271261670883</v>
      </c>
      <c r="D530" t="n">
        <v>2.865192604471567</v>
      </c>
      <c r="E530">
        <f>DEGREES(ATAN(D530/C530))</f>
        <v/>
      </c>
      <c r="F530">
        <f>DEGREES(ATAN(TAN(RADIANS(pe0-omega*B530))*(C530/sref)^(m_-1)))</f>
        <v/>
      </c>
      <c r="G530">
        <f>E530-F530</f>
        <v/>
      </c>
    </row>
    <row r="531">
      <c r="A531" t="inlineStr">
        <is>
          <t>Al-Hussaini (1983) | A5</t>
        </is>
      </c>
      <c r="B531" t="n">
        <v>0.45</v>
      </c>
      <c r="C531" t="n">
        <v>5.385562702651892</v>
      </c>
      <c r="D531" t="n">
        <v>4.171723131812597</v>
      </c>
      <c r="E531">
        <f>DEGREES(ATAN(D531/C531))</f>
        <v/>
      </c>
      <c r="F531">
        <f>DEGREES(ATAN(TAN(RADIANS(pe0-omega*B531))*(C531/sref)^(m_-1)))</f>
        <v/>
      </c>
      <c r="G531">
        <f>E531-F531</f>
        <v/>
      </c>
    </row>
    <row r="532">
      <c r="A532" t="inlineStr">
        <is>
          <t>Al-Hussaini (1983) | A9</t>
        </is>
      </c>
      <c r="B532" t="n">
        <v>0.41</v>
      </c>
      <c r="C532" t="n">
        <v>0.8365584889365058</v>
      </c>
      <c r="D532" t="n">
        <v>0.9572585948052723</v>
      </c>
      <c r="E532">
        <f>DEGREES(ATAN(D532/C532))</f>
        <v/>
      </c>
      <c r="F532">
        <f>DEGREES(ATAN(TAN(RADIANS(pe0-omega*B532))*(C532/sref)^(m_-1)))</f>
        <v/>
      </c>
      <c r="G532">
        <f>E532-F532</f>
        <v/>
      </c>
    </row>
    <row r="533">
      <c r="A533" t="inlineStr">
        <is>
          <t>Al-Hussaini (1983) | A9</t>
        </is>
      </c>
      <c r="B533" t="n">
        <v>0.41</v>
      </c>
      <c r="C533" t="n">
        <v>1.691767564501761</v>
      </c>
      <c r="D533" t="n">
        <v>1.707198206461381</v>
      </c>
      <c r="E533">
        <f>DEGREES(ATAN(D533/C533))</f>
        <v/>
      </c>
      <c r="F533">
        <f>DEGREES(ATAN(TAN(RADIANS(pe0-omega*B533))*(C533/sref)^(m_-1)))</f>
        <v/>
      </c>
      <c r="G533">
        <f>E533-F533</f>
        <v/>
      </c>
    </row>
    <row r="534">
      <c r="A534" t="inlineStr">
        <is>
          <t>Al-Hussaini (1983) | A9</t>
        </is>
      </c>
      <c r="B534" t="n">
        <v>0.41</v>
      </c>
      <c r="C534" t="n">
        <v>3.783285419923712</v>
      </c>
      <c r="D534" t="n">
        <v>3.186655137857716</v>
      </c>
      <c r="E534">
        <f>DEGREES(ATAN(D534/C534))</f>
        <v/>
      </c>
      <c r="F534">
        <f>DEGREES(ATAN(TAN(RADIANS(pe0-omega*B534))*(C534/sref)^(m_-1)))</f>
        <v/>
      </c>
      <c r="G534">
        <f>E534-F534</f>
        <v/>
      </c>
    </row>
    <row r="535">
      <c r="A535" t="inlineStr">
        <is>
          <t>Al-Hussaini (1983) | A9</t>
        </is>
      </c>
      <c r="B535" t="n">
        <v>0.41</v>
      </c>
      <c r="C535" t="n">
        <v>5.502500311796386</v>
      </c>
      <c r="D535" t="n">
        <v>4.272352439790301</v>
      </c>
      <c r="E535">
        <f>DEGREES(ATAN(D535/C535))</f>
        <v/>
      </c>
      <c r="F535">
        <f>DEGREES(ATAN(TAN(RADIANS(pe0-omega*B535))*(C535/sref)^(m_-1)))</f>
        <v/>
      </c>
      <c r="G535">
        <f>E535-F535</f>
        <v/>
      </c>
    </row>
    <row r="536">
      <c r="A536" t="inlineStr">
        <is>
          <t>HEC (1984) | B-4479</t>
        </is>
      </c>
      <c r="B536" t="n">
        <v>0.23</v>
      </c>
      <c r="C536" t="n">
        <v>0.2030764006450768</v>
      </c>
      <c r="D536" t="n">
        <v>0.2527834909491641</v>
      </c>
      <c r="E536">
        <f>DEGREES(ATAN(D536/C536))</f>
        <v/>
      </c>
      <c r="F536">
        <f>DEGREES(ATAN(TAN(RADIANS(pe0-omega*B536))*(C536/sref)^(m_-1)))</f>
        <v/>
      </c>
      <c r="G536">
        <f>E536-F536</f>
        <v/>
      </c>
    </row>
    <row r="537">
      <c r="A537" t="inlineStr">
        <is>
          <t>HEC (1984) | B-4479</t>
        </is>
      </c>
      <c r="B537" t="n">
        <v>0.23</v>
      </c>
      <c r="C537" t="n">
        <v>0.3820278098841862</v>
      </c>
      <c r="D537" t="n">
        <v>0.4129830452805187</v>
      </c>
      <c r="E537">
        <f>DEGREES(ATAN(D537/C537))</f>
        <v/>
      </c>
      <c r="F537">
        <f>DEGREES(ATAN(TAN(RADIANS(pe0-omega*B537))*(C537/sref)^(m_-1)))</f>
        <v/>
      </c>
      <c r="G537">
        <f>E537-F537</f>
        <v/>
      </c>
    </row>
    <row r="538">
      <c r="A538" t="inlineStr">
        <is>
          <t>HEC (1984) | B-4479</t>
        </is>
      </c>
      <c r="B538" t="n">
        <v>0.23</v>
      </c>
      <c r="C538" t="n">
        <v>0.752057671407849</v>
      </c>
      <c r="D538" t="n">
        <v>0.7420228395543641</v>
      </c>
      <c r="E538">
        <f>DEGREES(ATAN(D538/C538))</f>
        <v/>
      </c>
      <c r="F538">
        <f>DEGREES(ATAN(TAN(RADIANS(pe0-omega*B538))*(C538/sref)^(m_-1)))</f>
        <v/>
      </c>
      <c r="G538">
        <f>E538-F538</f>
        <v/>
      </c>
    </row>
    <row r="539">
      <c r="A539" t="inlineStr">
        <is>
          <t>HEC (1984) | R-4479</t>
        </is>
      </c>
      <c r="B539" t="n">
        <v>0.34</v>
      </c>
      <c r="C539" t="n">
        <v>0.1882932285189174</v>
      </c>
      <c r="D539" t="n">
        <v>0.2140053632708515</v>
      </c>
      <c r="E539">
        <f>DEGREES(ATAN(D539/C539))</f>
        <v/>
      </c>
      <c r="F539">
        <f>DEGREES(ATAN(TAN(RADIANS(pe0-omega*B539))*(C539/sref)^(m_-1)))</f>
        <v/>
      </c>
      <c r="G539">
        <f>E539-F539</f>
        <v/>
      </c>
    </row>
    <row r="540">
      <c r="A540" t="inlineStr">
        <is>
          <t>HEC (1984) | R-4479</t>
        </is>
      </c>
      <c r="B540" t="n">
        <v>0.34</v>
      </c>
      <c r="C540" t="n">
        <v>0.3592254729736152</v>
      </c>
      <c r="D540" t="n">
        <v>0.3665383992828917</v>
      </c>
      <c r="E540">
        <f>DEGREES(ATAN(D540/C540))</f>
        <v/>
      </c>
      <c r="F540">
        <f>DEGREES(ATAN(TAN(RADIANS(pe0-omega*B540))*(C540/sref)^(m_-1)))</f>
        <v/>
      </c>
      <c r="G540">
        <f>E540-F540</f>
        <v/>
      </c>
    </row>
    <row r="541">
      <c r="A541" t="inlineStr">
        <is>
          <t>HEC (1984) | R-4479</t>
        </is>
      </c>
      <c r="B541" t="n">
        <v>0.34</v>
      </c>
      <c r="C541" t="n">
        <v>0.7267202099977217</v>
      </c>
      <c r="D541" t="n">
        <v>0.7151283393173101</v>
      </c>
      <c r="E541">
        <f>DEGREES(ATAN(D541/C541))</f>
        <v/>
      </c>
      <c r="F541">
        <f>DEGREES(ATAN(TAN(RADIANS(pe0-omega*B541))*(C541/sref)^(m_-1)))</f>
        <v/>
      </c>
      <c r="G541">
        <f>E541-F541</f>
        <v/>
      </c>
    </row>
    <row r="542">
      <c r="A542" t="inlineStr">
        <is>
          <t>Naylor et al. (1986) | N</t>
        </is>
      </c>
      <c r="B542" t="n">
        <v>0.25</v>
      </c>
      <c r="C542" t="n">
        <v>0.2121579485253584</v>
      </c>
      <c r="D542" t="n">
        <v>0.2456079418994142</v>
      </c>
      <c r="E542">
        <f>DEGREES(ATAN(D542/C542))</f>
        <v/>
      </c>
      <c r="F542">
        <f>DEGREES(ATAN(TAN(RADIANS(pe0-omega*B542))*(C542/sref)^(m_-1)))</f>
        <v/>
      </c>
      <c r="G542">
        <f>E542-F542</f>
        <v/>
      </c>
    </row>
    <row r="543">
      <c r="A543" t="inlineStr">
        <is>
          <t>Naylor et al. (1986) | N</t>
        </is>
      </c>
      <c r="B543" t="n">
        <v>0.25</v>
      </c>
      <c r="C543" t="n">
        <v>0.5690551599803327</v>
      </c>
      <c r="D543" t="n">
        <v>0.5084753363377295</v>
      </c>
      <c r="E543">
        <f>DEGREES(ATAN(D543/C543))</f>
        <v/>
      </c>
      <c r="F543">
        <f>DEGREES(ATAN(TAN(RADIANS(pe0-omega*B543))*(C543/sref)^(m_-1)))</f>
        <v/>
      </c>
      <c r="G543">
        <f>E543-F543</f>
        <v/>
      </c>
    </row>
    <row r="544">
      <c r="A544" t="inlineStr">
        <is>
          <t>Naylor et al. (1986) | N</t>
        </is>
      </c>
      <c r="B544" t="n">
        <v>0.25</v>
      </c>
      <c r="C544" t="n">
        <v>0.909001992634749</v>
      </c>
      <c r="D544" t="n">
        <v>0.7266503681275321</v>
      </c>
      <c r="E544">
        <f>DEGREES(ATAN(D544/C544))</f>
        <v/>
      </c>
      <c r="F544">
        <f>DEGREES(ATAN(TAN(RADIANS(pe0-omega*B544))*(C544/sref)^(m_-1)))</f>
        <v/>
      </c>
      <c r="G544">
        <f>E544-F544</f>
        <v/>
      </c>
    </row>
    <row r="545">
      <c r="A545" t="inlineStr">
        <is>
          <t>Siddiqi et al. (1987) | Sid1</t>
        </is>
      </c>
      <c r="B545" t="n">
        <v>0.37734</v>
      </c>
      <c r="C545" t="n">
        <v>0.2433909192786113</v>
      </c>
      <c r="D545" t="n">
        <v>0.2025430488632366</v>
      </c>
      <c r="E545">
        <f>DEGREES(ATAN(D545/C545))</f>
        <v/>
      </c>
      <c r="F545">
        <f>DEGREES(ATAN(TAN(RADIANS(pe0-omega*B545))*(C545/sref)^(m_-1)))</f>
        <v/>
      </c>
      <c r="G545">
        <f>E545-F545</f>
        <v/>
      </c>
    </row>
    <row r="546">
      <c r="A546" t="inlineStr">
        <is>
          <t>Siddiqi et al. (1987) | Sid1</t>
        </is>
      </c>
      <c r="B546" t="n">
        <v>0.37734</v>
      </c>
      <c r="C546" t="n">
        <v>0.2610546969437846</v>
      </c>
      <c r="D546" t="n">
        <v>0.2067868201070519</v>
      </c>
      <c r="E546">
        <f>DEGREES(ATAN(D546/C546))</f>
        <v/>
      </c>
      <c r="F546">
        <f>DEGREES(ATAN(TAN(RADIANS(pe0-omega*B546))*(C546/sref)^(m_-1)))</f>
        <v/>
      </c>
      <c r="G546">
        <f>E546-F546</f>
        <v/>
      </c>
    </row>
    <row r="547">
      <c r="A547" t="inlineStr">
        <is>
          <t>Siddiqi et al. (1987) | Sid1</t>
        </is>
      </c>
      <c r="B547" t="n">
        <v>0.37734</v>
      </c>
      <c r="C547" t="n">
        <v>0.302758565187085</v>
      </c>
      <c r="D547" t="n">
        <v>0.2482983274960386</v>
      </c>
      <c r="E547">
        <f>DEGREES(ATAN(D547/C547))</f>
        <v/>
      </c>
      <c r="F547">
        <f>DEGREES(ATAN(TAN(RADIANS(pe0-omega*B547))*(C547/sref)^(m_-1)))</f>
        <v/>
      </c>
      <c r="G547">
        <f>E547-F547</f>
        <v/>
      </c>
    </row>
    <row r="548">
      <c r="A548" t="inlineStr">
        <is>
          <t>Ayers et al. (1989) | B10</t>
        </is>
      </c>
      <c r="B548" t="n">
        <v>0.61251875</v>
      </c>
      <c r="C548" t="n">
        <v>0.1853662088649095</v>
      </c>
      <c r="D548" t="n">
        <v>0.1812024579330892</v>
      </c>
      <c r="E548">
        <f>DEGREES(ATAN(D548/C548))</f>
        <v/>
      </c>
      <c r="F548">
        <f>DEGREES(ATAN(TAN(RADIANS(pe0-omega*B548))*(C548/sref)^(m_-1)))</f>
        <v/>
      </c>
      <c r="G548">
        <f>E548-F548</f>
        <v/>
      </c>
    </row>
    <row r="549">
      <c r="A549" t="inlineStr">
        <is>
          <t>Ayers et al. (1989) | B10</t>
        </is>
      </c>
      <c r="B549" t="n">
        <v>0.61251875</v>
      </c>
      <c r="C549" t="n">
        <v>0.3828559817864717</v>
      </c>
      <c r="D549" t="n">
        <v>0.3644874589753168</v>
      </c>
      <c r="E549">
        <f>DEGREES(ATAN(D549/C549))</f>
        <v/>
      </c>
      <c r="F549">
        <f>DEGREES(ATAN(TAN(RADIANS(pe0-omega*B549))*(C549/sref)^(m_-1)))</f>
        <v/>
      </c>
      <c r="G549">
        <f>E549-F549</f>
        <v/>
      </c>
    </row>
    <row r="550">
      <c r="A550" t="inlineStr">
        <is>
          <t>Ayers et al. (1989) | B11</t>
        </is>
      </c>
      <c r="B550" t="n">
        <v>0.5357321428571429</v>
      </c>
      <c r="C550" t="n">
        <v>0.2098484107143072</v>
      </c>
      <c r="D550" t="n">
        <v>0.2426867511707831</v>
      </c>
      <c r="E550">
        <f>DEGREES(ATAN(D550/C550))</f>
        <v/>
      </c>
      <c r="F550">
        <f>DEGREES(ATAN(TAN(RADIANS(pe0-omega*B550))*(C550/sref)^(m_-1)))</f>
        <v/>
      </c>
      <c r="G550">
        <f>E550-F550</f>
        <v/>
      </c>
    </row>
    <row r="551">
      <c r="A551" t="inlineStr">
        <is>
          <t>Ayers et al. (1989) | B11</t>
        </is>
      </c>
      <c r="B551" t="n">
        <v>0.5357321428571429</v>
      </c>
      <c r="C551" t="n">
        <v>0.3979241105088048</v>
      </c>
      <c r="D551" t="n">
        <v>0.3997366784710263</v>
      </c>
      <c r="E551">
        <f>DEGREES(ATAN(D551/C551))</f>
        <v/>
      </c>
      <c r="F551">
        <f>DEGREES(ATAN(TAN(RADIANS(pe0-omega*B551))*(C551/sref)^(m_-1)))</f>
        <v/>
      </c>
      <c r="G551">
        <f>E551-F551</f>
        <v/>
      </c>
    </row>
    <row r="552">
      <c r="A552" t="inlineStr">
        <is>
          <t>Ayers et al. (1989) | B12</t>
        </is>
      </c>
      <c r="B552" t="n">
        <v>0.4659261363636362</v>
      </c>
      <c r="C552" t="n">
        <v>0.2496214910107721</v>
      </c>
      <c r="D552" t="n">
        <v>0.3445860173916547</v>
      </c>
      <c r="E552">
        <f>DEGREES(ATAN(D552/C552))</f>
        <v/>
      </c>
      <c r="F552">
        <f>DEGREES(ATAN(TAN(RADIANS(pe0-omega*B552))*(C552/sref)^(m_-1)))</f>
        <v/>
      </c>
      <c r="G552">
        <f>E552-F552</f>
        <v/>
      </c>
    </row>
    <row r="553">
      <c r="A553" t="inlineStr">
        <is>
          <t>Ayers et al. (1989) | B12</t>
        </is>
      </c>
      <c r="B553" t="n">
        <v>0.4659261363636362</v>
      </c>
      <c r="C553" t="n">
        <v>0.4338878564989713</v>
      </c>
      <c r="D553" t="n">
        <v>0.4781849858614198</v>
      </c>
      <c r="E553">
        <f>DEGREES(ATAN(D553/C553))</f>
        <v/>
      </c>
      <c r="F553">
        <f>DEGREES(ATAN(TAN(RADIANS(pe0-omega*B553))*(C553/sref)^(m_-1)))</f>
        <v/>
      </c>
      <c r="G553">
        <f>E553-F553</f>
        <v/>
      </c>
    </row>
    <row r="554">
      <c r="A554" t="inlineStr">
        <is>
          <t>Ayers et al. (1989) | B13</t>
        </is>
      </c>
      <c r="B554" t="n">
        <v>0.4856763005780347</v>
      </c>
      <c r="C554" t="n">
        <v>0.2114268563956184</v>
      </c>
      <c r="D554" t="n">
        <v>0.2396671529476186</v>
      </c>
      <c r="E554">
        <f>DEGREES(ATAN(D554/C554))</f>
        <v/>
      </c>
      <c r="F554">
        <f>DEGREES(ATAN(TAN(RADIANS(pe0-omega*B554))*(C554/sref)^(m_-1)))</f>
        <v/>
      </c>
      <c r="G554">
        <f>E554-F554</f>
        <v/>
      </c>
    </row>
    <row r="555">
      <c r="A555" t="inlineStr">
        <is>
          <t>Ayers et al. (1989) | B13</t>
        </is>
      </c>
      <c r="B555" t="n">
        <v>0.4856763005780347</v>
      </c>
      <c r="C555" t="n">
        <v>0.3864137421283281</v>
      </c>
      <c r="D555" t="n">
        <v>0.3689656599255179</v>
      </c>
      <c r="E555">
        <f>DEGREES(ATAN(D555/C555))</f>
        <v/>
      </c>
      <c r="F555">
        <f>DEGREES(ATAN(TAN(RADIANS(pe0-omega*B555))*(C555/sref)^(m_-1)))</f>
        <v/>
      </c>
      <c r="G555">
        <f>E555-F555</f>
        <v/>
      </c>
    </row>
    <row r="556">
      <c r="A556" t="inlineStr">
        <is>
          <t>Ayers et al. (1989) | B14</t>
        </is>
      </c>
      <c r="B556" t="n">
        <v>0.443943820224719</v>
      </c>
      <c r="C556" t="n">
        <v>0.2172874599911044</v>
      </c>
      <c r="D556" t="n">
        <v>0.2694589666335515</v>
      </c>
      <c r="E556">
        <f>DEGREES(ATAN(D556/C556))</f>
        <v/>
      </c>
      <c r="F556">
        <f>DEGREES(ATAN(TAN(RADIANS(pe0-omega*B556))*(C556/sref)^(m_-1)))</f>
        <v/>
      </c>
      <c r="G556">
        <f>E556-F556</f>
        <v/>
      </c>
    </row>
    <row r="557">
      <c r="A557" t="inlineStr">
        <is>
          <t>Ayers et al. (1989) | B14</t>
        </is>
      </c>
      <c r="B557" t="n">
        <v>0.443943820224719</v>
      </c>
      <c r="C557" t="n">
        <v>0.3956973684767572</v>
      </c>
      <c r="D557" t="n">
        <v>0.4123915864527718</v>
      </c>
      <c r="E557">
        <f>DEGREES(ATAN(D557/C557))</f>
        <v/>
      </c>
      <c r="F557">
        <f>DEGREES(ATAN(TAN(RADIANS(pe0-omega*B557))*(C557/sref)^(m_-1)))</f>
        <v/>
      </c>
      <c r="G557">
        <f>E557-F557</f>
        <v/>
      </c>
    </row>
    <row r="558">
      <c r="A558" t="inlineStr">
        <is>
          <t>Ayers et al. (1989) | B15</t>
        </is>
      </c>
      <c r="B558" t="n">
        <v>0.4122087912087913</v>
      </c>
      <c r="C558" t="n">
        <v>0.2192428484423207</v>
      </c>
      <c r="D558" t="n">
        <v>0.2898444929294701</v>
      </c>
      <c r="E558">
        <f>DEGREES(ATAN(D558/C558))</f>
        <v/>
      </c>
      <c r="F558">
        <f>DEGREES(ATAN(TAN(RADIANS(pe0-omega*B558))*(C558/sref)^(m_-1)))</f>
        <v/>
      </c>
      <c r="G558">
        <f>E558-F558</f>
        <v/>
      </c>
    </row>
    <row r="559">
      <c r="A559" t="inlineStr">
        <is>
          <t>Ayers et al. (1989) | B15</t>
        </is>
      </c>
      <c r="B559" t="n">
        <v>0.4122087912087913</v>
      </c>
      <c r="C559" t="n">
        <v>0.3986011528460404</v>
      </c>
      <c r="D559" t="n">
        <v>0.4441231044438321</v>
      </c>
      <c r="E559">
        <f>DEGREES(ATAN(D559/C559))</f>
        <v/>
      </c>
      <c r="F559">
        <f>DEGREES(ATAN(TAN(RADIANS(pe0-omega*B559))*(C559/sref)^(m_-1)))</f>
        <v/>
      </c>
      <c r="G559">
        <f>E559-F559</f>
        <v/>
      </c>
    </row>
    <row r="560">
      <c r="A560" t="inlineStr">
        <is>
          <t>Ayers et al. (1989) | B7</t>
        </is>
      </c>
      <c r="B560" t="n">
        <v>0.6538653846153846</v>
      </c>
      <c r="C560" t="n">
        <v>0.2011463244756076</v>
      </c>
      <c r="D560" t="n">
        <v>0.211718390019589</v>
      </c>
      <c r="E560">
        <f>DEGREES(ATAN(D560/C560))</f>
        <v/>
      </c>
      <c r="F560">
        <f>DEGREES(ATAN(TAN(RADIANS(pe0-omega*B560))*(C560/sref)^(m_-1)))</f>
        <v/>
      </c>
      <c r="G560">
        <f>E560-F560</f>
        <v/>
      </c>
    </row>
    <row r="561">
      <c r="A561" t="inlineStr">
        <is>
          <t>Ayers et al. (1989) | B7</t>
        </is>
      </c>
      <c r="B561" t="n">
        <v>0.6538653846153846</v>
      </c>
      <c r="C561" t="n">
        <v>0.3887305936623892</v>
      </c>
      <c r="D561" t="n">
        <v>0.3639428553736805</v>
      </c>
      <c r="E561">
        <f>DEGREES(ATAN(D561/C561))</f>
        <v/>
      </c>
      <c r="F561">
        <f>DEGREES(ATAN(TAN(RADIANS(pe0-omega*B561))*(C561/sref)^(m_-1)))</f>
        <v/>
      </c>
      <c r="G561">
        <f>E561-F561</f>
        <v/>
      </c>
    </row>
    <row r="562">
      <c r="A562" t="inlineStr">
        <is>
          <t>Ayers et al. (1989) | B8</t>
        </is>
      </c>
      <c r="B562" t="n">
        <v>0.582840490797546</v>
      </c>
      <c r="C562" t="n">
        <v>0.204375776357098</v>
      </c>
      <c r="D562" t="n">
        <v>0.2437495131107621</v>
      </c>
      <c r="E562">
        <f>DEGREES(ATAN(D562/C562))</f>
        <v/>
      </c>
      <c r="F562">
        <f>DEGREES(ATAN(TAN(RADIANS(pe0-omega*B562))*(C562/sref)^(m_-1)))</f>
        <v/>
      </c>
      <c r="G562">
        <f>E562-F562</f>
        <v/>
      </c>
    </row>
    <row r="563">
      <c r="A563" t="inlineStr">
        <is>
          <t>Ayers et al. (1989) | B8</t>
        </is>
      </c>
      <c r="B563" t="n">
        <v>0.582840490797546</v>
      </c>
      <c r="C563" t="n">
        <v>0.3907045888595577</v>
      </c>
      <c r="D563" t="n">
        <v>0.4141973583484659</v>
      </c>
      <c r="E563">
        <f>DEGREES(ATAN(D563/C563))</f>
        <v/>
      </c>
      <c r="F563">
        <f>DEGREES(ATAN(TAN(RADIANS(pe0-omega*B563))*(C563/sref)^(m_-1)))</f>
        <v/>
      </c>
      <c r="G563">
        <f>E563-F563</f>
        <v/>
      </c>
    </row>
    <row r="564">
      <c r="A564" t="inlineStr">
        <is>
          <t>Ayers et al. (1989) | B9</t>
        </is>
      </c>
      <c r="B564" t="n">
        <v>0.5357321428571429</v>
      </c>
      <c r="C564" t="n">
        <v>0.2332857065262353</v>
      </c>
      <c r="D564" t="n">
        <v>0.323894053910785</v>
      </c>
      <c r="E564">
        <f>DEGREES(ATAN(D564/C564))</f>
        <v/>
      </c>
      <c r="F564">
        <f>DEGREES(ATAN(TAN(RADIANS(pe0-omega*B564))*(C564/sref)^(m_-1)))</f>
        <v/>
      </c>
      <c r="G564">
        <f>E564-F564</f>
        <v/>
      </c>
    </row>
    <row r="565">
      <c r="A565" t="inlineStr">
        <is>
          <t>Ayers et al. (1989) | B9</t>
        </is>
      </c>
      <c r="B565" t="n">
        <v>0.5357321428571429</v>
      </c>
      <c r="C565" t="n">
        <v>0.4221665770932131</v>
      </c>
      <c r="D565" t="n">
        <v>0.4870270306486618</v>
      </c>
      <c r="E565">
        <f>DEGREES(ATAN(D565/C565))</f>
        <v/>
      </c>
      <c r="F565">
        <f>DEGREES(ATAN(TAN(RADIANS(pe0-omega*B565))*(C565/sref)^(m_-1)))</f>
        <v/>
      </c>
      <c r="G565">
        <f>E565-F565</f>
        <v/>
      </c>
    </row>
    <row r="566">
      <c r="A566" t="inlineStr">
        <is>
          <t>Ayers et al. (1989) | CD4</t>
        </is>
      </c>
      <c r="B566" t="n">
        <v>0.8428785714285714</v>
      </c>
      <c r="C566" t="n">
        <v>0.1819344189156172</v>
      </c>
      <c r="D566" t="n">
        <v>0.1770586446303063</v>
      </c>
      <c r="E566">
        <f>DEGREES(ATAN(D566/C566))</f>
        <v/>
      </c>
      <c r="F566">
        <f>DEGREES(ATAN(TAN(RADIANS(pe0-omega*B566))*(C566/sref)^(m_-1)))</f>
        <v/>
      </c>
      <c r="G566">
        <f>E566-F566</f>
        <v/>
      </c>
    </row>
    <row r="567">
      <c r="A567" t="inlineStr">
        <is>
          <t>Ayers et al. (1989) | CD4</t>
        </is>
      </c>
      <c r="B567" t="n">
        <v>0.8428785714285714</v>
      </c>
      <c r="C567" t="n">
        <v>0.3790966240532868</v>
      </c>
      <c r="D567" t="n">
        <v>0.3663661208291673</v>
      </c>
      <c r="E567">
        <f>DEGREES(ATAN(D567/C567))</f>
        <v/>
      </c>
      <c r="F567">
        <f>DEGREES(ATAN(TAN(RADIANS(pe0-omega*B567))*(C567/sref)^(m_-1)))</f>
        <v/>
      </c>
      <c r="G567">
        <f>E567-F567</f>
        <v/>
      </c>
    </row>
    <row r="568">
      <c r="A568" t="inlineStr">
        <is>
          <t>Ayers et al. (1989) | CD5</t>
        </is>
      </c>
      <c r="B568" t="n">
        <v>0.7315637583892618</v>
      </c>
      <c r="C568" t="n">
        <v>0.2038706664010161</v>
      </c>
      <c r="D568" t="n">
        <v>0.2219538077009141</v>
      </c>
      <c r="E568">
        <f>DEGREES(ATAN(D568/C568))</f>
        <v/>
      </c>
      <c r="F568">
        <f>DEGREES(ATAN(TAN(RADIANS(pe0-omega*B568))*(C568/sref)^(m_-1)))</f>
        <v/>
      </c>
      <c r="G568">
        <f>E568-F568</f>
        <v/>
      </c>
    </row>
    <row r="569">
      <c r="A569" t="inlineStr">
        <is>
          <t>Ayers et al. (1989) | CD5</t>
        </is>
      </c>
      <c r="B569" t="n">
        <v>0.7315637583892618</v>
      </c>
      <c r="C569" t="n">
        <v>0.4069449694045802</v>
      </c>
      <c r="D569" t="n">
        <v>0.4034458879227514</v>
      </c>
      <c r="E569">
        <f>DEGREES(ATAN(D569/C569))</f>
        <v/>
      </c>
      <c r="F569">
        <f>DEGREES(ATAN(TAN(RADIANS(pe0-omega*B569))*(C569/sref)^(m_-1)))</f>
        <v/>
      </c>
      <c r="G569">
        <f>E569-F569</f>
        <v/>
      </c>
    </row>
    <row r="570">
      <c r="A570" t="inlineStr">
        <is>
          <t>Ayers et al. (1989) | CD6</t>
        </is>
      </c>
      <c r="B570" t="n">
        <v>0.6538653846153846</v>
      </c>
      <c r="C570" t="n">
        <v>0.2407186515047902</v>
      </c>
      <c r="D570" t="n">
        <v>0.3108673268513241</v>
      </c>
      <c r="E570">
        <f>DEGREES(ATAN(D570/C570))</f>
        <v/>
      </c>
      <c r="F570">
        <f>DEGREES(ATAN(TAN(RADIANS(pe0-omega*B570))*(C570/sref)^(m_-1)))</f>
        <v/>
      </c>
      <c r="G570">
        <f>E570-F570</f>
        <v/>
      </c>
    </row>
    <row r="571">
      <c r="A571" t="inlineStr">
        <is>
          <t>Ayers et al. (1989) | CD6</t>
        </is>
      </c>
      <c r="B571" t="n">
        <v>0.6538653846153846</v>
      </c>
      <c r="C571" t="n">
        <v>0.4180040407231563</v>
      </c>
      <c r="D571" t="n">
        <v>0.4306321520534757</v>
      </c>
      <c r="E571">
        <f>DEGREES(ATAN(D571/C571))</f>
        <v/>
      </c>
      <c r="F571">
        <f>DEGREES(ATAN(TAN(RADIANS(pe0-omega*B571))*(C571/sref)^(m_-1)))</f>
        <v/>
      </c>
      <c r="G571">
        <f>E571-F571</f>
        <v/>
      </c>
    </row>
    <row r="572">
      <c r="A572" t="inlineStr">
        <is>
          <t>Raad et al. (1989) | CLS1b</t>
        </is>
      </c>
      <c r="B572" t="n">
        <v>0.5766071428571429</v>
      </c>
      <c r="C572" t="n">
        <v>0.1721283448500718</v>
      </c>
      <c r="D572" t="n">
        <v>0.1416224730380085</v>
      </c>
      <c r="E572">
        <f>DEGREES(ATAN(D572/C572))</f>
        <v/>
      </c>
      <c r="F572">
        <f>DEGREES(ATAN(TAN(RADIANS(pe0-omega*B572))*(C572/sref)^(m_-1)))</f>
        <v/>
      </c>
      <c r="G572">
        <f>E572-F572</f>
        <v/>
      </c>
    </row>
    <row r="573">
      <c r="A573" t="inlineStr">
        <is>
          <t>Raad et al. (1989) | CLS1b</t>
        </is>
      </c>
      <c r="B573" t="n">
        <v>0.5766071428571429</v>
      </c>
      <c r="C573" t="n">
        <v>0.2707561953177687</v>
      </c>
      <c r="D573" t="n">
        <v>0.2275265928810896</v>
      </c>
      <c r="E573">
        <f>DEGREES(ATAN(D573/C573))</f>
        <v/>
      </c>
      <c r="F573">
        <f>DEGREES(ATAN(TAN(RADIANS(pe0-omega*B573))*(C573/sref)^(m_-1)))</f>
        <v/>
      </c>
      <c r="G573">
        <f>E573-F573</f>
        <v/>
      </c>
    </row>
    <row r="574">
      <c r="A574" t="inlineStr">
        <is>
          <t>Raad et al. (1989) | CLS2a</t>
        </is>
      </c>
      <c r="B574" t="n">
        <v>0.3112376237623764</v>
      </c>
      <c r="C574" t="n">
        <v>0.2061677648599834</v>
      </c>
      <c r="D574" t="n">
        <v>0.2638914975904491</v>
      </c>
      <c r="E574">
        <f>DEGREES(ATAN(D574/C574))</f>
        <v/>
      </c>
      <c r="F574">
        <f>DEGREES(ATAN(TAN(RADIANS(pe0-omega*B574))*(C574/sref)^(m_-1)))</f>
        <v/>
      </c>
      <c r="G574">
        <f>E574-F574</f>
        <v/>
      </c>
    </row>
    <row r="575">
      <c r="A575" t="inlineStr">
        <is>
          <t>Raad et al. (1989) | CLS2a</t>
        </is>
      </c>
      <c r="B575" t="n">
        <v>0.3112376237623764</v>
      </c>
      <c r="C575" t="n">
        <v>0.3144864918192787</v>
      </c>
      <c r="D575" t="n">
        <v>0.3853494848955785</v>
      </c>
      <c r="E575">
        <f>DEGREES(ATAN(D575/C575))</f>
        <v/>
      </c>
      <c r="F575">
        <f>DEGREES(ATAN(TAN(RADIANS(pe0-omega*B575))*(C575/sref)^(m_-1)))</f>
        <v/>
      </c>
      <c r="G575">
        <f>E575-F575</f>
        <v/>
      </c>
    </row>
    <row r="576">
      <c r="A576" t="inlineStr">
        <is>
          <t>Raad et al. (1989) | CLS2b</t>
        </is>
      </c>
      <c r="B576" t="n">
        <v>0.2920487804878049</v>
      </c>
      <c r="C576" t="n">
        <v>0.2453648961000274</v>
      </c>
      <c r="D576" t="n">
        <v>0.3690323167653495</v>
      </c>
      <c r="E576">
        <f>DEGREES(ATAN(D576/C576))</f>
        <v/>
      </c>
      <c r="F576">
        <f>DEGREES(ATAN(TAN(RADIANS(pe0-omega*B576))*(C576/sref)^(m_-1)))</f>
        <v/>
      </c>
      <c r="G576">
        <f>E576-F576</f>
        <v/>
      </c>
    </row>
    <row r="577">
      <c r="A577" t="inlineStr">
        <is>
          <t>Raad et al. (1989) | CLS2b</t>
        </is>
      </c>
      <c r="B577" t="n">
        <v>0.2920487804878049</v>
      </c>
      <c r="C577" t="n">
        <v>0.3669628437374394</v>
      </c>
      <c r="D577" t="n">
        <v>0.5086095448814885</v>
      </c>
      <c r="E577">
        <f>DEGREES(ATAN(D577/C577))</f>
        <v/>
      </c>
      <c r="F577">
        <f>DEGREES(ATAN(TAN(RADIANS(pe0-omega*B577))*(C577/sref)^(m_-1)))</f>
        <v/>
      </c>
      <c r="G577">
        <f>E577-F577</f>
        <v/>
      </c>
    </row>
    <row r="578">
      <c r="A578" t="inlineStr">
        <is>
          <t>Raad et al. (1989) | CLS3a</t>
        </is>
      </c>
      <c r="B578" t="n">
        <v>0.2612857142857143</v>
      </c>
      <c r="C578" t="n">
        <v>0.2477368648381383</v>
      </c>
      <c r="D578" t="n">
        <v>0.3741507032347354</v>
      </c>
      <c r="E578">
        <f>DEGREES(ATAN(D578/C578))</f>
        <v/>
      </c>
      <c r="F578">
        <f>DEGREES(ATAN(TAN(RADIANS(pe0-omega*B578))*(C578/sref)^(m_-1)))</f>
        <v/>
      </c>
      <c r="G578">
        <f>E578-F578</f>
        <v/>
      </c>
    </row>
    <row r="579">
      <c r="A579" t="inlineStr">
        <is>
          <t>Raad et al. (1989) | CLS3a</t>
        </is>
      </c>
      <c r="B579" t="n">
        <v>0.2612857142857143</v>
      </c>
      <c r="C579" t="n">
        <v>0.3649308989179657</v>
      </c>
      <c r="D579" t="n">
        <v>0.5026835248738896</v>
      </c>
      <c r="E579">
        <f>DEGREES(ATAN(D579/C579))</f>
        <v/>
      </c>
      <c r="F579">
        <f>DEGREES(ATAN(TAN(RADIANS(pe0-omega*B579))*(C579/sref)^(m_-1)))</f>
        <v/>
      </c>
      <c r="G579">
        <f>E579-F579</f>
        <v/>
      </c>
    </row>
    <row r="580">
      <c r="A580" t="inlineStr">
        <is>
          <t>Raad et al. (1989) | CLS3b</t>
        </is>
      </c>
      <c r="B580" t="n">
        <v>0.2553080568720378</v>
      </c>
      <c r="C580" t="n">
        <v>0.2491734473787495</v>
      </c>
      <c r="D580" t="n">
        <v>0.3771801865935675</v>
      </c>
      <c r="E580">
        <f>DEGREES(ATAN(D580/C580))</f>
        <v/>
      </c>
      <c r="F580">
        <f>DEGREES(ATAN(TAN(RADIANS(pe0-omega*B580))*(C580/sref)^(m_-1)))</f>
        <v/>
      </c>
      <c r="G580">
        <f>E580-F580</f>
        <v/>
      </c>
    </row>
    <row r="581">
      <c r="A581" t="inlineStr">
        <is>
          <t>Raad et al. (1989) | CLS3b</t>
        </is>
      </c>
      <c r="B581" t="n">
        <v>0.2553080568720378</v>
      </c>
      <c r="C581" t="n">
        <v>0.3594744483140323</v>
      </c>
      <c r="D581" t="n">
        <v>0.4892105916504655</v>
      </c>
      <c r="E581">
        <f>DEGREES(ATAN(D581/C581))</f>
        <v/>
      </c>
      <c r="F581">
        <f>DEGREES(ATAN(TAN(RADIANS(pe0-omega*B581))*(C581/sref)^(m_-1)))</f>
        <v/>
      </c>
      <c r="G581">
        <f>E581-F581</f>
        <v/>
      </c>
    </row>
    <row r="582">
      <c r="A582" t="inlineStr">
        <is>
          <t>Nishio &amp; Tamaoki (1990) | recon</t>
        </is>
      </c>
      <c r="B582" t="n">
        <v>0.38</v>
      </c>
      <c r="C582" t="n">
        <v>0.1708974044968505</v>
      </c>
      <c r="D582" t="n">
        <v>0.1677673301977383</v>
      </c>
      <c r="E582">
        <f>DEGREES(ATAN(D582/C582))</f>
        <v/>
      </c>
      <c r="F582">
        <f>DEGREES(ATAN(TAN(RADIANS(pe0-omega*B582))*(C582/sref)^(m_-1)))</f>
        <v/>
      </c>
      <c r="G582">
        <f>E582-F582</f>
        <v/>
      </c>
    </row>
    <row r="583">
      <c r="A583" t="inlineStr">
        <is>
          <t>Nishio &amp; Tamaoki (1990) | recon</t>
        </is>
      </c>
      <c r="B583" t="n">
        <v>0.38</v>
      </c>
      <c r="C583" t="n">
        <v>0.6748214633080907</v>
      </c>
      <c r="D583" t="n">
        <v>0.6193193023426856</v>
      </c>
      <c r="E583">
        <f>DEGREES(ATAN(D583/C583))</f>
        <v/>
      </c>
      <c r="F583">
        <f>DEGREES(ATAN(TAN(RADIANS(pe0-omega*B583))*(C583/sref)^(m_-1)))</f>
        <v/>
      </c>
      <c r="G583">
        <f>E583-F583</f>
        <v/>
      </c>
    </row>
    <row r="584">
      <c r="A584" t="inlineStr">
        <is>
          <t>Nishio &amp; Tamaoki (1990) | undis</t>
        </is>
      </c>
      <c r="B584" t="n">
        <v>0.37</v>
      </c>
      <c r="C584" t="n">
        <v>0.1839086772315543</v>
      </c>
      <c r="D584" t="n">
        <v>0.2114991791591293</v>
      </c>
      <c r="E584">
        <f>DEGREES(ATAN(D584/C584))</f>
        <v/>
      </c>
      <c r="F584">
        <f>DEGREES(ATAN(TAN(RADIANS(pe0-omega*B584))*(C584/sref)^(m_-1)))</f>
        <v/>
      </c>
      <c r="G584">
        <f>E584-F584</f>
        <v/>
      </c>
    </row>
    <row r="585">
      <c r="A585" t="inlineStr">
        <is>
          <t>Nishio &amp; Tamaoki (1990) | undis</t>
        </is>
      </c>
      <c r="B585" t="n">
        <v>0.37</v>
      </c>
      <c r="C585" t="n">
        <v>0.7010244940492865</v>
      </c>
      <c r="D585" t="n">
        <v>0.6935560238192235</v>
      </c>
      <c r="E585">
        <f>DEGREES(ATAN(D585/C585))</f>
        <v/>
      </c>
      <c r="F585">
        <f>DEGREES(ATAN(TAN(RADIANS(pe0-omega*B585))*(C585/sref)^(m_-1)))</f>
        <v/>
      </c>
      <c r="G585">
        <f>E585-F585</f>
        <v/>
      </c>
    </row>
    <row r="586">
      <c r="A586" t="inlineStr">
        <is>
          <t>Goto et al. (1992) | low-dis</t>
        </is>
      </c>
      <c r="B586" t="n">
        <v>0.4240322580645162</v>
      </c>
      <c r="C586" t="n">
        <v>0.3166235764445242</v>
      </c>
      <c r="D586" t="n">
        <v>0.2738301537443815</v>
      </c>
      <c r="E586">
        <f>DEGREES(ATAN(D586/C586))</f>
        <v/>
      </c>
      <c r="F586">
        <f>DEGREES(ATAN(TAN(RADIANS(pe0-omega*B586))*(C586/sref)^(m_-1)))</f>
        <v/>
      </c>
      <c r="G586">
        <f>E586-F586</f>
        <v/>
      </c>
    </row>
    <row r="587">
      <c r="A587" t="inlineStr">
        <is>
          <t>Goto et al. (1992) | low-dis</t>
        </is>
      </c>
      <c r="B587" t="n">
        <v>0.4240322580645162</v>
      </c>
      <c r="C587" t="n">
        <v>0.6710095741467599</v>
      </c>
      <c r="D587" t="n">
        <v>0.5656809651991068</v>
      </c>
      <c r="E587">
        <f>DEGREES(ATAN(D587/C587))</f>
        <v/>
      </c>
      <c r="F587">
        <f>DEGREES(ATAN(TAN(RADIANS(pe0-omega*B587))*(C587/sref)^(m_-1)))</f>
        <v/>
      </c>
      <c r="G587">
        <f>E587-F587</f>
        <v/>
      </c>
    </row>
    <row r="588">
      <c r="A588" t="inlineStr">
        <is>
          <t>Goto et al. (1992) | low-dis</t>
        </is>
      </c>
      <c r="B588" t="n">
        <v>0.4240322580645162</v>
      </c>
      <c r="C588" t="n">
        <v>0.9877469370518449</v>
      </c>
      <c r="D588" t="n">
        <v>0.7961571680689485</v>
      </c>
      <c r="E588">
        <f>DEGREES(ATAN(D588/C588))</f>
        <v/>
      </c>
      <c r="F588">
        <f>DEGREES(ATAN(TAN(RADIANS(pe0-omega*B588))*(C588/sref)^(m_-1)))</f>
        <v/>
      </c>
      <c r="G588">
        <f>E588-F588</f>
        <v/>
      </c>
    </row>
    <row r="589">
      <c r="A589" t="inlineStr">
        <is>
          <t>Goto et al. (1992) | low-undis</t>
        </is>
      </c>
      <c r="B589" t="n">
        <v>0.4240322580645162</v>
      </c>
      <c r="C589" t="n">
        <v>0.3206531969336922</v>
      </c>
      <c r="D589" t="n">
        <v>0.2831238009004505</v>
      </c>
      <c r="E589">
        <f>DEGREES(ATAN(D589/C589))</f>
        <v/>
      </c>
      <c r="F589">
        <f>DEGREES(ATAN(TAN(RADIANS(pe0-omega*B589))*(C589/sref)^(m_-1)))</f>
        <v/>
      </c>
      <c r="G589">
        <f>E589-F589</f>
        <v/>
      </c>
    </row>
    <row r="590">
      <c r="A590" t="inlineStr">
        <is>
          <t>Goto et al. (1992) | low-undis</t>
        </is>
      </c>
      <c r="B590" t="n">
        <v>0.4240322580645162</v>
      </c>
      <c r="C590" t="n">
        <v>0.6750726066386561</v>
      </c>
      <c r="D590" t="n">
        <v>0.5730890500725322</v>
      </c>
      <c r="E590">
        <f>DEGREES(ATAN(D590/C590))</f>
        <v/>
      </c>
      <c r="F590">
        <f>DEGREES(ATAN(TAN(RADIANS(pe0-omega*B590))*(C590/sref)^(m_-1)))</f>
        <v/>
      </c>
      <c r="G590">
        <f>E590-F590</f>
        <v/>
      </c>
    </row>
    <row r="591">
      <c r="A591" t="inlineStr">
        <is>
          <t>Goto et al. (1992) | low-undis</t>
        </is>
      </c>
      <c r="B591" t="n">
        <v>0.4240322580645162</v>
      </c>
      <c r="C591" t="n">
        <v>0.9905925828226418</v>
      </c>
      <c r="D591" t="n">
        <v>0.7982721940324174</v>
      </c>
      <c r="E591">
        <f>DEGREES(ATAN(D591/C591))</f>
        <v/>
      </c>
      <c r="F591">
        <f>DEGREES(ATAN(TAN(RADIANS(pe0-omega*B591))*(C591/sref)^(m_-1)))</f>
        <v/>
      </c>
      <c r="G591">
        <f>E591-F591</f>
        <v/>
      </c>
    </row>
    <row r="592">
      <c r="A592" t="inlineStr">
        <is>
          <t>Goto et al. (1992) | up-dis</t>
        </is>
      </c>
      <c r="B592" t="n">
        <v>0.3445177664974621</v>
      </c>
      <c r="C592" t="n">
        <v>0.2306984313096114</v>
      </c>
      <c r="D592" t="n">
        <v>0.2349643035975375</v>
      </c>
      <c r="E592">
        <f>DEGREES(ATAN(D592/C592))</f>
        <v/>
      </c>
      <c r="F592">
        <f>DEGREES(ATAN(TAN(RADIANS(pe0-omega*B592))*(C592/sref)^(m_-1)))</f>
        <v/>
      </c>
      <c r="G592">
        <f>E592-F592</f>
        <v/>
      </c>
    </row>
    <row r="593">
      <c r="A593" t="inlineStr">
        <is>
          <t>Goto et al. (1992) | up-dis</t>
        </is>
      </c>
      <c r="B593" t="n">
        <v>0.3445177664974621</v>
      </c>
      <c r="C593" t="n">
        <v>0.4228076555238073</v>
      </c>
      <c r="D593" t="n">
        <v>0.3908582937751839</v>
      </c>
      <c r="E593">
        <f>DEGREES(ATAN(D593/C593))</f>
        <v/>
      </c>
      <c r="F593">
        <f>DEGREES(ATAN(TAN(RADIANS(pe0-omega*B593))*(C593/sref)^(m_-1)))</f>
        <v/>
      </c>
      <c r="G593">
        <f>E593-F593</f>
        <v/>
      </c>
    </row>
    <row r="594">
      <c r="A594" t="inlineStr">
        <is>
          <t>Goto et al. (1992) | up-dis</t>
        </is>
      </c>
      <c r="B594" t="n">
        <v>0.3445177664974621</v>
      </c>
      <c r="C594" t="n">
        <v>0.8521722700157921</v>
      </c>
      <c r="D594" t="n">
        <v>0.768625933933986</v>
      </c>
      <c r="E594">
        <f>DEGREES(ATAN(D594/C594))</f>
        <v/>
      </c>
      <c r="F594">
        <f>DEGREES(ATAN(TAN(RADIANS(pe0-omega*B594))*(C594/sref)^(m_-1)))</f>
        <v/>
      </c>
      <c r="G594">
        <f>E594-F594</f>
        <v/>
      </c>
    </row>
    <row r="595">
      <c r="A595" t="inlineStr">
        <is>
          <t>Goto et al. (1992) | up-undis</t>
        </is>
      </c>
      <c r="B595" t="n">
        <v>0.3445177664974621</v>
      </c>
      <c r="C595" t="n">
        <v>0.2266228553359299</v>
      </c>
      <c r="D595" t="n">
        <v>0.2301225222044763</v>
      </c>
      <c r="E595">
        <f>DEGREES(ATAN(D595/C595))</f>
        <v/>
      </c>
      <c r="F595">
        <f>DEGREES(ATAN(TAN(RADIANS(pe0-omega*B595))*(C595/sref)^(m_-1)))</f>
        <v/>
      </c>
      <c r="G595">
        <f>E595-F595</f>
        <v/>
      </c>
    </row>
    <row r="596">
      <c r="A596" t="inlineStr">
        <is>
          <t>Goto et al. (1992) | up-undis</t>
        </is>
      </c>
      <c r="B596" t="n">
        <v>0.3445177664974621</v>
      </c>
      <c r="C596" t="n">
        <v>0.4302503899331221</v>
      </c>
      <c r="D596" t="n">
        <v>0.4166527930811875</v>
      </c>
      <c r="E596">
        <f>DEGREES(ATAN(D596/C596))</f>
        <v/>
      </c>
      <c r="F596">
        <f>DEGREES(ATAN(TAN(RADIANS(pe0-omega*B596))*(C596/sref)^(m_-1)))</f>
        <v/>
      </c>
      <c r="G596">
        <f>E596-F596</f>
        <v/>
      </c>
    </row>
    <row r="597">
      <c r="A597" t="inlineStr">
        <is>
          <t>Goto et al. (1992) | up-undis</t>
        </is>
      </c>
      <c r="B597" t="n">
        <v>0.3445177664974621</v>
      </c>
      <c r="C597" t="n">
        <v>0.8497974505039212</v>
      </c>
      <c r="D597" t="n">
        <v>0.7838815617463425</v>
      </c>
      <c r="E597">
        <f>DEGREES(ATAN(D597/C597))</f>
        <v/>
      </c>
      <c r="F597">
        <f>DEGREES(ATAN(TAN(RADIANS(pe0-omega*B597))*(C597/sref)^(m_-1)))</f>
        <v/>
      </c>
      <c r="G597">
        <f>E597-F597</f>
        <v/>
      </c>
    </row>
    <row r="598">
      <c r="A598" t="inlineStr">
        <is>
          <t>Indraratna et al (1993) | IWB-A</t>
        </is>
      </c>
      <c r="B598" t="n">
        <v>0.4492753623188406</v>
      </c>
      <c r="C598" t="n">
        <v>0.1816578799352041</v>
      </c>
      <c r="D598" t="n">
        <v>0.1781749586300584</v>
      </c>
      <c r="E598">
        <f>DEGREES(ATAN(D598/C598))</f>
        <v/>
      </c>
      <c r="F598">
        <f>DEGREES(ATAN(TAN(RADIANS(pe0-omega*B598))*(C598/sref)^(m_-1)))</f>
        <v/>
      </c>
      <c r="G598">
        <f>E598-F598</f>
        <v/>
      </c>
    </row>
    <row r="599">
      <c r="A599" t="inlineStr">
        <is>
          <t>Indraratna et al (1993) | IWB-A</t>
        </is>
      </c>
      <c r="B599" t="n">
        <v>0.4492753623188406</v>
      </c>
      <c r="C599" t="n">
        <v>0.3628640143526012</v>
      </c>
      <c r="D599" t="n">
        <v>0.3348343392247742</v>
      </c>
      <c r="E599">
        <f>DEGREES(ATAN(D599/C599))</f>
        <v/>
      </c>
      <c r="F599">
        <f>DEGREES(ATAN(TAN(RADIANS(pe0-omega*B599))*(C599/sref)^(m_-1)))</f>
        <v/>
      </c>
      <c r="G599">
        <f>E599-F599</f>
        <v/>
      </c>
    </row>
    <row r="600">
      <c r="A600" t="inlineStr">
        <is>
          <t>Indraratna et al (1993) | IWB-A</t>
        </is>
      </c>
      <c r="B600" t="n">
        <v>0.4492753623188406</v>
      </c>
      <c r="C600" t="n">
        <v>0.5314885515458387</v>
      </c>
      <c r="D600" t="n">
        <v>0.4609101869834961</v>
      </c>
      <c r="E600">
        <f>DEGREES(ATAN(D600/C600))</f>
        <v/>
      </c>
      <c r="F600">
        <f>DEGREES(ATAN(TAN(RADIANS(pe0-omega*B600))*(C600/sref)^(m_-1)))</f>
        <v/>
      </c>
      <c r="G600">
        <f>E600-F600</f>
        <v/>
      </c>
    </row>
    <row r="601">
      <c r="A601" t="inlineStr">
        <is>
          <t>Indraratna et al (1993) | IWB-A</t>
        </is>
      </c>
      <c r="B601" t="n">
        <v>0.4492753623188406</v>
      </c>
      <c r="C601" t="n">
        <v>0.7001236175949973</v>
      </c>
      <c r="D601" t="n">
        <v>0.5838517710020057</v>
      </c>
      <c r="E601">
        <f>DEGREES(ATAN(D601/C601))</f>
        <v/>
      </c>
      <c r="F601">
        <f>DEGREES(ATAN(TAN(RADIANS(pe0-omega*B601))*(C601/sref)^(m_-1)))</f>
        <v/>
      </c>
      <c r="G601">
        <f>E601-F601</f>
        <v/>
      </c>
    </row>
    <row r="602">
      <c r="A602" t="inlineStr">
        <is>
          <t>Indraratna et al (1993) | IWB-A</t>
        </is>
      </c>
      <c r="B602" t="n">
        <v>0.4492753623188406</v>
      </c>
      <c r="C602" t="n">
        <v>0.8646176912556865</v>
      </c>
      <c r="D602" t="n">
        <v>0.6972698430041926</v>
      </c>
      <c r="E602">
        <f>DEGREES(ATAN(D602/C602))</f>
        <v/>
      </c>
      <c r="F602">
        <f>DEGREES(ATAN(TAN(RADIANS(pe0-omega*B602))*(C602/sref)^(m_-1)))</f>
        <v/>
      </c>
      <c r="G602">
        <f>E602-F602</f>
        <v/>
      </c>
    </row>
    <row r="603">
      <c r="A603" t="inlineStr">
        <is>
          <t>Indraratna et al (1993) | IWB-A</t>
        </is>
      </c>
      <c r="B603" t="n">
        <v>0.4492753623188406</v>
      </c>
      <c r="C603" t="n">
        <v>1.030687574879525</v>
      </c>
      <c r="D603" t="n">
        <v>0.8127973255034804</v>
      </c>
      <c r="E603">
        <f>DEGREES(ATAN(D603/C603))</f>
        <v/>
      </c>
      <c r="F603">
        <f>DEGREES(ATAN(TAN(RADIANS(pe0-omega*B603))*(C603/sref)^(m_-1)))</f>
        <v/>
      </c>
      <c r="G603">
        <f>E603-F603</f>
        <v/>
      </c>
    </row>
    <row r="604">
      <c r="A604" t="inlineStr">
        <is>
          <t>Indraratna et al (1993) | IWB-B</t>
        </is>
      </c>
      <c r="B604" t="n">
        <v>0.4492753623188406</v>
      </c>
      <c r="C604" t="n">
        <v>0.1717909055324914</v>
      </c>
      <c r="D604" t="n">
        <v>0.1547734912155535</v>
      </c>
      <c r="E604">
        <f>DEGREES(ATAN(D604/C604))</f>
        <v/>
      </c>
      <c r="F604">
        <f>DEGREES(ATAN(TAN(RADIANS(pe0-omega*B604))*(C604/sref)^(m_-1)))</f>
        <v/>
      </c>
      <c r="G604">
        <f>E604-F604</f>
        <v/>
      </c>
    </row>
    <row r="605">
      <c r="A605" t="inlineStr">
        <is>
          <t>Indraratna et al (1993) | IWB-B</t>
        </is>
      </c>
      <c r="B605" t="n">
        <v>0.4492753623188406</v>
      </c>
      <c r="C605" t="n">
        <v>0.3543881200483273</v>
      </c>
      <c r="D605" t="n">
        <v>0.3156474334503552</v>
      </c>
      <c r="E605">
        <f>DEGREES(ATAN(D605/C605))</f>
        <v/>
      </c>
      <c r="F605">
        <f>DEGREES(ATAN(TAN(RADIANS(pe0-omega*B605))*(C605/sref)^(m_-1)))</f>
        <v/>
      </c>
      <c r="G605">
        <f>E605-F605</f>
        <v/>
      </c>
    </row>
    <row r="606">
      <c r="A606" t="inlineStr">
        <is>
          <t>Indraratna et al (1993) | IWB-B</t>
        </is>
      </c>
      <c r="B606" t="n">
        <v>0.4492753623188406</v>
      </c>
      <c r="C606" t="n">
        <v>0.5265354830464332</v>
      </c>
      <c r="D606" t="n">
        <v>0.4499084962919147</v>
      </c>
      <c r="E606">
        <f>DEGREES(ATAN(D606/C606))</f>
        <v/>
      </c>
      <c r="F606">
        <f>DEGREES(ATAN(TAN(RADIANS(pe0-omega*B606))*(C606/sref)^(m_-1)))</f>
        <v/>
      </c>
      <c r="G606">
        <f>E606-F606</f>
        <v/>
      </c>
    </row>
    <row r="607">
      <c r="A607" t="inlineStr">
        <is>
          <t>Indraratna et al (1993) | IWB-B</t>
        </is>
      </c>
      <c r="B607" t="n">
        <v>0.4492753623188406</v>
      </c>
      <c r="C607" t="n">
        <v>0.7034277752841697</v>
      </c>
      <c r="D607" t="n">
        <v>0.590246778039237</v>
      </c>
      <c r="E607">
        <f>DEGREES(ATAN(D607/C607))</f>
        <v/>
      </c>
      <c r="F607">
        <f>DEGREES(ATAN(TAN(RADIANS(pe0-omega*B607))*(C607/sref)^(m_-1)))</f>
        <v/>
      </c>
      <c r="G607">
        <f>E607-F607</f>
        <v/>
      </c>
    </row>
    <row r="608">
      <c r="A608" t="inlineStr">
        <is>
          <t>Indraratna et al (1993) | IWB-B</t>
        </is>
      </c>
      <c r="B608" t="n">
        <v>0.4492753623188406</v>
      </c>
      <c r="C608" t="n">
        <v>0.8470442612268034</v>
      </c>
      <c r="D608" t="n">
        <v>0.665145701919708</v>
      </c>
      <c r="E608">
        <f>DEGREES(ATAN(D608/C608))</f>
        <v/>
      </c>
      <c r="F608">
        <f>DEGREES(ATAN(TAN(RADIANS(pe0-omega*B608))*(C608/sref)^(m_-1)))</f>
        <v/>
      </c>
      <c r="G608">
        <f>E608-F608</f>
        <v/>
      </c>
    </row>
    <row r="609">
      <c r="A609" t="inlineStr">
        <is>
          <t>Indraratna et al (1993) | IWB-B</t>
        </is>
      </c>
      <c r="B609" t="n">
        <v>0.4492753623188406</v>
      </c>
      <c r="C609" t="n">
        <v>1.029320732896305</v>
      </c>
      <c r="D609" t="n">
        <v>0.8124601049903249</v>
      </c>
      <c r="E609">
        <f>DEGREES(ATAN(D609/C609))</f>
        <v/>
      </c>
      <c r="F609">
        <f>DEGREES(ATAN(TAN(RADIANS(pe0-omega*B609))*(C609/sref)^(m_-1)))</f>
        <v/>
      </c>
      <c r="G609">
        <f>E609-F609</f>
        <v/>
      </c>
    </row>
    <row r="610">
      <c r="A610" t="inlineStr">
        <is>
          <t>Indraratna et al (1998) | IIC-A</t>
        </is>
      </c>
      <c r="B610" t="n">
        <v>0.82</v>
      </c>
      <c r="C610" t="n">
        <v>0.1529597295458013</v>
      </c>
      <c r="D610" t="n">
        <v>0.2295907449855075</v>
      </c>
      <c r="E610">
        <f>DEGREES(ATAN(D610/C610))</f>
        <v/>
      </c>
      <c r="F610">
        <f>DEGREES(ATAN(TAN(RADIANS(pe0-omega*B610))*(C610/sref)^(m_-1)))</f>
        <v/>
      </c>
      <c r="G610">
        <f>E610-F610</f>
        <v/>
      </c>
    </row>
    <row r="611">
      <c r="A611" t="inlineStr">
        <is>
          <t>Indraratna et al (1998) | IIC-A</t>
        </is>
      </c>
      <c r="B611" t="n">
        <v>0.82</v>
      </c>
      <c r="C611" t="n">
        <v>0.2017534660762701</v>
      </c>
      <c r="D611" t="n">
        <v>0.256395376466365</v>
      </c>
      <c r="E611">
        <f>DEGREES(ATAN(D611/C611))</f>
        <v/>
      </c>
      <c r="F611">
        <f>DEGREES(ATAN(TAN(RADIANS(pe0-omega*B611))*(C611/sref)^(m_-1)))</f>
        <v/>
      </c>
      <c r="G611">
        <f>E611-F611</f>
        <v/>
      </c>
    </row>
    <row r="612">
      <c r="A612" t="inlineStr">
        <is>
          <t>Indraratna et al (1998) | IIC-A</t>
        </is>
      </c>
      <c r="B612" t="n">
        <v>0.82</v>
      </c>
      <c r="C612" t="n">
        <v>0.2585010507191507</v>
      </c>
      <c r="D612" t="n">
        <v>0.3026851491649563</v>
      </c>
      <c r="E612">
        <f>DEGREES(ATAN(D612/C612))</f>
        <v/>
      </c>
      <c r="F612">
        <f>DEGREES(ATAN(TAN(RADIANS(pe0-omega*B612))*(C612/sref)^(m_-1)))</f>
        <v/>
      </c>
      <c r="G612">
        <f>E612-F612</f>
        <v/>
      </c>
    </row>
    <row r="613">
      <c r="A613" t="inlineStr">
        <is>
          <t>Indraratna et al (1998) | IIC-A</t>
        </is>
      </c>
      <c r="B613" t="n">
        <v>0.82</v>
      </c>
      <c r="C613" t="n">
        <v>0.500837969564512</v>
      </c>
      <c r="D613" t="n">
        <v>0.5105089571053066</v>
      </c>
      <c r="E613">
        <f>DEGREES(ATAN(D613/C613))</f>
        <v/>
      </c>
      <c r="F613">
        <f>DEGREES(ATAN(TAN(RADIANS(pe0-omega*B613))*(C613/sref)^(m_-1)))</f>
        <v/>
      </c>
      <c r="G613">
        <f>E613-F613</f>
        <v/>
      </c>
    </row>
    <row r="614">
      <c r="A614" t="inlineStr">
        <is>
          <t>Indraratna et al (1998) | IIC-B</t>
        </is>
      </c>
      <c r="B614" t="n">
        <v>0.77</v>
      </c>
      <c r="C614" t="n">
        <v>0.153324729279352</v>
      </c>
      <c r="D614" t="n">
        <v>0.2299669894339359</v>
      </c>
      <c r="E614">
        <f>DEGREES(ATAN(D614/C614))</f>
        <v/>
      </c>
      <c r="F614">
        <f>DEGREES(ATAN(TAN(RADIANS(pe0-omega*B614))*(C614/sref)^(m_-1)))</f>
        <v/>
      </c>
      <c r="G614">
        <f>E614-F614</f>
        <v/>
      </c>
    </row>
    <row r="615">
      <c r="A615" t="inlineStr">
        <is>
          <t>Indraratna et al (1998) | IIC-B</t>
        </is>
      </c>
      <c r="B615" t="n">
        <v>0.77</v>
      </c>
      <c r="C615" t="n">
        <v>0.2005788141346641</v>
      </c>
      <c r="D615" t="n">
        <v>0.2531238977605426</v>
      </c>
      <c r="E615">
        <f>DEGREES(ATAN(D615/C615))</f>
        <v/>
      </c>
      <c r="F615">
        <f>DEGREES(ATAN(TAN(RADIANS(pe0-omega*B615))*(C615/sref)^(m_-1)))</f>
        <v/>
      </c>
      <c r="G615">
        <f>E615-F615</f>
        <v/>
      </c>
    </row>
    <row r="616">
      <c r="A616" t="inlineStr">
        <is>
          <t>Indraratna et al (1998) | IIC-B</t>
        </is>
      </c>
      <c r="B616" t="n">
        <v>0.77</v>
      </c>
      <c r="C616" t="n">
        <v>0.2642326385373073</v>
      </c>
      <c r="D616" t="n">
        <v>0.3144996597240313</v>
      </c>
      <c r="E616">
        <f>DEGREES(ATAN(D616/C616))</f>
        <v/>
      </c>
      <c r="F616">
        <f>DEGREES(ATAN(TAN(RADIANS(pe0-omega*B616))*(C616/sref)^(m_-1)))</f>
        <v/>
      </c>
      <c r="G616">
        <f>E616-F616</f>
        <v/>
      </c>
    </row>
    <row r="617">
      <c r="A617" t="inlineStr">
        <is>
          <t>Indraratna et al (1998) | IIC-B</t>
        </is>
      </c>
      <c r="B617" t="n">
        <v>0.77</v>
      </c>
      <c r="C617" t="n">
        <v>0.4975902528076458</v>
      </c>
      <c r="D617" t="n">
        <v>0.5030498734121438</v>
      </c>
      <c r="E617">
        <f>DEGREES(ATAN(D617/C617))</f>
        <v/>
      </c>
      <c r="F617">
        <f>DEGREES(ATAN(TAN(RADIANS(pe0-omega*B617))*(C617/sref)^(m_-1)))</f>
        <v/>
      </c>
      <c r="G617">
        <f>E617-F617</f>
        <v/>
      </c>
    </row>
    <row r="618">
      <c r="A618" t="inlineStr">
        <is>
          <t>Ionescu and Indraratna (2003) | A fresh</t>
        </is>
      </c>
      <c r="B618" t="n">
        <v>0.6052727272727274</v>
      </c>
      <c r="C618" t="n">
        <v>0.1462381600349334</v>
      </c>
      <c r="D618" t="n">
        <v>0.2333696976657325</v>
      </c>
      <c r="E618">
        <f>DEGREES(ATAN(D618/C618))</f>
        <v/>
      </c>
      <c r="F618">
        <f>DEGREES(ATAN(TAN(RADIANS(pe0-omega*B618))*(C618/sref)^(m_-1)))</f>
        <v/>
      </c>
      <c r="G618">
        <f>E618-F618</f>
        <v/>
      </c>
    </row>
    <row r="619">
      <c r="A619" t="inlineStr">
        <is>
          <t>Ionescu and Indraratna (2003) | A fresh</t>
        </is>
      </c>
      <c r="B619" t="n">
        <v>0.6052727272727274</v>
      </c>
      <c r="C619" t="n">
        <v>0.2604582920320801</v>
      </c>
      <c r="D619" t="n">
        <v>0.3369763480999475</v>
      </c>
      <c r="E619">
        <f>DEGREES(ATAN(D619/C619))</f>
        <v/>
      </c>
      <c r="F619">
        <f>DEGREES(ATAN(TAN(RADIANS(pe0-omega*B619))*(C619/sref)^(m_-1)))</f>
        <v/>
      </c>
      <c r="G619">
        <f>E619-F619</f>
        <v/>
      </c>
    </row>
    <row r="620">
      <c r="A620" t="inlineStr">
        <is>
          <t>Ionescu and Indraratna (2003) | A fresh</t>
        </is>
      </c>
      <c r="B620" t="n">
        <v>0.6052727272727274</v>
      </c>
      <c r="C620" t="n">
        <v>0.5174746250749499</v>
      </c>
      <c r="D620" t="n">
        <v>0.5958901807341678</v>
      </c>
      <c r="E620">
        <f>DEGREES(ATAN(D620/C620))</f>
        <v/>
      </c>
      <c r="F620">
        <f>DEGREES(ATAN(TAN(RADIANS(pe0-omega*B620))*(C620/sref)^(m_-1)))</f>
        <v/>
      </c>
      <c r="G620">
        <f>E620-F620</f>
        <v/>
      </c>
    </row>
    <row r="621">
      <c r="A621" t="inlineStr">
        <is>
          <t>Ionescu and Indraratna (2003) | A recycled</t>
        </is>
      </c>
      <c r="B621" t="n">
        <v>0.6052727272727274</v>
      </c>
      <c r="C621" t="n">
        <v>0.1382807257986708</v>
      </c>
      <c r="D621" t="n">
        <v>0.2037893098129756</v>
      </c>
      <c r="E621">
        <f>DEGREES(ATAN(D621/C621))</f>
        <v/>
      </c>
      <c r="F621">
        <f>DEGREES(ATAN(TAN(RADIANS(pe0-omega*B621))*(C621/sref)^(m_-1)))</f>
        <v/>
      </c>
      <c r="G621">
        <f>E621-F621</f>
        <v/>
      </c>
    </row>
    <row r="622">
      <c r="A622" t="inlineStr">
        <is>
          <t>Ionescu and Indraratna (2003) | A recycled</t>
        </is>
      </c>
      <c r="B622" t="n">
        <v>0.6052727272727274</v>
      </c>
      <c r="C622" t="n">
        <v>0.2535836700648135</v>
      </c>
      <c r="D622" t="n">
        <v>0.3123624653207832</v>
      </c>
      <c r="E622">
        <f>DEGREES(ATAN(D622/C622))</f>
        <v/>
      </c>
      <c r="F622">
        <f>DEGREES(ATAN(TAN(RADIANS(pe0-omega*B622))*(C622/sref)^(m_-1)))</f>
        <v/>
      </c>
      <c r="G622">
        <f>E622-F622</f>
        <v/>
      </c>
    </row>
    <row r="623">
      <c r="A623" t="inlineStr">
        <is>
          <t>Ionescu and Indraratna (2003) | A recycled</t>
        </is>
      </c>
      <c r="B623" t="n">
        <v>0.6052727272727274</v>
      </c>
      <c r="C623" t="n">
        <v>0.4868974873418096</v>
      </c>
      <c r="D623" t="n">
        <v>0.5221198051924797</v>
      </c>
      <c r="E623">
        <f>DEGREES(ATAN(D623/C623))</f>
        <v/>
      </c>
      <c r="F623">
        <f>DEGREES(ATAN(TAN(RADIANS(pe0-omega*B623))*(C623/sref)^(m_-1)))</f>
        <v/>
      </c>
      <c r="G623">
        <f>E623-F623</f>
        <v/>
      </c>
    </row>
    <row r="624">
      <c r="A624" t="inlineStr">
        <is>
          <t>Ionescu and Indraratna (2003) | B fresh</t>
        </is>
      </c>
      <c r="B624" t="n">
        <v>0.6052727272727274</v>
      </c>
      <c r="C624" t="n">
        <v>0.1556457748349906</v>
      </c>
      <c r="D624" t="n">
        <v>0.2491560255165162</v>
      </c>
      <c r="E624">
        <f>DEGREES(ATAN(D624/C624))</f>
        <v/>
      </c>
      <c r="F624">
        <f>DEGREES(ATAN(TAN(RADIANS(pe0-omega*B624))*(C624/sref)^(m_-1)))</f>
        <v/>
      </c>
      <c r="G624">
        <f>E624-F624</f>
        <v/>
      </c>
    </row>
    <row r="625">
      <c r="A625" t="inlineStr">
        <is>
          <t>Ionescu and Indraratna (2003) | B fresh</t>
        </is>
      </c>
      <c r="B625" t="n">
        <v>0.6052727272727274</v>
      </c>
      <c r="C625" t="n">
        <v>0.2826818097803758</v>
      </c>
      <c r="D625" t="n">
        <v>0.3705206194003741</v>
      </c>
      <c r="E625">
        <f>DEGREES(ATAN(D625/C625))</f>
        <v/>
      </c>
      <c r="F625">
        <f>DEGREES(ATAN(TAN(RADIANS(pe0-omega*B625))*(C625/sref)^(m_-1)))</f>
        <v/>
      </c>
      <c r="G625">
        <f>E625-F625</f>
        <v/>
      </c>
    </row>
    <row r="626">
      <c r="A626" t="inlineStr">
        <is>
          <t>Ionescu and Indraratna (2003) | B fresh</t>
        </is>
      </c>
      <c r="B626" t="n">
        <v>0.6052727272727274</v>
      </c>
      <c r="C626" t="n">
        <v>0.5474529810645877</v>
      </c>
      <c r="D626" t="n">
        <v>0.6196960783009113</v>
      </c>
      <c r="E626">
        <f>DEGREES(ATAN(D626/C626))</f>
        <v/>
      </c>
      <c r="F626">
        <f>DEGREES(ATAN(TAN(RADIANS(pe0-omega*B626))*(C626/sref)^(m_-1)))</f>
        <v/>
      </c>
      <c r="G626">
        <f>E626-F626</f>
        <v/>
      </c>
    </row>
    <row r="627">
      <c r="A627" t="inlineStr">
        <is>
          <t>Ionescu and Indraratna (2003) | B recycled</t>
        </is>
      </c>
      <c r="B627" t="n">
        <v>0.6052727272727274</v>
      </c>
      <c r="C627" t="n">
        <v>0.135762679497109</v>
      </c>
      <c r="D627" t="n">
        <v>0.2045482711144025</v>
      </c>
      <c r="E627">
        <f>DEGREES(ATAN(D627/C627))</f>
        <v/>
      </c>
      <c r="F627">
        <f>DEGREES(ATAN(TAN(RADIANS(pe0-omega*B627))*(C627/sref)^(m_-1)))</f>
        <v/>
      </c>
      <c r="G627">
        <f>E627-F627</f>
        <v/>
      </c>
    </row>
    <row r="628">
      <c r="A628" t="inlineStr">
        <is>
          <t>Ionescu and Indraratna (2003) | B recycled</t>
        </is>
      </c>
      <c r="B628" t="n">
        <v>0.6052727272727274</v>
      </c>
      <c r="C628" t="n">
        <v>0.2547305585159542</v>
      </c>
      <c r="D628" t="n">
        <v>0.326530169763952</v>
      </c>
      <c r="E628">
        <f>DEGREES(ATAN(D628/C628))</f>
        <v/>
      </c>
      <c r="F628">
        <f>DEGREES(ATAN(TAN(RADIANS(pe0-omega*B628))*(C628/sref)^(m_-1)))</f>
        <v/>
      </c>
      <c r="G628">
        <f>E628-F628</f>
        <v/>
      </c>
    </row>
    <row r="629">
      <c r="A629" t="inlineStr">
        <is>
          <t>Ionescu and Indraratna (2003) | B recycled</t>
        </is>
      </c>
      <c r="B629" t="n">
        <v>0.6052727272727274</v>
      </c>
      <c r="C629" t="n">
        <v>0.4960136665693372</v>
      </c>
      <c r="D629" t="n">
        <v>0.5619969409330142</v>
      </c>
      <c r="E629">
        <f>DEGREES(ATAN(D629/C629))</f>
        <v/>
      </c>
      <c r="F629">
        <f>DEGREES(ATAN(TAN(RADIANS(pe0-omega*B629))*(C629/sref)^(m_-1)))</f>
        <v/>
      </c>
      <c r="G629">
        <f>E629-F629</f>
        <v/>
      </c>
    </row>
    <row r="630">
      <c r="A630" t="inlineStr">
        <is>
          <t>Ionescu and Indraratna (2003) | C recycled</t>
        </is>
      </c>
      <c r="B630" t="n">
        <v>0.6052727272727274</v>
      </c>
      <c r="C630" t="n">
        <v>0.2451300485320125</v>
      </c>
      <c r="D630" t="n">
        <v>0.3002608058984135</v>
      </c>
      <c r="E630">
        <f>DEGREES(ATAN(D630/C630))</f>
        <v/>
      </c>
      <c r="F630">
        <f>DEGREES(ATAN(TAN(RADIANS(pe0-omega*B630))*(C630/sref)^(m_-1)))</f>
        <v/>
      </c>
      <c r="G630">
        <f>E630-F630</f>
        <v/>
      </c>
    </row>
    <row r="631">
      <c r="A631" t="inlineStr">
        <is>
          <t>Ionescu and Indraratna (2003) | C recycled</t>
        </is>
      </c>
      <c r="B631" t="n">
        <v>0.6052727272727274</v>
      </c>
      <c r="C631" t="n">
        <v>0.496032873598111</v>
      </c>
      <c r="D631" t="n">
        <v>0.5570948147791722</v>
      </c>
      <c r="E631">
        <f>DEGREES(ATAN(D631/C631))</f>
        <v/>
      </c>
      <c r="F631">
        <f>DEGREES(ATAN(TAN(RADIANS(pe0-omega*B631))*(C631/sref)^(m_-1)))</f>
        <v/>
      </c>
      <c r="G631">
        <f>E631-F631</f>
        <v/>
      </c>
    </row>
    <row r="632">
      <c r="A632" t="inlineStr">
        <is>
          <t>Tosun et al. (1999) | A</t>
        </is>
      </c>
      <c r="B632" t="n">
        <v>0.4880337078651686</v>
      </c>
      <c r="C632" t="n">
        <v>0.1794537104199085</v>
      </c>
      <c r="D632" t="n">
        <v>0.1797538552482872</v>
      </c>
      <c r="E632">
        <f>DEGREES(ATAN(D632/C632))</f>
        <v/>
      </c>
      <c r="F632">
        <f>DEGREES(ATAN(TAN(RADIANS(pe0-omega*B632))*(C632/sref)^(m_-1)))</f>
        <v/>
      </c>
      <c r="G632">
        <f>E632-F632</f>
        <v/>
      </c>
    </row>
    <row r="633">
      <c r="A633" t="inlineStr">
        <is>
          <t>Tosun et al. (1999) | A</t>
        </is>
      </c>
      <c r="B633" t="n">
        <v>0.4880337078651686</v>
      </c>
      <c r="C633" t="n">
        <v>0.3693888898389313</v>
      </c>
      <c r="D633" t="n">
        <v>0.3374067662893372</v>
      </c>
      <c r="E633">
        <f>DEGREES(ATAN(D633/C633))</f>
        <v/>
      </c>
      <c r="F633">
        <f>DEGREES(ATAN(TAN(RADIANS(pe0-omega*B633))*(C633/sref)^(m_-1)))</f>
        <v/>
      </c>
      <c r="G633">
        <f>E633-F633</f>
        <v/>
      </c>
    </row>
    <row r="634">
      <c r="A634" t="inlineStr">
        <is>
          <t>Tosun et al. (1999) | B</t>
        </is>
      </c>
      <c r="B634" t="n">
        <v>0.4395108695652177</v>
      </c>
      <c r="C634" t="n">
        <v>0.1864226504999062</v>
      </c>
      <c r="D634" t="n">
        <v>0.19530220531748</v>
      </c>
      <c r="E634">
        <f>DEGREES(ATAN(D634/C634))</f>
        <v/>
      </c>
      <c r="F634">
        <f>DEGREES(ATAN(TAN(RADIANS(pe0-omega*B634))*(C634/sref)^(m_-1)))</f>
        <v/>
      </c>
      <c r="G634">
        <f>E634-F634</f>
        <v/>
      </c>
    </row>
    <row r="635">
      <c r="A635" t="inlineStr">
        <is>
          <t>Tosun et al. (1999) | B</t>
        </is>
      </c>
      <c r="B635" t="n">
        <v>0.4395108695652177</v>
      </c>
      <c r="C635" t="n">
        <v>0.3792211289190002</v>
      </c>
      <c r="D635" t="n">
        <v>0.3743470581134399</v>
      </c>
      <c r="E635">
        <f>DEGREES(ATAN(D635/C635))</f>
        <v/>
      </c>
      <c r="F635">
        <f>DEGREES(ATAN(TAN(RADIANS(pe0-omega*B635))*(C635/sref)^(m_-1)))</f>
        <v/>
      </c>
      <c r="G635">
        <f>E635-F635</f>
        <v/>
      </c>
    </row>
    <row r="636">
      <c r="A636" t="inlineStr">
        <is>
          <t>Tosun et al. (1999) | C</t>
        </is>
      </c>
      <c r="B636" t="n">
        <v>0.4317297297297298</v>
      </c>
      <c r="C636" t="n">
        <v>0.1734227785427124</v>
      </c>
      <c r="D636" t="n">
        <v>0.1509389162680816</v>
      </c>
      <c r="E636">
        <f>DEGREES(ATAN(D636/C636))</f>
        <v/>
      </c>
      <c r="F636">
        <f>DEGREES(ATAN(TAN(RADIANS(pe0-omega*B636))*(C636/sref)^(m_-1)))</f>
        <v/>
      </c>
      <c r="G636">
        <f>E636-F636</f>
        <v/>
      </c>
    </row>
    <row r="637">
      <c r="A637" t="inlineStr">
        <is>
          <t>Tosun et al. (1999) | C</t>
        </is>
      </c>
      <c r="B637" t="n">
        <v>0.4317297297297298</v>
      </c>
      <c r="C637" t="n">
        <v>0.3508252271318815</v>
      </c>
      <c r="D637" t="n">
        <v>0.2943661307593125</v>
      </c>
      <c r="E637">
        <f>DEGREES(ATAN(D637/C637))</f>
        <v/>
      </c>
      <c r="F637">
        <f>DEGREES(ATAN(TAN(RADIANS(pe0-omega*B637))*(C637/sref)^(m_-1)))</f>
        <v/>
      </c>
      <c r="G637">
        <f>E637-F637</f>
        <v/>
      </c>
    </row>
    <row r="638">
      <c r="A638" t="inlineStr">
        <is>
          <t>Tosun et al. (1999) | D80</t>
        </is>
      </c>
      <c r="B638" t="n">
        <v>0.3310050251256282</v>
      </c>
      <c r="C638" t="n">
        <v>0.1731547418383417</v>
      </c>
      <c r="D638" t="n">
        <v>0.1661393205028941</v>
      </c>
      <c r="E638">
        <f>DEGREES(ATAN(D638/C638))</f>
        <v/>
      </c>
      <c r="F638">
        <f>DEGREES(ATAN(TAN(RADIANS(pe0-omega*B638))*(C638/sref)^(m_-1)))</f>
        <v/>
      </c>
      <c r="G638">
        <f>E638-F638</f>
        <v/>
      </c>
    </row>
    <row r="639">
      <c r="A639" t="inlineStr">
        <is>
          <t>Tosun et al. (1999) | D80</t>
        </is>
      </c>
      <c r="B639" t="n">
        <v>0.3310050251256282</v>
      </c>
      <c r="C639" t="n">
        <v>0.3296979021383614</v>
      </c>
      <c r="D639" t="n">
        <v>0.2904639378238297</v>
      </c>
      <c r="E639">
        <f>DEGREES(ATAN(D639/C639))</f>
        <v/>
      </c>
      <c r="F639">
        <f>DEGREES(ATAN(TAN(RADIANS(pe0-omega*B639))*(C639/sref)^(m_-1)))</f>
        <v/>
      </c>
      <c r="G639">
        <f>E639-F639</f>
        <v/>
      </c>
    </row>
    <row r="640">
      <c r="A640" t="inlineStr">
        <is>
          <t>Tosun et al. (1999) | D90A</t>
        </is>
      </c>
      <c r="B640" t="n">
        <v>0.3112376237623764</v>
      </c>
      <c r="C640" t="n">
        <v>0.131811250574663</v>
      </c>
      <c r="D640" t="n">
        <v>0.1363716572462113</v>
      </c>
      <c r="E640">
        <f>DEGREES(ATAN(D640/C640))</f>
        <v/>
      </c>
      <c r="F640">
        <f>DEGREES(ATAN(TAN(RADIANS(pe0-omega*B640))*(C640/sref)^(m_-1)))</f>
        <v/>
      </c>
      <c r="G640">
        <f>E640-F640</f>
        <v/>
      </c>
    </row>
    <row r="641">
      <c r="A641" t="inlineStr">
        <is>
          <t>Tosun et al. (1999) | D90A</t>
        </is>
      </c>
      <c r="B641" t="n">
        <v>0.3112376237623764</v>
      </c>
      <c r="C641" t="n">
        <v>0.174090093042483</v>
      </c>
      <c r="D641" t="n">
        <v>0.1713497515453608</v>
      </c>
      <c r="E641">
        <f>DEGREES(ATAN(D641/C641))</f>
        <v/>
      </c>
      <c r="F641">
        <f>DEGREES(ATAN(TAN(RADIANS(pe0-omega*B641))*(C641/sref)^(m_-1)))</f>
        <v/>
      </c>
      <c r="G641">
        <f>E641-F641</f>
        <v/>
      </c>
    </row>
    <row r="642">
      <c r="A642" t="inlineStr">
        <is>
          <t>Tosun et al. (1999) | D90B</t>
        </is>
      </c>
      <c r="B642" t="n">
        <v>0.3112376237623764</v>
      </c>
      <c r="C642" t="n">
        <v>0.1785089577745825</v>
      </c>
      <c r="D642" t="n">
        <v>0.1855380613103771</v>
      </c>
      <c r="E642">
        <f>DEGREES(ATAN(D642/C642))</f>
        <v/>
      </c>
      <c r="F642">
        <f>DEGREES(ATAN(TAN(RADIANS(pe0-omega*B642))*(C642/sref)^(m_-1)))</f>
        <v/>
      </c>
      <c r="G642">
        <f>E642-F642</f>
        <v/>
      </c>
    </row>
    <row r="643">
      <c r="A643" t="inlineStr">
        <is>
          <t>Tosun et al. (1999) | D90B</t>
        </is>
      </c>
      <c r="B643" t="n">
        <v>0.3112376237623764</v>
      </c>
      <c r="C643" t="n">
        <v>0.2683821716673441</v>
      </c>
      <c r="D643" t="n">
        <v>0.2785615065262587</v>
      </c>
      <c r="E643">
        <f>DEGREES(ATAN(D643/C643))</f>
        <v/>
      </c>
      <c r="F643">
        <f>DEGREES(ATAN(TAN(RADIANS(pe0-omega*B643))*(C643/sref)^(m_-1)))</f>
        <v/>
      </c>
      <c r="G643">
        <f>E643-F643</f>
        <v/>
      </c>
    </row>
    <row r="644">
      <c r="A644" t="inlineStr">
        <is>
          <t>Tosun et al. (1999) | E</t>
        </is>
      </c>
      <c r="B644" t="n">
        <v>0.3177611940298508</v>
      </c>
      <c r="C644" t="n">
        <v>0.1684360279135574</v>
      </c>
      <c r="D644" t="n">
        <v>0.1504312429121396</v>
      </c>
      <c r="E644">
        <f>DEGREES(ATAN(D644/C644))</f>
        <v/>
      </c>
      <c r="F644">
        <f>DEGREES(ATAN(TAN(RADIANS(pe0-omega*B644))*(C644/sref)^(m_-1)))</f>
        <v/>
      </c>
      <c r="G644">
        <f>E644-F644</f>
        <v/>
      </c>
    </row>
    <row r="645">
      <c r="A645" t="inlineStr">
        <is>
          <t>Tosun et al. (1999) | E</t>
        </is>
      </c>
      <c r="B645" t="n">
        <v>0.3177611940298508</v>
      </c>
      <c r="C645" t="n">
        <v>0.2415893299252933</v>
      </c>
      <c r="D645" t="n">
        <v>0.1918597668943812</v>
      </c>
      <c r="E645">
        <f>DEGREES(ATAN(D645/C645))</f>
        <v/>
      </c>
      <c r="F645">
        <f>DEGREES(ATAN(TAN(RADIANS(pe0-omega*B645))*(C645/sref)^(m_-1)))</f>
        <v/>
      </c>
      <c r="G645">
        <f>E645-F645</f>
        <v/>
      </c>
    </row>
    <row r="646">
      <c r="A646" t="inlineStr">
        <is>
          <t>Tosun et al. (1999) | E</t>
        </is>
      </c>
      <c r="B646" t="n">
        <v>0.3177611940298508</v>
      </c>
      <c r="C646" t="n">
        <v>0.34164622902146</v>
      </c>
      <c r="D646" t="n">
        <v>0.3013361486958365</v>
      </c>
      <c r="E646">
        <f>DEGREES(ATAN(D646/C646))</f>
        <v/>
      </c>
      <c r="F646">
        <f>DEGREES(ATAN(TAN(RADIANS(pe0-omega*B646))*(C646/sref)^(m_-1)))</f>
        <v/>
      </c>
      <c r="G646">
        <f>E646-F646</f>
        <v/>
      </c>
    </row>
    <row r="647">
      <c r="A647" t="inlineStr">
        <is>
          <t>Tosun et al. (1999) | E</t>
        </is>
      </c>
      <c r="B647" t="n">
        <v>0.3177611940298508</v>
      </c>
      <c r="C647" t="n">
        <v>0.4946727821965354</v>
      </c>
      <c r="D647" t="n">
        <v>0.4089770416416649</v>
      </c>
      <c r="E647">
        <f>DEGREES(ATAN(D647/C647))</f>
        <v/>
      </c>
      <c r="F647">
        <f>DEGREES(ATAN(TAN(RADIANS(pe0-omega*B647))*(C647/sref)^(m_-1)))</f>
        <v/>
      </c>
      <c r="G647">
        <f>E647-F647</f>
        <v/>
      </c>
    </row>
    <row r="648">
      <c r="A648" t="inlineStr">
        <is>
          <t>Tosun et al. (1999) | F</t>
        </is>
      </c>
      <c r="B648" t="n">
        <v>0.2920487804878049</v>
      </c>
      <c r="C648" t="n">
        <v>0.1358090004917723</v>
      </c>
      <c r="D648" t="n">
        <v>0.1472688186778501</v>
      </c>
      <c r="E648">
        <f>DEGREES(ATAN(D648/C648))</f>
        <v/>
      </c>
      <c r="F648">
        <f>DEGREES(ATAN(TAN(RADIANS(pe0-omega*B648))*(C648/sref)^(m_-1)))</f>
        <v/>
      </c>
      <c r="G648">
        <f>E648-F648</f>
        <v/>
      </c>
    </row>
    <row r="649">
      <c r="A649" t="inlineStr">
        <is>
          <t>Tosun et al. (1999) | F</t>
        </is>
      </c>
      <c r="B649" t="n">
        <v>0.2920487804878049</v>
      </c>
      <c r="C649" t="n">
        <v>0.2694712637227274</v>
      </c>
      <c r="D649" t="n">
        <v>0.2660917902395022</v>
      </c>
      <c r="E649">
        <f>DEGREES(ATAN(D649/C649))</f>
        <v/>
      </c>
      <c r="F649">
        <f>DEGREES(ATAN(TAN(RADIANS(pe0-omega*B649))*(C649/sref)^(m_-1)))</f>
        <v/>
      </c>
      <c r="G649">
        <f>E649-F649</f>
        <v/>
      </c>
    </row>
    <row r="650">
      <c r="A650" t="inlineStr">
        <is>
          <t>Tosun et al. (1999) | F</t>
        </is>
      </c>
      <c r="B650" t="n">
        <v>0.2920487804878049</v>
      </c>
      <c r="C650" t="n">
        <v>0.3519514402596935</v>
      </c>
      <c r="D650" t="n">
        <v>0.3317425608165473</v>
      </c>
      <c r="E650">
        <f>DEGREES(ATAN(D650/C650))</f>
        <v/>
      </c>
      <c r="F650">
        <f>DEGREES(ATAN(TAN(RADIANS(pe0-omega*B650))*(C650/sref)^(m_-1)))</f>
        <v/>
      </c>
      <c r="G650">
        <f>E650-F650</f>
        <v/>
      </c>
    </row>
    <row r="651">
      <c r="A651" t="inlineStr">
        <is>
          <t>Ovalle et al (2014) | CP1</t>
        </is>
      </c>
      <c r="B651" t="n">
        <v>0.84</v>
      </c>
      <c r="C651" t="n">
        <v>0.195859065748907</v>
      </c>
      <c r="D651" t="n">
        <v>0.2135553007861491</v>
      </c>
      <c r="E651">
        <f>DEGREES(ATAN(D651/C651))</f>
        <v/>
      </c>
      <c r="F651">
        <f>DEGREES(ATAN(TAN(RADIANS(pe0-omega*B651))*(C651/sref)^(m_-1)))</f>
        <v/>
      </c>
      <c r="G651">
        <f>E651-F651</f>
        <v/>
      </c>
    </row>
    <row r="652">
      <c r="A652" t="inlineStr">
        <is>
          <t>Ovalle et al (2014) | CP1</t>
        </is>
      </c>
      <c r="B652" t="n">
        <v>0.84</v>
      </c>
      <c r="C652" t="n">
        <v>0.3720913492727498</v>
      </c>
      <c r="D652" t="n">
        <v>0.3563552788917352</v>
      </c>
      <c r="E652">
        <f>DEGREES(ATAN(D652/C652))</f>
        <v/>
      </c>
      <c r="F652">
        <f>DEGREES(ATAN(TAN(RADIANS(pe0-omega*B652))*(C652/sref)^(m_-1)))</f>
        <v/>
      </c>
      <c r="G652">
        <f>E652-F652</f>
        <v/>
      </c>
    </row>
    <row r="653">
      <c r="A653" t="inlineStr">
        <is>
          <t>Ovalle et al (2014) | CP1</t>
        </is>
      </c>
      <c r="B653" t="n">
        <v>0.84</v>
      </c>
      <c r="C653" t="n">
        <v>0.72077774427057</v>
      </c>
      <c r="D653" t="n">
        <v>0.619478408316573</v>
      </c>
      <c r="E653">
        <f>DEGREES(ATAN(D653/C653))</f>
        <v/>
      </c>
      <c r="F653">
        <f>DEGREES(ATAN(TAN(RADIANS(pe0-omega*B653))*(C653/sref)^(m_-1)))</f>
        <v/>
      </c>
      <c r="G653">
        <f>E653-F653</f>
        <v/>
      </c>
    </row>
    <row r="654">
      <c r="A654" t="inlineStr">
        <is>
          <t>Ovalle et al (2014) | CP2</t>
        </is>
      </c>
      <c r="B654" t="n">
        <v>0.89</v>
      </c>
      <c r="C654" t="n">
        <v>0.3576052334057621</v>
      </c>
      <c r="D654" t="n">
        <v>0.3077531907004474</v>
      </c>
      <c r="E654">
        <f>DEGREES(ATAN(D654/C654))</f>
        <v/>
      </c>
      <c r="F654">
        <f>DEGREES(ATAN(TAN(RADIANS(pe0-omega*B654))*(C654/sref)^(m_-1)))</f>
        <v/>
      </c>
      <c r="G654">
        <f>E654-F654</f>
        <v/>
      </c>
    </row>
    <row r="655">
      <c r="A655" t="inlineStr">
        <is>
          <t>Ovalle et al (2014) | CP2</t>
        </is>
      </c>
      <c r="B655" t="n">
        <v>0.89</v>
      </c>
      <c r="C655" t="n">
        <v>0.6994048994150646</v>
      </c>
      <c r="D655" t="n">
        <v>0.5484455962688334</v>
      </c>
      <c r="E655">
        <f>DEGREES(ATAN(D655/C655))</f>
        <v/>
      </c>
      <c r="F655">
        <f>DEGREES(ATAN(TAN(RADIANS(pe0-omega*B655))*(C655/sref)^(m_-1)))</f>
        <v/>
      </c>
      <c r="G655">
        <f>E655-F655</f>
        <v/>
      </c>
    </row>
    <row r="656">
      <c r="A656" t="inlineStr">
        <is>
          <t>Ovalle et al (2014) | STV1</t>
        </is>
      </c>
      <c r="B656" t="n">
        <v>0.5</v>
      </c>
      <c r="C656" t="n">
        <v>0.2186945685899641</v>
      </c>
      <c r="D656" t="n">
        <v>0.2818696446364106</v>
      </c>
      <c r="E656">
        <f>DEGREES(ATAN(D656/C656))</f>
        <v/>
      </c>
      <c r="F656">
        <f>DEGREES(ATAN(TAN(RADIANS(pe0-omega*B656))*(C656/sref)^(m_-1)))</f>
        <v/>
      </c>
      <c r="G656">
        <f>E656-F656</f>
        <v/>
      </c>
    </row>
    <row r="657">
      <c r="A657" t="inlineStr">
        <is>
          <t>Ovalle et al (2014) | STV1</t>
        </is>
      </c>
      <c r="B657" t="n">
        <v>0.5</v>
      </c>
      <c r="C657" t="n">
        <v>0.3990096678848979</v>
      </c>
      <c r="D657" t="n">
        <v>0.42870397572129</v>
      </c>
      <c r="E657">
        <f>DEGREES(ATAN(D657/C657))</f>
        <v/>
      </c>
      <c r="F657">
        <f>DEGREES(ATAN(TAN(RADIANS(pe0-omega*B657))*(C657/sref)^(m_-1)))</f>
        <v/>
      </c>
      <c r="G657">
        <f>E657-F657</f>
        <v/>
      </c>
    </row>
    <row r="658">
      <c r="A658" t="inlineStr">
        <is>
          <t>Ovalle et al (2014) | STV1</t>
        </is>
      </c>
      <c r="B658" t="n">
        <v>0.5</v>
      </c>
      <c r="C658" t="n">
        <v>0.5822449934453436</v>
      </c>
      <c r="D658" t="n">
        <v>0.5758662938230132</v>
      </c>
      <c r="E658">
        <f>DEGREES(ATAN(D658/C658))</f>
        <v/>
      </c>
      <c r="F658">
        <f>DEGREES(ATAN(TAN(RADIANS(pe0-omega*B658))*(C658/sref)^(m_-1)))</f>
        <v/>
      </c>
      <c r="G658">
        <f>E658-F658</f>
        <v/>
      </c>
    </row>
    <row r="659">
      <c r="A659" t="inlineStr">
        <is>
          <t>Ovalle et al (2014) | STV1</t>
        </is>
      </c>
      <c r="B659" t="n">
        <v>0.5</v>
      </c>
      <c r="C659" t="n">
        <v>0.7827078187413311</v>
      </c>
      <c r="D659" t="n">
        <v>0.7528470451599812</v>
      </c>
      <c r="E659">
        <f>DEGREES(ATAN(D659/C659))</f>
        <v/>
      </c>
      <c r="F659">
        <f>DEGREES(ATAN(TAN(RADIANS(pe0-omega*B659))*(C659/sref)^(m_-1)))</f>
        <v/>
      </c>
      <c r="G659">
        <f>E659-F659</f>
        <v/>
      </c>
    </row>
    <row r="660">
      <c r="A660" t="inlineStr">
        <is>
          <t>Ovalle et al (2014) | STV2</t>
        </is>
      </c>
      <c r="B660" t="n">
        <v>0.53</v>
      </c>
      <c r="C660" t="n">
        <v>0.3925411949244678</v>
      </c>
      <c r="D660" t="n">
        <v>0.3945194437392926</v>
      </c>
      <c r="E660">
        <f>DEGREES(ATAN(D660/C660))</f>
        <v/>
      </c>
      <c r="F660">
        <f>DEGREES(ATAN(TAN(RADIANS(pe0-omega*B660))*(C660/sref)^(m_-1)))</f>
        <v/>
      </c>
      <c r="G660">
        <f>E660-F660</f>
        <v/>
      </c>
    </row>
    <row r="661">
      <c r="A661" t="inlineStr">
        <is>
          <t>Ovalle et al (2014) | STV2</t>
        </is>
      </c>
      <c r="B661" t="n">
        <v>0.53</v>
      </c>
      <c r="C661" t="n">
        <v>0.5852259420865015</v>
      </c>
      <c r="D661" t="n">
        <v>0.5549621854166754</v>
      </c>
      <c r="E661">
        <f>DEGREES(ATAN(D661/C661))</f>
        <v/>
      </c>
      <c r="F661">
        <f>DEGREES(ATAN(TAN(RADIANS(pe0-omega*B661))*(C661/sref)^(m_-1)))</f>
        <v/>
      </c>
      <c r="G661">
        <f>E661-F661</f>
        <v/>
      </c>
    </row>
    <row r="662">
      <c r="A662" t="inlineStr">
        <is>
          <t>Ovalle et al (2014) | STV2</t>
        </is>
      </c>
      <c r="B662" t="n">
        <v>0.53</v>
      </c>
      <c r="C662" t="n">
        <v>0.7420259112394959</v>
      </c>
      <c r="D662" t="n">
        <v>0.6435591231913935</v>
      </c>
      <c r="E662">
        <f>DEGREES(ATAN(D662/C662))</f>
        <v/>
      </c>
      <c r="F662">
        <f>DEGREES(ATAN(TAN(RADIANS(pe0-omega*B662))*(C662/sref)^(m_-1)))</f>
        <v/>
      </c>
      <c r="G662">
        <f>E662-F662</f>
        <v/>
      </c>
    </row>
    <row r="663">
      <c r="A663" t="inlineStr">
        <is>
          <t>Xiao et al. (2014) | e=0.189</t>
        </is>
      </c>
      <c r="B663" t="n">
        <v>0.189</v>
      </c>
      <c r="C663" t="n">
        <v>0.7312620048122321</v>
      </c>
      <c r="D663" t="n">
        <v>0.7220481483636292</v>
      </c>
      <c r="E663">
        <f>DEGREES(ATAN(D663/C663))</f>
        <v/>
      </c>
      <c r="F663">
        <f>DEGREES(ATAN(TAN(RADIANS(pe0-omega*B663))*(C663/sref)^(m_-1)))</f>
        <v/>
      </c>
      <c r="G663">
        <f>E663-F663</f>
        <v/>
      </c>
    </row>
    <row r="664">
      <c r="A664" t="inlineStr">
        <is>
          <t>Xiao et al. (2014) | e=0.189</t>
        </is>
      </c>
      <c r="B664" t="n">
        <v>0.189</v>
      </c>
      <c r="C664" t="n">
        <v>1.4243190405722</v>
      </c>
      <c r="D664" t="n">
        <v>1.290815338434237</v>
      </c>
      <c r="E664">
        <f>DEGREES(ATAN(D664/C664))</f>
        <v/>
      </c>
      <c r="F664">
        <f>DEGREES(ATAN(TAN(RADIANS(pe0-omega*B664))*(C664/sref)^(m_-1)))</f>
        <v/>
      </c>
      <c r="G664">
        <f>E664-F664</f>
        <v/>
      </c>
    </row>
    <row r="665">
      <c r="A665" t="inlineStr">
        <is>
          <t>Xiao et al. (2014) | e=0.189</t>
        </is>
      </c>
      <c r="B665" t="n">
        <v>0.189</v>
      </c>
      <c r="C665" t="n">
        <v>2.777867470521338</v>
      </c>
      <c r="D665" t="n">
        <v>2.316787276315504</v>
      </c>
      <c r="E665">
        <f>DEGREES(ATAN(D665/C665))</f>
        <v/>
      </c>
      <c r="F665">
        <f>DEGREES(ATAN(TAN(RADIANS(pe0-omega*B665))*(C665/sref)^(m_-1)))</f>
        <v/>
      </c>
      <c r="G665">
        <f>E665-F665</f>
        <v/>
      </c>
    </row>
    <row r="666">
      <c r="A666" t="inlineStr">
        <is>
          <t>Xiao et al. (2014) | e=0.244</t>
        </is>
      </c>
      <c r="B666" t="n">
        <v>0.244</v>
      </c>
      <c r="C666" t="n">
        <v>0.7168615118633157</v>
      </c>
      <c r="D666" t="n">
        <v>0.6923677170266643</v>
      </c>
      <c r="E666">
        <f>DEGREES(ATAN(D666/C666))</f>
        <v/>
      </c>
      <c r="F666">
        <f>DEGREES(ATAN(TAN(RADIANS(pe0-omega*B666))*(C666/sref)^(m_-1)))</f>
        <v/>
      </c>
      <c r="G666">
        <f>E666-F666</f>
        <v/>
      </c>
    </row>
    <row r="667">
      <c r="A667" t="inlineStr">
        <is>
          <t>Xiao et al. (2014) | e=0.244</t>
        </is>
      </c>
      <c r="B667" t="n">
        <v>0.244</v>
      </c>
      <c r="C667" t="n">
        <v>1.426091641697269</v>
      </c>
      <c r="D667" t="n">
        <v>1.301601955410516</v>
      </c>
      <c r="E667">
        <f>DEGREES(ATAN(D667/C667))</f>
        <v/>
      </c>
      <c r="F667">
        <f>DEGREES(ATAN(TAN(RADIANS(pe0-omega*B667))*(C667/sref)^(m_-1)))</f>
        <v/>
      </c>
      <c r="G667">
        <f>E667-F667</f>
        <v/>
      </c>
    </row>
    <row r="668">
      <c r="A668" t="inlineStr">
        <is>
          <t>Xiao et al. (2014) | e=0.244</t>
        </is>
      </c>
      <c r="B668" t="n">
        <v>0.244</v>
      </c>
      <c r="C668" t="n">
        <v>2.7633142083217</v>
      </c>
      <c r="D668" t="n">
        <v>2.306103762559617</v>
      </c>
      <c r="E668">
        <f>DEGREES(ATAN(D668/C668))</f>
        <v/>
      </c>
      <c r="F668">
        <f>DEGREES(ATAN(TAN(RADIANS(pe0-omega*B668))*(C668/sref)^(m_-1)))</f>
        <v/>
      </c>
      <c r="G668">
        <f>E668-F668</f>
        <v/>
      </c>
    </row>
    <row r="669">
      <c r="A669" t="inlineStr">
        <is>
          <t>Xiao et al. (2014) | e=0.285</t>
        </is>
      </c>
      <c r="B669" t="n">
        <v>0.285</v>
      </c>
      <c r="C669" t="n">
        <v>0.7106747962400327</v>
      </c>
      <c r="D669" t="n">
        <v>0.662114082265939</v>
      </c>
      <c r="E669">
        <f>DEGREES(ATAN(D669/C669))</f>
        <v/>
      </c>
      <c r="F669">
        <f>DEGREES(ATAN(TAN(RADIANS(pe0-omega*B669))*(C669/sref)^(m_-1)))</f>
        <v/>
      </c>
      <c r="G669">
        <f>E669-F669</f>
        <v/>
      </c>
    </row>
    <row r="670">
      <c r="A670" t="inlineStr">
        <is>
          <t>Xiao et al. (2014) | e=0.285</t>
        </is>
      </c>
      <c r="B670" t="n">
        <v>0.285</v>
      </c>
      <c r="C670" t="n">
        <v>1.43325004267852</v>
      </c>
      <c r="D670" t="n">
        <v>1.280486423226278</v>
      </c>
      <c r="E670">
        <f>DEGREES(ATAN(D670/C670))</f>
        <v/>
      </c>
      <c r="F670">
        <f>DEGREES(ATAN(TAN(RADIANS(pe0-omega*B670))*(C670/sref)^(m_-1)))</f>
        <v/>
      </c>
      <c r="G670">
        <f>E670-F670</f>
        <v/>
      </c>
    </row>
    <row r="671">
      <c r="A671" t="inlineStr">
        <is>
          <t>Xiao et al. (2014) | e=0.285</t>
        </is>
      </c>
      <c r="B671" t="n">
        <v>0.285</v>
      </c>
      <c r="C671" t="n">
        <v>2.737480216016206</v>
      </c>
      <c r="D671" t="n">
        <v>2.189320094902046</v>
      </c>
      <c r="E671">
        <f>DEGREES(ATAN(D671/C671))</f>
        <v/>
      </c>
      <c r="F671">
        <f>DEGREES(ATAN(TAN(RADIANS(pe0-omega*B671))*(C671/sref)^(m_-1)))</f>
        <v/>
      </c>
      <c r="G671">
        <f>E671-F671</f>
        <v/>
      </c>
    </row>
    <row r="672">
      <c r="A672" t="inlineStr">
        <is>
          <t>Xiao et al. (2014) | e=0.317</t>
        </is>
      </c>
      <c r="B672" t="n">
        <v>0.317</v>
      </c>
      <c r="C672" t="n">
        <v>0.693273811453277</v>
      </c>
      <c r="D672" t="n">
        <v>0.6252830726514235</v>
      </c>
      <c r="E672">
        <f>DEGREES(ATAN(D672/C672))</f>
        <v/>
      </c>
      <c r="F672">
        <f>DEGREES(ATAN(TAN(RADIANS(pe0-omega*B672))*(C672/sref)^(m_-1)))</f>
        <v/>
      </c>
      <c r="G672">
        <f>E672-F672</f>
        <v/>
      </c>
    </row>
    <row r="673">
      <c r="A673" t="inlineStr">
        <is>
          <t>Xiao et al. (2014) | e=0.317</t>
        </is>
      </c>
      <c r="B673" t="n">
        <v>0.317</v>
      </c>
      <c r="C673" t="n">
        <v>1.433869628613232</v>
      </c>
      <c r="D673" t="n">
        <v>1.283763423624734</v>
      </c>
      <c r="E673">
        <f>DEGREES(ATAN(D673/C673))</f>
        <v/>
      </c>
      <c r="F673">
        <f>DEGREES(ATAN(TAN(RADIANS(pe0-omega*B673))*(C673/sref)^(m_-1)))</f>
        <v/>
      </c>
      <c r="G673">
        <f>E673-F673</f>
        <v/>
      </c>
    </row>
    <row r="674">
      <c r="A674" t="inlineStr">
        <is>
          <t>Xiao et al. (2014) | e=0.317</t>
        </is>
      </c>
      <c r="B674" t="n">
        <v>0.317</v>
      </c>
      <c r="C674" t="n">
        <v>2.740735505246569</v>
      </c>
      <c r="D674" t="n">
        <v>2.201331626825578</v>
      </c>
      <c r="E674">
        <f>DEGREES(ATAN(D674/C674))</f>
        <v/>
      </c>
      <c r="F674">
        <f>DEGREES(ATAN(TAN(RADIANS(pe0-omega*B674))*(C674/sref)^(m_-1)))</f>
        <v/>
      </c>
      <c r="G674">
        <f>E674-F674</f>
        <v/>
      </c>
    </row>
    <row r="675">
      <c r="A675" t="inlineStr">
        <is>
          <t>Alonso et al (2016) | Specimen 2</t>
        </is>
      </c>
      <c r="B675" t="n">
        <v>0.544</v>
      </c>
      <c r="C675" t="n">
        <v>0.6947050637279004</v>
      </c>
      <c r="D675" t="n">
        <v>0.6949043225060424</v>
      </c>
      <c r="E675">
        <f>DEGREES(ATAN(D675/C675))</f>
        <v/>
      </c>
      <c r="F675">
        <f>DEGREES(ATAN(TAN(RADIANS(pe0-omega*B675))*(C675/sref)^(m_-1)))</f>
        <v/>
      </c>
      <c r="G675">
        <f>E675-F675</f>
        <v/>
      </c>
    </row>
    <row r="676">
      <c r="A676" t="inlineStr">
        <is>
          <t>Alonso et al (2016) | Specimen 2</t>
        </is>
      </c>
      <c r="B676" t="n">
        <v>0.544</v>
      </c>
      <c r="C676" t="n">
        <v>1.117119745611431</v>
      </c>
      <c r="D676" t="n">
        <v>1.002052655240787</v>
      </c>
      <c r="E676">
        <f>DEGREES(ATAN(D676/C676))</f>
        <v/>
      </c>
      <c r="F676">
        <f>DEGREES(ATAN(TAN(RADIANS(pe0-omega*B676))*(C676/sref)^(m_-1)))</f>
        <v/>
      </c>
      <c r="G676">
        <f>E676-F676</f>
        <v/>
      </c>
    </row>
    <row r="677">
      <c r="A677" t="inlineStr">
        <is>
          <t>Alonso et al (2016) | Specimen 2</t>
        </is>
      </c>
      <c r="B677" t="n">
        <v>0.544</v>
      </c>
      <c r="C677" t="n">
        <v>1.80212314146477</v>
      </c>
      <c r="D677" t="n">
        <v>1.185785504305265</v>
      </c>
      <c r="E677">
        <f>DEGREES(ATAN(D677/C677))</f>
        <v/>
      </c>
      <c r="F677">
        <f>DEGREES(ATAN(TAN(RADIANS(pe0-omega*B677))*(C677/sref)^(m_-1)))</f>
        <v/>
      </c>
      <c r="G677">
        <f>E677-F677</f>
        <v/>
      </c>
    </row>
    <row r="678">
      <c r="A678" t="inlineStr">
        <is>
          <t>Ovalle et al. (2020) | 1</t>
        </is>
      </c>
      <c r="B678" t="n">
        <v>0.86</v>
      </c>
      <c r="C678" t="n">
        <v>0.1802257132921206</v>
      </c>
      <c r="D678" t="n">
        <v>0.1629005926626175</v>
      </c>
      <c r="E678">
        <f>DEGREES(ATAN(D678/C678))</f>
        <v/>
      </c>
      <c r="F678">
        <f>DEGREES(ATAN(TAN(RADIANS(pe0-omega*B678))*(C678/sref)^(m_-1)))</f>
        <v/>
      </c>
      <c r="G678">
        <f>E678-F678</f>
        <v/>
      </c>
    </row>
    <row r="679">
      <c r="A679" t="inlineStr">
        <is>
          <t>Ovalle et al. (2020) | 1</t>
        </is>
      </c>
      <c r="B679" t="n">
        <v>0.84</v>
      </c>
      <c r="C679" t="n">
        <v>0.1790545349958853</v>
      </c>
      <c r="D679" t="n">
        <v>0.1605224818208275</v>
      </c>
      <c r="E679">
        <f>DEGREES(ATAN(D679/C679))</f>
        <v/>
      </c>
      <c r="F679">
        <f>DEGREES(ATAN(TAN(RADIANS(pe0-omega*B679))*(C679/sref)^(m_-1)))</f>
        <v/>
      </c>
      <c r="G679">
        <f>E679-F679</f>
        <v/>
      </c>
    </row>
    <row r="680">
      <c r="A680" t="inlineStr">
        <is>
          <t>Ovalle et al. (2020) | 1</t>
        </is>
      </c>
      <c r="B680" t="n">
        <v>0.82</v>
      </c>
      <c r="C680" t="n">
        <v>0.3449547076189838</v>
      </c>
      <c r="D680" t="n">
        <v>0.2819736738606636</v>
      </c>
      <c r="E680">
        <f>DEGREES(ATAN(D680/C680))</f>
        <v/>
      </c>
      <c r="F680">
        <f>DEGREES(ATAN(TAN(RADIANS(pe0-omega*B680))*(C680/sref)^(m_-1)))</f>
        <v/>
      </c>
      <c r="G680">
        <f>E680-F680</f>
        <v/>
      </c>
    </row>
    <row r="681">
      <c r="A681" t="inlineStr">
        <is>
          <t>Ovalle et al. (2020) | 2</t>
        </is>
      </c>
      <c r="B681" t="n">
        <v>0.309</v>
      </c>
      <c r="C681" t="n">
        <v>0.1869271146362598</v>
      </c>
      <c r="D681" t="n">
        <v>0.1780000104015912</v>
      </c>
      <c r="E681">
        <f>DEGREES(ATAN(D681/C681))</f>
        <v/>
      </c>
      <c r="F681">
        <f>DEGREES(ATAN(TAN(RADIANS(pe0-omega*B681))*(C681/sref)^(m_-1)))</f>
        <v/>
      </c>
      <c r="G681">
        <f>E681-F681</f>
        <v/>
      </c>
    </row>
    <row r="682">
      <c r="A682" t="inlineStr">
        <is>
          <t>Ovalle et al. (2020) | 2</t>
        </is>
      </c>
      <c r="B682" t="n">
        <v>0.304</v>
      </c>
      <c r="C682" t="n">
        <v>0.3546178836484581</v>
      </c>
      <c r="D682" t="n">
        <v>0.309187249542806</v>
      </c>
      <c r="E682">
        <f>DEGREES(ATAN(D682/C682))</f>
        <v/>
      </c>
      <c r="F682">
        <f>DEGREES(ATAN(TAN(RADIANS(pe0-omega*B682))*(C682/sref)^(m_-1)))</f>
        <v/>
      </c>
      <c r="G682">
        <f>E682-F682</f>
        <v/>
      </c>
    </row>
    <row r="683">
      <c r="A683" t="inlineStr">
        <is>
          <t>Ovalle et al. (2020) | 2</t>
        </is>
      </c>
      <c r="B683" t="n">
        <v>0.316</v>
      </c>
      <c r="C683" t="n">
        <v>0.5233322040428895</v>
      </c>
      <c r="D683" t="n">
        <v>0.4237576680245528</v>
      </c>
      <c r="E683">
        <f>DEGREES(ATAN(D683/C683))</f>
        <v/>
      </c>
      <c r="F683">
        <f>DEGREES(ATAN(TAN(RADIANS(pe0-omega*B683))*(C683/sref)^(m_-1)))</f>
        <v/>
      </c>
      <c r="G683">
        <f>E683-F683</f>
        <v/>
      </c>
    </row>
    <row r="684">
      <c r="A684" t="inlineStr">
        <is>
          <t>Ovalle et al. (2020) | 3</t>
        </is>
      </c>
      <c r="B684" t="n">
        <v>0.55</v>
      </c>
      <c r="C684" t="n">
        <v>0.4624190969213112</v>
      </c>
      <c r="D684" t="n">
        <v>0.4757622653474846</v>
      </c>
      <c r="E684">
        <f>DEGREES(ATAN(D684/C684))</f>
        <v/>
      </c>
      <c r="F684">
        <f>DEGREES(ATAN(TAN(RADIANS(pe0-omega*B684))*(C684/sref)^(m_-1)))</f>
        <v/>
      </c>
      <c r="G684">
        <f>E684-F684</f>
        <v/>
      </c>
    </row>
    <row r="685">
      <c r="A685" t="inlineStr">
        <is>
          <t>Ovalle et al. (2020) | 3</t>
        </is>
      </c>
      <c r="B685" t="n">
        <v>0.55</v>
      </c>
      <c r="C685" t="n">
        <v>0.8945428404298015</v>
      </c>
      <c r="D685" t="n">
        <v>0.8486583840508167</v>
      </c>
      <c r="E685">
        <f>DEGREES(ATAN(D685/C685))</f>
        <v/>
      </c>
      <c r="F685">
        <f>DEGREES(ATAN(TAN(RADIANS(pe0-omega*B685))*(C685/sref)^(m_-1)))</f>
        <v/>
      </c>
      <c r="G685">
        <f>E685-F685</f>
        <v/>
      </c>
    </row>
    <row r="686">
      <c r="A686" t="inlineStr">
        <is>
          <t>Ovalle et al. (2020) | 3</t>
        </is>
      </c>
      <c r="B686" t="n">
        <v>0.55</v>
      </c>
      <c r="C686" t="n">
        <v>1.683826667731798</v>
      </c>
      <c r="D686" t="n">
        <v>1.414565431152132</v>
      </c>
      <c r="E686">
        <f>DEGREES(ATAN(D686/C686))</f>
        <v/>
      </c>
      <c r="F686">
        <f>DEGREES(ATAN(TAN(RADIANS(pe0-omega*B686))*(C686/sref)^(m_-1)))</f>
        <v/>
      </c>
      <c r="G686">
        <f>E686-F686</f>
        <v/>
      </c>
    </row>
    <row r="687">
      <c r="A687" t="inlineStr">
        <is>
          <t>Ovalle et al. (2020) | 3</t>
        </is>
      </c>
      <c r="B687" t="n">
        <v>0.55</v>
      </c>
      <c r="C687" t="n">
        <v>3.417234683087448</v>
      </c>
      <c r="D687" t="n">
        <v>2.822902410992922</v>
      </c>
      <c r="E687">
        <f>DEGREES(ATAN(D687/C687))</f>
        <v/>
      </c>
      <c r="F687">
        <f>DEGREES(ATAN(TAN(RADIANS(pe0-omega*B687))*(C687/sref)^(m_-1)))</f>
        <v/>
      </c>
      <c r="G687">
        <f>E687-F687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5" customWidth="1" min="3" max="3"/>
    <col width="7" customWidth="1" min="4" max="4"/>
    <col width="8" customWidth="1" min="5" max="5"/>
    <col width="8" customWidth="1" min="6" max="6"/>
    <col width="8" customWidth="1" min="7" max="7"/>
    <col width="9" customWidth="1" min="8" max="8"/>
    <col width="9" customWidth="1" min="9" max="9"/>
    <col width="12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8" customWidth="1" min="21" max="21"/>
    <col width="8" customWidth="1" min="22" max="22"/>
    <col width="8" customWidth="1" min="23" max="23"/>
    <col width="9" customWidth="1" min="24" max="24"/>
    <col width="9" customWidth="1" min="25" max="25"/>
    <col width="9" customWidth="1" min="26" max="26"/>
  </cols>
  <sheetData>
    <row r="1">
      <c r="A1" s="1" t="inlineStr">
        <is>
          <t>Fuente</t>
        </is>
      </c>
      <c r="B1" s="1" t="inlineStr">
        <is>
          <t>Set</t>
        </is>
      </c>
      <c r="C1" s="1" t="inlineStr">
        <is>
          <t>Tipo</t>
        </is>
      </c>
      <c r="D1" s="1" t="inlineStr">
        <is>
          <t>e0</t>
        </is>
      </c>
      <c r="E1" s="1" t="inlineStr">
        <is>
          <t>σ′3 (MPa)</t>
        </is>
      </c>
      <c r="F1" s="1" t="inlineStr">
        <is>
          <t>σ′1 (MPa)</t>
        </is>
      </c>
      <c r="G1" s="1" t="inlineStr">
        <is>
          <t>q obs (MPa)</t>
        </is>
      </c>
      <c r="H1" s="1" t="inlineStr">
        <is>
          <t>σ′n obs, DS (MPa)</t>
        </is>
      </c>
      <c r="I1" s="1" t="inlineStr">
        <is>
          <t>τ obs, DS (MPa)</t>
        </is>
      </c>
      <c r="J1" s="1" t="inlineStr">
        <is>
          <t>a = tan(φ′e0 − ω·e0)·(10pa)^(1−m)</t>
        </is>
      </c>
      <c r="K1" s="1" t="inlineStr">
        <is>
          <t>Newton 1: σ′n (MPa)</t>
        </is>
      </c>
      <c r="L1" s="1" t="inlineStr">
        <is>
          <t>Newton 2: σ′n (MPa)</t>
        </is>
      </c>
      <c r="M1" s="1" t="inlineStr">
        <is>
          <t>Newton 3: σ′n (MPa)</t>
        </is>
      </c>
      <c r="N1" s="1" t="inlineStr">
        <is>
          <t>Newton 4: σ′n (MPa)</t>
        </is>
      </c>
      <c r="O1" s="1" t="inlineStr">
        <is>
          <t>Newton 5: σ′n (MPa)</t>
        </is>
      </c>
      <c r="P1" s="1" t="inlineStr">
        <is>
          <t>Newton 6: σ′n (MPa)</t>
        </is>
      </c>
      <c r="Q1" s="1" t="inlineStr">
        <is>
          <t>Newton 7: σ′n (MPa)</t>
        </is>
      </c>
      <c r="R1" s="1" t="inlineStr">
        <is>
          <t>Newton 8: σ′n (MPa)</t>
        </is>
      </c>
      <c r="S1" s="1" t="inlineStr">
        <is>
          <t>Newton 9: σ′n (MPa)</t>
        </is>
      </c>
      <c r="T1" s="1" t="inlineStr">
        <is>
          <t>Newton 10: σ′n (MPa)</t>
        </is>
      </c>
      <c r="U1" s="1" t="inlineStr">
        <is>
          <t>τ (MPa)</t>
        </is>
      </c>
      <c r="V1" s="1" t="inlineStr">
        <is>
          <t>tan φ′t</t>
        </is>
      </c>
      <c r="W1" s="1" t="inlineStr">
        <is>
          <t>R (MPa)</t>
        </is>
      </c>
      <c r="X1" s="1" t="inlineStr">
        <is>
          <t>q pred (MPa)</t>
        </is>
      </c>
      <c r="Y1" s="1" t="inlineStr">
        <is>
          <t>Residuo</t>
        </is>
      </c>
      <c r="Z1" s="1" t="inlineStr">
        <is>
          <t>Residuo²</t>
        </is>
      </c>
    </row>
    <row r="2">
      <c r="A2" t="inlineStr">
        <is>
          <t>G2012</t>
        </is>
      </c>
      <c r="B2" t="inlineStr">
        <is>
          <t>G2012-MN-C</t>
        </is>
      </c>
      <c r="C2" t="inlineStr">
        <is>
          <t>TX</t>
        </is>
      </c>
      <c r="D2" t="n">
        <v>0.3119684466019417</v>
      </c>
      <c r="E2" t="n">
        <v>0.4903</v>
      </c>
      <c r="F2" t="n">
        <v>2.2712</v>
      </c>
      <c r="G2">
        <f>F2-E2</f>
        <v/>
      </c>
      <c r="J2">
        <f>TAN(RADIANS(pe0-omega*D2))*sref^(1-m_)</f>
        <v/>
      </c>
      <c r="K2">
        <f>2*E2-((2*E2)+(J2*(2*E2)^m_)*(m_*J2*(2*E2)^(m_-1))-(J2*(2*E2)^m_)*SQRT(1+(m_*J2*(2*E2)^(m_-1))^2)-(E2))*((2*E2)*1E-6)/(((2*E2+((2*E2)*1E-6))+(J2*(2*E2+((2*E2)*1E-6))^m_)*(m_*J2*(2*E2+((2*E2)*1E-6))^(m_-1))-(J2*(2*E2+((2*E2)*1E-6))^m_)*SQRT(1+(m_*J2*(2*E2+((2*E2)*1E-6))^(m_-1))^2)-(E2))-((2*E2)+(J2*(2*E2)^m_)*(m_*J2*(2*E2)^(m_-1))-(J2*(2*E2)^m_)*SQRT(1+(m_*J2*(2*E2)^(m_-1))^2)-(E2)))</f>
        <v/>
      </c>
      <c r="L2">
        <f>K2-((K2)+(J2*(K2)^m_)*(m_*J2*(K2)^(m_-1))-(J2*(K2)^m_)*SQRT(1+(m_*J2*(K2)^(m_-1))^2)-(E2))*((K2)*1E-6)/(((K2+((K2)*1E-6))+(J2*(K2+((K2)*1E-6))^m_)*(m_*J2*(K2+((K2)*1E-6))^(m_-1))-(J2*(K2+((K2)*1E-6))^m_)*SQRT(1+(m_*J2*(K2+((K2)*1E-6))^(m_-1))^2)-(E2))-((K2)+(J2*(K2)^m_)*(m_*J2*(K2)^(m_-1))-(J2*(K2)^m_)*SQRT(1+(m_*J2*(K2)^(m_-1))^2)-(E2)))</f>
        <v/>
      </c>
      <c r="M2">
        <f>L2-((L2)+(J2*(L2)^m_)*(m_*J2*(L2)^(m_-1))-(J2*(L2)^m_)*SQRT(1+(m_*J2*(L2)^(m_-1))^2)-(E2))*((L2)*1E-6)/(((L2+((L2)*1E-6))+(J2*(L2+((L2)*1E-6))^m_)*(m_*J2*(L2+((L2)*1E-6))^(m_-1))-(J2*(L2+((L2)*1E-6))^m_)*SQRT(1+(m_*J2*(L2+((L2)*1E-6))^(m_-1))^2)-(E2))-((L2)+(J2*(L2)^m_)*(m_*J2*(L2)^(m_-1))-(J2*(L2)^m_)*SQRT(1+(m_*J2*(L2)^(m_-1))^2)-(E2)))</f>
        <v/>
      </c>
      <c r="N2">
        <f>M2-((M2)+(J2*(M2)^m_)*(m_*J2*(M2)^(m_-1))-(J2*(M2)^m_)*SQRT(1+(m_*J2*(M2)^(m_-1))^2)-(E2))*((M2)*1E-6)/(((M2+((M2)*1E-6))+(J2*(M2+((M2)*1E-6))^m_)*(m_*J2*(M2+((M2)*1E-6))^(m_-1))-(J2*(M2+((M2)*1E-6))^m_)*SQRT(1+(m_*J2*(M2+((M2)*1E-6))^(m_-1))^2)-(E2))-((M2)+(J2*(M2)^m_)*(m_*J2*(M2)^(m_-1))-(J2*(M2)^m_)*SQRT(1+(m_*J2*(M2)^(m_-1))^2)-(E2)))</f>
        <v/>
      </c>
      <c r="O2">
        <f>N2-((N2)+(J2*(N2)^m_)*(m_*J2*(N2)^(m_-1))-(J2*(N2)^m_)*SQRT(1+(m_*J2*(N2)^(m_-1))^2)-(E2))*((N2)*1E-6)/(((N2+((N2)*1E-6))+(J2*(N2+((N2)*1E-6))^m_)*(m_*J2*(N2+((N2)*1E-6))^(m_-1))-(J2*(N2+((N2)*1E-6))^m_)*SQRT(1+(m_*J2*(N2+((N2)*1E-6))^(m_-1))^2)-(E2))-((N2)+(J2*(N2)^m_)*(m_*J2*(N2)^(m_-1))-(J2*(N2)^m_)*SQRT(1+(m_*J2*(N2)^(m_-1))^2)-(E2)))</f>
        <v/>
      </c>
      <c r="P2">
        <f>O2-((O2)+(J2*(O2)^m_)*(m_*J2*(O2)^(m_-1))-(J2*(O2)^m_)*SQRT(1+(m_*J2*(O2)^(m_-1))^2)-(E2))*((O2)*1E-6)/(((O2+((O2)*1E-6))+(J2*(O2+((O2)*1E-6))^m_)*(m_*J2*(O2+((O2)*1E-6))^(m_-1))-(J2*(O2+((O2)*1E-6))^m_)*SQRT(1+(m_*J2*(O2+((O2)*1E-6))^(m_-1))^2)-(E2))-((O2)+(J2*(O2)^m_)*(m_*J2*(O2)^(m_-1))-(J2*(O2)^m_)*SQRT(1+(m_*J2*(O2)^(m_-1))^2)-(E2)))</f>
        <v/>
      </c>
      <c r="Q2">
        <f>P2-((P2)+(J2*(P2)^m_)*(m_*J2*(P2)^(m_-1))-(J2*(P2)^m_)*SQRT(1+(m_*J2*(P2)^(m_-1))^2)-(E2))*((P2)*1E-6)/(((P2+((P2)*1E-6))+(J2*(P2+((P2)*1E-6))^m_)*(m_*J2*(P2+((P2)*1E-6))^(m_-1))-(J2*(P2+((P2)*1E-6))^m_)*SQRT(1+(m_*J2*(P2+((P2)*1E-6))^(m_-1))^2)-(E2))-((P2)+(J2*(P2)^m_)*(m_*J2*(P2)^(m_-1))-(J2*(P2)^m_)*SQRT(1+(m_*J2*(P2)^(m_-1))^2)-(E2)))</f>
        <v/>
      </c>
      <c r="R2">
        <f>Q2-((Q2)+(J2*(Q2)^m_)*(m_*J2*(Q2)^(m_-1))-(J2*(Q2)^m_)*SQRT(1+(m_*J2*(Q2)^(m_-1))^2)-(E2))*((Q2)*1E-6)/(((Q2+((Q2)*1E-6))+(J2*(Q2+((Q2)*1E-6))^m_)*(m_*J2*(Q2+((Q2)*1E-6))^(m_-1))-(J2*(Q2+((Q2)*1E-6))^m_)*SQRT(1+(m_*J2*(Q2+((Q2)*1E-6))^(m_-1))^2)-(E2))-((Q2)+(J2*(Q2)^m_)*(m_*J2*(Q2)^(m_-1))-(J2*(Q2)^m_)*SQRT(1+(m_*J2*(Q2)^(m_-1))^2)-(E2)))</f>
        <v/>
      </c>
      <c r="S2">
        <f>R2-((R2)+(J2*(R2)^m_)*(m_*J2*(R2)^(m_-1))-(J2*(R2)^m_)*SQRT(1+(m_*J2*(R2)^(m_-1))^2)-(E2))*((R2)*1E-6)/(((R2+((R2)*1E-6))+(J2*(R2+((R2)*1E-6))^m_)*(m_*J2*(R2+((R2)*1E-6))^(m_-1))-(J2*(R2+((R2)*1E-6))^m_)*SQRT(1+(m_*J2*(R2+((R2)*1E-6))^(m_-1))^2)-(E2))-((R2)+(J2*(R2)^m_)*(m_*J2*(R2)^(m_-1))-(J2*(R2)^m_)*SQRT(1+(m_*J2*(R2)^(m_-1))^2)-(E2)))</f>
        <v/>
      </c>
      <c r="T2">
        <f>S2-((S2)+(J2*(S2)^m_)*(m_*J2*(S2)^(m_-1))-(J2*(S2)^m_)*SQRT(1+(m_*J2*(S2)^(m_-1))^2)-(E2))*((S2)*1E-6)/(((S2+((S2)*1E-6))+(J2*(S2+((S2)*1E-6))^m_)*(m_*J2*(S2+((S2)*1E-6))^(m_-1))-(J2*(S2+((S2)*1E-6))^m_)*SQRT(1+(m_*J2*(S2+((S2)*1E-6))^(m_-1))^2)-(E2))-((S2)+(J2*(S2)^m_)*(m_*J2*(S2)^(m_-1))-(J2*(S2)^m_)*SQRT(1+(m_*J2*(S2)^(m_-1))^2)-(E2)))</f>
        <v/>
      </c>
      <c r="U2">
        <f>J2*T2^m_</f>
        <v/>
      </c>
      <c r="V2">
        <f>m_*J2*T2^(m_-1)</f>
        <v/>
      </c>
      <c r="W2">
        <f>U2*SQRT(1+V2^2)</f>
        <v/>
      </c>
      <c r="X2">
        <f>2*W2</f>
        <v/>
      </c>
      <c r="Y2">
        <f>LN(X2)-LN(G2)</f>
        <v/>
      </c>
      <c r="Z2">
        <f>Y2^2</f>
        <v/>
      </c>
    </row>
    <row r="3">
      <c r="A3" t="inlineStr">
        <is>
          <t>G2012</t>
        </is>
      </c>
      <c r="B3" t="inlineStr">
        <is>
          <t>G2012-MN-C</t>
        </is>
      </c>
      <c r="C3" t="inlineStr">
        <is>
          <t>TX</t>
        </is>
      </c>
      <c r="D3" t="n">
        <v>0.3119684466019417</v>
      </c>
      <c r="E3" t="n">
        <v>0.4903</v>
      </c>
      <c r="F3" t="n">
        <v>2.1928</v>
      </c>
      <c r="G3">
        <f>F3-E3</f>
        <v/>
      </c>
      <c r="J3">
        <f>TAN(RADIANS(pe0-omega*D3))*sref^(1-m_)</f>
        <v/>
      </c>
      <c r="K3">
        <f>2*E3-((2*E3)+(J3*(2*E3)^m_)*(m_*J3*(2*E3)^(m_-1))-(J3*(2*E3)^m_)*SQRT(1+(m_*J3*(2*E3)^(m_-1))^2)-(E3))*((2*E3)*1E-6)/(((2*E3+((2*E3)*1E-6))+(J3*(2*E3+((2*E3)*1E-6))^m_)*(m_*J3*(2*E3+((2*E3)*1E-6))^(m_-1))-(J3*(2*E3+((2*E3)*1E-6))^m_)*SQRT(1+(m_*J3*(2*E3+((2*E3)*1E-6))^(m_-1))^2)-(E3))-((2*E3)+(J3*(2*E3)^m_)*(m_*J3*(2*E3)^(m_-1))-(J3*(2*E3)^m_)*SQRT(1+(m_*J3*(2*E3)^(m_-1))^2)-(E3)))</f>
        <v/>
      </c>
      <c r="L3">
        <f>K3-((K3)+(J3*(K3)^m_)*(m_*J3*(K3)^(m_-1))-(J3*(K3)^m_)*SQRT(1+(m_*J3*(K3)^(m_-1))^2)-(E3))*((K3)*1E-6)/(((K3+((K3)*1E-6))+(J3*(K3+((K3)*1E-6))^m_)*(m_*J3*(K3+((K3)*1E-6))^(m_-1))-(J3*(K3+((K3)*1E-6))^m_)*SQRT(1+(m_*J3*(K3+((K3)*1E-6))^(m_-1))^2)-(E3))-((K3)+(J3*(K3)^m_)*(m_*J3*(K3)^(m_-1))-(J3*(K3)^m_)*SQRT(1+(m_*J3*(K3)^(m_-1))^2)-(E3)))</f>
        <v/>
      </c>
      <c r="M3">
        <f>L3-((L3)+(J3*(L3)^m_)*(m_*J3*(L3)^(m_-1))-(J3*(L3)^m_)*SQRT(1+(m_*J3*(L3)^(m_-1))^2)-(E3))*((L3)*1E-6)/(((L3+((L3)*1E-6))+(J3*(L3+((L3)*1E-6))^m_)*(m_*J3*(L3+((L3)*1E-6))^(m_-1))-(J3*(L3+((L3)*1E-6))^m_)*SQRT(1+(m_*J3*(L3+((L3)*1E-6))^(m_-1))^2)-(E3))-((L3)+(J3*(L3)^m_)*(m_*J3*(L3)^(m_-1))-(J3*(L3)^m_)*SQRT(1+(m_*J3*(L3)^(m_-1))^2)-(E3)))</f>
        <v/>
      </c>
      <c r="N3">
        <f>M3-((M3)+(J3*(M3)^m_)*(m_*J3*(M3)^(m_-1))-(J3*(M3)^m_)*SQRT(1+(m_*J3*(M3)^(m_-1))^2)-(E3))*((M3)*1E-6)/(((M3+((M3)*1E-6))+(J3*(M3+((M3)*1E-6))^m_)*(m_*J3*(M3+((M3)*1E-6))^(m_-1))-(J3*(M3+((M3)*1E-6))^m_)*SQRT(1+(m_*J3*(M3+((M3)*1E-6))^(m_-1))^2)-(E3))-((M3)+(J3*(M3)^m_)*(m_*J3*(M3)^(m_-1))-(J3*(M3)^m_)*SQRT(1+(m_*J3*(M3)^(m_-1))^2)-(E3)))</f>
        <v/>
      </c>
      <c r="O3">
        <f>N3-((N3)+(J3*(N3)^m_)*(m_*J3*(N3)^(m_-1))-(J3*(N3)^m_)*SQRT(1+(m_*J3*(N3)^(m_-1))^2)-(E3))*((N3)*1E-6)/(((N3+((N3)*1E-6))+(J3*(N3+((N3)*1E-6))^m_)*(m_*J3*(N3+((N3)*1E-6))^(m_-1))-(J3*(N3+((N3)*1E-6))^m_)*SQRT(1+(m_*J3*(N3+((N3)*1E-6))^(m_-1))^2)-(E3))-((N3)+(J3*(N3)^m_)*(m_*J3*(N3)^(m_-1))-(J3*(N3)^m_)*SQRT(1+(m_*J3*(N3)^(m_-1))^2)-(E3)))</f>
        <v/>
      </c>
      <c r="P3">
        <f>O3-((O3)+(J3*(O3)^m_)*(m_*J3*(O3)^(m_-1))-(J3*(O3)^m_)*SQRT(1+(m_*J3*(O3)^(m_-1))^2)-(E3))*((O3)*1E-6)/(((O3+((O3)*1E-6))+(J3*(O3+((O3)*1E-6))^m_)*(m_*J3*(O3+((O3)*1E-6))^(m_-1))-(J3*(O3+((O3)*1E-6))^m_)*SQRT(1+(m_*J3*(O3+((O3)*1E-6))^(m_-1))^2)-(E3))-((O3)+(J3*(O3)^m_)*(m_*J3*(O3)^(m_-1))-(J3*(O3)^m_)*SQRT(1+(m_*J3*(O3)^(m_-1))^2)-(E3)))</f>
        <v/>
      </c>
      <c r="Q3">
        <f>P3-((P3)+(J3*(P3)^m_)*(m_*J3*(P3)^(m_-1))-(J3*(P3)^m_)*SQRT(1+(m_*J3*(P3)^(m_-1))^2)-(E3))*((P3)*1E-6)/(((P3+((P3)*1E-6))+(J3*(P3+((P3)*1E-6))^m_)*(m_*J3*(P3+((P3)*1E-6))^(m_-1))-(J3*(P3+((P3)*1E-6))^m_)*SQRT(1+(m_*J3*(P3+((P3)*1E-6))^(m_-1))^2)-(E3))-((P3)+(J3*(P3)^m_)*(m_*J3*(P3)^(m_-1))-(J3*(P3)^m_)*SQRT(1+(m_*J3*(P3)^(m_-1))^2)-(E3)))</f>
        <v/>
      </c>
      <c r="R3">
        <f>Q3-((Q3)+(J3*(Q3)^m_)*(m_*J3*(Q3)^(m_-1))-(J3*(Q3)^m_)*SQRT(1+(m_*J3*(Q3)^(m_-1))^2)-(E3))*((Q3)*1E-6)/(((Q3+((Q3)*1E-6))+(J3*(Q3+((Q3)*1E-6))^m_)*(m_*J3*(Q3+((Q3)*1E-6))^(m_-1))-(J3*(Q3+((Q3)*1E-6))^m_)*SQRT(1+(m_*J3*(Q3+((Q3)*1E-6))^(m_-1))^2)-(E3))-((Q3)+(J3*(Q3)^m_)*(m_*J3*(Q3)^(m_-1))-(J3*(Q3)^m_)*SQRT(1+(m_*J3*(Q3)^(m_-1))^2)-(E3)))</f>
        <v/>
      </c>
      <c r="S3">
        <f>R3-((R3)+(J3*(R3)^m_)*(m_*J3*(R3)^(m_-1))-(J3*(R3)^m_)*SQRT(1+(m_*J3*(R3)^(m_-1))^2)-(E3))*((R3)*1E-6)/(((R3+((R3)*1E-6))+(J3*(R3+((R3)*1E-6))^m_)*(m_*J3*(R3+((R3)*1E-6))^(m_-1))-(J3*(R3+((R3)*1E-6))^m_)*SQRT(1+(m_*J3*(R3+((R3)*1E-6))^(m_-1))^2)-(E3))-((R3)+(J3*(R3)^m_)*(m_*J3*(R3)^(m_-1))-(J3*(R3)^m_)*SQRT(1+(m_*J3*(R3)^(m_-1))^2)-(E3)))</f>
        <v/>
      </c>
      <c r="T3">
        <f>S3-((S3)+(J3*(S3)^m_)*(m_*J3*(S3)^(m_-1))-(J3*(S3)^m_)*SQRT(1+(m_*J3*(S3)^(m_-1))^2)-(E3))*((S3)*1E-6)/(((S3+((S3)*1E-6))+(J3*(S3+((S3)*1E-6))^m_)*(m_*J3*(S3+((S3)*1E-6))^(m_-1))-(J3*(S3+((S3)*1E-6))^m_)*SQRT(1+(m_*J3*(S3+((S3)*1E-6))^(m_-1))^2)-(E3))-((S3)+(J3*(S3)^m_)*(m_*J3*(S3)^(m_-1))-(J3*(S3)^m_)*SQRT(1+(m_*J3*(S3)^(m_-1))^2)-(E3)))</f>
        <v/>
      </c>
      <c r="U3">
        <f>J3*T3^m_</f>
        <v/>
      </c>
      <c r="V3">
        <f>m_*J3*T3^(m_-1)</f>
        <v/>
      </c>
      <c r="W3">
        <f>U3*SQRT(1+V3^2)</f>
        <v/>
      </c>
      <c r="X3">
        <f>2*W3</f>
        <v/>
      </c>
      <c r="Y3">
        <f>LN(X3)-LN(G3)</f>
        <v/>
      </c>
      <c r="Z3">
        <f>Y3^2</f>
        <v/>
      </c>
    </row>
    <row r="4">
      <c r="A4" t="inlineStr">
        <is>
          <t>G2012</t>
        </is>
      </c>
      <c r="B4" t="inlineStr">
        <is>
          <t>G2012-MN-C</t>
        </is>
      </c>
      <c r="C4" t="inlineStr">
        <is>
          <t>TX</t>
        </is>
      </c>
      <c r="D4" t="n">
        <v>0.3119684466019417</v>
      </c>
      <c r="E4" t="n">
        <v>0.9807</v>
      </c>
      <c r="F4" t="n">
        <v>3.8972</v>
      </c>
      <c r="G4">
        <f>F4-E4</f>
        <v/>
      </c>
      <c r="J4">
        <f>TAN(RADIANS(pe0-omega*D4))*sref^(1-m_)</f>
        <v/>
      </c>
      <c r="K4">
        <f>2*E4-((2*E4)+(J4*(2*E4)^m_)*(m_*J4*(2*E4)^(m_-1))-(J4*(2*E4)^m_)*SQRT(1+(m_*J4*(2*E4)^(m_-1))^2)-(E4))*((2*E4)*1E-6)/(((2*E4+((2*E4)*1E-6))+(J4*(2*E4+((2*E4)*1E-6))^m_)*(m_*J4*(2*E4+((2*E4)*1E-6))^(m_-1))-(J4*(2*E4+((2*E4)*1E-6))^m_)*SQRT(1+(m_*J4*(2*E4+((2*E4)*1E-6))^(m_-1))^2)-(E4))-((2*E4)+(J4*(2*E4)^m_)*(m_*J4*(2*E4)^(m_-1))-(J4*(2*E4)^m_)*SQRT(1+(m_*J4*(2*E4)^(m_-1))^2)-(E4)))</f>
        <v/>
      </c>
      <c r="L4">
        <f>K4-((K4)+(J4*(K4)^m_)*(m_*J4*(K4)^(m_-1))-(J4*(K4)^m_)*SQRT(1+(m_*J4*(K4)^(m_-1))^2)-(E4))*((K4)*1E-6)/(((K4+((K4)*1E-6))+(J4*(K4+((K4)*1E-6))^m_)*(m_*J4*(K4+((K4)*1E-6))^(m_-1))-(J4*(K4+((K4)*1E-6))^m_)*SQRT(1+(m_*J4*(K4+((K4)*1E-6))^(m_-1))^2)-(E4))-((K4)+(J4*(K4)^m_)*(m_*J4*(K4)^(m_-1))-(J4*(K4)^m_)*SQRT(1+(m_*J4*(K4)^(m_-1))^2)-(E4)))</f>
        <v/>
      </c>
      <c r="M4">
        <f>L4-((L4)+(J4*(L4)^m_)*(m_*J4*(L4)^(m_-1))-(J4*(L4)^m_)*SQRT(1+(m_*J4*(L4)^(m_-1))^2)-(E4))*((L4)*1E-6)/(((L4+((L4)*1E-6))+(J4*(L4+((L4)*1E-6))^m_)*(m_*J4*(L4+((L4)*1E-6))^(m_-1))-(J4*(L4+((L4)*1E-6))^m_)*SQRT(1+(m_*J4*(L4+((L4)*1E-6))^(m_-1))^2)-(E4))-((L4)+(J4*(L4)^m_)*(m_*J4*(L4)^(m_-1))-(J4*(L4)^m_)*SQRT(1+(m_*J4*(L4)^(m_-1))^2)-(E4)))</f>
        <v/>
      </c>
      <c r="N4">
        <f>M4-((M4)+(J4*(M4)^m_)*(m_*J4*(M4)^(m_-1))-(J4*(M4)^m_)*SQRT(1+(m_*J4*(M4)^(m_-1))^2)-(E4))*((M4)*1E-6)/(((M4+((M4)*1E-6))+(J4*(M4+((M4)*1E-6))^m_)*(m_*J4*(M4+((M4)*1E-6))^(m_-1))-(J4*(M4+((M4)*1E-6))^m_)*SQRT(1+(m_*J4*(M4+((M4)*1E-6))^(m_-1))^2)-(E4))-((M4)+(J4*(M4)^m_)*(m_*J4*(M4)^(m_-1))-(J4*(M4)^m_)*SQRT(1+(m_*J4*(M4)^(m_-1))^2)-(E4)))</f>
        <v/>
      </c>
      <c r="O4">
        <f>N4-((N4)+(J4*(N4)^m_)*(m_*J4*(N4)^(m_-1))-(J4*(N4)^m_)*SQRT(1+(m_*J4*(N4)^(m_-1))^2)-(E4))*((N4)*1E-6)/(((N4+((N4)*1E-6))+(J4*(N4+((N4)*1E-6))^m_)*(m_*J4*(N4+((N4)*1E-6))^(m_-1))-(J4*(N4+((N4)*1E-6))^m_)*SQRT(1+(m_*J4*(N4+((N4)*1E-6))^(m_-1))^2)-(E4))-((N4)+(J4*(N4)^m_)*(m_*J4*(N4)^(m_-1))-(J4*(N4)^m_)*SQRT(1+(m_*J4*(N4)^(m_-1))^2)-(E4)))</f>
        <v/>
      </c>
      <c r="P4">
        <f>O4-((O4)+(J4*(O4)^m_)*(m_*J4*(O4)^(m_-1))-(J4*(O4)^m_)*SQRT(1+(m_*J4*(O4)^(m_-1))^2)-(E4))*((O4)*1E-6)/(((O4+((O4)*1E-6))+(J4*(O4+((O4)*1E-6))^m_)*(m_*J4*(O4+((O4)*1E-6))^(m_-1))-(J4*(O4+((O4)*1E-6))^m_)*SQRT(1+(m_*J4*(O4+((O4)*1E-6))^(m_-1))^2)-(E4))-((O4)+(J4*(O4)^m_)*(m_*J4*(O4)^(m_-1))-(J4*(O4)^m_)*SQRT(1+(m_*J4*(O4)^(m_-1))^2)-(E4)))</f>
        <v/>
      </c>
      <c r="Q4">
        <f>P4-((P4)+(J4*(P4)^m_)*(m_*J4*(P4)^(m_-1))-(J4*(P4)^m_)*SQRT(1+(m_*J4*(P4)^(m_-1))^2)-(E4))*((P4)*1E-6)/(((P4+((P4)*1E-6))+(J4*(P4+((P4)*1E-6))^m_)*(m_*J4*(P4+((P4)*1E-6))^(m_-1))-(J4*(P4+((P4)*1E-6))^m_)*SQRT(1+(m_*J4*(P4+((P4)*1E-6))^(m_-1))^2)-(E4))-((P4)+(J4*(P4)^m_)*(m_*J4*(P4)^(m_-1))-(J4*(P4)^m_)*SQRT(1+(m_*J4*(P4)^(m_-1))^2)-(E4)))</f>
        <v/>
      </c>
      <c r="R4">
        <f>Q4-((Q4)+(J4*(Q4)^m_)*(m_*J4*(Q4)^(m_-1))-(J4*(Q4)^m_)*SQRT(1+(m_*J4*(Q4)^(m_-1))^2)-(E4))*((Q4)*1E-6)/(((Q4+((Q4)*1E-6))+(J4*(Q4+((Q4)*1E-6))^m_)*(m_*J4*(Q4+((Q4)*1E-6))^(m_-1))-(J4*(Q4+((Q4)*1E-6))^m_)*SQRT(1+(m_*J4*(Q4+((Q4)*1E-6))^(m_-1))^2)-(E4))-((Q4)+(J4*(Q4)^m_)*(m_*J4*(Q4)^(m_-1))-(J4*(Q4)^m_)*SQRT(1+(m_*J4*(Q4)^(m_-1))^2)-(E4)))</f>
        <v/>
      </c>
      <c r="S4">
        <f>R4-((R4)+(J4*(R4)^m_)*(m_*J4*(R4)^(m_-1))-(J4*(R4)^m_)*SQRT(1+(m_*J4*(R4)^(m_-1))^2)-(E4))*((R4)*1E-6)/(((R4+((R4)*1E-6))+(J4*(R4+((R4)*1E-6))^m_)*(m_*J4*(R4+((R4)*1E-6))^(m_-1))-(J4*(R4+((R4)*1E-6))^m_)*SQRT(1+(m_*J4*(R4+((R4)*1E-6))^(m_-1))^2)-(E4))-((R4)+(J4*(R4)^m_)*(m_*J4*(R4)^(m_-1))-(J4*(R4)^m_)*SQRT(1+(m_*J4*(R4)^(m_-1))^2)-(E4)))</f>
        <v/>
      </c>
      <c r="T4">
        <f>S4-((S4)+(J4*(S4)^m_)*(m_*J4*(S4)^(m_-1))-(J4*(S4)^m_)*SQRT(1+(m_*J4*(S4)^(m_-1))^2)-(E4))*((S4)*1E-6)/(((S4+((S4)*1E-6))+(J4*(S4+((S4)*1E-6))^m_)*(m_*J4*(S4+((S4)*1E-6))^(m_-1))-(J4*(S4+((S4)*1E-6))^m_)*SQRT(1+(m_*J4*(S4+((S4)*1E-6))^(m_-1))^2)-(E4))-((S4)+(J4*(S4)^m_)*(m_*J4*(S4)^(m_-1))-(J4*(S4)^m_)*SQRT(1+(m_*J4*(S4)^(m_-1))^2)-(E4)))</f>
        <v/>
      </c>
      <c r="U4">
        <f>J4*T4^m_</f>
        <v/>
      </c>
      <c r="V4">
        <f>m_*J4*T4^(m_-1)</f>
        <v/>
      </c>
      <c r="W4">
        <f>U4*SQRT(1+V4^2)</f>
        <v/>
      </c>
      <c r="X4">
        <f>2*W4</f>
        <v/>
      </c>
      <c r="Y4">
        <f>LN(X4)-LN(G4)</f>
        <v/>
      </c>
      <c r="Z4">
        <f>Y4^2</f>
        <v/>
      </c>
    </row>
    <row r="5">
      <c r="A5" t="inlineStr">
        <is>
          <t>G2012</t>
        </is>
      </c>
      <c r="B5" t="inlineStr">
        <is>
          <t>G2012-MN-C</t>
        </is>
      </c>
      <c r="C5" t="inlineStr">
        <is>
          <t>TX</t>
        </is>
      </c>
      <c r="D5" t="n">
        <v>0.3119684466019417</v>
      </c>
      <c r="E5" t="n">
        <v>1.9613</v>
      </c>
      <c r="F5" t="n">
        <v>7.7786</v>
      </c>
      <c r="G5">
        <f>F5-E5</f>
        <v/>
      </c>
      <c r="J5">
        <f>TAN(RADIANS(pe0-omega*D5))*sref^(1-m_)</f>
        <v/>
      </c>
      <c r="K5">
        <f>2*E5-((2*E5)+(J5*(2*E5)^m_)*(m_*J5*(2*E5)^(m_-1))-(J5*(2*E5)^m_)*SQRT(1+(m_*J5*(2*E5)^(m_-1))^2)-(E5))*((2*E5)*1E-6)/(((2*E5+((2*E5)*1E-6))+(J5*(2*E5+((2*E5)*1E-6))^m_)*(m_*J5*(2*E5+((2*E5)*1E-6))^(m_-1))-(J5*(2*E5+((2*E5)*1E-6))^m_)*SQRT(1+(m_*J5*(2*E5+((2*E5)*1E-6))^(m_-1))^2)-(E5))-((2*E5)+(J5*(2*E5)^m_)*(m_*J5*(2*E5)^(m_-1))-(J5*(2*E5)^m_)*SQRT(1+(m_*J5*(2*E5)^(m_-1))^2)-(E5)))</f>
        <v/>
      </c>
      <c r="L5">
        <f>K5-((K5)+(J5*(K5)^m_)*(m_*J5*(K5)^(m_-1))-(J5*(K5)^m_)*SQRT(1+(m_*J5*(K5)^(m_-1))^2)-(E5))*((K5)*1E-6)/(((K5+((K5)*1E-6))+(J5*(K5+((K5)*1E-6))^m_)*(m_*J5*(K5+((K5)*1E-6))^(m_-1))-(J5*(K5+((K5)*1E-6))^m_)*SQRT(1+(m_*J5*(K5+((K5)*1E-6))^(m_-1))^2)-(E5))-((K5)+(J5*(K5)^m_)*(m_*J5*(K5)^(m_-1))-(J5*(K5)^m_)*SQRT(1+(m_*J5*(K5)^(m_-1))^2)-(E5)))</f>
        <v/>
      </c>
      <c r="M5">
        <f>L5-((L5)+(J5*(L5)^m_)*(m_*J5*(L5)^(m_-1))-(J5*(L5)^m_)*SQRT(1+(m_*J5*(L5)^(m_-1))^2)-(E5))*((L5)*1E-6)/(((L5+((L5)*1E-6))+(J5*(L5+((L5)*1E-6))^m_)*(m_*J5*(L5+((L5)*1E-6))^(m_-1))-(J5*(L5+((L5)*1E-6))^m_)*SQRT(1+(m_*J5*(L5+((L5)*1E-6))^(m_-1))^2)-(E5))-((L5)+(J5*(L5)^m_)*(m_*J5*(L5)^(m_-1))-(J5*(L5)^m_)*SQRT(1+(m_*J5*(L5)^(m_-1))^2)-(E5)))</f>
        <v/>
      </c>
      <c r="N5">
        <f>M5-((M5)+(J5*(M5)^m_)*(m_*J5*(M5)^(m_-1))-(J5*(M5)^m_)*SQRT(1+(m_*J5*(M5)^(m_-1))^2)-(E5))*((M5)*1E-6)/(((M5+((M5)*1E-6))+(J5*(M5+((M5)*1E-6))^m_)*(m_*J5*(M5+((M5)*1E-6))^(m_-1))-(J5*(M5+((M5)*1E-6))^m_)*SQRT(1+(m_*J5*(M5+((M5)*1E-6))^(m_-1))^2)-(E5))-((M5)+(J5*(M5)^m_)*(m_*J5*(M5)^(m_-1))-(J5*(M5)^m_)*SQRT(1+(m_*J5*(M5)^(m_-1))^2)-(E5)))</f>
        <v/>
      </c>
      <c r="O5">
        <f>N5-((N5)+(J5*(N5)^m_)*(m_*J5*(N5)^(m_-1))-(J5*(N5)^m_)*SQRT(1+(m_*J5*(N5)^(m_-1))^2)-(E5))*((N5)*1E-6)/(((N5+((N5)*1E-6))+(J5*(N5+((N5)*1E-6))^m_)*(m_*J5*(N5+((N5)*1E-6))^(m_-1))-(J5*(N5+((N5)*1E-6))^m_)*SQRT(1+(m_*J5*(N5+((N5)*1E-6))^(m_-1))^2)-(E5))-((N5)+(J5*(N5)^m_)*(m_*J5*(N5)^(m_-1))-(J5*(N5)^m_)*SQRT(1+(m_*J5*(N5)^(m_-1))^2)-(E5)))</f>
        <v/>
      </c>
      <c r="P5">
        <f>O5-((O5)+(J5*(O5)^m_)*(m_*J5*(O5)^(m_-1))-(J5*(O5)^m_)*SQRT(1+(m_*J5*(O5)^(m_-1))^2)-(E5))*((O5)*1E-6)/(((O5+((O5)*1E-6))+(J5*(O5+((O5)*1E-6))^m_)*(m_*J5*(O5+((O5)*1E-6))^(m_-1))-(J5*(O5+((O5)*1E-6))^m_)*SQRT(1+(m_*J5*(O5+((O5)*1E-6))^(m_-1))^2)-(E5))-((O5)+(J5*(O5)^m_)*(m_*J5*(O5)^(m_-1))-(J5*(O5)^m_)*SQRT(1+(m_*J5*(O5)^(m_-1))^2)-(E5)))</f>
        <v/>
      </c>
      <c r="Q5">
        <f>P5-((P5)+(J5*(P5)^m_)*(m_*J5*(P5)^(m_-1))-(J5*(P5)^m_)*SQRT(1+(m_*J5*(P5)^(m_-1))^2)-(E5))*((P5)*1E-6)/(((P5+((P5)*1E-6))+(J5*(P5+((P5)*1E-6))^m_)*(m_*J5*(P5+((P5)*1E-6))^(m_-1))-(J5*(P5+((P5)*1E-6))^m_)*SQRT(1+(m_*J5*(P5+((P5)*1E-6))^(m_-1))^2)-(E5))-((P5)+(J5*(P5)^m_)*(m_*J5*(P5)^(m_-1))-(J5*(P5)^m_)*SQRT(1+(m_*J5*(P5)^(m_-1))^2)-(E5)))</f>
        <v/>
      </c>
      <c r="R5">
        <f>Q5-((Q5)+(J5*(Q5)^m_)*(m_*J5*(Q5)^(m_-1))-(J5*(Q5)^m_)*SQRT(1+(m_*J5*(Q5)^(m_-1))^2)-(E5))*((Q5)*1E-6)/(((Q5+((Q5)*1E-6))+(J5*(Q5+((Q5)*1E-6))^m_)*(m_*J5*(Q5+((Q5)*1E-6))^(m_-1))-(J5*(Q5+((Q5)*1E-6))^m_)*SQRT(1+(m_*J5*(Q5+((Q5)*1E-6))^(m_-1))^2)-(E5))-((Q5)+(J5*(Q5)^m_)*(m_*J5*(Q5)^(m_-1))-(J5*(Q5)^m_)*SQRT(1+(m_*J5*(Q5)^(m_-1))^2)-(E5)))</f>
        <v/>
      </c>
      <c r="S5">
        <f>R5-((R5)+(J5*(R5)^m_)*(m_*J5*(R5)^(m_-1))-(J5*(R5)^m_)*SQRT(1+(m_*J5*(R5)^(m_-1))^2)-(E5))*((R5)*1E-6)/(((R5+((R5)*1E-6))+(J5*(R5+((R5)*1E-6))^m_)*(m_*J5*(R5+((R5)*1E-6))^(m_-1))-(J5*(R5+((R5)*1E-6))^m_)*SQRT(1+(m_*J5*(R5+((R5)*1E-6))^(m_-1))^2)-(E5))-((R5)+(J5*(R5)^m_)*(m_*J5*(R5)^(m_-1))-(J5*(R5)^m_)*SQRT(1+(m_*J5*(R5)^(m_-1))^2)-(E5)))</f>
        <v/>
      </c>
      <c r="T5">
        <f>S5-((S5)+(J5*(S5)^m_)*(m_*J5*(S5)^(m_-1))-(J5*(S5)^m_)*SQRT(1+(m_*J5*(S5)^(m_-1))^2)-(E5))*((S5)*1E-6)/(((S5+((S5)*1E-6))+(J5*(S5+((S5)*1E-6))^m_)*(m_*J5*(S5+((S5)*1E-6))^(m_-1))-(J5*(S5+((S5)*1E-6))^m_)*SQRT(1+(m_*J5*(S5+((S5)*1E-6))^(m_-1))^2)-(E5))-((S5)+(J5*(S5)^m_)*(m_*J5*(S5)^(m_-1))-(J5*(S5)^m_)*SQRT(1+(m_*J5*(S5)^(m_-1))^2)-(E5)))</f>
        <v/>
      </c>
      <c r="U5">
        <f>J5*T5^m_</f>
        <v/>
      </c>
      <c r="V5">
        <f>m_*J5*T5^(m_-1)</f>
        <v/>
      </c>
      <c r="W5">
        <f>U5*SQRT(1+V5^2)</f>
        <v/>
      </c>
      <c r="X5">
        <f>2*W5</f>
        <v/>
      </c>
      <c r="Y5">
        <f>LN(X5)-LN(G5)</f>
        <v/>
      </c>
      <c r="Z5">
        <f>Y5^2</f>
        <v/>
      </c>
    </row>
    <row r="6">
      <c r="A6" t="inlineStr">
        <is>
          <t>G2012</t>
        </is>
      </c>
      <c r="B6" t="inlineStr">
        <is>
          <t>G2012-MN-C</t>
        </is>
      </c>
      <c r="C6" t="inlineStr">
        <is>
          <t>TX</t>
        </is>
      </c>
      <c r="D6" t="n">
        <v>0.3119684466019417</v>
      </c>
      <c r="E6" t="n">
        <v>1.9613</v>
      </c>
      <c r="F6" t="n">
        <v>8.2905</v>
      </c>
      <c r="G6">
        <f>F6-E6</f>
        <v/>
      </c>
      <c r="J6">
        <f>TAN(RADIANS(pe0-omega*D6))*sref^(1-m_)</f>
        <v/>
      </c>
      <c r="K6">
        <f>2*E6-((2*E6)+(J6*(2*E6)^m_)*(m_*J6*(2*E6)^(m_-1))-(J6*(2*E6)^m_)*SQRT(1+(m_*J6*(2*E6)^(m_-1))^2)-(E6))*((2*E6)*1E-6)/(((2*E6+((2*E6)*1E-6))+(J6*(2*E6+((2*E6)*1E-6))^m_)*(m_*J6*(2*E6+((2*E6)*1E-6))^(m_-1))-(J6*(2*E6+((2*E6)*1E-6))^m_)*SQRT(1+(m_*J6*(2*E6+((2*E6)*1E-6))^(m_-1))^2)-(E6))-((2*E6)+(J6*(2*E6)^m_)*(m_*J6*(2*E6)^(m_-1))-(J6*(2*E6)^m_)*SQRT(1+(m_*J6*(2*E6)^(m_-1))^2)-(E6)))</f>
        <v/>
      </c>
      <c r="L6">
        <f>K6-((K6)+(J6*(K6)^m_)*(m_*J6*(K6)^(m_-1))-(J6*(K6)^m_)*SQRT(1+(m_*J6*(K6)^(m_-1))^2)-(E6))*((K6)*1E-6)/(((K6+((K6)*1E-6))+(J6*(K6+((K6)*1E-6))^m_)*(m_*J6*(K6+((K6)*1E-6))^(m_-1))-(J6*(K6+((K6)*1E-6))^m_)*SQRT(1+(m_*J6*(K6+((K6)*1E-6))^(m_-1))^2)-(E6))-((K6)+(J6*(K6)^m_)*(m_*J6*(K6)^(m_-1))-(J6*(K6)^m_)*SQRT(1+(m_*J6*(K6)^(m_-1))^2)-(E6)))</f>
        <v/>
      </c>
      <c r="M6">
        <f>L6-((L6)+(J6*(L6)^m_)*(m_*J6*(L6)^(m_-1))-(J6*(L6)^m_)*SQRT(1+(m_*J6*(L6)^(m_-1))^2)-(E6))*((L6)*1E-6)/(((L6+((L6)*1E-6))+(J6*(L6+((L6)*1E-6))^m_)*(m_*J6*(L6+((L6)*1E-6))^(m_-1))-(J6*(L6+((L6)*1E-6))^m_)*SQRT(1+(m_*J6*(L6+((L6)*1E-6))^(m_-1))^2)-(E6))-((L6)+(J6*(L6)^m_)*(m_*J6*(L6)^(m_-1))-(J6*(L6)^m_)*SQRT(1+(m_*J6*(L6)^(m_-1))^2)-(E6)))</f>
        <v/>
      </c>
      <c r="N6">
        <f>M6-((M6)+(J6*(M6)^m_)*(m_*J6*(M6)^(m_-1))-(J6*(M6)^m_)*SQRT(1+(m_*J6*(M6)^(m_-1))^2)-(E6))*((M6)*1E-6)/(((M6+((M6)*1E-6))+(J6*(M6+((M6)*1E-6))^m_)*(m_*J6*(M6+((M6)*1E-6))^(m_-1))-(J6*(M6+((M6)*1E-6))^m_)*SQRT(1+(m_*J6*(M6+((M6)*1E-6))^(m_-1))^2)-(E6))-((M6)+(J6*(M6)^m_)*(m_*J6*(M6)^(m_-1))-(J6*(M6)^m_)*SQRT(1+(m_*J6*(M6)^(m_-1))^2)-(E6)))</f>
        <v/>
      </c>
      <c r="O6">
        <f>N6-((N6)+(J6*(N6)^m_)*(m_*J6*(N6)^(m_-1))-(J6*(N6)^m_)*SQRT(1+(m_*J6*(N6)^(m_-1))^2)-(E6))*((N6)*1E-6)/(((N6+((N6)*1E-6))+(J6*(N6+((N6)*1E-6))^m_)*(m_*J6*(N6+((N6)*1E-6))^(m_-1))-(J6*(N6+((N6)*1E-6))^m_)*SQRT(1+(m_*J6*(N6+((N6)*1E-6))^(m_-1))^2)-(E6))-((N6)+(J6*(N6)^m_)*(m_*J6*(N6)^(m_-1))-(J6*(N6)^m_)*SQRT(1+(m_*J6*(N6)^(m_-1))^2)-(E6)))</f>
        <v/>
      </c>
      <c r="P6">
        <f>O6-((O6)+(J6*(O6)^m_)*(m_*J6*(O6)^(m_-1))-(J6*(O6)^m_)*SQRT(1+(m_*J6*(O6)^(m_-1))^2)-(E6))*((O6)*1E-6)/(((O6+((O6)*1E-6))+(J6*(O6+((O6)*1E-6))^m_)*(m_*J6*(O6+((O6)*1E-6))^(m_-1))-(J6*(O6+((O6)*1E-6))^m_)*SQRT(1+(m_*J6*(O6+((O6)*1E-6))^(m_-1))^2)-(E6))-((O6)+(J6*(O6)^m_)*(m_*J6*(O6)^(m_-1))-(J6*(O6)^m_)*SQRT(1+(m_*J6*(O6)^(m_-1))^2)-(E6)))</f>
        <v/>
      </c>
      <c r="Q6">
        <f>P6-((P6)+(J6*(P6)^m_)*(m_*J6*(P6)^(m_-1))-(J6*(P6)^m_)*SQRT(1+(m_*J6*(P6)^(m_-1))^2)-(E6))*((P6)*1E-6)/(((P6+((P6)*1E-6))+(J6*(P6+((P6)*1E-6))^m_)*(m_*J6*(P6+((P6)*1E-6))^(m_-1))-(J6*(P6+((P6)*1E-6))^m_)*SQRT(1+(m_*J6*(P6+((P6)*1E-6))^(m_-1))^2)-(E6))-((P6)+(J6*(P6)^m_)*(m_*J6*(P6)^(m_-1))-(J6*(P6)^m_)*SQRT(1+(m_*J6*(P6)^(m_-1))^2)-(E6)))</f>
        <v/>
      </c>
      <c r="R6">
        <f>Q6-((Q6)+(J6*(Q6)^m_)*(m_*J6*(Q6)^(m_-1))-(J6*(Q6)^m_)*SQRT(1+(m_*J6*(Q6)^(m_-1))^2)-(E6))*((Q6)*1E-6)/(((Q6+((Q6)*1E-6))+(J6*(Q6+((Q6)*1E-6))^m_)*(m_*J6*(Q6+((Q6)*1E-6))^(m_-1))-(J6*(Q6+((Q6)*1E-6))^m_)*SQRT(1+(m_*J6*(Q6+((Q6)*1E-6))^(m_-1))^2)-(E6))-((Q6)+(J6*(Q6)^m_)*(m_*J6*(Q6)^(m_-1))-(J6*(Q6)^m_)*SQRT(1+(m_*J6*(Q6)^(m_-1))^2)-(E6)))</f>
        <v/>
      </c>
      <c r="S6">
        <f>R6-((R6)+(J6*(R6)^m_)*(m_*J6*(R6)^(m_-1))-(J6*(R6)^m_)*SQRT(1+(m_*J6*(R6)^(m_-1))^2)-(E6))*((R6)*1E-6)/(((R6+((R6)*1E-6))+(J6*(R6+((R6)*1E-6))^m_)*(m_*J6*(R6+((R6)*1E-6))^(m_-1))-(J6*(R6+((R6)*1E-6))^m_)*SQRT(1+(m_*J6*(R6+((R6)*1E-6))^(m_-1))^2)-(E6))-((R6)+(J6*(R6)^m_)*(m_*J6*(R6)^(m_-1))-(J6*(R6)^m_)*SQRT(1+(m_*J6*(R6)^(m_-1))^2)-(E6)))</f>
        <v/>
      </c>
      <c r="T6">
        <f>S6-((S6)+(J6*(S6)^m_)*(m_*J6*(S6)^(m_-1))-(J6*(S6)^m_)*SQRT(1+(m_*J6*(S6)^(m_-1))^2)-(E6))*((S6)*1E-6)/(((S6+((S6)*1E-6))+(J6*(S6+((S6)*1E-6))^m_)*(m_*J6*(S6+((S6)*1E-6))^(m_-1))-(J6*(S6+((S6)*1E-6))^m_)*SQRT(1+(m_*J6*(S6+((S6)*1E-6))^(m_-1))^2)-(E6))-((S6)+(J6*(S6)^m_)*(m_*J6*(S6)^(m_-1))-(J6*(S6)^m_)*SQRT(1+(m_*J6*(S6)^(m_-1))^2)-(E6)))</f>
        <v/>
      </c>
      <c r="U6">
        <f>J6*T6^m_</f>
        <v/>
      </c>
      <c r="V6">
        <f>m_*J6*T6^(m_-1)</f>
        <v/>
      </c>
      <c r="W6">
        <f>U6*SQRT(1+V6^2)</f>
        <v/>
      </c>
      <c r="X6">
        <f>2*W6</f>
        <v/>
      </c>
      <c r="Y6">
        <f>LN(X6)-LN(G6)</f>
        <v/>
      </c>
      <c r="Z6">
        <f>Y6^2</f>
        <v/>
      </c>
    </row>
    <row r="7">
      <c r="A7" t="inlineStr">
        <is>
          <t>G2021</t>
        </is>
      </c>
      <c r="B7" t="inlineStr">
        <is>
          <t>G21-DESM-COMP</t>
        </is>
      </c>
      <c r="C7" t="inlineStr">
        <is>
          <t>TX</t>
        </is>
      </c>
      <c r="D7" t="n">
        <v>0.3222733833484463</v>
      </c>
      <c r="E7" t="n">
        <v>0.098</v>
      </c>
      <c r="F7" t="n">
        <v>0.381</v>
      </c>
      <c r="G7">
        <f>F7-E7</f>
        <v/>
      </c>
      <c r="J7">
        <f>TAN(RADIANS(pe0-omega*D7))*sref^(1-m_)</f>
        <v/>
      </c>
      <c r="K7">
        <f>2*E7-((2*E7)+(J7*(2*E7)^m_)*(m_*J7*(2*E7)^(m_-1))-(J7*(2*E7)^m_)*SQRT(1+(m_*J7*(2*E7)^(m_-1))^2)-(E7))*((2*E7)*1E-6)/(((2*E7+((2*E7)*1E-6))+(J7*(2*E7+((2*E7)*1E-6))^m_)*(m_*J7*(2*E7+((2*E7)*1E-6))^(m_-1))-(J7*(2*E7+((2*E7)*1E-6))^m_)*SQRT(1+(m_*J7*(2*E7+((2*E7)*1E-6))^(m_-1))^2)-(E7))-((2*E7)+(J7*(2*E7)^m_)*(m_*J7*(2*E7)^(m_-1))-(J7*(2*E7)^m_)*SQRT(1+(m_*J7*(2*E7)^(m_-1))^2)-(E7)))</f>
        <v/>
      </c>
      <c r="L7">
        <f>K7-((K7)+(J7*(K7)^m_)*(m_*J7*(K7)^(m_-1))-(J7*(K7)^m_)*SQRT(1+(m_*J7*(K7)^(m_-1))^2)-(E7))*((K7)*1E-6)/(((K7+((K7)*1E-6))+(J7*(K7+((K7)*1E-6))^m_)*(m_*J7*(K7+((K7)*1E-6))^(m_-1))-(J7*(K7+((K7)*1E-6))^m_)*SQRT(1+(m_*J7*(K7+((K7)*1E-6))^(m_-1))^2)-(E7))-((K7)+(J7*(K7)^m_)*(m_*J7*(K7)^(m_-1))-(J7*(K7)^m_)*SQRT(1+(m_*J7*(K7)^(m_-1))^2)-(E7)))</f>
        <v/>
      </c>
      <c r="M7">
        <f>L7-((L7)+(J7*(L7)^m_)*(m_*J7*(L7)^(m_-1))-(J7*(L7)^m_)*SQRT(1+(m_*J7*(L7)^(m_-1))^2)-(E7))*((L7)*1E-6)/(((L7+((L7)*1E-6))+(J7*(L7+((L7)*1E-6))^m_)*(m_*J7*(L7+((L7)*1E-6))^(m_-1))-(J7*(L7+((L7)*1E-6))^m_)*SQRT(1+(m_*J7*(L7+((L7)*1E-6))^(m_-1))^2)-(E7))-((L7)+(J7*(L7)^m_)*(m_*J7*(L7)^(m_-1))-(J7*(L7)^m_)*SQRT(1+(m_*J7*(L7)^(m_-1))^2)-(E7)))</f>
        <v/>
      </c>
      <c r="N7">
        <f>M7-((M7)+(J7*(M7)^m_)*(m_*J7*(M7)^(m_-1))-(J7*(M7)^m_)*SQRT(1+(m_*J7*(M7)^(m_-1))^2)-(E7))*((M7)*1E-6)/(((M7+((M7)*1E-6))+(J7*(M7+((M7)*1E-6))^m_)*(m_*J7*(M7+((M7)*1E-6))^(m_-1))-(J7*(M7+((M7)*1E-6))^m_)*SQRT(1+(m_*J7*(M7+((M7)*1E-6))^(m_-1))^2)-(E7))-((M7)+(J7*(M7)^m_)*(m_*J7*(M7)^(m_-1))-(J7*(M7)^m_)*SQRT(1+(m_*J7*(M7)^(m_-1))^2)-(E7)))</f>
        <v/>
      </c>
      <c r="O7">
        <f>N7-((N7)+(J7*(N7)^m_)*(m_*J7*(N7)^(m_-1))-(J7*(N7)^m_)*SQRT(1+(m_*J7*(N7)^(m_-1))^2)-(E7))*((N7)*1E-6)/(((N7+((N7)*1E-6))+(J7*(N7+((N7)*1E-6))^m_)*(m_*J7*(N7+((N7)*1E-6))^(m_-1))-(J7*(N7+((N7)*1E-6))^m_)*SQRT(1+(m_*J7*(N7+((N7)*1E-6))^(m_-1))^2)-(E7))-((N7)+(J7*(N7)^m_)*(m_*J7*(N7)^(m_-1))-(J7*(N7)^m_)*SQRT(1+(m_*J7*(N7)^(m_-1))^2)-(E7)))</f>
        <v/>
      </c>
      <c r="P7">
        <f>O7-((O7)+(J7*(O7)^m_)*(m_*J7*(O7)^(m_-1))-(J7*(O7)^m_)*SQRT(1+(m_*J7*(O7)^(m_-1))^2)-(E7))*((O7)*1E-6)/(((O7+((O7)*1E-6))+(J7*(O7+((O7)*1E-6))^m_)*(m_*J7*(O7+((O7)*1E-6))^(m_-1))-(J7*(O7+((O7)*1E-6))^m_)*SQRT(1+(m_*J7*(O7+((O7)*1E-6))^(m_-1))^2)-(E7))-((O7)+(J7*(O7)^m_)*(m_*J7*(O7)^(m_-1))-(J7*(O7)^m_)*SQRT(1+(m_*J7*(O7)^(m_-1))^2)-(E7)))</f>
        <v/>
      </c>
      <c r="Q7">
        <f>P7-((P7)+(J7*(P7)^m_)*(m_*J7*(P7)^(m_-1))-(J7*(P7)^m_)*SQRT(1+(m_*J7*(P7)^(m_-1))^2)-(E7))*((P7)*1E-6)/(((P7+((P7)*1E-6))+(J7*(P7+((P7)*1E-6))^m_)*(m_*J7*(P7+((P7)*1E-6))^(m_-1))-(J7*(P7+((P7)*1E-6))^m_)*SQRT(1+(m_*J7*(P7+((P7)*1E-6))^(m_-1))^2)-(E7))-((P7)+(J7*(P7)^m_)*(m_*J7*(P7)^(m_-1))-(J7*(P7)^m_)*SQRT(1+(m_*J7*(P7)^(m_-1))^2)-(E7)))</f>
        <v/>
      </c>
      <c r="R7">
        <f>Q7-((Q7)+(J7*(Q7)^m_)*(m_*J7*(Q7)^(m_-1))-(J7*(Q7)^m_)*SQRT(1+(m_*J7*(Q7)^(m_-1))^2)-(E7))*((Q7)*1E-6)/(((Q7+((Q7)*1E-6))+(J7*(Q7+((Q7)*1E-6))^m_)*(m_*J7*(Q7+((Q7)*1E-6))^(m_-1))-(J7*(Q7+((Q7)*1E-6))^m_)*SQRT(1+(m_*J7*(Q7+((Q7)*1E-6))^(m_-1))^2)-(E7))-((Q7)+(J7*(Q7)^m_)*(m_*J7*(Q7)^(m_-1))-(J7*(Q7)^m_)*SQRT(1+(m_*J7*(Q7)^(m_-1))^2)-(E7)))</f>
        <v/>
      </c>
      <c r="S7">
        <f>R7-((R7)+(J7*(R7)^m_)*(m_*J7*(R7)^(m_-1))-(J7*(R7)^m_)*SQRT(1+(m_*J7*(R7)^(m_-1))^2)-(E7))*((R7)*1E-6)/(((R7+((R7)*1E-6))+(J7*(R7+((R7)*1E-6))^m_)*(m_*J7*(R7+((R7)*1E-6))^(m_-1))-(J7*(R7+((R7)*1E-6))^m_)*SQRT(1+(m_*J7*(R7+((R7)*1E-6))^(m_-1))^2)-(E7))-((R7)+(J7*(R7)^m_)*(m_*J7*(R7)^(m_-1))-(J7*(R7)^m_)*SQRT(1+(m_*J7*(R7)^(m_-1))^2)-(E7)))</f>
        <v/>
      </c>
      <c r="T7">
        <f>S7-((S7)+(J7*(S7)^m_)*(m_*J7*(S7)^(m_-1))-(J7*(S7)^m_)*SQRT(1+(m_*J7*(S7)^(m_-1))^2)-(E7))*((S7)*1E-6)/(((S7+((S7)*1E-6))+(J7*(S7+((S7)*1E-6))^m_)*(m_*J7*(S7+((S7)*1E-6))^(m_-1))-(J7*(S7+((S7)*1E-6))^m_)*SQRT(1+(m_*J7*(S7+((S7)*1E-6))^(m_-1))^2)-(E7))-((S7)+(J7*(S7)^m_)*(m_*J7*(S7)^(m_-1))-(J7*(S7)^m_)*SQRT(1+(m_*J7*(S7)^(m_-1))^2)-(E7)))</f>
        <v/>
      </c>
      <c r="U7">
        <f>J7*T7^m_</f>
        <v/>
      </c>
      <c r="V7">
        <f>m_*J7*T7^(m_-1)</f>
        <v/>
      </c>
      <c r="W7">
        <f>U7*SQRT(1+V7^2)</f>
        <v/>
      </c>
      <c r="X7">
        <f>2*W7</f>
        <v/>
      </c>
      <c r="Y7">
        <f>LN(X7)-LN(G7)</f>
        <v/>
      </c>
      <c r="Z7">
        <f>Y7^2</f>
        <v/>
      </c>
    </row>
    <row r="8">
      <c r="A8" t="inlineStr">
        <is>
          <t>G2021</t>
        </is>
      </c>
      <c r="B8" t="inlineStr">
        <is>
          <t>G21-DESM-COMP</t>
        </is>
      </c>
      <c r="C8" t="inlineStr">
        <is>
          <t>TX</t>
        </is>
      </c>
      <c r="D8" t="n">
        <v>0.3222733833484463</v>
      </c>
      <c r="E8" t="n">
        <v>0.399</v>
      </c>
      <c r="F8" t="n">
        <v>1.917</v>
      </c>
      <c r="G8">
        <f>F8-E8</f>
        <v/>
      </c>
      <c r="J8">
        <f>TAN(RADIANS(pe0-omega*D8))*sref^(1-m_)</f>
        <v/>
      </c>
      <c r="K8">
        <f>2*E8-((2*E8)+(J8*(2*E8)^m_)*(m_*J8*(2*E8)^(m_-1))-(J8*(2*E8)^m_)*SQRT(1+(m_*J8*(2*E8)^(m_-1))^2)-(E8))*((2*E8)*1E-6)/(((2*E8+((2*E8)*1E-6))+(J8*(2*E8+((2*E8)*1E-6))^m_)*(m_*J8*(2*E8+((2*E8)*1E-6))^(m_-1))-(J8*(2*E8+((2*E8)*1E-6))^m_)*SQRT(1+(m_*J8*(2*E8+((2*E8)*1E-6))^(m_-1))^2)-(E8))-((2*E8)+(J8*(2*E8)^m_)*(m_*J8*(2*E8)^(m_-1))-(J8*(2*E8)^m_)*SQRT(1+(m_*J8*(2*E8)^(m_-1))^2)-(E8)))</f>
        <v/>
      </c>
      <c r="L8">
        <f>K8-((K8)+(J8*(K8)^m_)*(m_*J8*(K8)^(m_-1))-(J8*(K8)^m_)*SQRT(1+(m_*J8*(K8)^(m_-1))^2)-(E8))*((K8)*1E-6)/(((K8+((K8)*1E-6))+(J8*(K8+((K8)*1E-6))^m_)*(m_*J8*(K8+((K8)*1E-6))^(m_-1))-(J8*(K8+((K8)*1E-6))^m_)*SQRT(1+(m_*J8*(K8+((K8)*1E-6))^(m_-1))^2)-(E8))-((K8)+(J8*(K8)^m_)*(m_*J8*(K8)^(m_-1))-(J8*(K8)^m_)*SQRT(1+(m_*J8*(K8)^(m_-1))^2)-(E8)))</f>
        <v/>
      </c>
      <c r="M8">
        <f>L8-((L8)+(J8*(L8)^m_)*(m_*J8*(L8)^(m_-1))-(J8*(L8)^m_)*SQRT(1+(m_*J8*(L8)^(m_-1))^2)-(E8))*((L8)*1E-6)/(((L8+((L8)*1E-6))+(J8*(L8+((L8)*1E-6))^m_)*(m_*J8*(L8+((L8)*1E-6))^(m_-1))-(J8*(L8+((L8)*1E-6))^m_)*SQRT(1+(m_*J8*(L8+((L8)*1E-6))^(m_-1))^2)-(E8))-((L8)+(J8*(L8)^m_)*(m_*J8*(L8)^(m_-1))-(J8*(L8)^m_)*SQRT(1+(m_*J8*(L8)^(m_-1))^2)-(E8)))</f>
        <v/>
      </c>
      <c r="N8">
        <f>M8-((M8)+(J8*(M8)^m_)*(m_*J8*(M8)^(m_-1))-(J8*(M8)^m_)*SQRT(1+(m_*J8*(M8)^(m_-1))^2)-(E8))*((M8)*1E-6)/(((M8+((M8)*1E-6))+(J8*(M8+((M8)*1E-6))^m_)*(m_*J8*(M8+((M8)*1E-6))^(m_-1))-(J8*(M8+((M8)*1E-6))^m_)*SQRT(1+(m_*J8*(M8+((M8)*1E-6))^(m_-1))^2)-(E8))-((M8)+(J8*(M8)^m_)*(m_*J8*(M8)^(m_-1))-(J8*(M8)^m_)*SQRT(1+(m_*J8*(M8)^(m_-1))^2)-(E8)))</f>
        <v/>
      </c>
      <c r="O8">
        <f>N8-((N8)+(J8*(N8)^m_)*(m_*J8*(N8)^(m_-1))-(J8*(N8)^m_)*SQRT(1+(m_*J8*(N8)^(m_-1))^2)-(E8))*((N8)*1E-6)/(((N8+((N8)*1E-6))+(J8*(N8+((N8)*1E-6))^m_)*(m_*J8*(N8+((N8)*1E-6))^(m_-1))-(J8*(N8+((N8)*1E-6))^m_)*SQRT(1+(m_*J8*(N8+((N8)*1E-6))^(m_-1))^2)-(E8))-((N8)+(J8*(N8)^m_)*(m_*J8*(N8)^(m_-1))-(J8*(N8)^m_)*SQRT(1+(m_*J8*(N8)^(m_-1))^2)-(E8)))</f>
        <v/>
      </c>
      <c r="P8">
        <f>O8-((O8)+(J8*(O8)^m_)*(m_*J8*(O8)^(m_-1))-(J8*(O8)^m_)*SQRT(1+(m_*J8*(O8)^(m_-1))^2)-(E8))*((O8)*1E-6)/(((O8+((O8)*1E-6))+(J8*(O8+((O8)*1E-6))^m_)*(m_*J8*(O8+((O8)*1E-6))^(m_-1))-(J8*(O8+((O8)*1E-6))^m_)*SQRT(1+(m_*J8*(O8+((O8)*1E-6))^(m_-1))^2)-(E8))-((O8)+(J8*(O8)^m_)*(m_*J8*(O8)^(m_-1))-(J8*(O8)^m_)*SQRT(1+(m_*J8*(O8)^(m_-1))^2)-(E8)))</f>
        <v/>
      </c>
      <c r="Q8">
        <f>P8-((P8)+(J8*(P8)^m_)*(m_*J8*(P8)^(m_-1))-(J8*(P8)^m_)*SQRT(1+(m_*J8*(P8)^(m_-1))^2)-(E8))*((P8)*1E-6)/(((P8+((P8)*1E-6))+(J8*(P8+((P8)*1E-6))^m_)*(m_*J8*(P8+((P8)*1E-6))^(m_-1))-(J8*(P8+((P8)*1E-6))^m_)*SQRT(1+(m_*J8*(P8+((P8)*1E-6))^(m_-1))^2)-(E8))-((P8)+(J8*(P8)^m_)*(m_*J8*(P8)^(m_-1))-(J8*(P8)^m_)*SQRT(1+(m_*J8*(P8)^(m_-1))^2)-(E8)))</f>
        <v/>
      </c>
      <c r="R8">
        <f>Q8-((Q8)+(J8*(Q8)^m_)*(m_*J8*(Q8)^(m_-1))-(J8*(Q8)^m_)*SQRT(1+(m_*J8*(Q8)^(m_-1))^2)-(E8))*((Q8)*1E-6)/(((Q8+((Q8)*1E-6))+(J8*(Q8+((Q8)*1E-6))^m_)*(m_*J8*(Q8+((Q8)*1E-6))^(m_-1))-(J8*(Q8+((Q8)*1E-6))^m_)*SQRT(1+(m_*J8*(Q8+((Q8)*1E-6))^(m_-1))^2)-(E8))-((Q8)+(J8*(Q8)^m_)*(m_*J8*(Q8)^(m_-1))-(J8*(Q8)^m_)*SQRT(1+(m_*J8*(Q8)^(m_-1))^2)-(E8)))</f>
        <v/>
      </c>
      <c r="S8">
        <f>R8-((R8)+(J8*(R8)^m_)*(m_*J8*(R8)^(m_-1))-(J8*(R8)^m_)*SQRT(1+(m_*J8*(R8)^(m_-1))^2)-(E8))*((R8)*1E-6)/(((R8+((R8)*1E-6))+(J8*(R8+((R8)*1E-6))^m_)*(m_*J8*(R8+((R8)*1E-6))^(m_-1))-(J8*(R8+((R8)*1E-6))^m_)*SQRT(1+(m_*J8*(R8+((R8)*1E-6))^(m_-1))^2)-(E8))-((R8)+(J8*(R8)^m_)*(m_*J8*(R8)^(m_-1))-(J8*(R8)^m_)*SQRT(1+(m_*J8*(R8)^(m_-1))^2)-(E8)))</f>
        <v/>
      </c>
      <c r="T8">
        <f>S8-((S8)+(J8*(S8)^m_)*(m_*J8*(S8)^(m_-1))-(J8*(S8)^m_)*SQRT(1+(m_*J8*(S8)^(m_-1))^2)-(E8))*((S8)*1E-6)/(((S8+((S8)*1E-6))+(J8*(S8+((S8)*1E-6))^m_)*(m_*J8*(S8+((S8)*1E-6))^(m_-1))-(J8*(S8+((S8)*1E-6))^m_)*SQRT(1+(m_*J8*(S8+((S8)*1E-6))^(m_-1))^2)-(E8))-((S8)+(J8*(S8)^m_)*(m_*J8*(S8)^(m_-1))-(J8*(S8)^m_)*SQRT(1+(m_*J8*(S8)^(m_-1))^2)-(E8)))</f>
        <v/>
      </c>
      <c r="U8">
        <f>J8*T8^m_</f>
        <v/>
      </c>
      <c r="V8">
        <f>m_*J8*T8^(m_-1)</f>
        <v/>
      </c>
      <c r="W8">
        <f>U8*SQRT(1+V8^2)</f>
        <v/>
      </c>
      <c r="X8">
        <f>2*W8</f>
        <v/>
      </c>
      <c r="Y8">
        <f>LN(X8)-LN(G8)</f>
        <v/>
      </c>
      <c r="Z8">
        <f>Y8^2</f>
        <v/>
      </c>
    </row>
    <row r="9">
      <c r="A9" t="inlineStr">
        <is>
          <t>G2021</t>
        </is>
      </c>
      <c r="B9" t="inlineStr">
        <is>
          <t>G21-DESM-COMP</t>
        </is>
      </c>
      <c r="C9" t="inlineStr">
        <is>
          <t>TX</t>
        </is>
      </c>
      <c r="D9" t="n">
        <v>0.323565296766471</v>
      </c>
      <c r="E9" t="n">
        <v>1.2</v>
      </c>
      <c r="F9" t="n">
        <v>5.847</v>
      </c>
      <c r="G9">
        <f>F9-E9</f>
        <v/>
      </c>
      <c r="J9">
        <f>TAN(RADIANS(pe0-omega*D9))*sref^(1-m_)</f>
        <v/>
      </c>
      <c r="K9">
        <f>2*E9-((2*E9)+(J9*(2*E9)^m_)*(m_*J9*(2*E9)^(m_-1))-(J9*(2*E9)^m_)*SQRT(1+(m_*J9*(2*E9)^(m_-1))^2)-(E9))*((2*E9)*1E-6)/(((2*E9+((2*E9)*1E-6))+(J9*(2*E9+((2*E9)*1E-6))^m_)*(m_*J9*(2*E9+((2*E9)*1E-6))^(m_-1))-(J9*(2*E9+((2*E9)*1E-6))^m_)*SQRT(1+(m_*J9*(2*E9+((2*E9)*1E-6))^(m_-1))^2)-(E9))-((2*E9)+(J9*(2*E9)^m_)*(m_*J9*(2*E9)^(m_-1))-(J9*(2*E9)^m_)*SQRT(1+(m_*J9*(2*E9)^(m_-1))^2)-(E9)))</f>
        <v/>
      </c>
      <c r="L9">
        <f>K9-((K9)+(J9*(K9)^m_)*(m_*J9*(K9)^(m_-1))-(J9*(K9)^m_)*SQRT(1+(m_*J9*(K9)^(m_-1))^2)-(E9))*((K9)*1E-6)/(((K9+((K9)*1E-6))+(J9*(K9+((K9)*1E-6))^m_)*(m_*J9*(K9+((K9)*1E-6))^(m_-1))-(J9*(K9+((K9)*1E-6))^m_)*SQRT(1+(m_*J9*(K9+((K9)*1E-6))^(m_-1))^2)-(E9))-((K9)+(J9*(K9)^m_)*(m_*J9*(K9)^(m_-1))-(J9*(K9)^m_)*SQRT(1+(m_*J9*(K9)^(m_-1))^2)-(E9)))</f>
        <v/>
      </c>
      <c r="M9">
        <f>L9-((L9)+(J9*(L9)^m_)*(m_*J9*(L9)^(m_-1))-(J9*(L9)^m_)*SQRT(1+(m_*J9*(L9)^(m_-1))^2)-(E9))*((L9)*1E-6)/(((L9+((L9)*1E-6))+(J9*(L9+((L9)*1E-6))^m_)*(m_*J9*(L9+((L9)*1E-6))^(m_-1))-(J9*(L9+((L9)*1E-6))^m_)*SQRT(1+(m_*J9*(L9+((L9)*1E-6))^(m_-1))^2)-(E9))-((L9)+(J9*(L9)^m_)*(m_*J9*(L9)^(m_-1))-(J9*(L9)^m_)*SQRT(1+(m_*J9*(L9)^(m_-1))^2)-(E9)))</f>
        <v/>
      </c>
      <c r="N9">
        <f>M9-((M9)+(J9*(M9)^m_)*(m_*J9*(M9)^(m_-1))-(J9*(M9)^m_)*SQRT(1+(m_*J9*(M9)^(m_-1))^2)-(E9))*((M9)*1E-6)/(((M9+((M9)*1E-6))+(J9*(M9+((M9)*1E-6))^m_)*(m_*J9*(M9+((M9)*1E-6))^(m_-1))-(J9*(M9+((M9)*1E-6))^m_)*SQRT(1+(m_*J9*(M9+((M9)*1E-6))^(m_-1))^2)-(E9))-((M9)+(J9*(M9)^m_)*(m_*J9*(M9)^(m_-1))-(J9*(M9)^m_)*SQRT(1+(m_*J9*(M9)^(m_-1))^2)-(E9)))</f>
        <v/>
      </c>
      <c r="O9">
        <f>N9-((N9)+(J9*(N9)^m_)*(m_*J9*(N9)^(m_-1))-(J9*(N9)^m_)*SQRT(1+(m_*J9*(N9)^(m_-1))^2)-(E9))*((N9)*1E-6)/(((N9+((N9)*1E-6))+(J9*(N9+((N9)*1E-6))^m_)*(m_*J9*(N9+((N9)*1E-6))^(m_-1))-(J9*(N9+((N9)*1E-6))^m_)*SQRT(1+(m_*J9*(N9+((N9)*1E-6))^(m_-1))^2)-(E9))-((N9)+(J9*(N9)^m_)*(m_*J9*(N9)^(m_-1))-(J9*(N9)^m_)*SQRT(1+(m_*J9*(N9)^(m_-1))^2)-(E9)))</f>
        <v/>
      </c>
      <c r="P9">
        <f>O9-((O9)+(J9*(O9)^m_)*(m_*J9*(O9)^(m_-1))-(J9*(O9)^m_)*SQRT(1+(m_*J9*(O9)^(m_-1))^2)-(E9))*((O9)*1E-6)/(((O9+((O9)*1E-6))+(J9*(O9+((O9)*1E-6))^m_)*(m_*J9*(O9+((O9)*1E-6))^(m_-1))-(J9*(O9+((O9)*1E-6))^m_)*SQRT(1+(m_*J9*(O9+((O9)*1E-6))^(m_-1))^2)-(E9))-((O9)+(J9*(O9)^m_)*(m_*J9*(O9)^(m_-1))-(J9*(O9)^m_)*SQRT(1+(m_*J9*(O9)^(m_-1))^2)-(E9)))</f>
        <v/>
      </c>
      <c r="Q9">
        <f>P9-((P9)+(J9*(P9)^m_)*(m_*J9*(P9)^(m_-1))-(J9*(P9)^m_)*SQRT(1+(m_*J9*(P9)^(m_-1))^2)-(E9))*((P9)*1E-6)/(((P9+((P9)*1E-6))+(J9*(P9+((P9)*1E-6))^m_)*(m_*J9*(P9+((P9)*1E-6))^(m_-1))-(J9*(P9+((P9)*1E-6))^m_)*SQRT(1+(m_*J9*(P9+((P9)*1E-6))^(m_-1))^2)-(E9))-((P9)+(J9*(P9)^m_)*(m_*J9*(P9)^(m_-1))-(J9*(P9)^m_)*SQRT(1+(m_*J9*(P9)^(m_-1))^2)-(E9)))</f>
        <v/>
      </c>
      <c r="R9">
        <f>Q9-((Q9)+(J9*(Q9)^m_)*(m_*J9*(Q9)^(m_-1))-(J9*(Q9)^m_)*SQRT(1+(m_*J9*(Q9)^(m_-1))^2)-(E9))*((Q9)*1E-6)/(((Q9+((Q9)*1E-6))+(J9*(Q9+((Q9)*1E-6))^m_)*(m_*J9*(Q9+((Q9)*1E-6))^(m_-1))-(J9*(Q9+((Q9)*1E-6))^m_)*SQRT(1+(m_*J9*(Q9+((Q9)*1E-6))^(m_-1))^2)-(E9))-((Q9)+(J9*(Q9)^m_)*(m_*J9*(Q9)^(m_-1))-(J9*(Q9)^m_)*SQRT(1+(m_*J9*(Q9)^(m_-1))^2)-(E9)))</f>
        <v/>
      </c>
      <c r="S9">
        <f>R9-((R9)+(J9*(R9)^m_)*(m_*J9*(R9)^(m_-1))-(J9*(R9)^m_)*SQRT(1+(m_*J9*(R9)^(m_-1))^2)-(E9))*((R9)*1E-6)/(((R9+((R9)*1E-6))+(J9*(R9+((R9)*1E-6))^m_)*(m_*J9*(R9+((R9)*1E-6))^(m_-1))-(J9*(R9+((R9)*1E-6))^m_)*SQRT(1+(m_*J9*(R9+((R9)*1E-6))^(m_-1))^2)-(E9))-((R9)+(J9*(R9)^m_)*(m_*J9*(R9)^(m_-1))-(J9*(R9)^m_)*SQRT(1+(m_*J9*(R9)^(m_-1))^2)-(E9)))</f>
        <v/>
      </c>
      <c r="T9">
        <f>S9-((S9)+(J9*(S9)^m_)*(m_*J9*(S9)^(m_-1))-(J9*(S9)^m_)*SQRT(1+(m_*J9*(S9)^(m_-1))^2)-(E9))*((S9)*1E-6)/(((S9+((S9)*1E-6))+(J9*(S9+((S9)*1E-6))^m_)*(m_*J9*(S9+((S9)*1E-6))^(m_-1))-(J9*(S9+((S9)*1E-6))^m_)*SQRT(1+(m_*J9*(S9+((S9)*1E-6))^(m_-1))^2)-(E9))-((S9)+(J9*(S9)^m_)*(m_*J9*(S9)^(m_-1))-(J9*(S9)^m_)*SQRT(1+(m_*J9*(S9)^(m_-1))^2)-(E9)))</f>
        <v/>
      </c>
      <c r="U9">
        <f>J9*T9^m_</f>
        <v/>
      </c>
      <c r="V9">
        <f>m_*J9*T9^(m_-1)</f>
        <v/>
      </c>
      <c r="W9">
        <f>U9*SQRT(1+V9^2)</f>
        <v/>
      </c>
      <c r="X9">
        <f>2*W9</f>
        <v/>
      </c>
      <c r="Y9">
        <f>LN(X9)-LN(G9)</f>
        <v/>
      </c>
      <c r="Z9">
        <f>Y9^2</f>
        <v/>
      </c>
    </row>
    <row r="10">
      <c r="A10" t="inlineStr">
        <is>
          <t>W2022</t>
        </is>
      </c>
      <c r="B10" t="inlineStr">
        <is>
          <t>HF-1.0m-IDIEM-mono</t>
        </is>
      </c>
      <c r="C10" t="inlineStr">
        <is>
          <t>TX</t>
        </is>
      </c>
      <c r="D10" t="n">
        <v>0.3317313106796116</v>
      </c>
      <c r="E10" t="n">
        <v>0.981</v>
      </c>
      <c r="F10" t="n">
        <v>4.878</v>
      </c>
      <c r="G10">
        <f>F10-E10</f>
        <v/>
      </c>
      <c r="J10">
        <f>TAN(RADIANS(pe0-omega*D10))*sref^(1-m_)</f>
        <v/>
      </c>
      <c r="K10">
        <f>2*E10-((2*E10)+(J10*(2*E10)^m_)*(m_*J10*(2*E10)^(m_-1))-(J10*(2*E10)^m_)*SQRT(1+(m_*J10*(2*E10)^(m_-1))^2)-(E10))*((2*E10)*1E-6)/(((2*E10+((2*E10)*1E-6))+(J10*(2*E10+((2*E10)*1E-6))^m_)*(m_*J10*(2*E10+((2*E10)*1E-6))^(m_-1))-(J10*(2*E10+((2*E10)*1E-6))^m_)*SQRT(1+(m_*J10*(2*E10+((2*E10)*1E-6))^(m_-1))^2)-(E10))-((2*E10)+(J10*(2*E10)^m_)*(m_*J10*(2*E10)^(m_-1))-(J10*(2*E10)^m_)*SQRT(1+(m_*J10*(2*E10)^(m_-1))^2)-(E10)))</f>
        <v/>
      </c>
      <c r="L10">
        <f>K10-((K10)+(J10*(K10)^m_)*(m_*J10*(K10)^(m_-1))-(J10*(K10)^m_)*SQRT(1+(m_*J10*(K10)^(m_-1))^2)-(E10))*((K10)*1E-6)/(((K10+((K10)*1E-6))+(J10*(K10+((K10)*1E-6))^m_)*(m_*J10*(K10+((K10)*1E-6))^(m_-1))-(J10*(K10+((K10)*1E-6))^m_)*SQRT(1+(m_*J10*(K10+((K10)*1E-6))^(m_-1))^2)-(E10))-((K10)+(J10*(K10)^m_)*(m_*J10*(K10)^(m_-1))-(J10*(K10)^m_)*SQRT(1+(m_*J10*(K10)^(m_-1))^2)-(E10)))</f>
        <v/>
      </c>
      <c r="M10">
        <f>L10-((L10)+(J10*(L10)^m_)*(m_*J10*(L10)^(m_-1))-(J10*(L10)^m_)*SQRT(1+(m_*J10*(L10)^(m_-1))^2)-(E10))*((L10)*1E-6)/(((L10+((L10)*1E-6))+(J10*(L10+((L10)*1E-6))^m_)*(m_*J10*(L10+((L10)*1E-6))^(m_-1))-(J10*(L10+((L10)*1E-6))^m_)*SQRT(1+(m_*J10*(L10+((L10)*1E-6))^(m_-1))^2)-(E10))-((L10)+(J10*(L10)^m_)*(m_*J10*(L10)^(m_-1))-(J10*(L10)^m_)*SQRT(1+(m_*J10*(L10)^(m_-1))^2)-(E10)))</f>
        <v/>
      </c>
      <c r="N10">
        <f>M10-((M10)+(J10*(M10)^m_)*(m_*J10*(M10)^(m_-1))-(J10*(M10)^m_)*SQRT(1+(m_*J10*(M10)^(m_-1))^2)-(E10))*((M10)*1E-6)/(((M10+((M10)*1E-6))+(J10*(M10+((M10)*1E-6))^m_)*(m_*J10*(M10+((M10)*1E-6))^(m_-1))-(J10*(M10+((M10)*1E-6))^m_)*SQRT(1+(m_*J10*(M10+((M10)*1E-6))^(m_-1))^2)-(E10))-((M10)+(J10*(M10)^m_)*(m_*J10*(M10)^(m_-1))-(J10*(M10)^m_)*SQRT(1+(m_*J10*(M10)^(m_-1))^2)-(E10)))</f>
        <v/>
      </c>
      <c r="O10">
        <f>N10-((N10)+(J10*(N10)^m_)*(m_*J10*(N10)^(m_-1))-(J10*(N10)^m_)*SQRT(1+(m_*J10*(N10)^(m_-1))^2)-(E10))*((N10)*1E-6)/(((N10+((N10)*1E-6))+(J10*(N10+((N10)*1E-6))^m_)*(m_*J10*(N10+((N10)*1E-6))^(m_-1))-(J10*(N10+((N10)*1E-6))^m_)*SQRT(1+(m_*J10*(N10+((N10)*1E-6))^(m_-1))^2)-(E10))-((N10)+(J10*(N10)^m_)*(m_*J10*(N10)^(m_-1))-(J10*(N10)^m_)*SQRT(1+(m_*J10*(N10)^(m_-1))^2)-(E10)))</f>
        <v/>
      </c>
      <c r="P10">
        <f>O10-((O10)+(J10*(O10)^m_)*(m_*J10*(O10)^(m_-1))-(J10*(O10)^m_)*SQRT(1+(m_*J10*(O10)^(m_-1))^2)-(E10))*((O10)*1E-6)/(((O10+((O10)*1E-6))+(J10*(O10+((O10)*1E-6))^m_)*(m_*J10*(O10+((O10)*1E-6))^(m_-1))-(J10*(O10+((O10)*1E-6))^m_)*SQRT(1+(m_*J10*(O10+((O10)*1E-6))^(m_-1))^2)-(E10))-((O10)+(J10*(O10)^m_)*(m_*J10*(O10)^(m_-1))-(J10*(O10)^m_)*SQRT(1+(m_*J10*(O10)^(m_-1))^2)-(E10)))</f>
        <v/>
      </c>
      <c r="Q10">
        <f>P10-((P10)+(J10*(P10)^m_)*(m_*J10*(P10)^(m_-1))-(J10*(P10)^m_)*SQRT(1+(m_*J10*(P10)^(m_-1))^2)-(E10))*((P10)*1E-6)/(((P10+((P10)*1E-6))+(J10*(P10+((P10)*1E-6))^m_)*(m_*J10*(P10+((P10)*1E-6))^(m_-1))-(J10*(P10+((P10)*1E-6))^m_)*SQRT(1+(m_*J10*(P10+((P10)*1E-6))^(m_-1))^2)-(E10))-((P10)+(J10*(P10)^m_)*(m_*J10*(P10)^(m_-1))-(J10*(P10)^m_)*SQRT(1+(m_*J10*(P10)^(m_-1))^2)-(E10)))</f>
        <v/>
      </c>
      <c r="R10">
        <f>Q10-((Q10)+(J10*(Q10)^m_)*(m_*J10*(Q10)^(m_-1))-(J10*(Q10)^m_)*SQRT(1+(m_*J10*(Q10)^(m_-1))^2)-(E10))*((Q10)*1E-6)/(((Q10+((Q10)*1E-6))+(J10*(Q10+((Q10)*1E-6))^m_)*(m_*J10*(Q10+((Q10)*1E-6))^(m_-1))-(J10*(Q10+((Q10)*1E-6))^m_)*SQRT(1+(m_*J10*(Q10+((Q10)*1E-6))^(m_-1))^2)-(E10))-((Q10)+(J10*(Q10)^m_)*(m_*J10*(Q10)^(m_-1))-(J10*(Q10)^m_)*SQRT(1+(m_*J10*(Q10)^(m_-1))^2)-(E10)))</f>
        <v/>
      </c>
      <c r="S10">
        <f>R10-((R10)+(J10*(R10)^m_)*(m_*J10*(R10)^(m_-1))-(J10*(R10)^m_)*SQRT(1+(m_*J10*(R10)^(m_-1))^2)-(E10))*((R10)*1E-6)/(((R10+((R10)*1E-6))+(J10*(R10+((R10)*1E-6))^m_)*(m_*J10*(R10+((R10)*1E-6))^(m_-1))-(J10*(R10+((R10)*1E-6))^m_)*SQRT(1+(m_*J10*(R10+((R10)*1E-6))^(m_-1))^2)-(E10))-((R10)+(J10*(R10)^m_)*(m_*J10*(R10)^(m_-1))-(J10*(R10)^m_)*SQRT(1+(m_*J10*(R10)^(m_-1))^2)-(E10)))</f>
        <v/>
      </c>
      <c r="T10">
        <f>S10-((S10)+(J10*(S10)^m_)*(m_*J10*(S10)^(m_-1))-(J10*(S10)^m_)*SQRT(1+(m_*J10*(S10)^(m_-1))^2)-(E10))*((S10)*1E-6)/(((S10+((S10)*1E-6))+(J10*(S10+((S10)*1E-6))^m_)*(m_*J10*(S10+((S10)*1E-6))^(m_-1))-(J10*(S10+((S10)*1E-6))^m_)*SQRT(1+(m_*J10*(S10+((S10)*1E-6))^(m_-1))^2)-(E10))-((S10)+(J10*(S10)^m_)*(m_*J10*(S10)^(m_-1))-(J10*(S10)^m_)*SQRT(1+(m_*J10*(S10)^(m_-1))^2)-(E10)))</f>
        <v/>
      </c>
      <c r="U10">
        <f>J10*T10^m_</f>
        <v/>
      </c>
      <c r="V10">
        <f>m_*J10*T10^(m_-1)</f>
        <v/>
      </c>
      <c r="W10">
        <f>U10*SQRT(1+V10^2)</f>
        <v/>
      </c>
      <c r="X10">
        <f>2*W10</f>
        <v/>
      </c>
      <c r="Y10">
        <f>LN(X10)-LN(G10)</f>
        <v/>
      </c>
      <c r="Z10">
        <f>Y10^2</f>
        <v/>
      </c>
    </row>
    <row r="11">
      <c r="A11" t="inlineStr">
        <is>
          <t>W2022</t>
        </is>
      </c>
      <c r="B11" t="inlineStr">
        <is>
          <t>HF-1.0m-IDIEM-mono</t>
        </is>
      </c>
      <c r="C11" t="inlineStr">
        <is>
          <t>TX</t>
        </is>
      </c>
      <c r="D11" t="n">
        <v>0.3317313106796116</v>
      </c>
      <c r="E11" t="n">
        <v>1.961</v>
      </c>
      <c r="F11" t="n">
        <v>11.021</v>
      </c>
      <c r="G11">
        <f>F11-E11</f>
        <v/>
      </c>
      <c r="J11">
        <f>TAN(RADIANS(pe0-omega*D11))*sref^(1-m_)</f>
        <v/>
      </c>
      <c r="K11">
        <f>2*E11-((2*E11)+(J11*(2*E11)^m_)*(m_*J11*(2*E11)^(m_-1))-(J11*(2*E11)^m_)*SQRT(1+(m_*J11*(2*E11)^(m_-1))^2)-(E11))*((2*E11)*1E-6)/(((2*E11+((2*E11)*1E-6))+(J11*(2*E11+((2*E11)*1E-6))^m_)*(m_*J11*(2*E11+((2*E11)*1E-6))^(m_-1))-(J11*(2*E11+((2*E11)*1E-6))^m_)*SQRT(1+(m_*J11*(2*E11+((2*E11)*1E-6))^(m_-1))^2)-(E11))-((2*E11)+(J11*(2*E11)^m_)*(m_*J11*(2*E11)^(m_-1))-(J11*(2*E11)^m_)*SQRT(1+(m_*J11*(2*E11)^(m_-1))^2)-(E11)))</f>
        <v/>
      </c>
      <c r="L11">
        <f>K11-((K11)+(J11*(K11)^m_)*(m_*J11*(K11)^(m_-1))-(J11*(K11)^m_)*SQRT(1+(m_*J11*(K11)^(m_-1))^2)-(E11))*((K11)*1E-6)/(((K11+((K11)*1E-6))+(J11*(K11+((K11)*1E-6))^m_)*(m_*J11*(K11+((K11)*1E-6))^(m_-1))-(J11*(K11+((K11)*1E-6))^m_)*SQRT(1+(m_*J11*(K11+((K11)*1E-6))^(m_-1))^2)-(E11))-((K11)+(J11*(K11)^m_)*(m_*J11*(K11)^(m_-1))-(J11*(K11)^m_)*SQRT(1+(m_*J11*(K11)^(m_-1))^2)-(E11)))</f>
        <v/>
      </c>
      <c r="M11">
        <f>L11-((L11)+(J11*(L11)^m_)*(m_*J11*(L11)^(m_-1))-(J11*(L11)^m_)*SQRT(1+(m_*J11*(L11)^(m_-1))^2)-(E11))*((L11)*1E-6)/(((L11+((L11)*1E-6))+(J11*(L11+((L11)*1E-6))^m_)*(m_*J11*(L11+((L11)*1E-6))^(m_-1))-(J11*(L11+((L11)*1E-6))^m_)*SQRT(1+(m_*J11*(L11+((L11)*1E-6))^(m_-1))^2)-(E11))-((L11)+(J11*(L11)^m_)*(m_*J11*(L11)^(m_-1))-(J11*(L11)^m_)*SQRT(1+(m_*J11*(L11)^(m_-1))^2)-(E11)))</f>
        <v/>
      </c>
      <c r="N11">
        <f>M11-((M11)+(J11*(M11)^m_)*(m_*J11*(M11)^(m_-1))-(J11*(M11)^m_)*SQRT(1+(m_*J11*(M11)^(m_-1))^2)-(E11))*((M11)*1E-6)/(((M11+((M11)*1E-6))+(J11*(M11+((M11)*1E-6))^m_)*(m_*J11*(M11+((M11)*1E-6))^(m_-1))-(J11*(M11+((M11)*1E-6))^m_)*SQRT(1+(m_*J11*(M11+((M11)*1E-6))^(m_-1))^2)-(E11))-((M11)+(J11*(M11)^m_)*(m_*J11*(M11)^(m_-1))-(J11*(M11)^m_)*SQRT(1+(m_*J11*(M11)^(m_-1))^2)-(E11)))</f>
        <v/>
      </c>
      <c r="O11">
        <f>N11-((N11)+(J11*(N11)^m_)*(m_*J11*(N11)^(m_-1))-(J11*(N11)^m_)*SQRT(1+(m_*J11*(N11)^(m_-1))^2)-(E11))*((N11)*1E-6)/(((N11+((N11)*1E-6))+(J11*(N11+((N11)*1E-6))^m_)*(m_*J11*(N11+((N11)*1E-6))^(m_-1))-(J11*(N11+((N11)*1E-6))^m_)*SQRT(1+(m_*J11*(N11+((N11)*1E-6))^(m_-1))^2)-(E11))-((N11)+(J11*(N11)^m_)*(m_*J11*(N11)^(m_-1))-(J11*(N11)^m_)*SQRT(1+(m_*J11*(N11)^(m_-1))^2)-(E11)))</f>
        <v/>
      </c>
      <c r="P11">
        <f>O11-((O11)+(J11*(O11)^m_)*(m_*J11*(O11)^(m_-1))-(J11*(O11)^m_)*SQRT(1+(m_*J11*(O11)^(m_-1))^2)-(E11))*((O11)*1E-6)/(((O11+((O11)*1E-6))+(J11*(O11+((O11)*1E-6))^m_)*(m_*J11*(O11+((O11)*1E-6))^(m_-1))-(J11*(O11+((O11)*1E-6))^m_)*SQRT(1+(m_*J11*(O11+((O11)*1E-6))^(m_-1))^2)-(E11))-((O11)+(J11*(O11)^m_)*(m_*J11*(O11)^(m_-1))-(J11*(O11)^m_)*SQRT(1+(m_*J11*(O11)^(m_-1))^2)-(E11)))</f>
        <v/>
      </c>
      <c r="Q11">
        <f>P11-((P11)+(J11*(P11)^m_)*(m_*J11*(P11)^(m_-1))-(J11*(P11)^m_)*SQRT(1+(m_*J11*(P11)^(m_-1))^2)-(E11))*((P11)*1E-6)/(((P11+((P11)*1E-6))+(J11*(P11+((P11)*1E-6))^m_)*(m_*J11*(P11+((P11)*1E-6))^(m_-1))-(J11*(P11+((P11)*1E-6))^m_)*SQRT(1+(m_*J11*(P11+((P11)*1E-6))^(m_-1))^2)-(E11))-((P11)+(J11*(P11)^m_)*(m_*J11*(P11)^(m_-1))-(J11*(P11)^m_)*SQRT(1+(m_*J11*(P11)^(m_-1))^2)-(E11)))</f>
        <v/>
      </c>
      <c r="R11">
        <f>Q11-((Q11)+(J11*(Q11)^m_)*(m_*J11*(Q11)^(m_-1))-(J11*(Q11)^m_)*SQRT(1+(m_*J11*(Q11)^(m_-1))^2)-(E11))*((Q11)*1E-6)/(((Q11+((Q11)*1E-6))+(J11*(Q11+((Q11)*1E-6))^m_)*(m_*J11*(Q11+((Q11)*1E-6))^(m_-1))-(J11*(Q11+((Q11)*1E-6))^m_)*SQRT(1+(m_*J11*(Q11+((Q11)*1E-6))^(m_-1))^2)-(E11))-((Q11)+(J11*(Q11)^m_)*(m_*J11*(Q11)^(m_-1))-(J11*(Q11)^m_)*SQRT(1+(m_*J11*(Q11)^(m_-1))^2)-(E11)))</f>
        <v/>
      </c>
      <c r="S11">
        <f>R11-((R11)+(J11*(R11)^m_)*(m_*J11*(R11)^(m_-1))-(J11*(R11)^m_)*SQRT(1+(m_*J11*(R11)^(m_-1))^2)-(E11))*((R11)*1E-6)/(((R11+((R11)*1E-6))+(J11*(R11+((R11)*1E-6))^m_)*(m_*J11*(R11+((R11)*1E-6))^(m_-1))-(J11*(R11+((R11)*1E-6))^m_)*SQRT(1+(m_*J11*(R11+((R11)*1E-6))^(m_-1))^2)-(E11))-((R11)+(J11*(R11)^m_)*(m_*J11*(R11)^(m_-1))-(J11*(R11)^m_)*SQRT(1+(m_*J11*(R11)^(m_-1))^2)-(E11)))</f>
        <v/>
      </c>
      <c r="T11">
        <f>S11-((S11)+(J11*(S11)^m_)*(m_*J11*(S11)^(m_-1))-(J11*(S11)^m_)*SQRT(1+(m_*J11*(S11)^(m_-1))^2)-(E11))*((S11)*1E-6)/(((S11+((S11)*1E-6))+(J11*(S11+((S11)*1E-6))^m_)*(m_*J11*(S11+((S11)*1E-6))^(m_-1))-(J11*(S11+((S11)*1E-6))^m_)*SQRT(1+(m_*J11*(S11+((S11)*1E-6))^(m_-1))^2)-(E11))-((S11)+(J11*(S11)^m_)*(m_*J11*(S11)^(m_-1))-(J11*(S11)^m_)*SQRT(1+(m_*J11*(S11)^(m_-1))^2)-(E11)))</f>
        <v/>
      </c>
      <c r="U11">
        <f>J11*T11^m_</f>
        <v/>
      </c>
      <c r="V11">
        <f>m_*J11*T11^(m_-1)</f>
        <v/>
      </c>
      <c r="W11">
        <f>U11*SQRT(1+V11^2)</f>
        <v/>
      </c>
      <c r="X11">
        <f>2*W11</f>
        <v/>
      </c>
      <c r="Y11">
        <f>LN(X11)-LN(G11)</f>
        <v/>
      </c>
      <c r="Z11">
        <f>Y11^2</f>
        <v/>
      </c>
    </row>
    <row r="12">
      <c r="A12" t="inlineStr">
        <is>
          <t>W2022</t>
        </is>
      </c>
      <c r="B12" t="inlineStr">
        <is>
          <t>HF-1.0m-IDIEM-mono</t>
        </is>
      </c>
      <c r="C12" t="inlineStr">
        <is>
          <t>TX</t>
        </is>
      </c>
      <c r="D12" t="n">
        <v>0.3317313106796116</v>
      </c>
      <c r="E12" t="n">
        <v>2.452</v>
      </c>
      <c r="F12" t="n">
        <v>14.382</v>
      </c>
      <c r="G12">
        <f>F12-E12</f>
        <v/>
      </c>
      <c r="J12">
        <f>TAN(RADIANS(pe0-omega*D12))*sref^(1-m_)</f>
        <v/>
      </c>
      <c r="K12">
        <f>2*E12-((2*E12)+(J12*(2*E12)^m_)*(m_*J12*(2*E12)^(m_-1))-(J12*(2*E12)^m_)*SQRT(1+(m_*J12*(2*E12)^(m_-1))^2)-(E12))*((2*E12)*1E-6)/(((2*E12+((2*E12)*1E-6))+(J12*(2*E12+((2*E12)*1E-6))^m_)*(m_*J12*(2*E12+((2*E12)*1E-6))^(m_-1))-(J12*(2*E12+((2*E12)*1E-6))^m_)*SQRT(1+(m_*J12*(2*E12+((2*E12)*1E-6))^(m_-1))^2)-(E12))-((2*E12)+(J12*(2*E12)^m_)*(m_*J12*(2*E12)^(m_-1))-(J12*(2*E12)^m_)*SQRT(1+(m_*J12*(2*E12)^(m_-1))^2)-(E12)))</f>
        <v/>
      </c>
      <c r="L12">
        <f>K12-((K12)+(J12*(K12)^m_)*(m_*J12*(K12)^(m_-1))-(J12*(K12)^m_)*SQRT(1+(m_*J12*(K12)^(m_-1))^2)-(E12))*((K12)*1E-6)/(((K12+((K12)*1E-6))+(J12*(K12+((K12)*1E-6))^m_)*(m_*J12*(K12+((K12)*1E-6))^(m_-1))-(J12*(K12+((K12)*1E-6))^m_)*SQRT(1+(m_*J12*(K12+((K12)*1E-6))^(m_-1))^2)-(E12))-((K12)+(J12*(K12)^m_)*(m_*J12*(K12)^(m_-1))-(J12*(K12)^m_)*SQRT(1+(m_*J12*(K12)^(m_-1))^2)-(E12)))</f>
        <v/>
      </c>
      <c r="M12">
        <f>L12-((L12)+(J12*(L12)^m_)*(m_*J12*(L12)^(m_-1))-(J12*(L12)^m_)*SQRT(1+(m_*J12*(L12)^(m_-1))^2)-(E12))*((L12)*1E-6)/(((L12+((L12)*1E-6))+(J12*(L12+((L12)*1E-6))^m_)*(m_*J12*(L12+((L12)*1E-6))^(m_-1))-(J12*(L12+((L12)*1E-6))^m_)*SQRT(1+(m_*J12*(L12+((L12)*1E-6))^(m_-1))^2)-(E12))-((L12)+(J12*(L12)^m_)*(m_*J12*(L12)^(m_-1))-(J12*(L12)^m_)*SQRT(1+(m_*J12*(L12)^(m_-1))^2)-(E12)))</f>
        <v/>
      </c>
      <c r="N12">
        <f>M12-((M12)+(J12*(M12)^m_)*(m_*J12*(M12)^(m_-1))-(J12*(M12)^m_)*SQRT(1+(m_*J12*(M12)^(m_-1))^2)-(E12))*((M12)*1E-6)/(((M12+((M12)*1E-6))+(J12*(M12+((M12)*1E-6))^m_)*(m_*J12*(M12+((M12)*1E-6))^(m_-1))-(J12*(M12+((M12)*1E-6))^m_)*SQRT(1+(m_*J12*(M12+((M12)*1E-6))^(m_-1))^2)-(E12))-((M12)+(J12*(M12)^m_)*(m_*J12*(M12)^(m_-1))-(J12*(M12)^m_)*SQRT(1+(m_*J12*(M12)^(m_-1))^2)-(E12)))</f>
        <v/>
      </c>
      <c r="O12">
        <f>N12-((N12)+(J12*(N12)^m_)*(m_*J12*(N12)^(m_-1))-(J12*(N12)^m_)*SQRT(1+(m_*J12*(N12)^(m_-1))^2)-(E12))*((N12)*1E-6)/(((N12+((N12)*1E-6))+(J12*(N12+((N12)*1E-6))^m_)*(m_*J12*(N12+((N12)*1E-6))^(m_-1))-(J12*(N12+((N12)*1E-6))^m_)*SQRT(1+(m_*J12*(N12+((N12)*1E-6))^(m_-1))^2)-(E12))-((N12)+(J12*(N12)^m_)*(m_*J12*(N12)^(m_-1))-(J12*(N12)^m_)*SQRT(1+(m_*J12*(N12)^(m_-1))^2)-(E12)))</f>
        <v/>
      </c>
      <c r="P12">
        <f>O12-((O12)+(J12*(O12)^m_)*(m_*J12*(O12)^(m_-1))-(J12*(O12)^m_)*SQRT(1+(m_*J12*(O12)^(m_-1))^2)-(E12))*((O12)*1E-6)/(((O12+((O12)*1E-6))+(J12*(O12+((O12)*1E-6))^m_)*(m_*J12*(O12+((O12)*1E-6))^(m_-1))-(J12*(O12+((O12)*1E-6))^m_)*SQRT(1+(m_*J12*(O12+((O12)*1E-6))^(m_-1))^2)-(E12))-((O12)+(J12*(O12)^m_)*(m_*J12*(O12)^(m_-1))-(J12*(O12)^m_)*SQRT(1+(m_*J12*(O12)^(m_-1))^2)-(E12)))</f>
        <v/>
      </c>
      <c r="Q12">
        <f>P12-((P12)+(J12*(P12)^m_)*(m_*J12*(P12)^(m_-1))-(J12*(P12)^m_)*SQRT(1+(m_*J12*(P12)^(m_-1))^2)-(E12))*((P12)*1E-6)/(((P12+((P12)*1E-6))+(J12*(P12+((P12)*1E-6))^m_)*(m_*J12*(P12+((P12)*1E-6))^(m_-1))-(J12*(P12+((P12)*1E-6))^m_)*SQRT(1+(m_*J12*(P12+((P12)*1E-6))^(m_-1))^2)-(E12))-((P12)+(J12*(P12)^m_)*(m_*J12*(P12)^(m_-1))-(J12*(P12)^m_)*SQRT(1+(m_*J12*(P12)^(m_-1))^2)-(E12)))</f>
        <v/>
      </c>
      <c r="R12">
        <f>Q12-((Q12)+(J12*(Q12)^m_)*(m_*J12*(Q12)^(m_-1))-(J12*(Q12)^m_)*SQRT(1+(m_*J12*(Q12)^(m_-1))^2)-(E12))*((Q12)*1E-6)/(((Q12+((Q12)*1E-6))+(J12*(Q12+((Q12)*1E-6))^m_)*(m_*J12*(Q12+((Q12)*1E-6))^(m_-1))-(J12*(Q12+((Q12)*1E-6))^m_)*SQRT(1+(m_*J12*(Q12+((Q12)*1E-6))^(m_-1))^2)-(E12))-((Q12)+(J12*(Q12)^m_)*(m_*J12*(Q12)^(m_-1))-(J12*(Q12)^m_)*SQRT(1+(m_*J12*(Q12)^(m_-1))^2)-(E12)))</f>
        <v/>
      </c>
      <c r="S12">
        <f>R12-((R12)+(J12*(R12)^m_)*(m_*J12*(R12)^(m_-1))-(J12*(R12)^m_)*SQRT(1+(m_*J12*(R12)^(m_-1))^2)-(E12))*((R12)*1E-6)/(((R12+((R12)*1E-6))+(J12*(R12+((R12)*1E-6))^m_)*(m_*J12*(R12+((R12)*1E-6))^(m_-1))-(J12*(R12+((R12)*1E-6))^m_)*SQRT(1+(m_*J12*(R12+((R12)*1E-6))^(m_-1))^2)-(E12))-((R12)+(J12*(R12)^m_)*(m_*J12*(R12)^(m_-1))-(J12*(R12)^m_)*SQRT(1+(m_*J12*(R12)^(m_-1))^2)-(E12)))</f>
        <v/>
      </c>
      <c r="T12">
        <f>S12-((S12)+(J12*(S12)^m_)*(m_*J12*(S12)^(m_-1))-(J12*(S12)^m_)*SQRT(1+(m_*J12*(S12)^(m_-1))^2)-(E12))*((S12)*1E-6)/(((S12+((S12)*1E-6))+(J12*(S12+((S12)*1E-6))^m_)*(m_*J12*(S12+((S12)*1E-6))^(m_-1))-(J12*(S12+((S12)*1E-6))^m_)*SQRT(1+(m_*J12*(S12+((S12)*1E-6))^(m_-1))^2)-(E12))-((S12)+(J12*(S12)^m_)*(m_*J12*(S12)^(m_-1))-(J12*(S12)^m_)*SQRT(1+(m_*J12*(S12)^(m_-1))^2)-(E12)))</f>
        <v/>
      </c>
      <c r="U12">
        <f>J12*T12^m_</f>
        <v/>
      </c>
      <c r="V12">
        <f>m_*J12*T12^(m_-1)</f>
        <v/>
      </c>
      <c r="W12">
        <f>U12*SQRT(1+V12^2)</f>
        <v/>
      </c>
      <c r="X12">
        <f>2*W12</f>
        <v/>
      </c>
      <c r="Y12">
        <f>LN(X12)-LN(G12)</f>
        <v/>
      </c>
      <c r="Z12">
        <f>Y12^2</f>
        <v/>
      </c>
    </row>
    <row r="13">
      <c r="A13" t="inlineStr">
        <is>
          <t>W2022</t>
        </is>
      </c>
      <c r="B13" t="inlineStr">
        <is>
          <t>HF-1.0m-IDIEM-cd</t>
        </is>
      </c>
      <c r="C13" t="inlineStr">
        <is>
          <t>TX</t>
        </is>
      </c>
      <c r="D13" t="n">
        <v>0.3574302325581395</v>
      </c>
      <c r="E13" t="n">
        <v>0.981</v>
      </c>
      <c r="F13" t="n">
        <v>4.801</v>
      </c>
      <c r="G13">
        <f>F13-E13</f>
        <v/>
      </c>
      <c r="J13">
        <f>TAN(RADIANS(pe0-omega*D13))*sref^(1-m_)</f>
        <v/>
      </c>
      <c r="K13">
        <f>2*E13-((2*E13)+(J13*(2*E13)^m_)*(m_*J13*(2*E13)^(m_-1))-(J13*(2*E13)^m_)*SQRT(1+(m_*J13*(2*E13)^(m_-1))^2)-(E13))*((2*E13)*1E-6)/(((2*E13+((2*E13)*1E-6))+(J13*(2*E13+((2*E13)*1E-6))^m_)*(m_*J13*(2*E13+((2*E13)*1E-6))^(m_-1))-(J13*(2*E13+((2*E13)*1E-6))^m_)*SQRT(1+(m_*J13*(2*E13+((2*E13)*1E-6))^(m_-1))^2)-(E13))-((2*E13)+(J13*(2*E13)^m_)*(m_*J13*(2*E13)^(m_-1))-(J13*(2*E13)^m_)*SQRT(1+(m_*J13*(2*E13)^(m_-1))^2)-(E13)))</f>
        <v/>
      </c>
      <c r="L13">
        <f>K13-((K13)+(J13*(K13)^m_)*(m_*J13*(K13)^(m_-1))-(J13*(K13)^m_)*SQRT(1+(m_*J13*(K13)^(m_-1))^2)-(E13))*((K13)*1E-6)/(((K13+((K13)*1E-6))+(J13*(K13+((K13)*1E-6))^m_)*(m_*J13*(K13+((K13)*1E-6))^(m_-1))-(J13*(K13+((K13)*1E-6))^m_)*SQRT(1+(m_*J13*(K13+((K13)*1E-6))^(m_-1))^2)-(E13))-((K13)+(J13*(K13)^m_)*(m_*J13*(K13)^(m_-1))-(J13*(K13)^m_)*SQRT(1+(m_*J13*(K13)^(m_-1))^2)-(E13)))</f>
        <v/>
      </c>
      <c r="M13">
        <f>L13-((L13)+(J13*(L13)^m_)*(m_*J13*(L13)^(m_-1))-(J13*(L13)^m_)*SQRT(1+(m_*J13*(L13)^(m_-1))^2)-(E13))*((L13)*1E-6)/(((L13+((L13)*1E-6))+(J13*(L13+((L13)*1E-6))^m_)*(m_*J13*(L13+((L13)*1E-6))^(m_-1))-(J13*(L13+((L13)*1E-6))^m_)*SQRT(1+(m_*J13*(L13+((L13)*1E-6))^(m_-1))^2)-(E13))-((L13)+(J13*(L13)^m_)*(m_*J13*(L13)^(m_-1))-(J13*(L13)^m_)*SQRT(1+(m_*J13*(L13)^(m_-1))^2)-(E13)))</f>
        <v/>
      </c>
      <c r="N13">
        <f>M13-((M13)+(J13*(M13)^m_)*(m_*J13*(M13)^(m_-1))-(J13*(M13)^m_)*SQRT(1+(m_*J13*(M13)^(m_-1))^2)-(E13))*((M13)*1E-6)/(((M13+((M13)*1E-6))+(J13*(M13+((M13)*1E-6))^m_)*(m_*J13*(M13+((M13)*1E-6))^(m_-1))-(J13*(M13+((M13)*1E-6))^m_)*SQRT(1+(m_*J13*(M13+((M13)*1E-6))^(m_-1))^2)-(E13))-((M13)+(J13*(M13)^m_)*(m_*J13*(M13)^(m_-1))-(J13*(M13)^m_)*SQRT(1+(m_*J13*(M13)^(m_-1))^2)-(E13)))</f>
        <v/>
      </c>
      <c r="O13">
        <f>N13-((N13)+(J13*(N13)^m_)*(m_*J13*(N13)^(m_-1))-(J13*(N13)^m_)*SQRT(1+(m_*J13*(N13)^(m_-1))^2)-(E13))*((N13)*1E-6)/(((N13+((N13)*1E-6))+(J13*(N13+((N13)*1E-6))^m_)*(m_*J13*(N13+((N13)*1E-6))^(m_-1))-(J13*(N13+((N13)*1E-6))^m_)*SQRT(1+(m_*J13*(N13+((N13)*1E-6))^(m_-1))^2)-(E13))-((N13)+(J13*(N13)^m_)*(m_*J13*(N13)^(m_-1))-(J13*(N13)^m_)*SQRT(1+(m_*J13*(N13)^(m_-1))^2)-(E13)))</f>
        <v/>
      </c>
      <c r="P13">
        <f>O13-((O13)+(J13*(O13)^m_)*(m_*J13*(O13)^(m_-1))-(J13*(O13)^m_)*SQRT(1+(m_*J13*(O13)^(m_-1))^2)-(E13))*((O13)*1E-6)/(((O13+((O13)*1E-6))+(J13*(O13+((O13)*1E-6))^m_)*(m_*J13*(O13+((O13)*1E-6))^(m_-1))-(J13*(O13+((O13)*1E-6))^m_)*SQRT(1+(m_*J13*(O13+((O13)*1E-6))^(m_-1))^2)-(E13))-((O13)+(J13*(O13)^m_)*(m_*J13*(O13)^(m_-1))-(J13*(O13)^m_)*SQRT(1+(m_*J13*(O13)^(m_-1))^2)-(E13)))</f>
        <v/>
      </c>
      <c r="Q13">
        <f>P13-((P13)+(J13*(P13)^m_)*(m_*J13*(P13)^(m_-1))-(J13*(P13)^m_)*SQRT(1+(m_*J13*(P13)^(m_-1))^2)-(E13))*((P13)*1E-6)/(((P13+((P13)*1E-6))+(J13*(P13+((P13)*1E-6))^m_)*(m_*J13*(P13+((P13)*1E-6))^(m_-1))-(J13*(P13+((P13)*1E-6))^m_)*SQRT(1+(m_*J13*(P13+((P13)*1E-6))^(m_-1))^2)-(E13))-((P13)+(J13*(P13)^m_)*(m_*J13*(P13)^(m_-1))-(J13*(P13)^m_)*SQRT(1+(m_*J13*(P13)^(m_-1))^2)-(E13)))</f>
        <v/>
      </c>
      <c r="R13">
        <f>Q13-((Q13)+(J13*(Q13)^m_)*(m_*J13*(Q13)^(m_-1))-(J13*(Q13)^m_)*SQRT(1+(m_*J13*(Q13)^(m_-1))^2)-(E13))*((Q13)*1E-6)/(((Q13+((Q13)*1E-6))+(J13*(Q13+((Q13)*1E-6))^m_)*(m_*J13*(Q13+((Q13)*1E-6))^(m_-1))-(J13*(Q13+((Q13)*1E-6))^m_)*SQRT(1+(m_*J13*(Q13+((Q13)*1E-6))^(m_-1))^2)-(E13))-((Q13)+(J13*(Q13)^m_)*(m_*J13*(Q13)^(m_-1))-(J13*(Q13)^m_)*SQRT(1+(m_*J13*(Q13)^(m_-1))^2)-(E13)))</f>
        <v/>
      </c>
      <c r="S13">
        <f>R13-((R13)+(J13*(R13)^m_)*(m_*J13*(R13)^(m_-1))-(J13*(R13)^m_)*SQRT(1+(m_*J13*(R13)^(m_-1))^2)-(E13))*((R13)*1E-6)/(((R13+((R13)*1E-6))+(J13*(R13+((R13)*1E-6))^m_)*(m_*J13*(R13+((R13)*1E-6))^(m_-1))-(J13*(R13+((R13)*1E-6))^m_)*SQRT(1+(m_*J13*(R13+((R13)*1E-6))^(m_-1))^2)-(E13))-((R13)+(J13*(R13)^m_)*(m_*J13*(R13)^(m_-1))-(J13*(R13)^m_)*SQRT(1+(m_*J13*(R13)^(m_-1))^2)-(E13)))</f>
        <v/>
      </c>
      <c r="T13">
        <f>S13-((S13)+(J13*(S13)^m_)*(m_*J13*(S13)^(m_-1))-(J13*(S13)^m_)*SQRT(1+(m_*J13*(S13)^(m_-1))^2)-(E13))*((S13)*1E-6)/(((S13+((S13)*1E-6))+(J13*(S13+((S13)*1E-6))^m_)*(m_*J13*(S13+((S13)*1E-6))^(m_-1))-(J13*(S13+((S13)*1E-6))^m_)*SQRT(1+(m_*J13*(S13+((S13)*1E-6))^(m_-1))^2)-(E13))-((S13)+(J13*(S13)^m_)*(m_*J13*(S13)^(m_-1))-(J13*(S13)^m_)*SQRT(1+(m_*J13*(S13)^(m_-1))^2)-(E13)))</f>
        <v/>
      </c>
      <c r="U13">
        <f>J13*T13^m_</f>
        <v/>
      </c>
      <c r="V13">
        <f>m_*J13*T13^(m_-1)</f>
        <v/>
      </c>
      <c r="W13">
        <f>U13*SQRT(1+V13^2)</f>
        <v/>
      </c>
      <c r="X13">
        <f>2*W13</f>
        <v/>
      </c>
      <c r="Y13">
        <f>LN(X13)-LN(G13)</f>
        <v/>
      </c>
      <c r="Z13">
        <f>Y13^2</f>
        <v/>
      </c>
    </row>
    <row r="14">
      <c r="A14" t="inlineStr">
        <is>
          <t>W2022</t>
        </is>
      </c>
      <c r="B14" t="inlineStr">
        <is>
          <t>HF-1.0m-IDIEM-cd</t>
        </is>
      </c>
      <c r="C14" t="inlineStr">
        <is>
          <t>TX</t>
        </is>
      </c>
      <c r="D14" t="n">
        <v>0.3574302325581395</v>
      </c>
      <c r="E14" t="n">
        <v>1.961</v>
      </c>
      <c r="F14" t="n">
        <v>11.664</v>
      </c>
      <c r="G14">
        <f>F14-E14</f>
        <v/>
      </c>
      <c r="J14">
        <f>TAN(RADIANS(pe0-omega*D14))*sref^(1-m_)</f>
        <v/>
      </c>
      <c r="K14">
        <f>2*E14-((2*E14)+(J14*(2*E14)^m_)*(m_*J14*(2*E14)^(m_-1))-(J14*(2*E14)^m_)*SQRT(1+(m_*J14*(2*E14)^(m_-1))^2)-(E14))*((2*E14)*1E-6)/(((2*E14+((2*E14)*1E-6))+(J14*(2*E14+((2*E14)*1E-6))^m_)*(m_*J14*(2*E14+((2*E14)*1E-6))^(m_-1))-(J14*(2*E14+((2*E14)*1E-6))^m_)*SQRT(1+(m_*J14*(2*E14+((2*E14)*1E-6))^(m_-1))^2)-(E14))-((2*E14)+(J14*(2*E14)^m_)*(m_*J14*(2*E14)^(m_-1))-(J14*(2*E14)^m_)*SQRT(1+(m_*J14*(2*E14)^(m_-1))^2)-(E14)))</f>
        <v/>
      </c>
      <c r="L14">
        <f>K14-((K14)+(J14*(K14)^m_)*(m_*J14*(K14)^(m_-1))-(J14*(K14)^m_)*SQRT(1+(m_*J14*(K14)^(m_-1))^2)-(E14))*((K14)*1E-6)/(((K14+((K14)*1E-6))+(J14*(K14+((K14)*1E-6))^m_)*(m_*J14*(K14+((K14)*1E-6))^(m_-1))-(J14*(K14+((K14)*1E-6))^m_)*SQRT(1+(m_*J14*(K14+((K14)*1E-6))^(m_-1))^2)-(E14))-((K14)+(J14*(K14)^m_)*(m_*J14*(K14)^(m_-1))-(J14*(K14)^m_)*SQRT(1+(m_*J14*(K14)^(m_-1))^2)-(E14)))</f>
        <v/>
      </c>
      <c r="M14">
        <f>L14-((L14)+(J14*(L14)^m_)*(m_*J14*(L14)^(m_-1))-(J14*(L14)^m_)*SQRT(1+(m_*J14*(L14)^(m_-1))^2)-(E14))*((L14)*1E-6)/(((L14+((L14)*1E-6))+(J14*(L14+((L14)*1E-6))^m_)*(m_*J14*(L14+((L14)*1E-6))^(m_-1))-(J14*(L14+((L14)*1E-6))^m_)*SQRT(1+(m_*J14*(L14+((L14)*1E-6))^(m_-1))^2)-(E14))-((L14)+(J14*(L14)^m_)*(m_*J14*(L14)^(m_-1))-(J14*(L14)^m_)*SQRT(1+(m_*J14*(L14)^(m_-1))^2)-(E14)))</f>
        <v/>
      </c>
      <c r="N14">
        <f>M14-((M14)+(J14*(M14)^m_)*(m_*J14*(M14)^(m_-1))-(J14*(M14)^m_)*SQRT(1+(m_*J14*(M14)^(m_-1))^2)-(E14))*((M14)*1E-6)/(((M14+((M14)*1E-6))+(J14*(M14+((M14)*1E-6))^m_)*(m_*J14*(M14+((M14)*1E-6))^(m_-1))-(J14*(M14+((M14)*1E-6))^m_)*SQRT(1+(m_*J14*(M14+((M14)*1E-6))^(m_-1))^2)-(E14))-((M14)+(J14*(M14)^m_)*(m_*J14*(M14)^(m_-1))-(J14*(M14)^m_)*SQRT(1+(m_*J14*(M14)^(m_-1))^2)-(E14)))</f>
        <v/>
      </c>
      <c r="O14">
        <f>N14-((N14)+(J14*(N14)^m_)*(m_*J14*(N14)^(m_-1))-(J14*(N14)^m_)*SQRT(1+(m_*J14*(N14)^(m_-1))^2)-(E14))*((N14)*1E-6)/(((N14+((N14)*1E-6))+(J14*(N14+((N14)*1E-6))^m_)*(m_*J14*(N14+((N14)*1E-6))^(m_-1))-(J14*(N14+((N14)*1E-6))^m_)*SQRT(1+(m_*J14*(N14+((N14)*1E-6))^(m_-1))^2)-(E14))-((N14)+(J14*(N14)^m_)*(m_*J14*(N14)^(m_-1))-(J14*(N14)^m_)*SQRT(1+(m_*J14*(N14)^(m_-1))^2)-(E14)))</f>
        <v/>
      </c>
      <c r="P14">
        <f>O14-((O14)+(J14*(O14)^m_)*(m_*J14*(O14)^(m_-1))-(J14*(O14)^m_)*SQRT(1+(m_*J14*(O14)^(m_-1))^2)-(E14))*((O14)*1E-6)/(((O14+((O14)*1E-6))+(J14*(O14+((O14)*1E-6))^m_)*(m_*J14*(O14+((O14)*1E-6))^(m_-1))-(J14*(O14+((O14)*1E-6))^m_)*SQRT(1+(m_*J14*(O14+((O14)*1E-6))^(m_-1))^2)-(E14))-((O14)+(J14*(O14)^m_)*(m_*J14*(O14)^(m_-1))-(J14*(O14)^m_)*SQRT(1+(m_*J14*(O14)^(m_-1))^2)-(E14)))</f>
        <v/>
      </c>
      <c r="Q14">
        <f>P14-((P14)+(J14*(P14)^m_)*(m_*J14*(P14)^(m_-1))-(J14*(P14)^m_)*SQRT(1+(m_*J14*(P14)^(m_-1))^2)-(E14))*((P14)*1E-6)/(((P14+((P14)*1E-6))+(J14*(P14+((P14)*1E-6))^m_)*(m_*J14*(P14+((P14)*1E-6))^(m_-1))-(J14*(P14+((P14)*1E-6))^m_)*SQRT(1+(m_*J14*(P14+((P14)*1E-6))^(m_-1))^2)-(E14))-((P14)+(J14*(P14)^m_)*(m_*J14*(P14)^(m_-1))-(J14*(P14)^m_)*SQRT(1+(m_*J14*(P14)^(m_-1))^2)-(E14)))</f>
        <v/>
      </c>
      <c r="R14">
        <f>Q14-((Q14)+(J14*(Q14)^m_)*(m_*J14*(Q14)^(m_-1))-(J14*(Q14)^m_)*SQRT(1+(m_*J14*(Q14)^(m_-1))^2)-(E14))*((Q14)*1E-6)/(((Q14+((Q14)*1E-6))+(J14*(Q14+((Q14)*1E-6))^m_)*(m_*J14*(Q14+((Q14)*1E-6))^(m_-1))-(J14*(Q14+((Q14)*1E-6))^m_)*SQRT(1+(m_*J14*(Q14+((Q14)*1E-6))^(m_-1))^2)-(E14))-((Q14)+(J14*(Q14)^m_)*(m_*J14*(Q14)^(m_-1))-(J14*(Q14)^m_)*SQRT(1+(m_*J14*(Q14)^(m_-1))^2)-(E14)))</f>
        <v/>
      </c>
      <c r="S14">
        <f>R14-((R14)+(J14*(R14)^m_)*(m_*J14*(R14)^(m_-1))-(J14*(R14)^m_)*SQRT(1+(m_*J14*(R14)^(m_-1))^2)-(E14))*((R14)*1E-6)/(((R14+((R14)*1E-6))+(J14*(R14+((R14)*1E-6))^m_)*(m_*J14*(R14+((R14)*1E-6))^(m_-1))-(J14*(R14+((R14)*1E-6))^m_)*SQRT(1+(m_*J14*(R14+((R14)*1E-6))^(m_-1))^2)-(E14))-((R14)+(J14*(R14)^m_)*(m_*J14*(R14)^(m_-1))-(J14*(R14)^m_)*SQRT(1+(m_*J14*(R14)^(m_-1))^2)-(E14)))</f>
        <v/>
      </c>
      <c r="T14">
        <f>S14-((S14)+(J14*(S14)^m_)*(m_*J14*(S14)^(m_-1))-(J14*(S14)^m_)*SQRT(1+(m_*J14*(S14)^(m_-1))^2)-(E14))*((S14)*1E-6)/(((S14+((S14)*1E-6))+(J14*(S14+((S14)*1E-6))^m_)*(m_*J14*(S14+((S14)*1E-6))^(m_-1))-(J14*(S14+((S14)*1E-6))^m_)*SQRT(1+(m_*J14*(S14+((S14)*1E-6))^(m_-1))^2)-(E14))-((S14)+(J14*(S14)^m_)*(m_*J14*(S14)^(m_-1))-(J14*(S14)^m_)*SQRT(1+(m_*J14*(S14)^(m_-1))^2)-(E14)))</f>
        <v/>
      </c>
      <c r="U14">
        <f>J14*T14^m_</f>
        <v/>
      </c>
      <c r="V14">
        <f>m_*J14*T14^(m_-1)</f>
        <v/>
      </c>
      <c r="W14">
        <f>U14*SQRT(1+V14^2)</f>
        <v/>
      </c>
      <c r="X14">
        <f>2*W14</f>
        <v/>
      </c>
      <c r="Y14">
        <f>LN(X14)-LN(G14)</f>
        <v/>
      </c>
      <c r="Z14">
        <f>Y14^2</f>
        <v/>
      </c>
    </row>
    <row r="15">
      <c r="A15" t="inlineStr">
        <is>
          <t>W2022</t>
        </is>
      </c>
      <c r="B15" t="inlineStr">
        <is>
          <t>HF-1.0m-IDIEM-cd</t>
        </is>
      </c>
      <c r="C15" t="inlineStr">
        <is>
          <t>TX</t>
        </is>
      </c>
      <c r="D15" t="n">
        <v>0.3574302325581395</v>
      </c>
      <c r="E15" t="n">
        <v>2.452</v>
      </c>
      <c r="F15" t="n">
        <v>15.381</v>
      </c>
      <c r="G15">
        <f>F15-E15</f>
        <v/>
      </c>
      <c r="J15">
        <f>TAN(RADIANS(pe0-omega*D15))*sref^(1-m_)</f>
        <v/>
      </c>
      <c r="K15">
        <f>2*E15-((2*E15)+(J15*(2*E15)^m_)*(m_*J15*(2*E15)^(m_-1))-(J15*(2*E15)^m_)*SQRT(1+(m_*J15*(2*E15)^(m_-1))^2)-(E15))*((2*E15)*1E-6)/(((2*E15+((2*E15)*1E-6))+(J15*(2*E15+((2*E15)*1E-6))^m_)*(m_*J15*(2*E15+((2*E15)*1E-6))^(m_-1))-(J15*(2*E15+((2*E15)*1E-6))^m_)*SQRT(1+(m_*J15*(2*E15+((2*E15)*1E-6))^(m_-1))^2)-(E15))-((2*E15)+(J15*(2*E15)^m_)*(m_*J15*(2*E15)^(m_-1))-(J15*(2*E15)^m_)*SQRT(1+(m_*J15*(2*E15)^(m_-1))^2)-(E15)))</f>
        <v/>
      </c>
      <c r="L15">
        <f>K15-((K15)+(J15*(K15)^m_)*(m_*J15*(K15)^(m_-1))-(J15*(K15)^m_)*SQRT(1+(m_*J15*(K15)^(m_-1))^2)-(E15))*((K15)*1E-6)/(((K15+((K15)*1E-6))+(J15*(K15+((K15)*1E-6))^m_)*(m_*J15*(K15+((K15)*1E-6))^(m_-1))-(J15*(K15+((K15)*1E-6))^m_)*SQRT(1+(m_*J15*(K15+((K15)*1E-6))^(m_-1))^2)-(E15))-((K15)+(J15*(K15)^m_)*(m_*J15*(K15)^(m_-1))-(J15*(K15)^m_)*SQRT(1+(m_*J15*(K15)^(m_-1))^2)-(E15)))</f>
        <v/>
      </c>
      <c r="M15">
        <f>L15-((L15)+(J15*(L15)^m_)*(m_*J15*(L15)^(m_-1))-(J15*(L15)^m_)*SQRT(1+(m_*J15*(L15)^(m_-1))^2)-(E15))*((L15)*1E-6)/(((L15+((L15)*1E-6))+(J15*(L15+((L15)*1E-6))^m_)*(m_*J15*(L15+((L15)*1E-6))^(m_-1))-(J15*(L15+((L15)*1E-6))^m_)*SQRT(1+(m_*J15*(L15+((L15)*1E-6))^(m_-1))^2)-(E15))-((L15)+(J15*(L15)^m_)*(m_*J15*(L15)^(m_-1))-(J15*(L15)^m_)*SQRT(1+(m_*J15*(L15)^(m_-1))^2)-(E15)))</f>
        <v/>
      </c>
      <c r="N15">
        <f>M15-((M15)+(J15*(M15)^m_)*(m_*J15*(M15)^(m_-1))-(J15*(M15)^m_)*SQRT(1+(m_*J15*(M15)^(m_-1))^2)-(E15))*((M15)*1E-6)/(((M15+((M15)*1E-6))+(J15*(M15+((M15)*1E-6))^m_)*(m_*J15*(M15+((M15)*1E-6))^(m_-1))-(J15*(M15+((M15)*1E-6))^m_)*SQRT(1+(m_*J15*(M15+((M15)*1E-6))^(m_-1))^2)-(E15))-((M15)+(J15*(M15)^m_)*(m_*J15*(M15)^(m_-1))-(J15*(M15)^m_)*SQRT(1+(m_*J15*(M15)^(m_-1))^2)-(E15)))</f>
        <v/>
      </c>
      <c r="O15">
        <f>N15-((N15)+(J15*(N15)^m_)*(m_*J15*(N15)^(m_-1))-(J15*(N15)^m_)*SQRT(1+(m_*J15*(N15)^(m_-1))^2)-(E15))*((N15)*1E-6)/(((N15+((N15)*1E-6))+(J15*(N15+((N15)*1E-6))^m_)*(m_*J15*(N15+((N15)*1E-6))^(m_-1))-(J15*(N15+((N15)*1E-6))^m_)*SQRT(1+(m_*J15*(N15+((N15)*1E-6))^(m_-1))^2)-(E15))-((N15)+(J15*(N15)^m_)*(m_*J15*(N15)^(m_-1))-(J15*(N15)^m_)*SQRT(1+(m_*J15*(N15)^(m_-1))^2)-(E15)))</f>
        <v/>
      </c>
      <c r="P15">
        <f>O15-((O15)+(J15*(O15)^m_)*(m_*J15*(O15)^(m_-1))-(J15*(O15)^m_)*SQRT(1+(m_*J15*(O15)^(m_-1))^2)-(E15))*((O15)*1E-6)/(((O15+((O15)*1E-6))+(J15*(O15+((O15)*1E-6))^m_)*(m_*J15*(O15+((O15)*1E-6))^(m_-1))-(J15*(O15+((O15)*1E-6))^m_)*SQRT(1+(m_*J15*(O15+((O15)*1E-6))^(m_-1))^2)-(E15))-((O15)+(J15*(O15)^m_)*(m_*J15*(O15)^(m_-1))-(J15*(O15)^m_)*SQRT(1+(m_*J15*(O15)^(m_-1))^2)-(E15)))</f>
        <v/>
      </c>
      <c r="Q15">
        <f>P15-((P15)+(J15*(P15)^m_)*(m_*J15*(P15)^(m_-1))-(J15*(P15)^m_)*SQRT(1+(m_*J15*(P15)^(m_-1))^2)-(E15))*((P15)*1E-6)/(((P15+((P15)*1E-6))+(J15*(P15+((P15)*1E-6))^m_)*(m_*J15*(P15+((P15)*1E-6))^(m_-1))-(J15*(P15+((P15)*1E-6))^m_)*SQRT(1+(m_*J15*(P15+((P15)*1E-6))^(m_-1))^2)-(E15))-((P15)+(J15*(P15)^m_)*(m_*J15*(P15)^(m_-1))-(J15*(P15)^m_)*SQRT(1+(m_*J15*(P15)^(m_-1))^2)-(E15)))</f>
        <v/>
      </c>
      <c r="R15">
        <f>Q15-((Q15)+(J15*(Q15)^m_)*(m_*J15*(Q15)^(m_-1))-(J15*(Q15)^m_)*SQRT(1+(m_*J15*(Q15)^(m_-1))^2)-(E15))*((Q15)*1E-6)/(((Q15+((Q15)*1E-6))+(J15*(Q15+((Q15)*1E-6))^m_)*(m_*J15*(Q15+((Q15)*1E-6))^(m_-1))-(J15*(Q15+((Q15)*1E-6))^m_)*SQRT(1+(m_*J15*(Q15+((Q15)*1E-6))^(m_-1))^2)-(E15))-((Q15)+(J15*(Q15)^m_)*(m_*J15*(Q15)^(m_-1))-(J15*(Q15)^m_)*SQRT(1+(m_*J15*(Q15)^(m_-1))^2)-(E15)))</f>
        <v/>
      </c>
      <c r="S15">
        <f>R15-((R15)+(J15*(R15)^m_)*(m_*J15*(R15)^(m_-1))-(J15*(R15)^m_)*SQRT(1+(m_*J15*(R15)^(m_-1))^2)-(E15))*((R15)*1E-6)/(((R15+((R15)*1E-6))+(J15*(R15+((R15)*1E-6))^m_)*(m_*J15*(R15+((R15)*1E-6))^(m_-1))-(J15*(R15+((R15)*1E-6))^m_)*SQRT(1+(m_*J15*(R15+((R15)*1E-6))^(m_-1))^2)-(E15))-((R15)+(J15*(R15)^m_)*(m_*J15*(R15)^(m_-1))-(J15*(R15)^m_)*SQRT(1+(m_*J15*(R15)^(m_-1))^2)-(E15)))</f>
        <v/>
      </c>
      <c r="T15">
        <f>S15-((S15)+(J15*(S15)^m_)*(m_*J15*(S15)^(m_-1))-(J15*(S15)^m_)*SQRT(1+(m_*J15*(S15)^(m_-1))^2)-(E15))*((S15)*1E-6)/(((S15+((S15)*1E-6))+(J15*(S15+((S15)*1E-6))^m_)*(m_*J15*(S15+((S15)*1E-6))^(m_-1))-(J15*(S15+((S15)*1E-6))^m_)*SQRT(1+(m_*J15*(S15+((S15)*1E-6))^(m_-1))^2)-(E15))-((S15)+(J15*(S15)^m_)*(m_*J15*(S15)^(m_-1))-(J15*(S15)^m_)*SQRT(1+(m_*J15*(S15)^(m_-1))^2)-(E15)))</f>
        <v/>
      </c>
      <c r="U15">
        <f>J15*T15^m_</f>
        <v/>
      </c>
      <c r="V15">
        <f>m_*J15*T15^(m_-1)</f>
        <v/>
      </c>
      <c r="W15">
        <f>U15*SQRT(1+V15^2)</f>
        <v/>
      </c>
      <c r="X15">
        <f>2*W15</f>
        <v/>
      </c>
      <c r="Y15">
        <f>LN(X15)-LN(G15)</f>
        <v/>
      </c>
      <c r="Z15">
        <f>Y15^2</f>
        <v/>
      </c>
    </row>
    <row r="16">
      <c r="A16" t="inlineStr">
        <is>
          <t>W2022</t>
        </is>
      </c>
      <c r="B16" t="inlineStr">
        <is>
          <t>HF-0.15m-Golder</t>
        </is>
      </c>
      <c r="C16" t="inlineStr">
        <is>
          <t>TX</t>
        </is>
      </c>
      <c r="D16" t="n">
        <v>0.3330255102040818</v>
      </c>
      <c r="E16" t="n">
        <v>0.977</v>
      </c>
      <c r="F16" t="n">
        <v>5.076</v>
      </c>
      <c r="G16">
        <f>F16-E16</f>
        <v/>
      </c>
      <c r="J16">
        <f>TAN(RADIANS(pe0-omega*D16))*sref^(1-m_)</f>
        <v/>
      </c>
      <c r="K16">
        <f>2*E16-((2*E16)+(J16*(2*E16)^m_)*(m_*J16*(2*E16)^(m_-1))-(J16*(2*E16)^m_)*SQRT(1+(m_*J16*(2*E16)^(m_-1))^2)-(E16))*((2*E16)*1E-6)/(((2*E16+((2*E16)*1E-6))+(J16*(2*E16+((2*E16)*1E-6))^m_)*(m_*J16*(2*E16+((2*E16)*1E-6))^(m_-1))-(J16*(2*E16+((2*E16)*1E-6))^m_)*SQRT(1+(m_*J16*(2*E16+((2*E16)*1E-6))^(m_-1))^2)-(E16))-((2*E16)+(J16*(2*E16)^m_)*(m_*J16*(2*E16)^(m_-1))-(J16*(2*E16)^m_)*SQRT(1+(m_*J16*(2*E16)^(m_-1))^2)-(E16)))</f>
        <v/>
      </c>
      <c r="L16">
        <f>K16-((K16)+(J16*(K16)^m_)*(m_*J16*(K16)^(m_-1))-(J16*(K16)^m_)*SQRT(1+(m_*J16*(K16)^(m_-1))^2)-(E16))*((K16)*1E-6)/(((K16+((K16)*1E-6))+(J16*(K16+((K16)*1E-6))^m_)*(m_*J16*(K16+((K16)*1E-6))^(m_-1))-(J16*(K16+((K16)*1E-6))^m_)*SQRT(1+(m_*J16*(K16+((K16)*1E-6))^(m_-1))^2)-(E16))-((K16)+(J16*(K16)^m_)*(m_*J16*(K16)^(m_-1))-(J16*(K16)^m_)*SQRT(1+(m_*J16*(K16)^(m_-1))^2)-(E16)))</f>
        <v/>
      </c>
      <c r="M16">
        <f>L16-((L16)+(J16*(L16)^m_)*(m_*J16*(L16)^(m_-1))-(J16*(L16)^m_)*SQRT(1+(m_*J16*(L16)^(m_-1))^2)-(E16))*((L16)*1E-6)/(((L16+((L16)*1E-6))+(J16*(L16+((L16)*1E-6))^m_)*(m_*J16*(L16+((L16)*1E-6))^(m_-1))-(J16*(L16+((L16)*1E-6))^m_)*SQRT(1+(m_*J16*(L16+((L16)*1E-6))^(m_-1))^2)-(E16))-((L16)+(J16*(L16)^m_)*(m_*J16*(L16)^(m_-1))-(J16*(L16)^m_)*SQRT(1+(m_*J16*(L16)^(m_-1))^2)-(E16)))</f>
        <v/>
      </c>
      <c r="N16">
        <f>M16-((M16)+(J16*(M16)^m_)*(m_*J16*(M16)^(m_-1))-(J16*(M16)^m_)*SQRT(1+(m_*J16*(M16)^(m_-1))^2)-(E16))*((M16)*1E-6)/(((M16+((M16)*1E-6))+(J16*(M16+((M16)*1E-6))^m_)*(m_*J16*(M16+((M16)*1E-6))^(m_-1))-(J16*(M16+((M16)*1E-6))^m_)*SQRT(1+(m_*J16*(M16+((M16)*1E-6))^(m_-1))^2)-(E16))-((M16)+(J16*(M16)^m_)*(m_*J16*(M16)^(m_-1))-(J16*(M16)^m_)*SQRT(1+(m_*J16*(M16)^(m_-1))^2)-(E16)))</f>
        <v/>
      </c>
      <c r="O16">
        <f>N16-((N16)+(J16*(N16)^m_)*(m_*J16*(N16)^(m_-1))-(J16*(N16)^m_)*SQRT(1+(m_*J16*(N16)^(m_-1))^2)-(E16))*((N16)*1E-6)/(((N16+((N16)*1E-6))+(J16*(N16+((N16)*1E-6))^m_)*(m_*J16*(N16+((N16)*1E-6))^(m_-1))-(J16*(N16+((N16)*1E-6))^m_)*SQRT(1+(m_*J16*(N16+((N16)*1E-6))^(m_-1))^2)-(E16))-((N16)+(J16*(N16)^m_)*(m_*J16*(N16)^(m_-1))-(J16*(N16)^m_)*SQRT(1+(m_*J16*(N16)^(m_-1))^2)-(E16)))</f>
        <v/>
      </c>
      <c r="P16">
        <f>O16-((O16)+(J16*(O16)^m_)*(m_*J16*(O16)^(m_-1))-(J16*(O16)^m_)*SQRT(1+(m_*J16*(O16)^(m_-1))^2)-(E16))*((O16)*1E-6)/(((O16+((O16)*1E-6))+(J16*(O16+((O16)*1E-6))^m_)*(m_*J16*(O16+((O16)*1E-6))^(m_-1))-(J16*(O16+((O16)*1E-6))^m_)*SQRT(1+(m_*J16*(O16+((O16)*1E-6))^(m_-1))^2)-(E16))-((O16)+(J16*(O16)^m_)*(m_*J16*(O16)^(m_-1))-(J16*(O16)^m_)*SQRT(1+(m_*J16*(O16)^(m_-1))^2)-(E16)))</f>
        <v/>
      </c>
      <c r="Q16">
        <f>P16-((P16)+(J16*(P16)^m_)*(m_*J16*(P16)^(m_-1))-(J16*(P16)^m_)*SQRT(1+(m_*J16*(P16)^(m_-1))^2)-(E16))*((P16)*1E-6)/(((P16+((P16)*1E-6))+(J16*(P16+((P16)*1E-6))^m_)*(m_*J16*(P16+((P16)*1E-6))^(m_-1))-(J16*(P16+((P16)*1E-6))^m_)*SQRT(1+(m_*J16*(P16+((P16)*1E-6))^(m_-1))^2)-(E16))-((P16)+(J16*(P16)^m_)*(m_*J16*(P16)^(m_-1))-(J16*(P16)^m_)*SQRT(1+(m_*J16*(P16)^(m_-1))^2)-(E16)))</f>
        <v/>
      </c>
      <c r="R16">
        <f>Q16-((Q16)+(J16*(Q16)^m_)*(m_*J16*(Q16)^(m_-1))-(J16*(Q16)^m_)*SQRT(1+(m_*J16*(Q16)^(m_-1))^2)-(E16))*((Q16)*1E-6)/(((Q16+((Q16)*1E-6))+(J16*(Q16+((Q16)*1E-6))^m_)*(m_*J16*(Q16+((Q16)*1E-6))^(m_-1))-(J16*(Q16+((Q16)*1E-6))^m_)*SQRT(1+(m_*J16*(Q16+((Q16)*1E-6))^(m_-1))^2)-(E16))-((Q16)+(J16*(Q16)^m_)*(m_*J16*(Q16)^(m_-1))-(J16*(Q16)^m_)*SQRT(1+(m_*J16*(Q16)^(m_-1))^2)-(E16)))</f>
        <v/>
      </c>
      <c r="S16">
        <f>R16-((R16)+(J16*(R16)^m_)*(m_*J16*(R16)^(m_-1))-(J16*(R16)^m_)*SQRT(1+(m_*J16*(R16)^(m_-1))^2)-(E16))*((R16)*1E-6)/(((R16+((R16)*1E-6))+(J16*(R16+((R16)*1E-6))^m_)*(m_*J16*(R16+((R16)*1E-6))^(m_-1))-(J16*(R16+((R16)*1E-6))^m_)*SQRT(1+(m_*J16*(R16+((R16)*1E-6))^(m_-1))^2)-(E16))-((R16)+(J16*(R16)^m_)*(m_*J16*(R16)^(m_-1))-(J16*(R16)^m_)*SQRT(1+(m_*J16*(R16)^(m_-1))^2)-(E16)))</f>
        <v/>
      </c>
      <c r="T16">
        <f>S16-((S16)+(J16*(S16)^m_)*(m_*J16*(S16)^(m_-1))-(J16*(S16)^m_)*SQRT(1+(m_*J16*(S16)^(m_-1))^2)-(E16))*((S16)*1E-6)/(((S16+((S16)*1E-6))+(J16*(S16+((S16)*1E-6))^m_)*(m_*J16*(S16+((S16)*1E-6))^(m_-1))-(J16*(S16+((S16)*1E-6))^m_)*SQRT(1+(m_*J16*(S16+((S16)*1E-6))^(m_-1))^2)-(E16))-((S16)+(J16*(S16)^m_)*(m_*J16*(S16)^(m_-1))-(J16*(S16)^m_)*SQRT(1+(m_*J16*(S16)^(m_-1))^2)-(E16)))</f>
        <v/>
      </c>
      <c r="U16">
        <f>J16*T16^m_</f>
        <v/>
      </c>
      <c r="V16">
        <f>m_*J16*T16^(m_-1)</f>
        <v/>
      </c>
      <c r="W16">
        <f>U16*SQRT(1+V16^2)</f>
        <v/>
      </c>
      <c r="X16">
        <f>2*W16</f>
        <v/>
      </c>
      <c r="Y16">
        <f>LN(X16)-LN(G16)</f>
        <v/>
      </c>
      <c r="Z16">
        <f>Y16^2</f>
        <v/>
      </c>
    </row>
    <row r="17">
      <c r="A17" t="inlineStr">
        <is>
          <t>W2022</t>
        </is>
      </c>
      <c r="B17" t="inlineStr">
        <is>
          <t>MN-0.15m-Golder</t>
        </is>
      </c>
      <c r="C17" t="inlineStr">
        <is>
          <t>TX</t>
        </is>
      </c>
      <c r="D17" t="n">
        <v>0.326782032400589</v>
      </c>
      <c r="E17" t="n">
        <v>0.982</v>
      </c>
      <c r="F17" t="n">
        <v>4.805</v>
      </c>
      <c r="G17">
        <f>F17-E17</f>
        <v/>
      </c>
      <c r="J17">
        <f>TAN(RADIANS(pe0-omega*D17))*sref^(1-m_)</f>
        <v/>
      </c>
      <c r="K17">
        <f>2*E17-((2*E17)+(J17*(2*E17)^m_)*(m_*J17*(2*E17)^(m_-1))-(J17*(2*E17)^m_)*SQRT(1+(m_*J17*(2*E17)^(m_-1))^2)-(E17))*((2*E17)*1E-6)/(((2*E17+((2*E17)*1E-6))+(J17*(2*E17+((2*E17)*1E-6))^m_)*(m_*J17*(2*E17+((2*E17)*1E-6))^(m_-1))-(J17*(2*E17+((2*E17)*1E-6))^m_)*SQRT(1+(m_*J17*(2*E17+((2*E17)*1E-6))^(m_-1))^2)-(E17))-((2*E17)+(J17*(2*E17)^m_)*(m_*J17*(2*E17)^(m_-1))-(J17*(2*E17)^m_)*SQRT(1+(m_*J17*(2*E17)^(m_-1))^2)-(E17)))</f>
        <v/>
      </c>
      <c r="L17">
        <f>K17-((K17)+(J17*(K17)^m_)*(m_*J17*(K17)^(m_-1))-(J17*(K17)^m_)*SQRT(1+(m_*J17*(K17)^(m_-1))^2)-(E17))*((K17)*1E-6)/(((K17+((K17)*1E-6))+(J17*(K17+((K17)*1E-6))^m_)*(m_*J17*(K17+((K17)*1E-6))^(m_-1))-(J17*(K17+((K17)*1E-6))^m_)*SQRT(1+(m_*J17*(K17+((K17)*1E-6))^(m_-1))^2)-(E17))-((K17)+(J17*(K17)^m_)*(m_*J17*(K17)^(m_-1))-(J17*(K17)^m_)*SQRT(1+(m_*J17*(K17)^(m_-1))^2)-(E17)))</f>
        <v/>
      </c>
      <c r="M17">
        <f>L17-((L17)+(J17*(L17)^m_)*(m_*J17*(L17)^(m_-1))-(J17*(L17)^m_)*SQRT(1+(m_*J17*(L17)^(m_-1))^2)-(E17))*((L17)*1E-6)/(((L17+((L17)*1E-6))+(J17*(L17+((L17)*1E-6))^m_)*(m_*J17*(L17+((L17)*1E-6))^(m_-1))-(J17*(L17+((L17)*1E-6))^m_)*SQRT(1+(m_*J17*(L17+((L17)*1E-6))^(m_-1))^2)-(E17))-((L17)+(J17*(L17)^m_)*(m_*J17*(L17)^(m_-1))-(J17*(L17)^m_)*SQRT(1+(m_*J17*(L17)^(m_-1))^2)-(E17)))</f>
        <v/>
      </c>
      <c r="N17">
        <f>M17-((M17)+(J17*(M17)^m_)*(m_*J17*(M17)^(m_-1))-(J17*(M17)^m_)*SQRT(1+(m_*J17*(M17)^(m_-1))^2)-(E17))*((M17)*1E-6)/(((M17+((M17)*1E-6))+(J17*(M17+((M17)*1E-6))^m_)*(m_*J17*(M17+((M17)*1E-6))^(m_-1))-(J17*(M17+((M17)*1E-6))^m_)*SQRT(1+(m_*J17*(M17+((M17)*1E-6))^(m_-1))^2)-(E17))-((M17)+(J17*(M17)^m_)*(m_*J17*(M17)^(m_-1))-(J17*(M17)^m_)*SQRT(1+(m_*J17*(M17)^(m_-1))^2)-(E17)))</f>
        <v/>
      </c>
      <c r="O17">
        <f>N17-((N17)+(J17*(N17)^m_)*(m_*J17*(N17)^(m_-1))-(J17*(N17)^m_)*SQRT(1+(m_*J17*(N17)^(m_-1))^2)-(E17))*((N17)*1E-6)/(((N17+((N17)*1E-6))+(J17*(N17+((N17)*1E-6))^m_)*(m_*J17*(N17+((N17)*1E-6))^(m_-1))-(J17*(N17+((N17)*1E-6))^m_)*SQRT(1+(m_*J17*(N17+((N17)*1E-6))^(m_-1))^2)-(E17))-((N17)+(J17*(N17)^m_)*(m_*J17*(N17)^(m_-1))-(J17*(N17)^m_)*SQRT(1+(m_*J17*(N17)^(m_-1))^2)-(E17)))</f>
        <v/>
      </c>
      <c r="P17">
        <f>O17-((O17)+(J17*(O17)^m_)*(m_*J17*(O17)^(m_-1))-(J17*(O17)^m_)*SQRT(1+(m_*J17*(O17)^(m_-1))^2)-(E17))*((O17)*1E-6)/(((O17+((O17)*1E-6))+(J17*(O17+((O17)*1E-6))^m_)*(m_*J17*(O17+((O17)*1E-6))^(m_-1))-(J17*(O17+((O17)*1E-6))^m_)*SQRT(1+(m_*J17*(O17+((O17)*1E-6))^(m_-1))^2)-(E17))-((O17)+(J17*(O17)^m_)*(m_*J17*(O17)^(m_-1))-(J17*(O17)^m_)*SQRT(1+(m_*J17*(O17)^(m_-1))^2)-(E17)))</f>
        <v/>
      </c>
      <c r="Q17">
        <f>P17-((P17)+(J17*(P17)^m_)*(m_*J17*(P17)^(m_-1))-(J17*(P17)^m_)*SQRT(1+(m_*J17*(P17)^(m_-1))^2)-(E17))*((P17)*1E-6)/(((P17+((P17)*1E-6))+(J17*(P17+((P17)*1E-6))^m_)*(m_*J17*(P17+((P17)*1E-6))^(m_-1))-(J17*(P17+((P17)*1E-6))^m_)*SQRT(1+(m_*J17*(P17+((P17)*1E-6))^(m_-1))^2)-(E17))-((P17)+(J17*(P17)^m_)*(m_*J17*(P17)^(m_-1))-(J17*(P17)^m_)*SQRT(1+(m_*J17*(P17)^(m_-1))^2)-(E17)))</f>
        <v/>
      </c>
      <c r="R17">
        <f>Q17-((Q17)+(J17*(Q17)^m_)*(m_*J17*(Q17)^(m_-1))-(J17*(Q17)^m_)*SQRT(1+(m_*J17*(Q17)^(m_-1))^2)-(E17))*((Q17)*1E-6)/(((Q17+((Q17)*1E-6))+(J17*(Q17+((Q17)*1E-6))^m_)*(m_*J17*(Q17+((Q17)*1E-6))^(m_-1))-(J17*(Q17+((Q17)*1E-6))^m_)*SQRT(1+(m_*J17*(Q17+((Q17)*1E-6))^(m_-1))^2)-(E17))-((Q17)+(J17*(Q17)^m_)*(m_*J17*(Q17)^(m_-1))-(J17*(Q17)^m_)*SQRT(1+(m_*J17*(Q17)^(m_-1))^2)-(E17)))</f>
        <v/>
      </c>
      <c r="S17">
        <f>R17-((R17)+(J17*(R17)^m_)*(m_*J17*(R17)^(m_-1))-(J17*(R17)^m_)*SQRT(1+(m_*J17*(R17)^(m_-1))^2)-(E17))*((R17)*1E-6)/(((R17+((R17)*1E-6))+(J17*(R17+((R17)*1E-6))^m_)*(m_*J17*(R17+((R17)*1E-6))^(m_-1))-(J17*(R17+((R17)*1E-6))^m_)*SQRT(1+(m_*J17*(R17+((R17)*1E-6))^(m_-1))^2)-(E17))-((R17)+(J17*(R17)^m_)*(m_*J17*(R17)^(m_-1))-(J17*(R17)^m_)*SQRT(1+(m_*J17*(R17)^(m_-1))^2)-(E17)))</f>
        <v/>
      </c>
      <c r="T17">
        <f>S17-((S17)+(J17*(S17)^m_)*(m_*J17*(S17)^(m_-1))-(J17*(S17)^m_)*SQRT(1+(m_*J17*(S17)^(m_-1))^2)-(E17))*((S17)*1E-6)/(((S17+((S17)*1E-6))+(J17*(S17+((S17)*1E-6))^m_)*(m_*J17*(S17+((S17)*1E-6))^(m_-1))-(J17*(S17+((S17)*1E-6))^m_)*SQRT(1+(m_*J17*(S17+((S17)*1E-6))^(m_-1))^2)-(E17))-((S17)+(J17*(S17)^m_)*(m_*J17*(S17)^(m_-1))-(J17*(S17)^m_)*SQRT(1+(m_*J17*(S17)^(m_-1))^2)-(E17)))</f>
        <v/>
      </c>
      <c r="U17">
        <f>J17*T17^m_</f>
        <v/>
      </c>
      <c r="V17">
        <f>m_*J17*T17^(m_-1)</f>
        <v/>
      </c>
      <c r="W17">
        <f>U17*SQRT(1+V17^2)</f>
        <v/>
      </c>
      <c r="X17">
        <f>2*W17</f>
        <v/>
      </c>
      <c r="Y17">
        <f>LN(X17)-LN(G17)</f>
        <v/>
      </c>
      <c r="Z17">
        <f>Y17^2</f>
        <v/>
      </c>
    </row>
    <row r="18">
      <c r="A18" t="inlineStr">
        <is>
          <t>W2024</t>
        </is>
      </c>
      <c r="B18" t="inlineStr">
        <is>
          <t>WSP24_C4_MON</t>
        </is>
      </c>
      <c r="C18" t="inlineStr">
        <is>
          <t>TX</t>
        </is>
      </c>
      <c r="D18" t="n">
        <v>0.3540000000000001</v>
      </c>
      <c r="E18" t="n">
        <v>0.4903</v>
      </c>
      <c r="F18" t="n">
        <v>2.128</v>
      </c>
      <c r="G18">
        <f>F18-E18</f>
        <v/>
      </c>
      <c r="J18">
        <f>TAN(RADIANS(pe0-omega*D18))*sref^(1-m_)</f>
        <v/>
      </c>
      <c r="K18">
        <f>2*E18-((2*E18)+(J18*(2*E18)^m_)*(m_*J18*(2*E18)^(m_-1))-(J18*(2*E18)^m_)*SQRT(1+(m_*J18*(2*E18)^(m_-1))^2)-(E18))*((2*E18)*1E-6)/(((2*E18+((2*E18)*1E-6))+(J18*(2*E18+((2*E18)*1E-6))^m_)*(m_*J18*(2*E18+((2*E18)*1E-6))^(m_-1))-(J18*(2*E18+((2*E18)*1E-6))^m_)*SQRT(1+(m_*J18*(2*E18+((2*E18)*1E-6))^(m_-1))^2)-(E18))-((2*E18)+(J18*(2*E18)^m_)*(m_*J18*(2*E18)^(m_-1))-(J18*(2*E18)^m_)*SQRT(1+(m_*J18*(2*E18)^(m_-1))^2)-(E18)))</f>
        <v/>
      </c>
      <c r="L18">
        <f>K18-((K18)+(J18*(K18)^m_)*(m_*J18*(K18)^(m_-1))-(J18*(K18)^m_)*SQRT(1+(m_*J18*(K18)^(m_-1))^2)-(E18))*((K18)*1E-6)/(((K18+((K18)*1E-6))+(J18*(K18+((K18)*1E-6))^m_)*(m_*J18*(K18+((K18)*1E-6))^(m_-1))-(J18*(K18+((K18)*1E-6))^m_)*SQRT(1+(m_*J18*(K18+((K18)*1E-6))^(m_-1))^2)-(E18))-((K18)+(J18*(K18)^m_)*(m_*J18*(K18)^(m_-1))-(J18*(K18)^m_)*SQRT(1+(m_*J18*(K18)^(m_-1))^2)-(E18)))</f>
        <v/>
      </c>
      <c r="M18">
        <f>L18-((L18)+(J18*(L18)^m_)*(m_*J18*(L18)^(m_-1))-(J18*(L18)^m_)*SQRT(1+(m_*J18*(L18)^(m_-1))^2)-(E18))*((L18)*1E-6)/(((L18+((L18)*1E-6))+(J18*(L18+((L18)*1E-6))^m_)*(m_*J18*(L18+((L18)*1E-6))^(m_-1))-(J18*(L18+((L18)*1E-6))^m_)*SQRT(1+(m_*J18*(L18+((L18)*1E-6))^(m_-1))^2)-(E18))-((L18)+(J18*(L18)^m_)*(m_*J18*(L18)^(m_-1))-(J18*(L18)^m_)*SQRT(1+(m_*J18*(L18)^(m_-1))^2)-(E18)))</f>
        <v/>
      </c>
      <c r="N18">
        <f>M18-((M18)+(J18*(M18)^m_)*(m_*J18*(M18)^(m_-1))-(J18*(M18)^m_)*SQRT(1+(m_*J18*(M18)^(m_-1))^2)-(E18))*((M18)*1E-6)/(((M18+((M18)*1E-6))+(J18*(M18+((M18)*1E-6))^m_)*(m_*J18*(M18+((M18)*1E-6))^(m_-1))-(J18*(M18+((M18)*1E-6))^m_)*SQRT(1+(m_*J18*(M18+((M18)*1E-6))^(m_-1))^2)-(E18))-((M18)+(J18*(M18)^m_)*(m_*J18*(M18)^(m_-1))-(J18*(M18)^m_)*SQRT(1+(m_*J18*(M18)^(m_-1))^2)-(E18)))</f>
        <v/>
      </c>
      <c r="O18">
        <f>N18-((N18)+(J18*(N18)^m_)*(m_*J18*(N18)^(m_-1))-(J18*(N18)^m_)*SQRT(1+(m_*J18*(N18)^(m_-1))^2)-(E18))*((N18)*1E-6)/(((N18+((N18)*1E-6))+(J18*(N18+((N18)*1E-6))^m_)*(m_*J18*(N18+((N18)*1E-6))^(m_-1))-(J18*(N18+((N18)*1E-6))^m_)*SQRT(1+(m_*J18*(N18+((N18)*1E-6))^(m_-1))^2)-(E18))-((N18)+(J18*(N18)^m_)*(m_*J18*(N18)^(m_-1))-(J18*(N18)^m_)*SQRT(1+(m_*J18*(N18)^(m_-1))^2)-(E18)))</f>
        <v/>
      </c>
      <c r="P18">
        <f>O18-((O18)+(J18*(O18)^m_)*(m_*J18*(O18)^(m_-1))-(J18*(O18)^m_)*SQRT(1+(m_*J18*(O18)^(m_-1))^2)-(E18))*((O18)*1E-6)/(((O18+((O18)*1E-6))+(J18*(O18+((O18)*1E-6))^m_)*(m_*J18*(O18+((O18)*1E-6))^(m_-1))-(J18*(O18+((O18)*1E-6))^m_)*SQRT(1+(m_*J18*(O18+((O18)*1E-6))^(m_-1))^2)-(E18))-((O18)+(J18*(O18)^m_)*(m_*J18*(O18)^(m_-1))-(J18*(O18)^m_)*SQRT(1+(m_*J18*(O18)^(m_-1))^2)-(E18)))</f>
        <v/>
      </c>
      <c r="Q18">
        <f>P18-((P18)+(J18*(P18)^m_)*(m_*J18*(P18)^(m_-1))-(J18*(P18)^m_)*SQRT(1+(m_*J18*(P18)^(m_-1))^2)-(E18))*((P18)*1E-6)/(((P18+((P18)*1E-6))+(J18*(P18+((P18)*1E-6))^m_)*(m_*J18*(P18+((P18)*1E-6))^(m_-1))-(J18*(P18+((P18)*1E-6))^m_)*SQRT(1+(m_*J18*(P18+((P18)*1E-6))^(m_-1))^2)-(E18))-((P18)+(J18*(P18)^m_)*(m_*J18*(P18)^(m_-1))-(J18*(P18)^m_)*SQRT(1+(m_*J18*(P18)^(m_-1))^2)-(E18)))</f>
        <v/>
      </c>
      <c r="R18">
        <f>Q18-((Q18)+(J18*(Q18)^m_)*(m_*J18*(Q18)^(m_-1))-(J18*(Q18)^m_)*SQRT(1+(m_*J18*(Q18)^(m_-1))^2)-(E18))*((Q18)*1E-6)/(((Q18+((Q18)*1E-6))+(J18*(Q18+((Q18)*1E-6))^m_)*(m_*J18*(Q18+((Q18)*1E-6))^(m_-1))-(J18*(Q18+((Q18)*1E-6))^m_)*SQRT(1+(m_*J18*(Q18+((Q18)*1E-6))^(m_-1))^2)-(E18))-((Q18)+(J18*(Q18)^m_)*(m_*J18*(Q18)^(m_-1))-(J18*(Q18)^m_)*SQRT(1+(m_*J18*(Q18)^(m_-1))^2)-(E18)))</f>
        <v/>
      </c>
      <c r="S18">
        <f>R18-((R18)+(J18*(R18)^m_)*(m_*J18*(R18)^(m_-1))-(J18*(R18)^m_)*SQRT(1+(m_*J18*(R18)^(m_-1))^2)-(E18))*((R18)*1E-6)/(((R18+((R18)*1E-6))+(J18*(R18+((R18)*1E-6))^m_)*(m_*J18*(R18+((R18)*1E-6))^(m_-1))-(J18*(R18+((R18)*1E-6))^m_)*SQRT(1+(m_*J18*(R18+((R18)*1E-6))^(m_-1))^2)-(E18))-((R18)+(J18*(R18)^m_)*(m_*J18*(R18)^(m_-1))-(J18*(R18)^m_)*SQRT(1+(m_*J18*(R18)^(m_-1))^2)-(E18)))</f>
        <v/>
      </c>
      <c r="T18">
        <f>S18-((S18)+(J18*(S18)^m_)*(m_*J18*(S18)^(m_-1))-(J18*(S18)^m_)*SQRT(1+(m_*J18*(S18)^(m_-1))^2)-(E18))*((S18)*1E-6)/(((S18+((S18)*1E-6))+(J18*(S18+((S18)*1E-6))^m_)*(m_*J18*(S18+((S18)*1E-6))^(m_-1))-(J18*(S18+((S18)*1E-6))^m_)*SQRT(1+(m_*J18*(S18+((S18)*1E-6))^(m_-1))^2)-(E18))-((S18)+(J18*(S18)^m_)*(m_*J18*(S18)^(m_-1))-(J18*(S18)^m_)*SQRT(1+(m_*J18*(S18)^(m_-1))^2)-(E18)))</f>
        <v/>
      </c>
      <c r="U18">
        <f>J18*T18^m_</f>
        <v/>
      </c>
      <c r="V18">
        <f>m_*J18*T18^(m_-1)</f>
        <v/>
      </c>
      <c r="W18">
        <f>U18*SQRT(1+V18^2)</f>
        <v/>
      </c>
      <c r="X18">
        <f>2*W18</f>
        <v/>
      </c>
      <c r="Y18">
        <f>LN(X18)-LN(G18)</f>
        <v/>
      </c>
      <c r="Z18">
        <f>Y18^2</f>
        <v/>
      </c>
    </row>
    <row r="19">
      <c r="A19" t="inlineStr">
        <is>
          <t>W2024</t>
        </is>
      </c>
      <c r="B19" t="inlineStr">
        <is>
          <t>WSP24_C4_MON</t>
        </is>
      </c>
      <c r="C19" t="inlineStr">
        <is>
          <t>TX</t>
        </is>
      </c>
      <c r="D19" t="n">
        <v>0.3540000000000001</v>
      </c>
      <c r="E19" t="n">
        <v>0.9807</v>
      </c>
      <c r="F19" t="n">
        <v>4.369800000000001</v>
      </c>
      <c r="G19">
        <f>F19-E19</f>
        <v/>
      </c>
      <c r="J19">
        <f>TAN(RADIANS(pe0-omega*D19))*sref^(1-m_)</f>
        <v/>
      </c>
      <c r="K19">
        <f>2*E19-((2*E19)+(J19*(2*E19)^m_)*(m_*J19*(2*E19)^(m_-1))-(J19*(2*E19)^m_)*SQRT(1+(m_*J19*(2*E19)^(m_-1))^2)-(E19))*((2*E19)*1E-6)/(((2*E19+((2*E19)*1E-6))+(J19*(2*E19+((2*E19)*1E-6))^m_)*(m_*J19*(2*E19+((2*E19)*1E-6))^(m_-1))-(J19*(2*E19+((2*E19)*1E-6))^m_)*SQRT(1+(m_*J19*(2*E19+((2*E19)*1E-6))^(m_-1))^2)-(E19))-((2*E19)+(J19*(2*E19)^m_)*(m_*J19*(2*E19)^(m_-1))-(J19*(2*E19)^m_)*SQRT(1+(m_*J19*(2*E19)^(m_-1))^2)-(E19)))</f>
        <v/>
      </c>
      <c r="L19">
        <f>K19-((K19)+(J19*(K19)^m_)*(m_*J19*(K19)^(m_-1))-(J19*(K19)^m_)*SQRT(1+(m_*J19*(K19)^(m_-1))^2)-(E19))*((K19)*1E-6)/(((K19+((K19)*1E-6))+(J19*(K19+((K19)*1E-6))^m_)*(m_*J19*(K19+((K19)*1E-6))^(m_-1))-(J19*(K19+((K19)*1E-6))^m_)*SQRT(1+(m_*J19*(K19+((K19)*1E-6))^(m_-1))^2)-(E19))-((K19)+(J19*(K19)^m_)*(m_*J19*(K19)^(m_-1))-(J19*(K19)^m_)*SQRT(1+(m_*J19*(K19)^(m_-1))^2)-(E19)))</f>
        <v/>
      </c>
      <c r="M19">
        <f>L19-((L19)+(J19*(L19)^m_)*(m_*J19*(L19)^(m_-1))-(J19*(L19)^m_)*SQRT(1+(m_*J19*(L19)^(m_-1))^2)-(E19))*((L19)*1E-6)/(((L19+((L19)*1E-6))+(J19*(L19+((L19)*1E-6))^m_)*(m_*J19*(L19+((L19)*1E-6))^(m_-1))-(J19*(L19+((L19)*1E-6))^m_)*SQRT(1+(m_*J19*(L19+((L19)*1E-6))^(m_-1))^2)-(E19))-((L19)+(J19*(L19)^m_)*(m_*J19*(L19)^(m_-1))-(J19*(L19)^m_)*SQRT(1+(m_*J19*(L19)^(m_-1))^2)-(E19)))</f>
        <v/>
      </c>
      <c r="N19">
        <f>M19-((M19)+(J19*(M19)^m_)*(m_*J19*(M19)^(m_-1))-(J19*(M19)^m_)*SQRT(1+(m_*J19*(M19)^(m_-1))^2)-(E19))*((M19)*1E-6)/(((M19+((M19)*1E-6))+(J19*(M19+((M19)*1E-6))^m_)*(m_*J19*(M19+((M19)*1E-6))^(m_-1))-(J19*(M19+((M19)*1E-6))^m_)*SQRT(1+(m_*J19*(M19+((M19)*1E-6))^(m_-1))^2)-(E19))-((M19)+(J19*(M19)^m_)*(m_*J19*(M19)^(m_-1))-(J19*(M19)^m_)*SQRT(1+(m_*J19*(M19)^(m_-1))^2)-(E19)))</f>
        <v/>
      </c>
      <c r="O19">
        <f>N19-((N19)+(J19*(N19)^m_)*(m_*J19*(N19)^(m_-1))-(J19*(N19)^m_)*SQRT(1+(m_*J19*(N19)^(m_-1))^2)-(E19))*((N19)*1E-6)/(((N19+((N19)*1E-6))+(J19*(N19+((N19)*1E-6))^m_)*(m_*J19*(N19+((N19)*1E-6))^(m_-1))-(J19*(N19+((N19)*1E-6))^m_)*SQRT(1+(m_*J19*(N19+((N19)*1E-6))^(m_-1))^2)-(E19))-((N19)+(J19*(N19)^m_)*(m_*J19*(N19)^(m_-1))-(J19*(N19)^m_)*SQRT(1+(m_*J19*(N19)^(m_-1))^2)-(E19)))</f>
        <v/>
      </c>
      <c r="P19">
        <f>O19-((O19)+(J19*(O19)^m_)*(m_*J19*(O19)^(m_-1))-(J19*(O19)^m_)*SQRT(1+(m_*J19*(O19)^(m_-1))^2)-(E19))*((O19)*1E-6)/(((O19+((O19)*1E-6))+(J19*(O19+((O19)*1E-6))^m_)*(m_*J19*(O19+((O19)*1E-6))^(m_-1))-(J19*(O19+((O19)*1E-6))^m_)*SQRT(1+(m_*J19*(O19+((O19)*1E-6))^(m_-1))^2)-(E19))-((O19)+(J19*(O19)^m_)*(m_*J19*(O19)^(m_-1))-(J19*(O19)^m_)*SQRT(1+(m_*J19*(O19)^(m_-1))^2)-(E19)))</f>
        <v/>
      </c>
      <c r="Q19">
        <f>P19-((P19)+(J19*(P19)^m_)*(m_*J19*(P19)^(m_-1))-(J19*(P19)^m_)*SQRT(1+(m_*J19*(P19)^(m_-1))^2)-(E19))*((P19)*1E-6)/(((P19+((P19)*1E-6))+(J19*(P19+((P19)*1E-6))^m_)*(m_*J19*(P19+((P19)*1E-6))^(m_-1))-(J19*(P19+((P19)*1E-6))^m_)*SQRT(1+(m_*J19*(P19+((P19)*1E-6))^(m_-1))^2)-(E19))-((P19)+(J19*(P19)^m_)*(m_*J19*(P19)^(m_-1))-(J19*(P19)^m_)*SQRT(1+(m_*J19*(P19)^(m_-1))^2)-(E19)))</f>
        <v/>
      </c>
      <c r="R19">
        <f>Q19-((Q19)+(J19*(Q19)^m_)*(m_*J19*(Q19)^(m_-1))-(J19*(Q19)^m_)*SQRT(1+(m_*J19*(Q19)^(m_-1))^2)-(E19))*((Q19)*1E-6)/(((Q19+((Q19)*1E-6))+(J19*(Q19+((Q19)*1E-6))^m_)*(m_*J19*(Q19+((Q19)*1E-6))^(m_-1))-(J19*(Q19+((Q19)*1E-6))^m_)*SQRT(1+(m_*J19*(Q19+((Q19)*1E-6))^(m_-1))^2)-(E19))-((Q19)+(J19*(Q19)^m_)*(m_*J19*(Q19)^(m_-1))-(J19*(Q19)^m_)*SQRT(1+(m_*J19*(Q19)^(m_-1))^2)-(E19)))</f>
        <v/>
      </c>
      <c r="S19">
        <f>R19-((R19)+(J19*(R19)^m_)*(m_*J19*(R19)^(m_-1))-(J19*(R19)^m_)*SQRT(1+(m_*J19*(R19)^(m_-1))^2)-(E19))*((R19)*1E-6)/(((R19+((R19)*1E-6))+(J19*(R19+((R19)*1E-6))^m_)*(m_*J19*(R19+((R19)*1E-6))^(m_-1))-(J19*(R19+((R19)*1E-6))^m_)*SQRT(1+(m_*J19*(R19+((R19)*1E-6))^(m_-1))^2)-(E19))-((R19)+(J19*(R19)^m_)*(m_*J19*(R19)^(m_-1))-(J19*(R19)^m_)*SQRT(1+(m_*J19*(R19)^(m_-1))^2)-(E19)))</f>
        <v/>
      </c>
      <c r="T19">
        <f>S19-((S19)+(J19*(S19)^m_)*(m_*J19*(S19)^(m_-1))-(J19*(S19)^m_)*SQRT(1+(m_*J19*(S19)^(m_-1))^2)-(E19))*((S19)*1E-6)/(((S19+((S19)*1E-6))+(J19*(S19+((S19)*1E-6))^m_)*(m_*J19*(S19+((S19)*1E-6))^(m_-1))-(J19*(S19+((S19)*1E-6))^m_)*SQRT(1+(m_*J19*(S19+((S19)*1E-6))^(m_-1))^2)-(E19))-((S19)+(J19*(S19)^m_)*(m_*J19*(S19)^(m_-1))-(J19*(S19)^m_)*SQRT(1+(m_*J19*(S19)^(m_-1))^2)-(E19)))</f>
        <v/>
      </c>
      <c r="U19">
        <f>J19*T19^m_</f>
        <v/>
      </c>
      <c r="V19">
        <f>m_*J19*T19^(m_-1)</f>
        <v/>
      </c>
      <c r="W19">
        <f>U19*SQRT(1+V19^2)</f>
        <v/>
      </c>
      <c r="X19">
        <f>2*W19</f>
        <v/>
      </c>
      <c r="Y19">
        <f>LN(X19)-LN(G19)</f>
        <v/>
      </c>
      <c r="Z19">
        <f>Y19^2</f>
        <v/>
      </c>
    </row>
    <row r="20">
      <c r="A20" t="inlineStr">
        <is>
          <t>W2024</t>
        </is>
      </c>
      <c r="B20" t="inlineStr">
        <is>
          <t>WSP24_C4_MON</t>
        </is>
      </c>
      <c r="C20" t="inlineStr">
        <is>
          <t>TX</t>
        </is>
      </c>
      <c r="D20" t="n">
        <v>0.3540000000000001</v>
      </c>
      <c r="E20" t="n">
        <v>1.9613</v>
      </c>
      <c r="F20" t="n">
        <v>8.9849</v>
      </c>
      <c r="G20">
        <f>F20-E20</f>
        <v/>
      </c>
      <c r="J20">
        <f>TAN(RADIANS(pe0-omega*D20))*sref^(1-m_)</f>
        <v/>
      </c>
      <c r="K20">
        <f>2*E20-((2*E20)+(J20*(2*E20)^m_)*(m_*J20*(2*E20)^(m_-1))-(J20*(2*E20)^m_)*SQRT(1+(m_*J20*(2*E20)^(m_-1))^2)-(E20))*((2*E20)*1E-6)/(((2*E20+((2*E20)*1E-6))+(J20*(2*E20+((2*E20)*1E-6))^m_)*(m_*J20*(2*E20+((2*E20)*1E-6))^(m_-1))-(J20*(2*E20+((2*E20)*1E-6))^m_)*SQRT(1+(m_*J20*(2*E20+((2*E20)*1E-6))^(m_-1))^2)-(E20))-((2*E20)+(J20*(2*E20)^m_)*(m_*J20*(2*E20)^(m_-1))-(J20*(2*E20)^m_)*SQRT(1+(m_*J20*(2*E20)^(m_-1))^2)-(E20)))</f>
        <v/>
      </c>
      <c r="L20">
        <f>K20-((K20)+(J20*(K20)^m_)*(m_*J20*(K20)^(m_-1))-(J20*(K20)^m_)*SQRT(1+(m_*J20*(K20)^(m_-1))^2)-(E20))*((K20)*1E-6)/(((K20+((K20)*1E-6))+(J20*(K20+((K20)*1E-6))^m_)*(m_*J20*(K20+((K20)*1E-6))^(m_-1))-(J20*(K20+((K20)*1E-6))^m_)*SQRT(1+(m_*J20*(K20+((K20)*1E-6))^(m_-1))^2)-(E20))-((K20)+(J20*(K20)^m_)*(m_*J20*(K20)^(m_-1))-(J20*(K20)^m_)*SQRT(1+(m_*J20*(K20)^(m_-1))^2)-(E20)))</f>
        <v/>
      </c>
      <c r="M20">
        <f>L20-((L20)+(J20*(L20)^m_)*(m_*J20*(L20)^(m_-1))-(J20*(L20)^m_)*SQRT(1+(m_*J20*(L20)^(m_-1))^2)-(E20))*((L20)*1E-6)/(((L20+((L20)*1E-6))+(J20*(L20+((L20)*1E-6))^m_)*(m_*J20*(L20+((L20)*1E-6))^(m_-1))-(J20*(L20+((L20)*1E-6))^m_)*SQRT(1+(m_*J20*(L20+((L20)*1E-6))^(m_-1))^2)-(E20))-((L20)+(J20*(L20)^m_)*(m_*J20*(L20)^(m_-1))-(J20*(L20)^m_)*SQRT(1+(m_*J20*(L20)^(m_-1))^2)-(E20)))</f>
        <v/>
      </c>
      <c r="N20">
        <f>M20-((M20)+(J20*(M20)^m_)*(m_*J20*(M20)^(m_-1))-(J20*(M20)^m_)*SQRT(1+(m_*J20*(M20)^(m_-1))^2)-(E20))*((M20)*1E-6)/(((M20+((M20)*1E-6))+(J20*(M20+((M20)*1E-6))^m_)*(m_*J20*(M20+((M20)*1E-6))^(m_-1))-(J20*(M20+((M20)*1E-6))^m_)*SQRT(1+(m_*J20*(M20+((M20)*1E-6))^(m_-1))^2)-(E20))-((M20)+(J20*(M20)^m_)*(m_*J20*(M20)^(m_-1))-(J20*(M20)^m_)*SQRT(1+(m_*J20*(M20)^(m_-1))^2)-(E20)))</f>
        <v/>
      </c>
      <c r="O20">
        <f>N20-((N20)+(J20*(N20)^m_)*(m_*J20*(N20)^(m_-1))-(J20*(N20)^m_)*SQRT(1+(m_*J20*(N20)^(m_-1))^2)-(E20))*((N20)*1E-6)/(((N20+((N20)*1E-6))+(J20*(N20+((N20)*1E-6))^m_)*(m_*J20*(N20+((N20)*1E-6))^(m_-1))-(J20*(N20+((N20)*1E-6))^m_)*SQRT(1+(m_*J20*(N20+((N20)*1E-6))^(m_-1))^2)-(E20))-((N20)+(J20*(N20)^m_)*(m_*J20*(N20)^(m_-1))-(J20*(N20)^m_)*SQRT(1+(m_*J20*(N20)^(m_-1))^2)-(E20)))</f>
        <v/>
      </c>
      <c r="P20">
        <f>O20-((O20)+(J20*(O20)^m_)*(m_*J20*(O20)^(m_-1))-(J20*(O20)^m_)*SQRT(1+(m_*J20*(O20)^(m_-1))^2)-(E20))*((O20)*1E-6)/(((O20+((O20)*1E-6))+(J20*(O20+((O20)*1E-6))^m_)*(m_*J20*(O20+((O20)*1E-6))^(m_-1))-(J20*(O20+((O20)*1E-6))^m_)*SQRT(1+(m_*J20*(O20+((O20)*1E-6))^(m_-1))^2)-(E20))-((O20)+(J20*(O20)^m_)*(m_*J20*(O20)^(m_-1))-(J20*(O20)^m_)*SQRT(1+(m_*J20*(O20)^(m_-1))^2)-(E20)))</f>
        <v/>
      </c>
      <c r="Q20">
        <f>P20-((P20)+(J20*(P20)^m_)*(m_*J20*(P20)^(m_-1))-(J20*(P20)^m_)*SQRT(1+(m_*J20*(P20)^(m_-1))^2)-(E20))*((P20)*1E-6)/(((P20+((P20)*1E-6))+(J20*(P20+((P20)*1E-6))^m_)*(m_*J20*(P20+((P20)*1E-6))^(m_-1))-(J20*(P20+((P20)*1E-6))^m_)*SQRT(1+(m_*J20*(P20+((P20)*1E-6))^(m_-1))^2)-(E20))-((P20)+(J20*(P20)^m_)*(m_*J20*(P20)^(m_-1))-(J20*(P20)^m_)*SQRT(1+(m_*J20*(P20)^(m_-1))^2)-(E20)))</f>
        <v/>
      </c>
      <c r="R20">
        <f>Q20-((Q20)+(J20*(Q20)^m_)*(m_*J20*(Q20)^(m_-1))-(J20*(Q20)^m_)*SQRT(1+(m_*J20*(Q20)^(m_-1))^2)-(E20))*((Q20)*1E-6)/(((Q20+((Q20)*1E-6))+(J20*(Q20+((Q20)*1E-6))^m_)*(m_*J20*(Q20+((Q20)*1E-6))^(m_-1))-(J20*(Q20+((Q20)*1E-6))^m_)*SQRT(1+(m_*J20*(Q20+((Q20)*1E-6))^(m_-1))^2)-(E20))-((Q20)+(J20*(Q20)^m_)*(m_*J20*(Q20)^(m_-1))-(J20*(Q20)^m_)*SQRT(1+(m_*J20*(Q20)^(m_-1))^2)-(E20)))</f>
        <v/>
      </c>
      <c r="S20">
        <f>R20-((R20)+(J20*(R20)^m_)*(m_*J20*(R20)^(m_-1))-(J20*(R20)^m_)*SQRT(1+(m_*J20*(R20)^(m_-1))^2)-(E20))*((R20)*1E-6)/(((R20+((R20)*1E-6))+(J20*(R20+((R20)*1E-6))^m_)*(m_*J20*(R20+((R20)*1E-6))^(m_-1))-(J20*(R20+((R20)*1E-6))^m_)*SQRT(1+(m_*J20*(R20+((R20)*1E-6))^(m_-1))^2)-(E20))-((R20)+(J20*(R20)^m_)*(m_*J20*(R20)^(m_-1))-(J20*(R20)^m_)*SQRT(1+(m_*J20*(R20)^(m_-1))^2)-(E20)))</f>
        <v/>
      </c>
      <c r="T20">
        <f>S20-((S20)+(J20*(S20)^m_)*(m_*J20*(S20)^(m_-1))-(J20*(S20)^m_)*SQRT(1+(m_*J20*(S20)^(m_-1))^2)-(E20))*((S20)*1E-6)/(((S20+((S20)*1E-6))+(J20*(S20+((S20)*1E-6))^m_)*(m_*J20*(S20+((S20)*1E-6))^(m_-1))-(J20*(S20+((S20)*1E-6))^m_)*SQRT(1+(m_*J20*(S20+((S20)*1E-6))^(m_-1))^2)-(E20))-((S20)+(J20*(S20)^m_)*(m_*J20*(S20)^(m_-1))-(J20*(S20)^m_)*SQRT(1+(m_*J20*(S20)^(m_-1))^2)-(E20)))</f>
        <v/>
      </c>
      <c r="U20">
        <f>J20*T20^m_</f>
        <v/>
      </c>
      <c r="V20">
        <f>m_*J20*T20^(m_-1)</f>
        <v/>
      </c>
      <c r="W20">
        <f>U20*SQRT(1+V20^2)</f>
        <v/>
      </c>
      <c r="X20">
        <f>2*W20</f>
        <v/>
      </c>
      <c r="Y20">
        <f>LN(X20)-LN(G20)</f>
        <v/>
      </c>
      <c r="Z20">
        <f>Y20^2</f>
        <v/>
      </c>
    </row>
    <row r="21">
      <c r="A21" t="inlineStr">
        <is>
          <t>I2025</t>
        </is>
      </c>
      <c r="B21" t="inlineStr">
        <is>
          <t>Codisposal 1 (100% Intrusivo)</t>
        </is>
      </c>
      <c r="C21" t="inlineStr">
        <is>
          <t>TX</t>
        </is>
      </c>
      <c r="D21" t="n">
        <v>0.2895864077669905</v>
      </c>
      <c r="E21" t="n">
        <v>0.4903</v>
      </c>
      <c r="F21" t="n">
        <v>2.1712</v>
      </c>
      <c r="G21">
        <f>F21-E21</f>
        <v/>
      </c>
      <c r="J21">
        <f>TAN(RADIANS(pe0-omega*D21))*sref^(1-m_)</f>
        <v/>
      </c>
      <c r="K21">
        <f>2*E21-((2*E21)+(J21*(2*E21)^m_)*(m_*J21*(2*E21)^(m_-1))-(J21*(2*E21)^m_)*SQRT(1+(m_*J21*(2*E21)^(m_-1))^2)-(E21))*((2*E21)*1E-6)/(((2*E21+((2*E21)*1E-6))+(J21*(2*E21+((2*E21)*1E-6))^m_)*(m_*J21*(2*E21+((2*E21)*1E-6))^(m_-1))-(J21*(2*E21+((2*E21)*1E-6))^m_)*SQRT(1+(m_*J21*(2*E21+((2*E21)*1E-6))^(m_-1))^2)-(E21))-((2*E21)+(J21*(2*E21)^m_)*(m_*J21*(2*E21)^(m_-1))-(J21*(2*E21)^m_)*SQRT(1+(m_*J21*(2*E21)^(m_-1))^2)-(E21)))</f>
        <v/>
      </c>
      <c r="L21">
        <f>K21-((K21)+(J21*(K21)^m_)*(m_*J21*(K21)^(m_-1))-(J21*(K21)^m_)*SQRT(1+(m_*J21*(K21)^(m_-1))^2)-(E21))*((K21)*1E-6)/(((K21+((K21)*1E-6))+(J21*(K21+((K21)*1E-6))^m_)*(m_*J21*(K21+((K21)*1E-6))^(m_-1))-(J21*(K21+((K21)*1E-6))^m_)*SQRT(1+(m_*J21*(K21+((K21)*1E-6))^(m_-1))^2)-(E21))-((K21)+(J21*(K21)^m_)*(m_*J21*(K21)^(m_-1))-(J21*(K21)^m_)*SQRT(1+(m_*J21*(K21)^(m_-1))^2)-(E21)))</f>
        <v/>
      </c>
      <c r="M21">
        <f>L21-((L21)+(J21*(L21)^m_)*(m_*J21*(L21)^(m_-1))-(J21*(L21)^m_)*SQRT(1+(m_*J21*(L21)^(m_-1))^2)-(E21))*((L21)*1E-6)/(((L21+((L21)*1E-6))+(J21*(L21+((L21)*1E-6))^m_)*(m_*J21*(L21+((L21)*1E-6))^(m_-1))-(J21*(L21+((L21)*1E-6))^m_)*SQRT(1+(m_*J21*(L21+((L21)*1E-6))^(m_-1))^2)-(E21))-((L21)+(J21*(L21)^m_)*(m_*J21*(L21)^(m_-1))-(J21*(L21)^m_)*SQRT(1+(m_*J21*(L21)^(m_-1))^2)-(E21)))</f>
        <v/>
      </c>
      <c r="N21">
        <f>M21-((M21)+(J21*(M21)^m_)*(m_*J21*(M21)^(m_-1))-(J21*(M21)^m_)*SQRT(1+(m_*J21*(M21)^(m_-1))^2)-(E21))*((M21)*1E-6)/(((M21+((M21)*1E-6))+(J21*(M21+((M21)*1E-6))^m_)*(m_*J21*(M21+((M21)*1E-6))^(m_-1))-(J21*(M21+((M21)*1E-6))^m_)*SQRT(1+(m_*J21*(M21+((M21)*1E-6))^(m_-1))^2)-(E21))-((M21)+(J21*(M21)^m_)*(m_*J21*(M21)^(m_-1))-(J21*(M21)^m_)*SQRT(1+(m_*J21*(M21)^(m_-1))^2)-(E21)))</f>
        <v/>
      </c>
      <c r="O21">
        <f>N21-((N21)+(J21*(N21)^m_)*(m_*J21*(N21)^(m_-1))-(J21*(N21)^m_)*SQRT(1+(m_*J21*(N21)^(m_-1))^2)-(E21))*((N21)*1E-6)/(((N21+((N21)*1E-6))+(J21*(N21+((N21)*1E-6))^m_)*(m_*J21*(N21+((N21)*1E-6))^(m_-1))-(J21*(N21+((N21)*1E-6))^m_)*SQRT(1+(m_*J21*(N21+((N21)*1E-6))^(m_-1))^2)-(E21))-((N21)+(J21*(N21)^m_)*(m_*J21*(N21)^(m_-1))-(J21*(N21)^m_)*SQRT(1+(m_*J21*(N21)^(m_-1))^2)-(E21)))</f>
        <v/>
      </c>
      <c r="P21">
        <f>O21-((O21)+(J21*(O21)^m_)*(m_*J21*(O21)^(m_-1))-(J21*(O21)^m_)*SQRT(1+(m_*J21*(O21)^(m_-1))^2)-(E21))*((O21)*1E-6)/(((O21+((O21)*1E-6))+(J21*(O21+((O21)*1E-6))^m_)*(m_*J21*(O21+((O21)*1E-6))^(m_-1))-(J21*(O21+((O21)*1E-6))^m_)*SQRT(1+(m_*J21*(O21+((O21)*1E-6))^(m_-1))^2)-(E21))-((O21)+(J21*(O21)^m_)*(m_*J21*(O21)^(m_-1))-(J21*(O21)^m_)*SQRT(1+(m_*J21*(O21)^(m_-1))^2)-(E21)))</f>
        <v/>
      </c>
      <c r="Q21">
        <f>P21-((P21)+(J21*(P21)^m_)*(m_*J21*(P21)^(m_-1))-(J21*(P21)^m_)*SQRT(1+(m_*J21*(P21)^(m_-1))^2)-(E21))*((P21)*1E-6)/(((P21+((P21)*1E-6))+(J21*(P21+((P21)*1E-6))^m_)*(m_*J21*(P21+((P21)*1E-6))^(m_-1))-(J21*(P21+((P21)*1E-6))^m_)*SQRT(1+(m_*J21*(P21+((P21)*1E-6))^(m_-1))^2)-(E21))-((P21)+(J21*(P21)^m_)*(m_*J21*(P21)^(m_-1))-(J21*(P21)^m_)*SQRT(1+(m_*J21*(P21)^(m_-1))^2)-(E21)))</f>
        <v/>
      </c>
      <c r="R21">
        <f>Q21-((Q21)+(J21*(Q21)^m_)*(m_*J21*(Q21)^(m_-1))-(J21*(Q21)^m_)*SQRT(1+(m_*J21*(Q21)^(m_-1))^2)-(E21))*((Q21)*1E-6)/(((Q21+((Q21)*1E-6))+(J21*(Q21+((Q21)*1E-6))^m_)*(m_*J21*(Q21+((Q21)*1E-6))^(m_-1))-(J21*(Q21+((Q21)*1E-6))^m_)*SQRT(1+(m_*J21*(Q21+((Q21)*1E-6))^(m_-1))^2)-(E21))-((Q21)+(J21*(Q21)^m_)*(m_*J21*(Q21)^(m_-1))-(J21*(Q21)^m_)*SQRT(1+(m_*J21*(Q21)^(m_-1))^2)-(E21)))</f>
        <v/>
      </c>
      <c r="S21">
        <f>R21-((R21)+(J21*(R21)^m_)*(m_*J21*(R21)^(m_-1))-(J21*(R21)^m_)*SQRT(1+(m_*J21*(R21)^(m_-1))^2)-(E21))*((R21)*1E-6)/(((R21+((R21)*1E-6))+(J21*(R21+((R21)*1E-6))^m_)*(m_*J21*(R21+((R21)*1E-6))^(m_-1))-(J21*(R21+((R21)*1E-6))^m_)*SQRT(1+(m_*J21*(R21+((R21)*1E-6))^(m_-1))^2)-(E21))-((R21)+(J21*(R21)^m_)*(m_*J21*(R21)^(m_-1))-(J21*(R21)^m_)*SQRT(1+(m_*J21*(R21)^(m_-1))^2)-(E21)))</f>
        <v/>
      </c>
      <c r="T21">
        <f>S21-((S21)+(J21*(S21)^m_)*(m_*J21*(S21)^(m_-1))-(J21*(S21)^m_)*SQRT(1+(m_*J21*(S21)^(m_-1))^2)-(E21))*((S21)*1E-6)/(((S21+((S21)*1E-6))+(J21*(S21+((S21)*1E-6))^m_)*(m_*J21*(S21+((S21)*1E-6))^(m_-1))-(J21*(S21+((S21)*1E-6))^m_)*SQRT(1+(m_*J21*(S21+((S21)*1E-6))^(m_-1))^2)-(E21))-((S21)+(J21*(S21)^m_)*(m_*J21*(S21)^(m_-1))-(J21*(S21)^m_)*SQRT(1+(m_*J21*(S21)^(m_-1))^2)-(E21)))</f>
        <v/>
      </c>
      <c r="U21">
        <f>J21*T21^m_</f>
        <v/>
      </c>
      <c r="V21">
        <f>m_*J21*T21^(m_-1)</f>
        <v/>
      </c>
      <c r="W21">
        <f>U21*SQRT(1+V21^2)</f>
        <v/>
      </c>
      <c r="X21">
        <f>2*W21</f>
        <v/>
      </c>
      <c r="Y21">
        <f>LN(X21)-LN(G21)</f>
        <v/>
      </c>
      <c r="Z21">
        <f>Y21^2</f>
        <v/>
      </c>
    </row>
    <row r="22">
      <c r="A22" t="inlineStr">
        <is>
          <t>I2025</t>
        </is>
      </c>
      <c r="B22" t="inlineStr">
        <is>
          <t>Codisposal 1 (100% Intrusivo)</t>
        </is>
      </c>
      <c r="C22" t="inlineStr">
        <is>
          <t>TX</t>
        </is>
      </c>
      <c r="D22" t="n">
        <v>0.2895864077669905</v>
      </c>
      <c r="E22" t="n">
        <v>0.9807</v>
      </c>
      <c r="F22" t="n">
        <v>4.4287</v>
      </c>
      <c r="G22">
        <f>F22-E22</f>
        <v/>
      </c>
      <c r="J22">
        <f>TAN(RADIANS(pe0-omega*D22))*sref^(1-m_)</f>
        <v/>
      </c>
      <c r="K22">
        <f>2*E22-((2*E22)+(J22*(2*E22)^m_)*(m_*J22*(2*E22)^(m_-1))-(J22*(2*E22)^m_)*SQRT(1+(m_*J22*(2*E22)^(m_-1))^2)-(E22))*((2*E22)*1E-6)/(((2*E22+((2*E22)*1E-6))+(J22*(2*E22+((2*E22)*1E-6))^m_)*(m_*J22*(2*E22+((2*E22)*1E-6))^(m_-1))-(J22*(2*E22+((2*E22)*1E-6))^m_)*SQRT(1+(m_*J22*(2*E22+((2*E22)*1E-6))^(m_-1))^2)-(E22))-((2*E22)+(J22*(2*E22)^m_)*(m_*J22*(2*E22)^(m_-1))-(J22*(2*E22)^m_)*SQRT(1+(m_*J22*(2*E22)^(m_-1))^2)-(E22)))</f>
        <v/>
      </c>
      <c r="L22">
        <f>K22-((K22)+(J22*(K22)^m_)*(m_*J22*(K22)^(m_-1))-(J22*(K22)^m_)*SQRT(1+(m_*J22*(K22)^(m_-1))^2)-(E22))*((K22)*1E-6)/(((K22+((K22)*1E-6))+(J22*(K22+((K22)*1E-6))^m_)*(m_*J22*(K22+((K22)*1E-6))^(m_-1))-(J22*(K22+((K22)*1E-6))^m_)*SQRT(1+(m_*J22*(K22+((K22)*1E-6))^(m_-1))^2)-(E22))-((K22)+(J22*(K22)^m_)*(m_*J22*(K22)^(m_-1))-(J22*(K22)^m_)*SQRT(1+(m_*J22*(K22)^(m_-1))^2)-(E22)))</f>
        <v/>
      </c>
      <c r="M22">
        <f>L22-((L22)+(J22*(L22)^m_)*(m_*J22*(L22)^(m_-1))-(J22*(L22)^m_)*SQRT(1+(m_*J22*(L22)^(m_-1))^2)-(E22))*((L22)*1E-6)/(((L22+((L22)*1E-6))+(J22*(L22+((L22)*1E-6))^m_)*(m_*J22*(L22+((L22)*1E-6))^(m_-1))-(J22*(L22+((L22)*1E-6))^m_)*SQRT(1+(m_*J22*(L22+((L22)*1E-6))^(m_-1))^2)-(E22))-((L22)+(J22*(L22)^m_)*(m_*J22*(L22)^(m_-1))-(J22*(L22)^m_)*SQRT(1+(m_*J22*(L22)^(m_-1))^2)-(E22)))</f>
        <v/>
      </c>
      <c r="N22">
        <f>M22-((M22)+(J22*(M22)^m_)*(m_*J22*(M22)^(m_-1))-(J22*(M22)^m_)*SQRT(1+(m_*J22*(M22)^(m_-1))^2)-(E22))*((M22)*1E-6)/(((M22+((M22)*1E-6))+(J22*(M22+((M22)*1E-6))^m_)*(m_*J22*(M22+((M22)*1E-6))^(m_-1))-(J22*(M22+((M22)*1E-6))^m_)*SQRT(1+(m_*J22*(M22+((M22)*1E-6))^(m_-1))^2)-(E22))-((M22)+(J22*(M22)^m_)*(m_*J22*(M22)^(m_-1))-(J22*(M22)^m_)*SQRT(1+(m_*J22*(M22)^(m_-1))^2)-(E22)))</f>
        <v/>
      </c>
      <c r="O22">
        <f>N22-((N22)+(J22*(N22)^m_)*(m_*J22*(N22)^(m_-1))-(J22*(N22)^m_)*SQRT(1+(m_*J22*(N22)^(m_-1))^2)-(E22))*((N22)*1E-6)/(((N22+((N22)*1E-6))+(J22*(N22+((N22)*1E-6))^m_)*(m_*J22*(N22+((N22)*1E-6))^(m_-1))-(J22*(N22+((N22)*1E-6))^m_)*SQRT(1+(m_*J22*(N22+((N22)*1E-6))^(m_-1))^2)-(E22))-((N22)+(J22*(N22)^m_)*(m_*J22*(N22)^(m_-1))-(J22*(N22)^m_)*SQRT(1+(m_*J22*(N22)^(m_-1))^2)-(E22)))</f>
        <v/>
      </c>
      <c r="P22">
        <f>O22-((O22)+(J22*(O22)^m_)*(m_*J22*(O22)^(m_-1))-(J22*(O22)^m_)*SQRT(1+(m_*J22*(O22)^(m_-1))^2)-(E22))*((O22)*1E-6)/(((O22+((O22)*1E-6))+(J22*(O22+((O22)*1E-6))^m_)*(m_*J22*(O22+((O22)*1E-6))^(m_-1))-(J22*(O22+((O22)*1E-6))^m_)*SQRT(1+(m_*J22*(O22+((O22)*1E-6))^(m_-1))^2)-(E22))-((O22)+(J22*(O22)^m_)*(m_*J22*(O22)^(m_-1))-(J22*(O22)^m_)*SQRT(1+(m_*J22*(O22)^(m_-1))^2)-(E22)))</f>
        <v/>
      </c>
      <c r="Q22">
        <f>P22-((P22)+(J22*(P22)^m_)*(m_*J22*(P22)^(m_-1))-(J22*(P22)^m_)*SQRT(1+(m_*J22*(P22)^(m_-1))^2)-(E22))*((P22)*1E-6)/(((P22+((P22)*1E-6))+(J22*(P22+((P22)*1E-6))^m_)*(m_*J22*(P22+((P22)*1E-6))^(m_-1))-(J22*(P22+((P22)*1E-6))^m_)*SQRT(1+(m_*J22*(P22+((P22)*1E-6))^(m_-1))^2)-(E22))-((P22)+(J22*(P22)^m_)*(m_*J22*(P22)^(m_-1))-(J22*(P22)^m_)*SQRT(1+(m_*J22*(P22)^(m_-1))^2)-(E22)))</f>
        <v/>
      </c>
      <c r="R22">
        <f>Q22-((Q22)+(J22*(Q22)^m_)*(m_*J22*(Q22)^(m_-1))-(J22*(Q22)^m_)*SQRT(1+(m_*J22*(Q22)^(m_-1))^2)-(E22))*((Q22)*1E-6)/(((Q22+((Q22)*1E-6))+(J22*(Q22+((Q22)*1E-6))^m_)*(m_*J22*(Q22+((Q22)*1E-6))^(m_-1))-(J22*(Q22+((Q22)*1E-6))^m_)*SQRT(1+(m_*J22*(Q22+((Q22)*1E-6))^(m_-1))^2)-(E22))-((Q22)+(J22*(Q22)^m_)*(m_*J22*(Q22)^(m_-1))-(J22*(Q22)^m_)*SQRT(1+(m_*J22*(Q22)^(m_-1))^2)-(E22)))</f>
        <v/>
      </c>
      <c r="S22">
        <f>R22-((R22)+(J22*(R22)^m_)*(m_*J22*(R22)^(m_-1))-(J22*(R22)^m_)*SQRT(1+(m_*J22*(R22)^(m_-1))^2)-(E22))*((R22)*1E-6)/(((R22+((R22)*1E-6))+(J22*(R22+((R22)*1E-6))^m_)*(m_*J22*(R22+((R22)*1E-6))^(m_-1))-(J22*(R22+((R22)*1E-6))^m_)*SQRT(1+(m_*J22*(R22+((R22)*1E-6))^(m_-1))^2)-(E22))-((R22)+(J22*(R22)^m_)*(m_*J22*(R22)^(m_-1))-(J22*(R22)^m_)*SQRT(1+(m_*J22*(R22)^(m_-1))^2)-(E22)))</f>
        <v/>
      </c>
      <c r="T22">
        <f>S22-((S22)+(J22*(S22)^m_)*(m_*J22*(S22)^(m_-1))-(J22*(S22)^m_)*SQRT(1+(m_*J22*(S22)^(m_-1))^2)-(E22))*((S22)*1E-6)/(((S22+((S22)*1E-6))+(J22*(S22+((S22)*1E-6))^m_)*(m_*J22*(S22+((S22)*1E-6))^(m_-1))-(J22*(S22+((S22)*1E-6))^m_)*SQRT(1+(m_*J22*(S22+((S22)*1E-6))^(m_-1))^2)-(E22))-((S22)+(J22*(S22)^m_)*(m_*J22*(S22)^(m_-1))-(J22*(S22)^m_)*SQRT(1+(m_*J22*(S22)^(m_-1))^2)-(E22)))</f>
        <v/>
      </c>
      <c r="U22">
        <f>J22*T22^m_</f>
        <v/>
      </c>
      <c r="V22">
        <f>m_*J22*T22^(m_-1)</f>
        <v/>
      </c>
      <c r="W22">
        <f>U22*SQRT(1+V22^2)</f>
        <v/>
      </c>
      <c r="X22">
        <f>2*W22</f>
        <v/>
      </c>
      <c r="Y22">
        <f>LN(X22)-LN(G22)</f>
        <v/>
      </c>
      <c r="Z22">
        <f>Y22^2</f>
        <v/>
      </c>
    </row>
    <row r="23">
      <c r="A23" t="inlineStr">
        <is>
          <t>I2025</t>
        </is>
      </c>
      <c r="B23" t="inlineStr">
        <is>
          <t>Codisposal 1 (100% Intrusivo)</t>
        </is>
      </c>
      <c r="C23" t="inlineStr">
        <is>
          <t>TX</t>
        </is>
      </c>
      <c r="D23" t="n">
        <v>0.2895864077669905</v>
      </c>
      <c r="E23" t="n">
        <v>1.9613</v>
      </c>
      <c r="F23" t="n">
        <v>8.6867</v>
      </c>
      <c r="G23">
        <f>F23-E23</f>
        <v/>
      </c>
      <c r="J23">
        <f>TAN(RADIANS(pe0-omega*D23))*sref^(1-m_)</f>
        <v/>
      </c>
      <c r="K23">
        <f>2*E23-((2*E23)+(J23*(2*E23)^m_)*(m_*J23*(2*E23)^(m_-1))-(J23*(2*E23)^m_)*SQRT(1+(m_*J23*(2*E23)^(m_-1))^2)-(E23))*((2*E23)*1E-6)/(((2*E23+((2*E23)*1E-6))+(J23*(2*E23+((2*E23)*1E-6))^m_)*(m_*J23*(2*E23+((2*E23)*1E-6))^(m_-1))-(J23*(2*E23+((2*E23)*1E-6))^m_)*SQRT(1+(m_*J23*(2*E23+((2*E23)*1E-6))^(m_-1))^2)-(E23))-((2*E23)+(J23*(2*E23)^m_)*(m_*J23*(2*E23)^(m_-1))-(J23*(2*E23)^m_)*SQRT(1+(m_*J23*(2*E23)^(m_-1))^2)-(E23)))</f>
        <v/>
      </c>
      <c r="L23">
        <f>K23-((K23)+(J23*(K23)^m_)*(m_*J23*(K23)^(m_-1))-(J23*(K23)^m_)*SQRT(1+(m_*J23*(K23)^(m_-1))^2)-(E23))*((K23)*1E-6)/(((K23+((K23)*1E-6))+(J23*(K23+((K23)*1E-6))^m_)*(m_*J23*(K23+((K23)*1E-6))^(m_-1))-(J23*(K23+((K23)*1E-6))^m_)*SQRT(1+(m_*J23*(K23+((K23)*1E-6))^(m_-1))^2)-(E23))-((K23)+(J23*(K23)^m_)*(m_*J23*(K23)^(m_-1))-(J23*(K23)^m_)*SQRT(1+(m_*J23*(K23)^(m_-1))^2)-(E23)))</f>
        <v/>
      </c>
      <c r="M23">
        <f>L23-((L23)+(J23*(L23)^m_)*(m_*J23*(L23)^(m_-1))-(J23*(L23)^m_)*SQRT(1+(m_*J23*(L23)^(m_-1))^2)-(E23))*((L23)*1E-6)/(((L23+((L23)*1E-6))+(J23*(L23+((L23)*1E-6))^m_)*(m_*J23*(L23+((L23)*1E-6))^(m_-1))-(J23*(L23+((L23)*1E-6))^m_)*SQRT(1+(m_*J23*(L23+((L23)*1E-6))^(m_-1))^2)-(E23))-((L23)+(J23*(L23)^m_)*(m_*J23*(L23)^(m_-1))-(J23*(L23)^m_)*SQRT(1+(m_*J23*(L23)^(m_-1))^2)-(E23)))</f>
        <v/>
      </c>
      <c r="N23">
        <f>M23-((M23)+(J23*(M23)^m_)*(m_*J23*(M23)^(m_-1))-(J23*(M23)^m_)*SQRT(1+(m_*J23*(M23)^(m_-1))^2)-(E23))*((M23)*1E-6)/(((M23+((M23)*1E-6))+(J23*(M23+((M23)*1E-6))^m_)*(m_*J23*(M23+((M23)*1E-6))^(m_-1))-(J23*(M23+((M23)*1E-6))^m_)*SQRT(1+(m_*J23*(M23+((M23)*1E-6))^(m_-1))^2)-(E23))-((M23)+(J23*(M23)^m_)*(m_*J23*(M23)^(m_-1))-(J23*(M23)^m_)*SQRT(1+(m_*J23*(M23)^(m_-1))^2)-(E23)))</f>
        <v/>
      </c>
      <c r="O23">
        <f>N23-((N23)+(J23*(N23)^m_)*(m_*J23*(N23)^(m_-1))-(J23*(N23)^m_)*SQRT(1+(m_*J23*(N23)^(m_-1))^2)-(E23))*((N23)*1E-6)/(((N23+((N23)*1E-6))+(J23*(N23+((N23)*1E-6))^m_)*(m_*J23*(N23+((N23)*1E-6))^(m_-1))-(J23*(N23+((N23)*1E-6))^m_)*SQRT(1+(m_*J23*(N23+((N23)*1E-6))^(m_-1))^2)-(E23))-((N23)+(J23*(N23)^m_)*(m_*J23*(N23)^(m_-1))-(J23*(N23)^m_)*SQRT(1+(m_*J23*(N23)^(m_-1))^2)-(E23)))</f>
        <v/>
      </c>
      <c r="P23">
        <f>O23-((O23)+(J23*(O23)^m_)*(m_*J23*(O23)^(m_-1))-(J23*(O23)^m_)*SQRT(1+(m_*J23*(O23)^(m_-1))^2)-(E23))*((O23)*1E-6)/(((O23+((O23)*1E-6))+(J23*(O23+((O23)*1E-6))^m_)*(m_*J23*(O23+((O23)*1E-6))^(m_-1))-(J23*(O23+((O23)*1E-6))^m_)*SQRT(1+(m_*J23*(O23+((O23)*1E-6))^(m_-1))^2)-(E23))-((O23)+(J23*(O23)^m_)*(m_*J23*(O23)^(m_-1))-(J23*(O23)^m_)*SQRT(1+(m_*J23*(O23)^(m_-1))^2)-(E23)))</f>
        <v/>
      </c>
      <c r="Q23">
        <f>P23-((P23)+(J23*(P23)^m_)*(m_*J23*(P23)^(m_-1))-(J23*(P23)^m_)*SQRT(1+(m_*J23*(P23)^(m_-1))^2)-(E23))*((P23)*1E-6)/(((P23+((P23)*1E-6))+(J23*(P23+((P23)*1E-6))^m_)*(m_*J23*(P23+((P23)*1E-6))^(m_-1))-(J23*(P23+((P23)*1E-6))^m_)*SQRT(1+(m_*J23*(P23+((P23)*1E-6))^(m_-1))^2)-(E23))-((P23)+(J23*(P23)^m_)*(m_*J23*(P23)^(m_-1))-(J23*(P23)^m_)*SQRT(1+(m_*J23*(P23)^(m_-1))^2)-(E23)))</f>
        <v/>
      </c>
      <c r="R23">
        <f>Q23-((Q23)+(J23*(Q23)^m_)*(m_*J23*(Q23)^(m_-1))-(J23*(Q23)^m_)*SQRT(1+(m_*J23*(Q23)^(m_-1))^2)-(E23))*((Q23)*1E-6)/(((Q23+((Q23)*1E-6))+(J23*(Q23+((Q23)*1E-6))^m_)*(m_*J23*(Q23+((Q23)*1E-6))^(m_-1))-(J23*(Q23+((Q23)*1E-6))^m_)*SQRT(1+(m_*J23*(Q23+((Q23)*1E-6))^(m_-1))^2)-(E23))-((Q23)+(J23*(Q23)^m_)*(m_*J23*(Q23)^(m_-1))-(J23*(Q23)^m_)*SQRT(1+(m_*J23*(Q23)^(m_-1))^2)-(E23)))</f>
        <v/>
      </c>
      <c r="S23">
        <f>R23-((R23)+(J23*(R23)^m_)*(m_*J23*(R23)^(m_-1))-(J23*(R23)^m_)*SQRT(1+(m_*J23*(R23)^(m_-1))^2)-(E23))*((R23)*1E-6)/(((R23+((R23)*1E-6))+(J23*(R23+((R23)*1E-6))^m_)*(m_*J23*(R23+((R23)*1E-6))^(m_-1))-(J23*(R23+((R23)*1E-6))^m_)*SQRT(1+(m_*J23*(R23+((R23)*1E-6))^(m_-1))^2)-(E23))-((R23)+(J23*(R23)^m_)*(m_*J23*(R23)^(m_-1))-(J23*(R23)^m_)*SQRT(1+(m_*J23*(R23)^(m_-1))^2)-(E23)))</f>
        <v/>
      </c>
      <c r="T23">
        <f>S23-((S23)+(J23*(S23)^m_)*(m_*J23*(S23)^(m_-1))-(J23*(S23)^m_)*SQRT(1+(m_*J23*(S23)^(m_-1))^2)-(E23))*((S23)*1E-6)/(((S23+((S23)*1E-6))+(J23*(S23+((S23)*1E-6))^m_)*(m_*J23*(S23+((S23)*1E-6))^(m_-1))-(J23*(S23+((S23)*1E-6))^m_)*SQRT(1+(m_*J23*(S23+((S23)*1E-6))^(m_-1))^2)-(E23))-((S23)+(J23*(S23)^m_)*(m_*J23*(S23)^(m_-1))-(J23*(S23)^m_)*SQRT(1+(m_*J23*(S23)^(m_-1))^2)-(E23)))</f>
        <v/>
      </c>
      <c r="U23">
        <f>J23*T23^m_</f>
        <v/>
      </c>
      <c r="V23">
        <f>m_*J23*T23^(m_-1)</f>
        <v/>
      </c>
      <c r="W23">
        <f>U23*SQRT(1+V23^2)</f>
        <v/>
      </c>
      <c r="X23">
        <f>2*W23</f>
        <v/>
      </c>
      <c r="Y23">
        <f>LN(X23)-LN(G23)</f>
        <v/>
      </c>
      <c r="Z23">
        <f>Y23^2</f>
        <v/>
      </c>
    </row>
    <row r="24">
      <c r="A24" t="inlineStr">
        <is>
          <t>A2024DS</t>
        </is>
      </c>
      <c r="B24" t="inlineStr">
        <is>
          <t>Ruma 02</t>
        </is>
      </c>
      <c r="C24" t="inlineStr">
        <is>
          <t>DS</t>
        </is>
      </c>
      <c r="D24" t="n">
        <v>0.3316666666666665</v>
      </c>
      <c r="H24" t="n">
        <v>0.3</v>
      </c>
      <c r="I24" t="n">
        <v>0.2557</v>
      </c>
      <c r="J24">
        <f>TAN(RADIANS(pe0-omega*D24))*sref^(1-m_)</f>
        <v/>
      </c>
      <c r="U24">
        <f>J24*H24^m_</f>
        <v/>
      </c>
      <c r="Y24">
        <f>c_ds*(LN(U24)-LN(I24))</f>
        <v/>
      </c>
      <c r="Z24">
        <f>Y24^2</f>
        <v/>
      </c>
    </row>
    <row r="25">
      <c r="A25" t="inlineStr">
        <is>
          <t>A2024DS</t>
        </is>
      </c>
      <c r="B25" t="inlineStr">
        <is>
          <t>Ruma 02</t>
        </is>
      </c>
      <c r="C25" t="inlineStr">
        <is>
          <t>DS</t>
        </is>
      </c>
      <c r="D25" t="n">
        <v>0.3316666666666665</v>
      </c>
      <c r="H25" t="n">
        <v>0.6</v>
      </c>
      <c r="I25" t="n">
        <v>0.4761</v>
      </c>
      <c r="J25">
        <f>TAN(RADIANS(pe0-omega*D25))*sref^(1-m_)</f>
        <v/>
      </c>
      <c r="U25">
        <f>J25*H25^m_</f>
        <v/>
      </c>
      <c r="Y25">
        <f>c_ds*(LN(U25)-LN(I25))</f>
        <v/>
      </c>
      <c r="Z25">
        <f>Y25^2</f>
        <v/>
      </c>
    </row>
    <row r="26">
      <c r="A26" t="inlineStr">
        <is>
          <t>A2024DS</t>
        </is>
      </c>
      <c r="B26" t="inlineStr">
        <is>
          <t>Ruma 02</t>
        </is>
      </c>
      <c r="C26" t="inlineStr">
        <is>
          <t>DS</t>
        </is>
      </c>
      <c r="D26" t="n">
        <v>0.3316666666666665</v>
      </c>
      <c r="H26" t="n">
        <v>1.2</v>
      </c>
      <c r="I26" t="n">
        <v>0.9981</v>
      </c>
      <c r="J26">
        <f>TAN(RADIANS(pe0-omega*D26))*sref^(1-m_)</f>
        <v/>
      </c>
      <c r="U26">
        <f>J26*H26^m_</f>
        <v/>
      </c>
      <c r="Y26">
        <f>c_ds*(LN(U26)-LN(I26))</f>
        <v/>
      </c>
      <c r="Z26">
        <f>Y26^2</f>
        <v/>
      </c>
    </row>
    <row r="27">
      <c r="A27" t="inlineStr">
        <is>
          <t>A2024DS</t>
        </is>
      </c>
      <c r="B27" t="inlineStr">
        <is>
          <t>Ruma 03 / Fase 10 A</t>
        </is>
      </c>
      <c r="C27" t="inlineStr">
        <is>
          <t>DS</t>
        </is>
      </c>
      <c r="D27" t="n">
        <v>0.4096824570536179</v>
      </c>
      <c r="H27" t="n">
        <v>0.3</v>
      </c>
      <c r="I27" t="n">
        <v>0.2281</v>
      </c>
      <c r="J27">
        <f>TAN(RADIANS(pe0-omega*D27))*sref^(1-m_)</f>
        <v/>
      </c>
      <c r="U27">
        <f>J27*H27^m_</f>
        <v/>
      </c>
      <c r="Y27">
        <f>c_ds*(LN(U27)-LN(I27))</f>
        <v/>
      </c>
      <c r="Z27">
        <f>Y27^2</f>
        <v/>
      </c>
    </row>
    <row r="28">
      <c r="A28" t="inlineStr">
        <is>
          <t>A2024DS</t>
        </is>
      </c>
      <c r="B28" t="inlineStr">
        <is>
          <t>Ruma 03 / Fase 10 A</t>
        </is>
      </c>
      <c r="C28" t="inlineStr">
        <is>
          <t>DS</t>
        </is>
      </c>
      <c r="D28" t="n">
        <v>0.4096824570536179</v>
      </c>
      <c r="H28" t="n">
        <v>0.6</v>
      </c>
      <c r="I28" t="n">
        <v>0.4681</v>
      </c>
      <c r="J28">
        <f>TAN(RADIANS(pe0-omega*D28))*sref^(1-m_)</f>
        <v/>
      </c>
      <c r="U28">
        <f>J28*H28^m_</f>
        <v/>
      </c>
      <c r="Y28">
        <f>c_ds*(LN(U28)-LN(I28))</f>
        <v/>
      </c>
      <c r="Z28">
        <f>Y28^2</f>
        <v/>
      </c>
    </row>
    <row r="29">
      <c r="A29" t="inlineStr">
        <is>
          <t>A2024DS</t>
        </is>
      </c>
      <c r="B29" t="inlineStr">
        <is>
          <t>Ruma 03 / Fase 10 A</t>
        </is>
      </c>
      <c r="C29" t="inlineStr">
        <is>
          <t>DS</t>
        </is>
      </c>
      <c r="D29" t="n">
        <v>0.4096824570536179</v>
      </c>
      <c r="H29" t="n">
        <v>1.2</v>
      </c>
      <c r="I29" t="n">
        <v>0.9451000000000001</v>
      </c>
      <c r="J29">
        <f>TAN(RADIANS(pe0-omega*D29))*sref^(1-m_)</f>
        <v/>
      </c>
      <c r="U29">
        <f>J29*H29^m_</f>
        <v/>
      </c>
      <c r="Y29">
        <f>c_ds*(LN(U29)-LN(I29))</f>
        <v/>
      </c>
      <c r="Z29">
        <f>Y29^2</f>
        <v/>
      </c>
    </row>
    <row r="30">
      <c r="A30" t="inlineStr">
        <is>
          <t>A2024DS</t>
        </is>
      </c>
      <c r="B30" t="inlineStr">
        <is>
          <t>Ruma 01</t>
        </is>
      </c>
      <c r="C30" t="inlineStr">
        <is>
          <t>DS</t>
        </is>
      </c>
      <c r="D30" t="n">
        <v>0.2620247366010078</v>
      </c>
      <c r="H30" t="n">
        <v>0.3</v>
      </c>
      <c r="I30" t="n">
        <v>0.2195</v>
      </c>
      <c r="J30">
        <f>TAN(RADIANS(pe0-omega*D30))*sref^(1-m_)</f>
        <v/>
      </c>
      <c r="U30">
        <f>J30*H30^m_</f>
        <v/>
      </c>
      <c r="Y30">
        <f>c_ds*(LN(U30)-LN(I30))</f>
        <v/>
      </c>
      <c r="Z30">
        <f>Y30^2</f>
        <v/>
      </c>
    </row>
    <row r="31">
      <c r="A31" t="inlineStr">
        <is>
          <t>A2024DS</t>
        </is>
      </c>
      <c r="B31" t="inlineStr">
        <is>
          <t>Ruma 01</t>
        </is>
      </c>
      <c r="C31" t="inlineStr">
        <is>
          <t>DS</t>
        </is>
      </c>
      <c r="D31" t="n">
        <v>0.2620247366010078</v>
      </c>
      <c r="H31" t="n">
        <v>0.6</v>
      </c>
      <c r="I31" t="n">
        <v>0.4695</v>
      </c>
      <c r="J31">
        <f>TAN(RADIANS(pe0-omega*D31))*sref^(1-m_)</f>
        <v/>
      </c>
      <c r="U31">
        <f>J31*H31^m_</f>
        <v/>
      </c>
      <c r="Y31">
        <f>c_ds*(LN(U31)-LN(I31))</f>
        <v/>
      </c>
      <c r="Z31">
        <f>Y31^2</f>
        <v/>
      </c>
    </row>
    <row r="32">
      <c r="A32" t="inlineStr">
        <is>
          <t>A2024DS</t>
        </is>
      </c>
      <c r="B32" t="inlineStr">
        <is>
          <t>Ruma 01</t>
        </is>
      </c>
      <c r="C32" t="inlineStr">
        <is>
          <t>DS</t>
        </is>
      </c>
      <c r="D32" t="n">
        <v>0.2620247366010078</v>
      </c>
      <c r="H32" t="n">
        <v>1.2</v>
      </c>
      <c r="I32" t="n">
        <v>0.9843</v>
      </c>
      <c r="J32">
        <f>TAN(RADIANS(pe0-omega*D32))*sref^(1-m_)</f>
        <v/>
      </c>
      <c r="U32">
        <f>J32*H32^m_</f>
        <v/>
      </c>
      <c r="Y32">
        <f>c_ds*(LN(U32)-LN(I32))</f>
        <v/>
      </c>
      <c r="Z32">
        <f>Y32^2</f>
        <v/>
      </c>
    </row>
    <row r="33">
      <c r="A33" t="inlineStr">
        <is>
          <t>A2024DS</t>
        </is>
      </c>
      <c r="B33" t="inlineStr">
        <is>
          <t>Pila 01 (Mármol + Hornfels)</t>
        </is>
      </c>
      <c r="C33" t="inlineStr">
        <is>
          <t>DS</t>
        </is>
      </c>
      <c r="D33" t="n">
        <v>0.3255730659025788</v>
      </c>
      <c r="H33" t="n">
        <v>0.3</v>
      </c>
      <c r="I33" t="n">
        <v>0.3563</v>
      </c>
      <c r="J33">
        <f>TAN(RADIANS(pe0-omega*D33))*sref^(1-m_)</f>
        <v/>
      </c>
      <c r="U33">
        <f>J33*H33^m_</f>
        <v/>
      </c>
      <c r="Y33">
        <f>c_ds*(LN(U33)-LN(I33))</f>
        <v/>
      </c>
      <c r="Z33">
        <f>Y33^2</f>
        <v/>
      </c>
    </row>
    <row r="34">
      <c r="A34" t="inlineStr">
        <is>
          <t>A2024DS</t>
        </is>
      </c>
      <c r="B34" t="inlineStr">
        <is>
          <t>Pila 01 (Mármol + Hornfels)</t>
        </is>
      </c>
      <c r="C34" t="inlineStr">
        <is>
          <t>DS</t>
        </is>
      </c>
      <c r="D34" t="n">
        <v>0.3255730659025788</v>
      </c>
      <c r="H34" t="n">
        <v>0.6</v>
      </c>
      <c r="I34" t="n">
        <v>0.6253</v>
      </c>
      <c r="J34">
        <f>TAN(RADIANS(pe0-omega*D34))*sref^(1-m_)</f>
        <v/>
      </c>
      <c r="U34">
        <f>J34*H34^m_</f>
        <v/>
      </c>
      <c r="Y34">
        <f>c_ds*(LN(U34)-LN(I34))</f>
        <v/>
      </c>
      <c r="Z34">
        <f>Y34^2</f>
        <v/>
      </c>
    </row>
    <row r="35">
      <c r="A35" t="inlineStr">
        <is>
          <t>A2024DS</t>
        </is>
      </c>
      <c r="B35" t="inlineStr">
        <is>
          <t>Pila 01 (Mármol + Hornfels)</t>
        </is>
      </c>
      <c r="C35" t="inlineStr">
        <is>
          <t>DS</t>
        </is>
      </c>
      <c r="D35" t="n">
        <v>0.3255730659025788</v>
      </c>
      <c r="H35" t="n">
        <v>1</v>
      </c>
      <c r="I35" t="n">
        <v>0.9473</v>
      </c>
      <c r="J35">
        <f>TAN(RADIANS(pe0-omega*D35))*sref^(1-m_)</f>
        <v/>
      </c>
      <c r="U35">
        <f>J35*H35^m_</f>
        <v/>
      </c>
      <c r="Y35">
        <f>c_ds*(LN(U35)-LN(I35))</f>
        <v/>
      </c>
      <c r="Z35">
        <f>Y35^2</f>
        <v/>
      </c>
    </row>
    <row r="36">
      <c r="A36" t="inlineStr">
        <is>
          <t>A2024DS</t>
        </is>
      </c>
      <c r="B36" t="inlineStr">
        <is>
          <t>Pila 02 (Intrusivo)</t>
        </is>
      </c>
      <c r="C36" t="inlineStr">
        <is>
          <t>DS</t>
        </is>
      </c>
      <c r="D36" t="n">
        <v>0.478973238667395</v>
      </c>
      <c r="H36" t="n">
        <v>0.3</v>
      </c>
      <c r="I36" t="n">
        <v>0.3539</v>
      </c>
      <c r="J36">
        <f>TAN(RADIANS(pe0-omega*D36))*sref^(1-m_)</f>
        <v/>
      </c>
      <c r="U36">
        <f>J36*H36^m_</f>
        <v/>
      </c>
      <c r="Y36">
        <f>c_ds*(LN(U36)-LN(I36))</f>
        <v/>
      </c>
      <c r="Z36">
        <f>Y36^2</f>
        <v/>
      </c>
    </row>
    <row r="37">
      <c r="A37" t="inlineStr">
        <is>
          <t>A2024DS</t>
        </is>
      </c>
      <c r="B37" t="inlineStr">
        <is>
          <t>Pila 02 (Intrusivo)</t>
        </is>
      </c>
      <c r="C37" t="inlineStr">
        <is>
          <t>DS</t>
        </is>
      </c>
      <c r="D37" t="n">
        <v>0.478973238667395</v>
      </c>
      <c r="H37" t="n">
        <v>0.6</v>
      </c>
      <c r="I37" t="n">
        <v>0.6337</v>
      </c>
      <c r="J37">
        <f>TAN(RADIANS(pe0-omega*D37))*sref^(1-m_)</f>
        <v/>
      </c>
      <c r="U37">
        <f>J37*H37^m_</f>
        <v/>
      </c>
      <c r="Y37">
        <f>c_ds*(LN(U37)-LN(I37))</f>
        <v/>
      </c>
      <c r="Z37">
        <f>Y37^2</f>
        <v/>
      </c>
    </row>
    <row r="38">
      <c r="A38" t="inlineStr">
        <is>
          <t>A2024DS</t>
        </is>
      </c>
      <c r="B38" t="inlineStr">
        <is>
          <t>Pila 02 (Intrusivo)</t>
        </is>
      </c>
      <c r="C38" t="inlineStr">
        <is>
          <t>DS</t>
        </is>
      </c>
      <c r="D38" t="n">
        <v>0.478973238667395</v>
      </c>
      <c r="H38" t="n">
        <v>1.2</v>
      </c>
      <c r="I38" t="n">
        <v>1.0192</v>
      </c>
      <c r="J38">
        <f>TAN(RADIANS(pe0-omega*D38))*sref^(1-m_)</f>
        <v/>
      </c>
      <c r="U38">
        <f>J38*H38^m_</f>
        <v/>
      </c>
      <c r="Y38">
        <f>c_ds*(LN(U38)-LN(I38))</f>
        <v/>
      </c>
      <c r="Z38">
        <f>Y38^2</f>
        <v/>
      </c>
    </row>
    <row r="40">
      <c r="Y40" t="inlineStr">
        <is>
          <t>SSE</t>
        </is>
      </c>
      <c r="Z40" s="4">
        <f>SUM(Z2:Z38)</f>
        <v/>
      </c>
    </row>
    <row r="41">
      <c r="A41" t="inlineStr">
        <is>
          <t>Control: ajuste global por mínimos cuadrados (Solver: minimizar Z40 cambiando Parametros!$B$2). La curva propuesta no usa este estimador sino la media por set (hoja phi1_vs_e, a33).</t>
        </is>
      </c>
    </row>
    <row r="42">
      <c r="A42" t="inlineStr">
        <is>
          <t>Tangencia: σ′3 = σ′n + τ·tan φ′t − τ·√(1 + tan² φ′t) (círculo de Mohr tangente a la curva), resuelta con 10 pasos de Newton; q = 2R, R = τ·√(1 + tan² φ′t).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0" customWidth="1" min="3" max="3"/>
    <col width="10" customWidth="1" min="4" max="4"/>
    <col width="10" customWidth="1" min="5" max="5"/>
    <col width="14" customWidth="1" min="6" max="6"/>
    <col width="10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>
      <c r="A1" s="1" t="inlineStr">
        <is>
          <t>σ′3 (MPa)</t>
        </is>
      </c>
      <c r="B1" s="1" t="inlineStr">
        <is>
          <t>σ′n tangencia (MPa)</t>
        </is>
      </c>
      <c r="C1" s="1" t="inlineStr">
        <is>
          <t>τ (MPa)</t>
        </is>
      </c>
      <c r="D1" s="1" t="inlineStr">
        <is>
          <t>φ′t (°)</t>
        </is>
      </c>
      <c r="E1" s="1" t="inlineStr">
        <is>
          <t>c′t (kPa)</t>
        </is>
      </c>
      <c r="F1" s="1" t="inlineStr">
        <is>
          <t>σ′1 − σ′3 (MPa)</t>
        </is>
      </c>
      <c r="G1" s="1" t="inlineStr">
        <is>
          <t>a</t>
        </is>
      </c>
      <c r="H1" s="1" t="inlineStr">
        <is>
          <t>Newton 1</t>
        </is>
      </c>
      <c r="I1" s="1" t="inlineStr">
        <is>
          <t>Newton 2</t>
        </is>
      </c>
      <c r="J1" s="1" t="inlineStr">
        <is>
          <t>Newton 3</t>
        </is>
      </c>
      <c r="K1" s="1" t="inlineStr">
        <is>
          <t>Newton 4</t>
        </is>
      </c>
      <c r="L1" s="1" t="inlineStr">
        <is>
          <t>Newton 5</t>
        </is>
      </c>
      <c r="M1" s="1" t="inlineStr">
        <is>
          <t>Newton 6</t>
        </is>
      </c>
      <c r="N1" s="1" t="inlineStr">
        <is>
          <t>Newton 7</t>
        </is>
      </c>
      <c r="O1" s="1" t="inlineStr">
        <is>
          <t>Newton 8</t>
        </is>
      </c>
      <c r="P1" s="1" t="inlineStr">
        <is>
          <t>Newton 9</t>
        </is>
      </c>
      <c r="Q1" s="1" t="inlineStr">
        <is>
          <t>Newton 10</t>
        </is>
      </c>
    </row>
    <row r="2">
      <c r="A2" t="n">
        <v>0.1</v>
      </c>
      <c r="B2">
        <f>Q2</f>
        <v/>
      </c>
      <c r="C2">
        <f>TAN(RADIANS(pe0-omega*e_base))*sref^(1-m_)*B2^m_</f>
        <v/>
      </c>
      <c r="D2">
        <f>DEGREES(ATAN(m_*C2/B2))</f>
        <v/>
      </c>
      <c r="E2">
        <f>(1-m_)*C2*1000</f>
        <v/>
      </c>
      <c r="F2">
        <f>2*C2/COS(RADIANS(D2))</f>
        <v/>
      </c>
      <c r="G2">
        <f>TAN(RADIANS(pe0-omega*e_base))*sref^(1-m_)</f>
        <v/>
      </c>
      <c r="H2">
        <f>2*A2-((2*A2)+(G2*(2*A2)^m_)*(m_*G2*(2*A2)^(m_-1))-(G2*(2*A2)^m_)*SQRT(1+(m_*G2*(2*A2)^(m_-1))^2)-(A2))*((2*A2)*1E-6)/(((2*A2+((2*A2)*1E-6))+(G2*(2*A2+((2*A2)*1E-6))^m_)*(m_*G2*(2*A2+((2*A2)*1E-6))^(m_-1))-(G2*(2*A2+((2*A2)*1E-6))^m_)*SQRT(1+(m_*G2*(2*A2+((2*A2)*1E-6))^(m_-1))^2)-(A2))-((2*A2)+(G2*(2*A2)^m_)*(m_*G2*(2*A2)^(m_-1))-(G2*(2*A2)^m_)*SQRT(1+(m_*G2*(2*A2)^(m_-1))^2)-(A2)))</f>
        <v/>
      </c>
      <c r="I2">
        <f>H2-((H2)+(G2*(H2)^m_)*(m_*G2*(H2)^(m_-1))-(G2*(H2)^m_)*SQRT(1+(m_*G2*(H2)^(m_-1))^2)-(A2))*((H2)*1E-6)/(((H2+((H2)*1E-6))+(G2*(H2+((H2)*1E-6))^m_)*(m_*G2*(H2+((H2)*1E-6))^(m_-1))-(G2*(H2+((H2)*1E-6))^m_)*SQRT(1+(m_*G2*(H2+((H2)*1E-6))^(m_-1))^2)-(A2))-((H2)+(G2*(H2)^m_)*(m_*G2*(H2)^(m_-1))-(G2*(H2)^m_)*SQRT(1+(m_*G2*(H2)^(m_-1))^2)-(A2)))</f>
        <v/>
      </c>
      <c r="J2">
        <f>I2-((I2)+(G2*(I2)^m_)*(m_*G2*(I2)^(m_-1))-(G2*(I2)^m_)*SQRT(1+(m_*G2*(I2)^(m_-1))^2)-(A2))*((I2)*1E-6)/(((I2+((I2)*1E-6))+(G2*(I2+((I2)*1E-6))^m_)*(m_*G2*(I2+((I2)*1E-6))^(m_-1))-(G2*(I2+((I2)*1E-6))^m_)*SQRT(1+(m_*G2*(I2+((I2)*1E-6))^(m_-1))^2)-(A2))-((I2)+(G2*(I2)^m_)*(m_*G2*(I2)^(m_-1))-(G2*(I2)^m_)*SQRT(1+(m_*G2*(I2)^(m_-1))^2)-(A2)))</f>
        <v/>
      </c>
      <c r="K2">
        <f>J2-((J2)+(G2*(J2)^m_)*(m_*G2*(J2)^(m_-1))-(G2*(J2)^m_)*SQRT(1+(m_*G2*(J2)^(m_-1))^2)-(A2))*((J2)*1E-6)/(((J2+((J2)*1E-6))+(G2*(J2+((J2)*1E-6))^m_)*(m_*G2*(J2+((J2)*1E-6))^(m_-1))-(G2*(J2+((J2)*1E-6))^m_)*SQRT(1+(m_*G2*(J2+((J2)*1E-6))^(m_-1))^2)-(A2))-((J2)+(G2*(J2)^m_)*(m_*G2*(J2)^(m_-1))-(G2*(J2)^m_)*SQRT(1+(m_*G2*(J2)^(m_-1))^2)-(A2)))</f>
        <v/>
      </c>
      <c r="L2">
        <f>K2-((K2)+(G2*(K2)^m_)*(m_*G2*(K2)^(m_-1))-(G2*(K2)^m_)*SQRT(1+(m_*G2*(K2)^(m_-1))^2)-(A2))*((K2)*1E-6)/(((K2+((K2)*1E-6))+(G2*(K2+((K2)*1E-6))^m_)*(m_*G2*(K2+((K2)*1E-6))^(m_-1))-(G2*(K2+((K2)*1E-6))^m_)*SQRT(1+(m_*G2*(K2+((K2)*1E-6))^(m_-1))^2)-(A2))-((K2)+(G2*(K2)^m_)*(m_*G2*(K2)^(m_-1))-(G2*(K2)^m_)*SQRT(1+(m_*G2*(K2)^(m_-1))^2)-(A2)))</f>
        <v/>
      </c>
      <c r="M2">
        <f>L2-((L2)+(G2*(L2)^m_)*(m_*G2*(L2)^(m_-1))-(G2*(L2)^m_)*SQRT(1+(m_*G2*(L2)^(m_-1))^2)-(A2))*((L2)*1E-6)/(((L2+((L2)*1E-6))+(G2*(L2+((L2)*1E-6))^m_)*(m_*G2*(L2+((L2)*1E-6))^(m_-1))-(G2*(L2+((L2)*1E-6))^m_)*SQRT(1+(m_*G2*(L2+((L2)*1E-6))^(m_-1))^2)-(A2))-((L2)+(G2*(L2)^m_)*(m_*G2*(L2)^(m_-1))-(G2*(L2)^m_)*SQRT(1+(m_*G2*(L2)^(m_-1))^2)-(A2)))</f>
        <v/>
      </c>
      <c r="N2">
        <f>M2-((M2)+(G2*(M2)^m_)*(m_*G2*(M2)^(m_-1))-(G2*(M2)^m_)*SQRT(1+(m_*G2*(M2)^(m_-1))^2)-(A2))*((M2)*1E-6)/(((M2+((M2)*1E-6))+(G2*(M2+((M2)*1E-6))^m_)*(m_*G2*(M2+((M2)*1E-6))^(m_-1))-(G2*(M2+((M2)*1E-6))^m_)*SQRT(1+(m_*G2*(M2+((M2)*1E-6))^(m_-1))^2)-(A2))-((M2)+(G2*(M2)^m_)*(m_*G2*(M2)^(m_-1))-(G2*(M2)^m_)*SQRT(1+(m_*G2*(M2)^(m_-1))^2)-(A2)))</f>
        <v/>
      </c>
      <c r="O2">
        <f>N2-((N2)+(G2*(N2)^m_)*(m_*G2*(N2)^(m_-1))-(G2*(N2)^m_)*SQRT(1+(m_*G2*(N2)^(m_-1))^2)-(A2))*((N2)*1E-6)/(((N2+((N2)*1E-6))+(G2*(N2+((N2)*1E-6))^m_)*(m_*G2*(N2+((N2)*1E-6))^(m_-1))-(G2*(N2+((N2)*1E-6))^m_)*SQRT(1+(m_*G2*(N2+((N2)*1E-6))^(m_-1))^2)-(A2))-((N2)+(G2*(N2)^m_)*(m_*G2*(N2)^(m_-1))-(G2*(N2)^m_)*SQRT(1+(m_*G2*(N2)^(m_-1))^2)-(A2)))</f>
        <v/>
      </c>
      <c r="P2">
        <f>O2-((O2)+(G2*(O2)^m_)*(m_*G2*(O2)^(m_-1))-(G2*(O2)^m_)*SQRT(1+(m_*G2*(O2)^(m_-1))^2)-(A2))*((O2)*1E-6)/(((O2+((O2)*1E-6))+(G2*(O2+((O2)*1E-6))^m_)*(m_*G2*(O2+((O2)*1E-6))^(m_-1))-(G2*(O2+((O2)*1E-6))^m_)*SQRT(1+(m_*G2*(O2+((O2)*1E-6))^(m_-1))^2)-(A2))-((O2)+(G2*(O2)^m_)*(m_*G2*(O2)^(m_-1))-(G2*(O2)^m_)*SQRT(1+(m_*G2*(O2)^(m_-1))^2)-(A2)))</f>
        <v/>
      </c>
      <c r="Q2">
        <f>P2-((P2)+(G2*(P2)^m_)*(m_*G2*(P2)^(m_-1))-(G2*(P2)^m_)*SQRT(1+(m_*G2*(P2)^(m_-1))^2)-(A2))*((P2)*1E-6)/(((P2+((P2)*1E-6))+(G2*(P2+((P2)*1E-6))^m_)*(m_*G2*(P2+((P2)*1E-6))^(m_-1))-(G2*(P2+((P2)*1E-6))^m_)*SQRT(1+(m_*G2*(P2+((P2)*1E-6))^(m_-1))^2)-(A2))-((P2)+(G2*(P2)^m_)*(m_*G2*(P2)^(m_-1))-(G2*(P2)^m_)*SQRT(1+(m_*G2*(P2)^(m_-1))^2)-(A2)))</f>
        <v/>
      </c>
    </row>
    <row r="3">
      <c r="A3" t="n">
        <v>0.5</v>
      </c>
      <c r="B3">
        <f>Q3</f>
        <v/>
      </c>
      <c r="C3">
        <f>TAN(RADIANS(pe0-omega*e_base))*sref^(1-m_)*B3^m_</f>
        <v/>
      </c>
      <c r="D3">
        <f>DEGREES(ATAN(m_*C3/B3))</f>
        <v/>
      </c>
      <c r="E3">
        <f>(1-m_)*C3*1000</f>
        <v/>
      </c>
      <c r="F3">
        <f>2*C3/COS(RADIANS(D3))</f>
        <v/>
      </c>
      <c r="G3">
        <f>TAN(RADIANS(pe0-omega*e_base))*sref^(1-m_)</f>
        <v/>
      </c>
      <c r="H3">
        <f>2*A3-((2*A3)+(G3*(2*A3)^m_)*(m_*G3*(2*A3)^(m_-1))-(G3*(2*A3)^m_)*SQRT(1+(m_*G3*(2*A3)^(m_-1))^2)-(A3))*((2*A3)*1E-6)/(((2*A3+((2*A3)*1E-6))+(G3*(2*A3+((2*A3)*1E-6))^m_)*(m_*G3*(2*A3+((2*A3)*1E-6))^(m_-1))-(G3*(2*A3+((2*A3)*1E-6))^m_)*SQRT(1+(m_*G3*(2*A3+((2*A3)*1E-6))^(m_-1))^2)-(A3))-((2*A3)+(G3*(2*A3)^m_)*(m_*G3*(2*A3)^(m_-1))-(G3*(2*A3)^m_)*SQRT(1+(m_*G3*(2*A3)^(m_-1))^2)-(A3)))</f>
        <v/>
      </c>
      <c r="I3">
        <f>H3-((H3)+(G3*(H3)^m_)*(m_*G3*(H3)^(m_-1))-(G3*(H3)^m_)*SQRT(1+(m_*G3*(H3)^(m_-1))^2)-(A3))*((H3)*1E-6)/(((H3+((H3)*1E-6))+(G3*(H3+((H3)*1E-6))^m_)*(m_*G3*(H3+((H3)*1E-6))^(m_-1))-(G3*(H3+((H3)*1E-6))^m_)*SQRT(1+(m_*G3*(H3+((H3)*1E-6))^(m_-1))^2)-(A3))-((H3)+(G3*(H3)^m_)*(m_*G3*(H3)^(m_-1))-(G3*(H3)^m_)*SQRT(1+(m_*G3*(H3)^(m_-1))^2)-(A3)))</f>
        <v/>
      </c>
      <c r="J3">
        <f>I3-((I3)+(G3*(I3)^m_)*(m_*G3*(I3)^(m_-1))-(G3*(I3)^m_)*SQRT(1+(m_*G3*(I3)^(m_-1))^2)-(A3))*((I3)*1E-6)/(((I3+((I3)*1E-6))+(G3*(I3+((I3)*1E-6))^m_)*(m_*G3*(I3+((I3)*1E-6))^(m_-1))-(G3*(I3+((I3)*1E-6))^m_)*SQRT(1+(m_*G3*(I3+((I3)*1E-6))^(m_-1))^2)-(A3))-((I3)+(G3*(I3)^m_)*(m_*G3*(I3)^(m_-1))-(G3*(I3)^m_)*SQRT(1+(m_*G3*(I3)^(m_-1))^2)-(A3)))</f>
        <v/>
      </c>
      <c r="K3">
        <f>J3-((J3)+(G3*(J3)^m_)*(m_*G3*(J3)^(m_-1))-(G3*(J3)^m_)*SQRT(1+(m_*G3*(J3)^(m_-1))^2)-(A3))*((J3)*1E-6)/(((J3+((J3)*1E-6))+(G3*(J3+((J3)*1E-6))^m_)*(m_*G3*(J3+((J3)*1E-6))^(m_-1))-(G3*(J3+((J3)*1E-6))^m_)*SQRT(1+(m_*G3*(J3+((J3)*1E-6))^(m_-1))^2)-(A3))-((J3)+(G3*(J3)^m_)*(m_*G3*(J3)^(m_-1))-(G3*(J3)^m_)*SQRT(1+(m_*G3*(J3)^(m_-1))^2)-(A3)))</f>
        <v/>
      </c>
      <c r="L3">
        <f>K3-((K3)+(G3*(K3)^m_)*(m_*G3*(K3)^(m_-1))-(G3*(K3)^m_)*SQRT(1+(m_*G3*(K3)^(m_-1))^2)-(A3))*((K3)*1E-6)/(((K3+((K3)*1E-6))+(G3*(K3+((K3)*1E-6))^m_)*(m_*G3*(K3+((K3)*1E-6))^(m_-1))-(G3*(K3+((K3)*1E-6))^m_)*SQRT(1+(m_*G3*(K3+((K3)*1E-6))^(m_-1))^2)-(A3))-((K3)+(G3*(K3)^m_)*(m_*G3*(K3)^(m_-1))-(G3*(K3)^m_)*SQRT(1+(m_*G3*(K3)^(m_-1))^2)-(A3)))</f>
        <v/>
      </c>
      <c r="M3">
        <f>L3-((L3)+(G3*(L3)^m_)*(m_*G3*(L3)^(m_-1))-(G3*(L3)^m_)*SQRT(1+(m_*G3*(L3)^(m_-1))^2)-(A3))*((L3)*1E-6)/(((L3+((L3)*1E-6))+(G3*(L3+((L3)*1E-6))^m_)*(m_*G3*(L3+((L3)*1E-6))^(m_-1))-(G3*(L3+((L3)*1E-6))^m_)*SQRT(1+(m_*G3*(L3+((L3)*1E-6))^(m_-1))^2)-(A3))-((L3)+(G3*(L3)^m_)*(m_*G3*(L3)^(m_-1))-(G3*(L3)^m_)*SQRT(1+(m_*G3*(L3)^(m_-1))^2)-(A3)))</f>
        <v/>
      </c>
      <c r="N3">
        <f>M3-((M3)+(G3*(M3)^m_)*(m_*G3*(M3)^(m_-1))-(G3*(M3)^m_)*SQRT(1+(m_*G3*(M3)^(m_-1))^2)-(A3))*((M3)*1E-6)/(((M3+((M3)*1E-6))+(G3*(M3+((M3)*1E-6))^m_)*(m_*G3*(M3+((M3)*1E-6))^(m_-1))-(G3*(M3+((M3)*1E-6))^m_)*SQRT(1+(m_*G3*(M3+((M3)*1E-6))^(m_-1))^2)-(A3))-((M3)+(G3*(M3)^m_)*(m_*G3*(M3)^(m_-1))-(G3*(M3)^m_)*SQRT(1+(m_*G3*(M3)^(m_-1))^2)-(A3)))</f>
        <v/>
      </c>
      <c r="O3">
        <f>N3-((N3)+(G3*(N3)^m_)*(m_*G3*(N3)^(m_-1))-(G3*(N3)^m_)*SQRT(1+(m_*G3*(N3)^(m_-1))^2)-(A3))*((N3)*1E-6)/(((N3+((N3)*1E-6))+(G3*(N3+((N3)*1E-6))^m_)*(m_*G3*(N3+((N3)*1E-6))^(m_-1))-(G3*(N3+((N3)*1E-6))^m_)*SQRT(1+(m_*G3*(N3+((N3)*1E-6))^(m_-1))^2)-(A3))-((N3)+(G3*(N3)^m_)*(m_*G3*(N3)^(m_-1))-(G3*(N3)^m_)*SQRT(1+(m_*G3*(N3)^(m_-1))^2)-(A3)))</f>
        <v/>
      </c>
      <c r="P3">
        <f>O3-((O3)+(G3*(O3)^m_)*(m_*G3*(O3)^(m_-1))-(G3*(O3)^m_)*SQRT(1+(m_*G3*(O3)^(m_-1))^2)-(A3))*((O3)*1E-6)/(((O3+((O3)*1E-6))+(G3*(O3+((O3)*1E-6))^m_)*(m_*G3*(O3+((O3)*1E-6))^(m_-1))-(G3*(O3+((O3)*1E-6))^m_)*SQRT(1+(m_*G3*(O3+((O3)*1E-6))^(m_-1))^2)-(A3))-((O3)+(G3*(O3)^m_)*(m_*G3*(O3)^(m_-1))-(G3*(O3)^m_)*SQRT(1+(m_*G3*(O3)^(m_-1))^2)-(A3)))</f>
        <v/>
      </c>
      <c r="Q3">
        <f>P3-((P3)+(G3*(P3)^m_)*(m_*G3*(P3)^(m_-1))-(G3*(P3)^m_)*SQRT(1+(m_*G3*(P3)^(m_-1))^2)-(A3))*((P3)*1E-6)/(((P3+((P3)*1E-6))+(G3*(P3+((P3)*1E-6))^m_)*(m_*G3*(P3+((P3)*1E-6))^(m_-1))-(G3*(P3+((P3)*1E-6))^m_)*SQRT(1+(m_*G3*(P3+((P3)*1E-6))^(m_-1))^2)-(A3))-((P3)+(G3*(P3)^m_)*(m_*G3*(P3)^(m_-1))-(G3*(P3)^m_)*SQRT(1+(m_*G3*(P3)^(m_-1))^2)-(A3)))</f>
        <v/>
      </c>
    </row>
    <row r="4">
      <c r="A4" t="n">
        <v>1</v>
      </c>
      <c r="B4">
        <f>Q4</f>
        <v/>
      </c>
      <c r="C4">
        <f>TAN(RADIANS(pe0-omega*e_base))*sref^(1-m_)*B4^m_</f>
        <v/>
      </c>
      <c r="D4">
        <f>DEGREES(ATAN(m_*C4/B4))</f>
        <v/>
      </c>
      <c r="E4">
        <f>(1-m_)*C4*1000</f>
        <v/>
      </c>
      <c r="F4">
        <f>2*C4/COS(RADIANS(D4))</f>
        <v/>
      </c>
      <c r="G4">
        <f>TAN(RADIANS(pe0-omega*e_base))*sref^(1-m_)</f>
        <v/>
      </c>
      <c r="H4">
        <f>2*A4-((2*A4)+(G4*(2*A4)^m_)*(m_*G4*(2*A4)^(m_-1))-(G4*(2*A4)^m_)*SQRT(1+(m_*G4*(2*A4)^(m_-1))^2)-(A4))*((2*A4)*1E-6)/(((2*A4+((2*A4)*1E-6))+(G4*(2*A4+((2*A4)*1E-6))^m_)*(m_*G4*(2*A4+((2*A4)*1E-6))^(m_-1))-(G4*(2*A4+((2*A4)*1E-6))^m_)*SQRT(1+(m_*G4*(2*A4+((2*A4)*1E-6))^(m_-1))^2)-(A4))-((2*A4)+(G4*(2*A4)^m_)*(m_*G4*(2*A4)^(m_-1))-(G4*(2*A4)^m_)*SQRT(1+(m_*G4*(2*A4)^(m_-1))^2)-(A4)))</f>
        <v/>
      </c>
      <c r="I4">
        <f>H4-((H4)+(G4*(H4)^m_)*(m_*G4*(H4)^(m_-1))-(G4*(H4)^m_)*SQRT(1+(m_*G4*(H4)^(m_-1))^2)-(A4))*((H4)*1E-6)/(((H4+((H4)*1E-6))+(G4*(H4+((H4)*1E-6))^m_)*(m_*G4*(H4+((H4)*1E-6))^(m_-1))-(G4*(H4+((H4)*1E-6))^m_)*SQRT(1+(m_*G4*(H4+((H4)*1E-6))^(m_-1))^2)-(A4))-((H4)+(G4*(H4)^m_)*(m_*G4*(H4)^(m_-1))-(G4*(H4)^m_)*SQRT(1+(m_*G4*(H4)^(m_-1))^2)-(A4)))</f>
        <v/>
      </c>
      <c r="J4">
        <f>I4-((I4)+(G4*(I4)^m_)*(m_*G4*(I4)^(m_-1))-(G4*(I4)^m_)*SQRT(1+(m_*G4*(I4)^(m_-1))^2)-(A4))*((I4)*1E-6)/(((I4+((I4)*1E-6))+(G4*(I4+((I4)*1E-6))^m_)*(m_*G4*(I4+((I4)*1E-6))^(m_-1))-(G4*(I4+((I4)*1E-6))^m_)*SQRT(1+(m_*G4*(I4+((I4)*1E-6))^(m_-1))^2)-(A4))-((I4)+(G4*(I4)^m_)*(m_*G4*(I4)^(m_-1))-(G4*(I4)^m_)*SQRT(1+(m_*G4*(I4)^(m_-1))^2)-(A4)))</f>
        <v/>
      </c>
      <c r="K4">
        <f>J4-((J4)+(G4*(J4)^m_)*(m_*G4*(J4)^(m_-1))-(G4*(J4)^m_)*SQRT(1+(m_*G4*(J4)^(m_-1))^2)-(A4))*((J4)*1E-6)/(((J4+((J4)*1E-6))+(G4*(J4+((J4)*1E-6))^m_)*(m_*G4*(J4+((J4)*1E-6))^(m_-1))-(G4*(J4+((J4)*1E-6))^m_)*SQRT(1+(m_*G4*(J4+((J4)*1E-6))^(m_-1))^2)-(A4))-((J4)+(G4*(J4)^m_)*(m_*G4*(J4)^(m_-1))-(G4*(J4)^m_)*SQRT(1+(m_*G4*(J4)^(m_-1))^2)-(A4)))</f>
        <v/>
      </c>
      <c r="L4">
        <f>K4-((K4)+(G4*(K4)^m_)*(m_*G4*(K4)^(m_-1))-(G4*(K4)^m_)*SQRT(1+(m_*G4*(K4)^(m_-1))^2)-(A4))*((K4)*1E-6)/(((K4+((K4)*1E-6))+(G4*(K4+((K4)*1E-6))^m_)*(m_*G4*(K4+((K4)*1E-6))^(m_-1))-(G4*(K4+((K4)*1E-6))^m_)*SQRT(1+(m_*G4*(K4+((K4)*1E-6))^(m_-1))^2)-(A4))-((K4)+(G4*(K4)^m_)*(m_*G4*(K4)^(m_-1))-(G4*(K4)^m_)*SQRT(1+(m_*G4*(K4)^(m_-1))^2)-(A4)))</f>
        <v/>
      </c>
      <c r="M4">
        <f>L4-((L4)+(G4*(L4)^m_)*(m_*G4*(L4)^(m_-1))-(G4*(L4)^m_)*SQRT(1+(m_*G4*(L4)^(m_-1))^2)-(A4))*((L4)*1E-6)/(((L4+((L4)*1E-6))+(G4*(L4+((L4)*1E-6))^m_)*(m_*G4*(L4+((L4)*1E-6))^(m_-1))-(G4*(L4+((L4)*1E-6))^m_)*SQRT(1+(m_*G4*(L4+((L4)*1E-6))^(m_-1))^2)-(A4))-((L4)+(G4*(L4)^m_)*(m_*G4*(L4)^(m_-1))-(G4*(L4)^m_)*SQRT(1+(m_*G4*(L4)^(m_-1))^2)-(A4)))</f>
        <v/>
      </c>
      <c r="N4">
        <f>M4-((M4)+(G4*(M4)^m_)*(m_*G4*(M4)^(m_-1))-(G4*(M4)^m_)*SQRT(1+(m_*G4*(M4)^(m_-1))^2)-(A4))*((M4)*1E-6)/(((M4+((M4)*1E-6))+(G4*(M4+((M4)*1E-6))^m_)*(m_*G4*(M4+((M4)*1E-6))^(m_-1))-(G4*(M4+((M4)*1E-6))^m_)*SQRT(1+(m_*G4*(M4+((M4)*1E-6))^(m_-1))^2)-(A4))-((M4)+(G4*(M4)^m_)*(m_*G4*(M4)^(m_-1))-(G4*(M4)^m_)*SQRT(1+(m_*G4*(M4)^(m_-1))^2)-(A4)))</f>
        <v/>
      </c>
      <c r="O4">
        <f>N4-((N4)+(G4*(N4)^m_)*(m_*G4*(N4)^(m_-1))-(G4*(N4)^m_)*SQRT(1+(m_*G4*(N4)^(m_-1))^2)-(A4))*((N4)*1E-6)/(((N4+((N4)*1E-6))+(G4*(N4+((N4)*1E-6))^m_)*(m_*G4*(N4+((N4)*1E-6))^(m_-1))-(G4*(N4+((N4)*1E-6))^m_)*SQRT(1+(m_*G4*(N4+((N4)*1E-6))^(m_-1))^2)-(A4))-((N4)+(G4*(N4)^m_)*(m_*G4*(N4)^(m_-1))-(G4*(N4)^m_)*SQRT(1+(m_*G4*(N4)^(m_-1))^2)-(A4)))</f>
        <v/>
      </c>
      <c r="P4">
        <f>O4-((O4)+(G4*(O4)^m_)*(m_*G4*(O4)^(m_-1))-(G4*(O4)^m_)*SQRT(1+(m_*G4*(O4)^(m_-1))^2)-(A4))*((O4)*1E-6)/(((O4+((O4)*1E-6))+(G4*(O4+((O4)*1E-6))^m_)*(m_*G4*(O4+((O4)*1E-6))^(m_-1))-(G4*(O4+((O4)*1E-6))^m_)*SQRT(1+(m_*G4*(O4+((O4)*1E-6))^(m_-1))^2)-(A4))-((O4)+(G4*(O4)^m_)*(m_*G4*(O4)^(m_-1))-(G4*(O4)^m_)*SQRT(1+(m_*G4*(O4)^(m_-1))^2)-(A4)))</f>
        <v/>
      </c>
      <c r="Q4">
        <f>P4-((P4)+(G4*(P4)^m_)*(m_*G4*(P4)^(m_-1))-(G4*(P4)^m_)*SQRT(1+(m_*G4*(P4)^(m_-1))^2)-(A4))*((P4)*1E-6)/(((P4+((P4)*1E-6))+(G4*(P4+((P4)*1E-6))^m_)*(m_*G4*(P4+((P4)*1E-6))^(m_-1))-(G4*(P4+((P4)*1E-6))^m_)*SQRT(1+(m_*G4*(P4+((P4)*1E-6))^(m_-1))^2)-(A4))-((P4)+(G4*(P4)^m_)*(m_*G4*(P4)^(m_-1))-(G4*(P4)^m_)*SQRT(1+(m_*G4*(P4)^(m_-1))^2)-(A4)))</f>
        <v/>
      </c>
    </row>
    <row r="5">
      <c r="A5" t="n">
        <v>2</v>
      </c>
      <c r="B5">
        <f>Q5</f>
        <v/>
      </c>
      <c r="C5">
        <f>TAN(RADIANS(pe0-omega*e_base))*sref^(1-m_)*B5^m_</f>
        <v/>
      </c>
      <c r="D5">
        <f>DEGREES(ATAN(m_*C5/B5))</f>
        <v/>
      </c>
      <c r="E5">
        <f>(1-m_)*C5*1000</f>
        <v/>
      </c>
      <c r="F5">
        <f>2*C5/COS(RADIANS(D5))</f>
        <v/>
      </c>
      <c r="G5">
        <f>TAN(RADIANS(pe0-omega*e_base))*sref^(1-m_)</f>
        <v/>
      </c>
      <c r="H5">
        <f>2*A5-((2*A5)+(G5*(2*A5)^m_)*(m_*G5*(2*A5)^(m_-1))-(G5*(2*A5)^m_)*SQRT(1+(m_*G5*(2*A5)^(m_-1))^2)-(A5))*((2*A5)*1E-6)/(((2*A5+((2*A5)*1E-6))+(G5*(2*A5+((2*A5)*1E-6))^m_)*(m_*G5*(2*A5+((2*A5)*1E-6))^(m_-1))-(G5*(2*A5+((2*A5)*1E-6))^m_)*SQRT(1+(m_*G5*(2*A5+((2*A5)*1E-6))^(m_-1))^2)-(A5))-((2*A5)+(G5*(2*A5)^m_)*(m_*G5*(2*A5)^(m_-1))-(G5*(2*A5)^m_)*SQRT(1+(m_*G5*(2*A5)^(m_-1))^2)-(A5)))</f>
        <v/>
      </c>
      <c r="I5">
        <f>H5-((H5)+(G5*(H5)^m_)*(m_*G5*(H5)^(m_-1))-(G5*(H5)^m_)*SQRT(1+(m_*G5*(H5)^(m_-1))^2)-(A5))*((H5)*1E-6)/(((H5+((H5)*1E-6))+(G5*(H5+((H5)*1E-6))^m_)*(m_*G5*(H5+((H5)*1E-6))^(m_-1))-(G5*(H5+((H5)*1E-6))^m_)*SQRT(1+(m_*G5*(H5+((H5)*1E-6))^(m_-1))^2)-(A5))-((H5)+(G5*(H5)^m_)*(m_*G5*(H5)^(m_-1))-(G5*(H5)^m_)*SQRT(1+(m_*G5*(H5)^(m_-1))^2)-(A5)))</f>
        <v/>
      </c>
      <c r="J5">
        <f>I5-((I5)+(G5*(I5)^m_)*(m_*G5*(I5)^(m_-1))-(G5*(I5)^m_)*SQRT(1+(m_*G5*(I5)^(m_-1))^2)-(A5))*((I5)*1E-6)/(((I5+((I5)*1E-6))+(G5*(I5+((I5)*1E-6))^m_)*(m_*G5*(I5+((I5)*1E-6))^(m_-1))-(G5*(I5+((I5)*1E-6))^m_)*SQRT(1+(m_*G5*(I5+((I5)*1E-6))^(m_-1))^2)-(A5))-((I5)+(G5*(I5)^m_)*(m_*G5*(I5)^(m_-1))-(G5*(I5)^m_)*SQRT(1+(m_*G5*(I5)^(m_-1))^2)-(A5)))</f>
        <v/>
      </c>
      <c r="K5">
        <f>J5-((J5)+(G5*(J5)^m_)*(m_*G5*(J5)^(m_-1))-(G5*(J5)^m_)*SQRT(1+(m_*G5*(J5)^(m_-1))^2)-(A5))*((J5)*1E-6)/(((J5+((J5)*1E-6))+(G5*(J5+((J5)*1E-6))^m_)*(m_*G5*(J5+((J5)*1E-6))^(m_-1))-(G5*(J5+((J5)*1E-6))^m_)*SQRT(1+(m_*G5*(J5+((J5)*1E-6))^(m_-1))^2)-(A5))-((J5)+(G5*(J5)^m_)*(m_*G5*(J5)^(m_-1))-(G5*(J5)^m_)*SQRT(1+(m_*G5*(J5)^(m_-1))^2)-(A5)))</f>
        <v/>
      </c>
      <c r="L5">
        <f>K5-((K5)+(G5*(K5)^m_)*(m_*G5*(K5)^(m_-1))-(G5*(K5)^m_)*SQRT(1+(m_*G5*(K5)^(m_-1))^2)-(A5))*((K5)*1E-6)/(((K5+((K5)*1E-6))+(G5*(K5+((K5)*1E-6))^m_)*(m_*G5*(K5+((K5)*1E-6))^(m_-1))-(G5*(K5+((K5)*1E-6))^m_)*SQRT(1+(m_*G5*(K5+((K5)*1E-6))^(m_-1))^2)-(A5))-((K5)+(G5*(K5)^m_)*(m_*G5*(K5)^(m_-1))-(G5*(K5)^m_)*SQRT(1+(m_*G5*(K5)^(m_-1))^2)-(A5)))</f>
        <v/>
      </c>
      <c r="M5">
        <f>L5-((L5)+(G5*(L5)^m_)*(m_*G5*(L5)^(m_-1))-(G5*(L5)^m_)*SQRT(1+(m_*G5*(L5)^(m_-1))^2)-(A5))*((L5)*1E-6)/(((L5+((L5)*1E-6))+(G5*(L5+((L5)*1E-6))^m_)*(m_*G5*(L5+((L5)*1E-6))^(m_-1))-(G5*(L5+((L5)*1E-6))^m_)*SQRT(1+(m_*G5*(L5+((L5)*1E-6))^(m_-1))^2)-(A5))-((L5)+(G5*(L5)^m_)*(m_*G5*(L5)^(m_-1))-(G5*(L5)^m_)*SQRT(1+(m_*G5*(L5)^(m_-1))^2)-(A5)))</f>
        <v/>
      </c>
      <c r="N5">
        <f>M5-((M5)+(G5*(M5)^m_)*(m_*G5*(M5)^(m_-1))-(G5*(M5)^m_)*SQRT(1+(m_*G5*(M5)^(m_-1))^2)-(A5))*((M5)*1E-6)/(((M5+((M5)*1E-6))+(G5*(M5+((M5)*1E-6))^m_)*(m_*G5*(M5+((M5)*1E-6))^(m_-1))-(G5*(M5+((M5)*1E-6))^m_)*SQRT(1+(m_*G5*(M5+((M5)*1E-6))^(m_-1))^2)-(A5))-((M5)+(G5*(M5)^m_)*(m_*G5*(M5)^(m_-1))-(G5*(M5)^m_)*SQRT(1+(m_*G5*(M5)^(m_-1))^2)-(A5)))</f>
        <v/>
      </c>
      <c r="O5">
        <f>N5-((N5)+(G5*(N5)^m_)*(m_*G5*(N5)^(m_-1))-(G5*(N5)^m_)*SQRT(1+(m_*G5*(N5)^(m_-1))^2)-(A5))*((N5)*1E-6)/(((N5+((N5)*1E-6))+(G5*(N5+((N5)*1E-6))^m_)*(m_*G5*(N5+((N5)*1E-6))^(m_-1))-(G5*(N5+((N5)*1E-6))^m_)*SQRT(1+(m_*G5*(N5+((N5)*1E-6))^(m_-1))^2)-(A5))-((N5)+(G5*(N5)^m_)*(m_*G5*(N5)^(m_-1))-(G5*(N5)^m_)*SQRT(1+(m_*G5*(N5)^(m_-1))^2)-(A5)))</f>
        <v/>
      </c>
      <c r="P5">
        <f>O5-((O5)+(G5*(O5)^m_)*(m_*G5*(O5)^(m_-1))-(G5*(O5)^m_)*SQRT(1+(m_*G5*(O5)^(m_-1))^2)-(A5))*((O5)*1E-6)/(((O5+((O5)*1E-6))+(G5*(O5+((O5)*1E-6))^m_)*(m_*G5*(O5+((O5)*1E-6))^(m_-1))-(G5*(O5+((O5)*1E-6))^m_)*SQRT(1+(m_*G5*(O5+((O5)*1E-6))^(m_-1))^2)-(A5))-((O5)+(G5*(O5)^m_)*(m_*G5*(O5)^(m_-1))-(G5*(O5)^m_)*SQRT(1+(m_*G5*(O5)^(m_-1))^2)-(A5)))</f>
        <v/>
      </c>
      <c r="Q5">
        <f>P5-((P5)+(G5*(P5)^m_)*(m_*G5*(P5)^(m_-1))-(G5*(P5)^m_)*SQRT(1+(m_*G5*(P5)^(m_-1))^2)-(A5))*((P5)*1E-6)/(((P5+((P5)*1E-6))+(G5*(P5+((P5)*1E-6))^m_)*(m_*G5*(P5+((P5)*1E-6))^(m_-1))-(G5*(P5+((P5)*1E-6))^m_)*SQRT(1+(m_*G5*(P5+((P5)*1E-6))^(m_-1))^2)-(A5))-((P5)+(G5*(P5)^m_)*(m_*G5*(P5)^(m_-1))-(G5*(P5)^m_)*SQRT(1+(m_*G5*(P5)^(m_-1))^2)-(A5)))</f>
        <v/>
      </c>
    </row>
    <row r="6">
      <c r="A6" t="n">
        <v>5</v>
      </c>
      <c r="B6">
        <f>Q6</f>
        <v/>
      </c>
      <c r="C6">
        <f>TAN(RADIANS(pe0-omega*e_base))*sref^(1-m_)*B6^m_</f>
        <v/>
      </c>
      <c r="D6">
        <f>DEGREES(ATAN(m_*C6/B6))</f>
        <v/>
      </c>
      <c r="E6">
        <f>(1-m_)*C6*1000</f>
        <v/>
      </c>
      <c r="F6">
        <f>2*C6/COS(RADIANS(D6))</f>
        <v/>
      </c>
      <c r="G6">
        <f>TAN(RADIANS(pe0-omega*e_base))*sref^(1-m_)</f>
        <v/>
      </c>
      <c r="H6">
        <f>2*A6-((2*A6)+(G6*(2*A6)^m_)*(m_*G6*(2*A6)^(m_-1))-(G6*(2*A6)^m_)*SQRT(1+(m_*G6*(2*A6)^(m_-1))^2)-(A6))*((2*A6)*1E-6)/(((2*A6+((2*A6)*1E-6))+(G6*(2*A6+((2*A6)*1E-6))^m_)*(m_*G6*(2*A6+((2*A6)*1E-6))^(m_-1))-(G6*(2*A6+((2*A6)*1E-6))^m_)*SQRT(1+(m_*G6*(2*A6+((2*A6)*1E-6))^(m_-1))^2)-(A6))-((2*A6)+(G6*(2*A6)^m_)*(m_*G6*(2*A6)^(m_-1))-(G6*(2*A6)^m_)*SQRT(1+(m_*G6*(2*A6)^(m_-1))^2)-(A6)))</f>
        <v/>
      </c>
      <c r="I6">
        <f>H6-((H6)+(G6*(H6)^m_)*(m_*G6*(H6)^(m_-1))-(G6*(H6)^m_)*SQRT(1+(m_*G6*(H6)^(m_-1))^2)-(A6))*((H6)*1E-6)/(((H6+((H6)*1E-6))+(G6*(H6+((H6)*1E-6))^m_)*(m_*G6*(H6+((H6)*1E-6))^(m_-1))-(G6*(H6+((H6)*1E-6))^m_)*SQRT(1+(m_*G6*(H6+((H6)*1E-6))^(m_-1))^2)-(A6))-((H6)+(G6*(H6)^m_)*(m_*G6*(H6)^(m_-1))-(G6*(H6)^m_)*SQRT(1+(m_*G6*(H6)^(m_-1))^2)-(A6)))</f>
        <v/>
      </c>
      <c r="J6">
        <f>I6-((I6)+(G6*(I6)^m_)*(m_*G6*(I6)^(m_-1))-(G6*(I6)^m_)*SQRT(1+(m_*G6*(I6)^(m_-1))^2)-(A6))*((I6)*1E-6)/(((I6+((I6)*1E-6))+(G6*(I6+((I6)*1E-6))^m_)*(m_*G6*(I6+((I6)*1E-6))^(m_-1))-(G6*(I6+((I6)*1E-6))^m_)*SQRT(1+(m_*G6*(I6+((I6)*1E-6))^(m_-1))^2)-(A6))-((I6)+(G6*(I6)^m_)*(m_*G6*(I6)^(m_-1))-(G6*(I6)^m_)*SQRT(1+(m_*G6*(I6)^(m_-1))^2)-(A6)))</f>
        <v/>
      </c>
      <c r="K6">
        <f>J6-((J6)+(G6*(J6)^m_)*(m_*G6*(J6)^(m_-1))-(G6*(J6)^m_)*SQRT(1+(m_*G6*(J6)^(m_-1))^2)-(A6))*((J6)*1E-6)/(((J6+((J6)*1E-6))+(G6*(J6+((J6)*1E-6))^m_)*(m_*G6*(J6+((J6)*1E-6))^(m_-1))-(G6*(J6+((J6)*1E-6))^m_)*SQRT(1+(m_*G6*(J6+((J6)*1E-6))^(m_-1))^2)-(A6))-((J6)+(G6*(J6)^m_)*(m_*G6*(J6)^(m_-1))-(G6*(J6)^m_)*SQRT(1+(m_*G6*(J6)^(m_-1))^2)-(A6)))</f>
        <v/>
      </c>
      <c r="L6">
        <f>K6-((K6)+(G6*(K6)^m_)*(m_*G6*(K6)^(m_-1))-(G6*(K6)^m_)*SQRT(1+(m_*G6*(K6)^(m_-1))^2)-(A6))*((K6)*1E-6)/(((K6+((K6)*1E-6))+(G6*(K6+((K6)*1E-6))^m_)*(m_*G6*(K6+((K6)*1E-6))^(m_-1))-(G6*(K6+((K6)*1E-6))^m_)*SQRT(1+(m_*G6*(K6+((K6)*1E-6))^(m_-1))^2)-(A6))-((K6)+(G6*(K6)^m_)*(m_*G6*(K6)^(m_-1))-(G6*(K6)^m_)*SQRT(1+(m_*G6*(K6)^(m_-1))^2)-(A6)))</f>
        <v/>
      </c>
      <c r="M6">
        <f>L6-((L6)+(G6*(L6)^m_)*(m_*G6*(L6)^(m_-1))-(G6*(L6)^m_)*SQRT(1+(m_*G6*(L6)^(m_-1))^2)-(A6))*((L6)*1E-6)/(((L6+((L6)*1E-6))+(G6*(L6+((L6)*1E-6))^m_)*(m_*G6*(L6+((L6)*1E-6))^(m_-1))-(G6*(L6+((L6)*1E-6))^m_)*SQRT(1+(m_*G6*(L6+((L6)*1E-6))^(m_-1))^2)-(A6))-((L6)+(G6*(L6)^m_)*(m_*G6*(L6)^(m_-1))-(G6*(L6)^m_)*SQRT(1+(m_*G6*(L6)^(m_-1))^2)-(A6)))</f>
        <v/>
      </c>
      <c r="N6">
        <f>M6-((M6)+(G6*(M6)^m_)*(m_*G6*(M6)^(m_-1))-(G6*(M6)^m_)*SQRT(1+(m_*G6*(M6)^(m_-1))^2)-(A6))*((M6)*1E-6)/(((M6+((M6)*1E-6))+(G6*(M6+((M6)*1E-6))^m_)*(m_*G6*(M6+((M6)*1E-6))^(m_-1))-(G6*(M6+((M6)*1E-6))^m_)*SQRT(1+(m_*G6*(M6+((M6)*1E-6))^(m_-1))^2)-(A6))-((M6)+(G6*(M6)^m_)*(m_*G6*(M6)^(m_-1))-(G6*(M6)^m_)*SQRT(1+(m_*G6*(M6)^(m_-1))^2)-(A6)))</f>
        <v/>
      </c>
      <c r="O6">
        <f>N6-((N6)+(G6*(N6)^m_)*(m_*G6*(N6)^(m_-1))-(G6*(N6)^m_)*SQRT(1+(m_*G6*(N6)^(m_-1))^2)-(A6))*((N6)*1E-6)/(((N6+((N6)*1E-6))+(G6*(N6+((N6)*1E-6))^m_)*(m_*G6*(N6+((N6)*1E-6))^(m_-1))-(G6*(N6+((N6)*1E-6))^m_)*SQRT(1+(m_*G6*(N6+((N6)*1E-6))^(m_-1))^2)-(A6))-((N6)+(G6*(N6)^m_)*(m_*G6*(N6)^(m_-1))-(G6*(N6)^m_)*SQRT(1+(m_*G6*(N6)^(m_-1))^2)-(A6)))</f>
        <v/>
      </c>
      <c r="P6">
        <f>O6-((O6)+(G6*(O6)^m_)*(m_*G6*(O6)^(m_-1))-(G6*(O6)^m_)*SQRT(1+(m_*G6*(O6)^(m_-1))^2)-(A6))*((O6)*1E-6)/(((O6+((O6)*1E-6))+(G6*(O6+((O6)*1E-6))^m_)*(m_*G6*(O6+((O6)*1E-6))^(m_-1))-(G6*(O6+((O6)*1E-6))^m_)*SQRT(1+(m_*G6*(O6+((O6)*1E-6))^(m_-1))^2)-(A6))-((O6)+(G6*(O6)^m_)*(m_*G6*(O6)^(m_-1))-(G6*(O6)^m_)*SQRT(1+(m_*G6*(O6)^(m_-1))^2)-(A6)))</f>
        <v/>
      </c>
      <c r="Q6">
        <f>P6-((P6)+(G6*(P6)^m_)*(m_*G6*(P6)^(m_-1))-(G6*(P6)^m_)*SQRT(1+(m_*G6*(P6)^(m_-1))^2)-(A6))*((P6)*1E-6)/(((P6+((P6)*1E-6))+(G6*(P6+((P6)*1E-6))^m_)*(m_*G6*(P6+((P6)*1E-6))^(m_-1))-(G6*(P6+((P6)*1E-6))^m_)*SQRT(1+(m_*G6*(P6+((P6)*1E-6))^(m_-1))^2)-(A6))-((P6)+(G6*(P6)^m_)*(m_*G6*(P6)^(m_-1))-(G6*(P6)^m_)*SQRT(1+(m_*G6*(P6)^(m_-1))^2)-(A6)))</f>
        <v/>
      </c>
    </row>
    <row r="8">
      <c r="A8" t="inlineStr">
        <is>
          <t>σ′n de tangencia: σ′3 = σ′n + τ·tan φ′t − τ·√(1 + tan² φ′t), resuelta con 10 pasos de Newton (columnas H a Q); tan φ′t = m·τ/σ′n, c′t = (1 − m)·τ.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50" customWidth="1" min="2" max="2"/>
    <col width="10" customWidth="1" min="3" max="3"/>
    <col width="8" customWidth="1" min="4" max="4"/>
    <col width="7" customWidth="1" min="5" max="5"/>
    <col width="7" customWidth="1" min="6" max="6"/>
    <col width="8" customWidth="1" min="7" max="7"/>
  </cols>
  <sheetData>
    <row r="1">
      <c r="A1" s="1" t="inlineStr">
        <is>
          <t>Material</t>
        </is>
      </c>
      <c r="B1" s="1" t="inlineStr">
        <is>
          <t>Fuente</t>
        </is>
      </c>
      <c r="C1" s="1" t="inlineStr">
        <is>
          <t>γ (kN/m³)</t>
        </is>
      </c>
      <c r="D1" s="1" t="inlineStr">
        <is>
          <t>w</t>
        </is>
      </c>
      <c r="E1" s="1" t="inlineStr">
        <is>
          <t>Gs</t>
        </is>
      </c>
      <c r="F1" s="1" t="inlineStr">
        <is>
          <t>γw</t>
        </is>
      </c>
      <c r="G1" s="1" t="inlineStr">
        <is>
          <t>e</t>
        </is>
      </c>
    </row>
    <row r="2">
      <c r="A2" t="inlineStr">
        <is>
          <t>ROM</t>
        </is>
      </c>
      <c r="B2" t="inlineStr">
        <is>
          <t>SDA, INF-115-R-0005 (Stantec 2025), valor adoptado</t>
        </is>
      </c>
      <c r="C2" t="n">
        <v>20</v>
      </c>
      <c r="D2" t="n">
        <v>0.029</v>
      </c>
      <c r="E2" t="n">
        <v>2.75</v>
      </c>
      <c r="F2" t="n">
        <v>9.81</v>
      </c>
      <c r="G2">
        <f>E2*F2*(1+D2)/C2-1</f>
        <v/>
      </c>
    </row>
    <row r="3">
      <c r="A3" t="inlineStr">
        <is>
          <t>ROM</t>
        </is>
      </c>
      <c r="B3" t="inlineStr">
        <is>
          <t>DDE, INF-115-R-0004, Tabla 9-3</t>
        </is>
      </c>
      <c r="C3" t="n">
        <v>19.6</v>
      </c>
      <c r="D3" t="n">
        <v>0.029</v>
      </c>
      <c r="E3" t="n">
        <v>2.75</v>
      </c>
      <c r="F3" t="n">
        <v>9.81</v>
      </c>
      <c r="G3">
        <f>E3*F3*(1+D3)/C3-1</f>
        <v/>
      </c>
    </row>
    <row r="4">
      <c r="A4" t="inlineStr">
        <is>
          <t>ROM</t>
        </is>
      </c>
      <c r="B4" t="inlineStr">
        <is>
          <t>Golder 2010, citado en el DDE (p. 59)</t>
        </is>
      </c>
      <c r="C4" t="n">
        <v>20.75</v>
      </c>
      <c r="D4" t="n">
        <v>0.029</v>
      </c>
      <c r="E4" t="n">
        <v>2.75</v>
      </c>
      <c r="F4" t="n">
        <v>9.81</v>
      </c>
      <c r="G4">
        <f>E4*F4*(1+D4)/C4-1</f>
        <v/>
      </c>
    </row>
    <row r="5">
      <c r="A5" t="inlineStr">
        <is>
          <t>Chancado</t>
        </is>
      </c>
      <c r="B5" t="inlineStr">
        <is>
          <t>Golder 2010, citado en el DDE</t>
        </is>
      </c>
      <c r="C5" t="n">
        <v>21.66</v>
      </c>
      <c r="D5" t="n">
        <v>0.028</v>
      </c>
      <c r="E5" t="n">
        <v>2.75</v>
      </c>
      <c r="F5" t="n">
        <v>9.81</v>
      </c>
      <c r="G5">
        <f>E5*F5*(1+D5)/C5-1</f>
        <v/>
      </c>
    </row>
    <row r="6">
      <c r="A6" t="inlineStr">
        <is>
          <t>Chancado</t>
        </is>
      </c>
      <c r="B6" t="inlineStr">
        <is>
          <t>SDA, valor adoptado</t>
        </is>
      </c>
      <c r="C6" t="n">
        <v>22</v>
      </c>
      <c r="D6" t="n">
        <v>0.028</v>
      </c>
      <c r="E6" t="n">
        <v>2.75</v>
      </c>
      <c r="F6" t="n">
        <v>9.81</v>
      </c>
      <c r="G6">
        <f>E6*F6*(1+D6)/C6-1</f>
        <v/>
      </c>
    </row>
    <row r="7">
      <c r="A7" t="inlineStr">
        <is>
          <t>Enrocado 3B</t>
        </is>
      </c>
      <c r="B7" t="inlineStr">
        <is>
          <t>DDE y SDA</t>
        </is>
      </c>
      <c r="C7" t="n">
        <v>22</v>
      </c>
      <c r="D7" t="n">
        <v>0.029</v>
      </c>
      <c r="E7" t="n">
        <v>2.75</v>
      </c>
      <c r="F7" t="n">
        <v>9.81</v>
      </c>
      <c r="G7">
        <f>E7*F7*(1+D7)/C7-1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0" customWidth="1" min="3" max="3"/>
    <col width="16" customWidth="1" min="4" max="4"/>
    <col width="10" customWidth="1" min="5" max="5"/>
  </cols>
  <sheetData>
    <row r="1">
      <c r="A1" s="1" t="inlineStr">
        <is>
          <t>Profundidad (m)</t>
        </is>
      </c>
      <c r="B1" s="1" t="inlineStr">
        <is>
          <t>σ′v perfil A (MPa)</t>
        </is>
      </c>
      <c r="C1" s="1" t="inlineStr">
        <is>
          <t>e perfil A</t>
        </is>
      </c>
      <c r="D1" s="1" t="inlineStr">
        <is>
          <t>σ′v perfil V (MPa)</t>
        </is>
      </c>
      <c r="E1" s="1" t="inlineStr">
        <is>
          <t>e perfil V</t>
        </is>
      </c>
      <c r="G1" t="inlineStr">
        <is>
          <t>Valenzuela et al. (2008), curva de diseño (lectura de la figura): altura (m)</t>
        </is>
      </c>
      <c r="H1" t="inlineStr">
        <is>
          <t>γd (t/m³)</t>
        </is>
      </c>
    </row>
    <row r="2">
      <c r="A2" t="n">
        <v>0</v>
      </c>
      <c r="B2" t="n">
        <v>0</v>
      </c>
      <c r="C2" t="n">
        <v>0.45</v>
      </c>
      <c r="D2" t="n">
        <v>0</v>
      </c>
      <c r="E2" t="n">
        <v>0.45</v>
      </c>
      <c r="G2" t="n">
        <v>0</v>
      </c>
      <c r="H2" t="n">
        <v>1.84</v>
      </c>
    </row>
    <row r="3">
      <c r="A3" t="n">
        <v>10</v>
      </c>
      <c r="B3" t="n">
        <v>0.1979878077495044</v>
      </c>
      <c r="C3" t="n">
        <v>0.4053282392091527</v>
      </c>
      <c r="D3" t="n">
        <v>0.1961134223632267</v>
      </c>
      <c r="E3" t="n">
        <v>0.4382008009153319</v>
      </c>
      <c r="G3" t="n">
        <v>40</v>
      </c>
      <c r="H3" t="n">
        <v>1.9</v>
      </c>
    </row>
    <row r="4">
      <c r="A4" t="n">
        <v>20</v>
      </c>
      <c r="B4" t="n">
        <v>0.4013215504788309</v>
      </c>
      <c r="C4" t="n">
        <v>0.3823929308437676</v>
      </c>
      <c r="D4" t="n">
        <v>0.3938420991392839</v>
      </c>
      <c r="E4" t="n">
        <v>0.4264016018306637</v>
      </c>
      <c r="G4" t="n">
        <v>80</v>
      </c>
      <c r="H4" t="n">
        <v>1.95</v>
      </c>
    </row>
    <row r="5">
      <c r="A5" t="n">
        <v>30</v>
      </c>
      <c r="B5" t="n">
        <v>0.6072499035564938</v>
      </c>
      <c r="C5" t="n">
        <v>0.3689484669960268</v>
      </c>
      <c r="D5" t="n">
        <v>0.5932128589795993</v>
      </c>
      <c r="E5" t="n">
        <v>0.4146024027459956</v>
      </c>
      <c r="G5" t="n">
        <v>120</v>
      </c>
      <c r="H5" t="n">
        <v>2</v>
      </c>
    </row>
    <row r="6">
      <c r="A6" t="n">
        <v>40</v>
      </c>
      <c r="B6" t="n">
        <v>0.8148938099150808</v>
      </c>
      <c r="C6" t="n">
        <v>0.3594012283856653</v>
      </c>
      <c r="D6" t="n">
        <v>0.7942532045548797</v>
      </c>
      <c r="E6" t="n">
        <v>0.4028032036613274</v>
      </c>
      <c r="G6" t="n">
        <v>160</v>
      </c>
      <c r="H6" t="n">
        <v>2.05</v>
      </c>
    </row>
    <row r="7">
      <c r="A7" t="n">
        <v>50</v>
      </c>
      <c r="B7" t="n">
        <v>1.023832382745292</v>
      </c>
      <c r="C7" t="n">
        <v>0.3515847866578273</v>
      </c>
      <c r="D7" t="n">
        <v>0.9968172533971081</v>
      </c>
      <c r="E7" t="n">
        <v>0.3935252009622721</v>
      </c>
      <c r="G7" t="n">
        <v>200</v>
      </c>
      <c r="H7" t="n">
        <v>2.1</v>
      </c>
    </row>
    <row r="8">
      <c r="A8" t="n">
        <v>60</v>
      </c>
      <c r="B8" t="n">
        <v>1.234120675332481</v>
      </c>
      <c r="C8" t="n">
        <v>0.3422905735770674</v>
      </c>
      <c r="D8" t="n">
        <v>1.200734249563864</v>
      </c>
      <c r="E8" t="n">
        <v>0.3842471982632168</v>
      </c>
      <c r="G8" t="n">
        <v>240</v>
      </c>
      <c r="H8" t="n">
        <v>2.14</v>
      </c>
    </row>
    <row r="9">
      <c r="A9" t="n">
        <v>70</v>
      </c>
      <c r="B9" t="n">
        <v>1.44575688453215</v>
      </c>
      <c r="C9" t="n">
        <v>0.3344159033560062</v>
      </c>
      <c r="D9" t="n">
        <v>1.406022387611298</v>
      </c>
      <c r="E9" t="n">
        <v>0.3749691955641615</v>
      </c>
      <c r="G9" t="n">
        <v>280</v>
      </c>
      <c r="H9" t="n">
        <v>2.18</v>
      </c>
    </row>
    <row r="10">
      <c r="A10" t="n">
        <v>80</v>
      </c>
      <c r="B10" t="n">
        <v>1.658562308470221</v>
      </c>
      <c r="C10" t="n">
        <v>0.3275838686451243</v>
      </c>
      <c r="D10" t="n">
        <v>1.61270023160457</v>
      </c>
      <c r="E10" t="n">
        <v>0.3656911928651062</v>
      </c>
      <c r="G10" t="n">
        <v>320</v>
      </c>
      <c r="H10" t="n">
        <v>2.21</v>
      </c>
    </row>
    <row r="11">
      <c r="A11" t="n">
        <v>90</v>
      </c>
      <c r="B11" t="n">
        <v>1.872401613339894</v>
      </c>
      <c r="C11" t="n">
        <v>0.3215502465361392</v>
      </c>
      <c r="D11" t="n">
        <v>1.820752968889046</v>
      </c>
      <c r="E11" t="n">
        <v>0.3568770903010036</v>
      </c>
      <c r="G11" t="n">
        <v>360</v>
      </c>
      <c r="H11" t="n">
        <v>2.24</v>
      </c>
    </row>
    <row r="12">
      <c r="A12" t="n">
        <v>100</v>
      </c>
      <c r="B12" t="n">
        <v>2.087168595626501</v>
      </c>
      <c r="C12" t="n">
        <v>0.3161477068656509</v>
      </c>
      <c r="D12" t="n">
        <v>2.030161383037141</v>
      </c>
      <c r="E12" t="n">
        <v>0.348062987736901</v>
      </c>
      <c r="G12" t="n">
        <v>400</v>
      </c>
      <c r="H12" t="n">
        <v>2.27</v>
      </c>
    </row>
    <row r="13">
      <c r="A13" t="n">
        <v>110</v>
      </c>
      <c r="B13" t="n">
        <v>2.302777594004227</v>
      </c>
      <c r="C13" t="n">
        <v>0.3112565756548817</v>
      </c>
      <c r="D13" t="n">
        <v>2.240943257236737</v>
      </c>
      <c r="E13" t="n">
        <v>0.3392488851727984</v>
      </c>
      <c r="G13" t="n">
        <v>440</v>
      </c>
      <c r="H13" t="n">
        <v>2.3</v>
      </c>
    </row>
    <row r="14">
      <c r="A14" t="n">
        <v>120</v>
      </c>
      <c r="B14" t="n">
        <v>2.519157992461281</v>
      </c>
      <c r="C14" t="n">
        <v>0.3067882960919994</v>
      </c>
      <c r="D14" t="n">
        <v>2.453116726895475</v>
      </c>
      <c r="E14" t="n">
        <v>0.3304347826086958</v>
      </c>
      <c r="G14" t="n">
        <v>480</v>
      </c>
      <c r="H14" t="n">
        <v>2.32</v>
      </c>
    </row>
    <row r="15">
      <c r="A15" t="n">
        <v>130</v>
      </c>
      <c r="B15" t="n">
        <v>2.736250534203471</v>
      </c>
      <c r="C15" t="n">
        <v>0.3026754951653088</v>
      </c>
      <c r="D15" t="n">
        <v>2.666667329447628</v>
      </c>
      <c r="E15" t="n">
        <v>0.3220506362672324</v>
      </c>
      <c r="G15" t="n">
        <v>520</v>
      </c>
      <c r="H15" t="n">
        <v>2.34</v>
      </c>
    </row>
    <row r="16">
      <c r="A16" t="n">
        <v>140</v>
      </c>
      <c r="B16" t="n">
        <v>2.954004755070506</v>
      </c>
      <c r="C16" t="n">
        <v>0.2988657228348998</v>
      </c>
      <c r="D16" t="n">
        <v>2.881576322676452</v>
      </c>
      <c r="E16" t="n">
        <v>0.313666489925769</v>
      </c>
      <c r="G16" t="n">
        <v>560</v>
      </c>
      <c r="H16" t="n">
        <v>2.355</v>
      </c>
    </row>
    <row r="17">
      <c r="A17" t="n">
        <v>150</v>
      </c>
      <c r="B17" t="n">
        <v>3.172377140097938</v>
      </c>
      <c r="C17" t="n">
        <v>0.2953173459488598</v>
      </c>
      <c r="D17" t="n">
        <v>3.097861098657748</v>
      </c>
      <c r="E17" t="n">
        <v>0.3052823435843056</v>
      </c>
      <c r="G17" t="n">
        <v>600</v>
      </c>
      <c r="H17" t="n">
        <v>2.37</v>
      </c>
    </row>
    <row r="18">
      <c r="A18" t="n">
        <v>160</v>
      </c>
      <c r="B18" t="n">
        <v>3.391329764488307</v>
      </c>
      <c r="C18" t="n">
        <v>0.2919967640131948</v>
      </c>
      <c r="D18" t="n">
        <v>3.31553938563818</v>
      </c>
      <c r="E18" t="n">
        <v>0.2968981972428422</v>
      </c>
    </row>
    <row r="19">
      <c r="A19" t="n">
        <v>170</v>
      </c>
      <c r="B19" t="n">
        <v>3.610829269179326</v>
      </c>
      <c r="C19" t="n">
        <v>0.2888764669034085</v>
      </c>
      <c r="D19" t="n">
        <v>3.534597054561168</v>
      </c>
      <c r="E19" t="n">
        <v>0.288913295965258</v>
      </c>
    </row>
    <row r="20">
      <c r="A20" t="n">
        <v>180</v>
      </c>
      <c r="B20" t="n">
        <v>3.830846073676276</v>
      </c>
      <c r="C20" t="n">
        <v>0.2859336463373871</v>
      </c>
      <c r="D20" t="n">
        <v>3.755015813822409</v>
      </c>
      <c r="E20" t="n">
        <v>0.2809283946876738</v>
      </c>
    </row>
    <row r="21">
      <c r="A21" t="n">
        <v>190</v>
      </c>
      <c r="B21" t="n">
        <v>4.051353760997159</v>
      </c>
      <c r="C21" t="n">
        <v>0.2831491818246682</v>
      </c>
      <c r="D21" t="n">
        <v>3.976812683192638</v>
      </c>
      <c r="E21" t="n">
        <v>0.2729434934100896</v>
      </c>
    </row>
    <row r="22">
      <c r="A22" t="n">
        <v>200</v>
      </c>
      <c r="B22" t="n">
        <v>4.272328589975944</v>
      </c>
      <c r="C22" t="n">
        <v>0.2805068860741972</v>
      </c>
      <c r="D22" t="n">
        <v>4.200005003688043</v>
      </c>
      <c r="E22" t="n">
        <v>0.2649585921325053</v>
      </c>
    </row>
    <row r="23">
      <c r="A23" t="n">
        <v>210</v>
      </c>
      <c r="B23" t="n">
        <v>4.493749103474142</v>
      </c>
      <c r="C23" t="n">
        <v>0.2779929340587143</v>
      </c>
      <c r="D23" t="n">
        <v>4.424452425266412</v>
      </c>
      <c r="E23" t="n">
        <v>0.2588393219945436</v>
      </c>
    </row>
    <row r="24">
      <c r="A24" t="n">
        <v>220</v>
      </c>
      <c r="B24" t="n">
        <v>4.715595809951894</v>
      </c>
      <c r="C24" t="n">
        <v>0.2755954245758738</v>
      </c>
      <c r="D24" t="n">
        <v>4.649993424427469</v>
      </c>
      <c r="E24" t="n">
        <v>0.2527200518565818</v>
      </c>
    </row>
    <row r="25">
      <c r="A25" t="n">
        <v>230</v>
      </c>
      <c r="B25" t="n">
        <v>4.937850921939562</v>
      </c>
      <c r="C25" t="n">
        <v>0.2733040390378416</v>
      </c>
      <c r="D25" t="n">
        <v>4.876638709868147</v>
      </c>
      <c r="E25" t="n">
        <v>0.24660078171862</v>
      </c>
    </row>
    <row r="26">
      <c r="A26" t="n">
        <v>240</v>
      </c>
      <c r="B26" t="n">
        <v>5.160498139201482</v>
      </c>
      <c r="C26" t="n">
        <v>0.2711097727100327</v>
      </c>
      <c r="D26" t="n">
        <v>5.104399148354635</v>
      </c>
      <c r="E26" t="n">
        <v>0.2404815115806583</v>
      </c>
    </row>
    <row r="27">
      <c r="A27" t="n">
        <v>250</v>
      </c>
      <c r="B27" t="n">
        <v>5.383522467404347</v>
      </c>
      <c r="C27" t="n">
        <v>0.2690047206882689</v>
      </c>
      <c r="D27" t="n">
        <v>5.333266008299323</v>
      </c>
      <c r="E27" t="n">
        <v>0.2345868018147318</v>
      </c>
    </row>
    <row r="28">
      <c r="A28" t="n">
        <v>260</v>
      </c>
      <c r="B28" t="n">
        <v>5.606910065284615</v>
      </c>
      <c r="C28" t="n">
        <v>0.2669819057577048</v>
      </c>
      <c r="D28" t="n">
        <v>5.563228113640824</v>
      </c>
      <c r="E28" t="n">
        <v>0.2286920920488054</v>
      </c>
    </row>
    <row r="29">
      <c r="A29" t="n">
        <v>270</v>
      </c>
      <c r="B29" t="n">
        <v>5.830648114908795</v>
      </c>
      <c r="C29" t="n">
        <v>0.2650351386676079</v>
      </c>
      <c r="D29" t="n">
        <v>5.794295997428107</v>
      </c>
      <c r="E29" t="n">
        <v>0.222797382282879</v>
      </c>
    </row>
    <row r="30">
      <c r="A30" t="n">
        <v>280</v>
      </c>
      <c r="B30" t="n">
        <v>6.054724710808864</v>
      </c>
      <c r="C30" t="n">
        <v>0.2631589037617896</v>
      </c>
      <c r="D30" t="n">
        <v>6.026480345390168</v>
      </c>
      <c r="E30" t="n">
        <v>0.2169026725169526</v>
      </c>
    </row>
    <row r="31">
      <c r="A31" t="n">
        <v>290</v>
      </c>
      <c r="B31" t="n">
        <v>6.27912876466896</v>
      </c>
      <c r="C31" t="n">
        <v>0.2613482646358645</v>
      </c>
      <c r="D31" t="n">
        <v>6.259644576504417</v>
      </c>
      <c r="E31" t="n">
        <v>0.2126216728905671</v>
      </c>
    </row>
    <row r="32">
      <c r="A32" t="n">
        <v>300</v>
      </c>
      <c r="B32" t="n">
        <v>6.503849922919534</v>
      </c>
      <c r="C32" t="n">
        <v>0.2595987857550176</v>
      </c>
      <c r="D32" t="n">
        <v>6.493633347341969</v>
      </c>
      <c r="E32" t="n">
        <v>0.2083406732641817</v>
      </c>
    </row>
    <row r="33">
      <c r="A33" t="n">
        <v>310</v>
      </c>
      <c r="B33" t="n">
        <v>6.728878495118026</v>
      </c>
      <c r="C33" t="n">
        <v>0.2579064668977823</v>
      </c>
      <c r="D33" t="n">
        <v>6.72845251025171</v>
      </c>
      <c r="E33" t="n">
        <v>0.2040596736377962</v>
      </c>
    </row>
    <row r="34">
      <c r="A34" t="n">
        <v>320</v>
      </c>
      <c r="B34" t="n">
        <v>6.95420539140093</v>
      </c>
      <c r="C34" t="n">
        <v>0.2562676879868264</v>
      </c>
      <c r="D34" t="n">
        <v>6.964107980111962</v>
      </c>
      <c r="E34" t="n">
        <v>0.1997786740114108</v>
      </c>
    </row>
    <row r="35">
      <c r="A35" t="n">
        <v>330</v>
      </c>
      <c r="B35" t="n">
        <v>7.17982206761009</v>
      </c>
      <c r="C35" t="n">
        <v>0.2546791623922743</v>
      </c>
      <c r="D35" t="n">
        <v>7.20059496756221</v>
      </c>
      <c r="E35" t="n">
        <v>0.1956123440178749</v>
      </c>
    </row>
    <row r="36">
      <c r="A36" t="n">
        <v>340</v>
      </c>
      <c r="B36" t="n">
        <v>7.405720476947098</v>
      </c>
      <c r="C36" t="n">
        <v>0.2531378971925432</v>
      </c>
      <c r="D36" t="n">
        <v>7.437907405165642</v>
      </c>
      <c r="E36" t="n">
        <v>0.191446014024339</v>
      </c>
    </row>
    <row r="37">
      <c r="A37" t="n">
        <v>350</v>
      </c>
      <c r="B37" t="n">
        <v>7.631893027209666</v>
      </c>
      <c r="C37" t="n">
        <v>0.2516411591846066</v>
      </c>
      <c r="D37" t="n">
        <v>7.676051075526054</v>
      </c>
      <c r="E37" t="n">
        <v>0.1872796840308031</v>
      </c>
    </row>
    <row r="38">
      <c r="A38" t="n">
        <v>360</v>
      </c>
      <c r="B38" t="n">
        <v>7.858332542824064</v>
      </c>
      <c r="C38" t="n">
        <v>0.2501864456734747</v>
      </c>
      <c r="D38" t="n">
        <v>7.915031822225024</v>
      </c>
      <c r="E38" t="n">
        <v>0.1831133540372672</v>
      </c>
    </row>
    <row r="39">
      <c r="A39" t="n">
        <v>370</v>
      </c>
      <c r="B39" t="n">
        <v>8.085032231017196</v>
      </c>
      <c r="C39" t="n">
        <v>0.2487714592564761</v>
      </c>
      <c r="D39" t="n">
        <v>8.154844917190365</v>
      </c>
      <c r="E39" t="n">
        <v>0.1790571473034724</v>
      </c>
    </row>
    <row r="40">
      <c r="A40" t="n">
        <v>380</v>
      </c>
      <c r="B40" t="n">
        <v>8.311985651577114</v>
      </c>
      <c r="C40" t="n">
        <v>0.2473940859641442</v>
      </c>
      <c r="D40" t="n">
        <v>8.395484372061945</v>
      </c>
      <c r="E40" t="n">
        <v>0.1750009405696776</v>
      </c>
    </row>
    <row r="41">
      <c r="A41" t="n">
        <v>390</v>
      </c>
      <c r="B41" t="n">
        <v>8.539186689736669</v>
      </c>
      <c r="C41" t="n">
        <v>0.2460523762353857</v>
      </c>
      <c r="D41" t="n">
        <v>8.636955901561739</v>
      </c>
      <c r="E41" t="n">
        <v>0.1709447338358828</v>
      </c>
    </row>
    <row r="42">
      <c r="A42" t="n">
        <v>400</v>
      </c>
      <c r="B42" t="n">
        <v>8.766629531785858</v>
      </c>
      <c r="C42" t="n">
        <v>0.2447445282970425</v>
      </c>
      <c r="D42" t="n">
        <v>8.87926527989802</v>
      </c>
      <c r="E42" t="n">
        <v>0.166888527102088</v>
      </c>
    </row>
    <row r="43">
      <c r="A43" t="n">
        <v>410</v>
      </c>
      <c r="B43" t="n">
        <v>8.994308643076748</v>
      </c>
      <c r="C43" t="n">
        <v>0.2434688735921588</v>
      </c>
      <c r="D43" t="n">
        <v>9.1224078386927</v>
      </c>
      <c r="E43" t="n">
        <v>0.1629381344570008</v>
      </c>
    </row>
    <row r="44">
      <c r="A44" t="n">
        <v>420</v>
      </c>
      <c r="B44" t="n">
        <v>9.222218748133598</v>
      </c>
      <c r="C44" t="n">
        <v>0.2422238639611823</v>
      </c>
      <c r="D44" t="n">
        <v>9.366377666549043</v>
      </c>
      <c r="E44" t="n">
        <v>0.1589877418119137</v>
      </c>
    </row>
    <row r="45">
      <c r="A45" t="n">
        <v>430</v>
      </c>
      <c r="B45" t="n">
        <v>9.450354812621207</v>
      </c>
      <c r="C45" t="n">
        <v>0.2410080603289744</v>
      </c>
      <c r="D45" t="n">
        <v>9.611180412097507</v>
      </c>
      <c r="E45" t="n">
        <v>0.1550373491668266</v>
      </c>
    </row>
    <row r="46">
      <c r="A46" t="n">
        <v>440</v>
      </c>
      <c r="B46" t="n">
        <v>9.678712026958689</v>
      </c>
      <c r="C46" t="n">
        <v>0.2398201226902246</v>
      </c>
      <c r="D46" t="n">
        <v>9.856821782020459</v>
      </c>
      <c r="E46" t="n">
        <v>0.1510869565217395</v>
      </c>
    </row>
    <row r="47">
      <c r="A47" t="n">
        <v>450</v>
      </c>
      <c r="B47" t="n">
        <v>9.907285791394452</v>
      </c>
      <c r="C47" t="n">
        <v>0.2386588012184418</v>
      </c>
      <c r="D47" t="n">
        <v>10.10316754522467</v>
      </c>
      <c r="E47" t="n">
        <v>0.1485101199400303</v>
      </c>
    </row>
    <row r="48">
      <c r="A48" t="n">
        <v>460</v>
      </c>
      <c r="B48" t="n">
        <v>10.1360717023825</v>
      </c>
      <c r="C48" t="n">
        <v>0.2375229283505633</v>
      </c>
      <c r="D48" t="n">
        <v>10.35006660833696</v>
      </c>
      <c r="E48" t="n">
        <v>0.1459332833583212</v>
      </c>
    </row>
    <row r="49">
      <c r="A49" t="n">
        <v>470</v>
      </c>
      <c r="B49" t="n">
        <v>10.36506554012066</v>
      </c>
      <c r="C49" t="n">
        <v>0.236411411721461</v>
      </c>
      <c r="D49" t="n">
        <v>10.59752146240945</v>
      </c>
      <c r="E49" t="n">
        <v>0.143356446776612</v>
      </c>
    </row>
    <row r="50">
      <c r="A50" t="n">
        <v>480</v>
      </c>
      <c r="B50" t="n">
        <v>10.59426325712911</v>
      </c>
      <c r="C50" t="n">
        <v>0.2353232278411343</v>
      </c>
      <c r="D50" t="n">
        <v>10.84553461535493</v>
      </c>
      <c r="E50" t="n">
        <v>0.1407796101949029</v>
      </c>
    </row>
    <row r="51">
      <c r="A51" t="n">
        <v>490</v>
      </c>
      <c r="B51" t="n">
        <v>10.82366096776229</v>
      </c>
      <c r="C51" t="n">
        <v>0.2342574164228296</v>
      </c>
      <c r="D51" t="n">
        <v>11.09410402460746</v>
      </c>
      <c r="E51" t="n">
        <v>0.1382468221017699</v>
      </c>
    </row>
    <row r="52">
      <c r="A52" t="n">
        <v>500</v>
      </c>
      <c r="B52" t="n">
        <v>11.05325493856056</v>
      </c>
      <c r="C52" t="n">
        <v>0.2332130752832891</v>
      </c>
      <c r="D52" t="n">
        <v>11.34322712773509</v>
      </c>
      <c r="E52" t="n">
        <v>0.135714034008637</v>
      </c>
    </row>
    <row r="53">
      <c r="A53" t="n">
        <v>510</v>
      </c>
      <c r="B53" t="n">
        <v>11.28304157935885</v>
      </c>
      <c r="C53" t="n">
        <v>0.232189355747239</v>
      </c>
      <c r="D53" t="n">
        <v>11.59290639697657</v>
      </c>
      <c r="E53" t="n">
        <v>0.133181245915504</v>
      </c>
    </row>
    <row r="54">
      <c r="A54" t="n">
        <v>520</v>
      </c>
      <c r="B54" t="n">
        <v>11.51301743507917</v>
      </c>
      <c r="C54" t="n">
        <v>0.2311854584974457</v>
      </c>
      <c r="D54" t="n">
        <v>11.84314432116554</v>
      </c>
      <c r="E54" t="n">
        <v>0.1306484578223711</v>
      </c>
    </row>
    <row r="55">
      <c r="A55" t="n">
        <v>530</v>
      </c>
      <c r="B55" t="n">
        <v>11.74317917814228</v>
      </c>
      <c r="C55" t="n">
        <v>0.2302006298194801</v>
      </c>
      <c r="D55" t="n">
        <v>12.09387361268945</v>
      </c>
      <c r="E55" t="n">
        <v>0.1287770984669352</v>
      </c>
    </row>
    <row r="56">
      <c r="A56" t="n">
        <v>540</v>
      </c>
      <c r="B56" t="n">
        <v>11.97352360144093</v>
      </c>
      <c r="C56" t="n">
        <v>0.2292341581969805</v>
      </c>
      <c r="D56" t="n">
        <v>12.34501890716365</v>
      </c>
      <c r="E56" t="n">
        <v>0.1269057391114994</v>
      </c>
    </row>
    <row r="57">
      <c r="A57" t="n">
        <v>550</v>
      </c>
      <c r="B57" t="n">
        <v>12.20404761182355</v>
      </c>
      <c r="C57" t="n">
        <v>0.2282853712188707</v>
      </c>
      <c r="D57" t="n">
        <v>12.59658158732329</v>
      </c>
      <c r="E57" t="n">
        <v>0.1250343797560636</v>
      </c>
    </row>
    <row r="58">
      <c r="A58" t="n">
        <v>560</v>
      </c>
      <c r="B58" t="n">
        <v>12.43474822404265</v>
      </c>
      <c r="C58" t="n">
        <v>0.2273536327648522</v>
      </c>
      <c r="D58" t="n">
        <v>12.84856304280905</v>
      </c>
      <c r="E58" t="n">
        <v>0.1231630204006278</v>
      </c>
    </row>
    <row r="59">
      <c r="A59" t="n">
        <v>570</v>
      </c>
      <c r="B59" t="n">
        <v>12.66562255512702</v>
      </c>
      <c r="C59" t="n">
        <v>0.2264383404396521</v>
      </c>
      <c r="D59" t="n">
        <v>13.10096213820832</v>
      </c>
      <c r="E59" t="n">
        <v>0.1213153491382988</v>
      </c>
    </row>
    <row r="60">
      <c r="A60" t="n">
        <v>580</v>
      </c>
      <c r="B60" t="n">
        <v>12.89666781914125</v>
      </c>
      <c r="C60" t="n">
        <v>0.2255389232301014</v>
      </c>
      <c r="D60" t="n">
        <v>13.35377745555697</v>
      </c>
      <c r="E60" t="n">
        <v>0.1194676778759698</v>
      </c>
    </row>
    <row r="61">
      <c r="A61" t="n">
        <v>590</v>
      </c>
      <c r="B61" t="n">
        <v>13.12788132229957</v>
      </c>
      <c r="C61" t="n">
        <v>0.2246548393622155</v>
      </c>
      <c r="D61" t="n">
        <v>13.60701036987507</v>
      </c>
      <c r="E61" t="n">
        <v>0.1176200066136409</v>
      </c>
    </row>
    <row r="62">
      <c r="A62" t="n">
        <v>600</v>
      </c>
      <c r="B62" t="n">
        <v>13.35926045840449</v>
      </c>
      <c r="C62" t="n">
        <v>0.2237855743381313</v>
      </c>
      <c r="D62" t="n">
        <v>13.86066226300763</v>
      </c>
      <c r="E62" t="n">
        <v>0.1157723353513119</v>
      </c>
    </row>
    <row r="63">
      <c r="A63" t="n">
        <v>610</v>
      </c>
      <c r="B63" t="n">
        <v>13.59080270458364</v>
      </c>
      <c r="C63" t="n">
        <v>0.2229306391350849</v>
      </c>
      <c r="D63" t="n">
        <v>14.11453461763167</v>
      </c>
    </row>
    <row r="64">
      <c r="A64" t="n">
        <v>620</v>
      </c>
      <c r="B64" t="n">
        <v>13.82250561730061</v>
      </c>
      <c r="C64" t="n">
        <v>0.222089568550639</v>
      </c>
      <c r="D64" t="n">
        <v>14.3684069722557</v>
      </c>
    </row>
    <row r="65">
      <c r="A65" t="n">
        <v>630</v>
      </c>
      <c r="B65" t="n">
        <v>14.05436682861824</v>
      </c>
      <c r="C65" t="n">
        <v>0.221261919680134</v>
      </c>
      <c r="D65" t="n">
        <v>14.62227932687974</v>
      </c>
    </row>
    <row r="66">
      <c r="A66" t="n">
        <v>640</v>
      </c>
      <c r="B66" t="n">
        <v>14.2863840426944</v>
      </c>
      <c r="C66" t="n">
        <v>0.220447270513886</v>
      </c>
      <c r="D66" t="n">
        <v>14.87615168150378</v>
      </c>
    </row>
    <row r="67">
      <c r="A67" t="n">
        <v>650</v>
      </c>
      <c r="B67" t="n">
        <v>14.5185550324925</v>
      </c>
      <c r="C67" t="n">
        <v>0.2196452186430015</v>
      </c>
      <c r="D67" t="n">
        <v>15.13002403612781</v>
      </c>
    </row>
    <row r="68">
      <c r="A68" t="n">
        <v>660</v>
      </c>
      <c r="B68" t="n">
        <v>14.7508776366906</v>
      </c>
      <c r="C68" t="n">
        <v>0.2188553800638714</v>
      </c>
      <c r="D68" t="n">
        <v>15.38389639075185</v>
      </c>
    </row>
    <row r="69">
      <c r="A69" t="n">
        <v>670</v>
      </c>
      <c r="B69" t="n">
        <v>14.98334975677392</v>
      </c>
      <c r="C69" t="n">
        <v>0.2180773880724514</v>
      </c>
      <c r="D69" t="n">
        <v>15.63776874537588</v>
      </c>
    </row>
    <row r="70">
      <c r="A70" t="n">
        <v>680</v>
      </c>
      <c r="B70" t="n">
        <v>15.21596935429775</v>
      </c>
      <c r="C70" t="n">
        <v>0.2173108922403541</v>
      </c>
      <c r="D70" t="n">
        <v>15.89164109999992</v>
      </c>
    </row>
    <row r="71">
      <c r="A71" t="n">
        <v>690</v>
      </c>
      <c r="B71" t="n">
        <v>15.44873444830808</v>
      </c>
      <c r="C71" t="n">
        <v>0.2165555574655956</v>
      </c>
      <c r="D71" t="n">
        <v>16.14551345462396</v>
      </c>
    </row>
    <row r="72">
      <c r="A72" t="n">
        <v>700</v>
      </c>
      <c r="B72" t="n">
        <v>15.6816431129088</v>
      </c>
      <c r="C72" t="n">
        <v>0.2158110630915586</v>
      </c>
      <c r="D72" t="n">
        <v>16.399385809248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8" customWidth="1" min="3" max="3"/>
    <col width="14" customWidth="1" min="4" max="4"/>
    <col width="14" customWidth="1" min="5" max="5"/>
    <col width="10" customWidth="1" min="6" max="6"/>
    <col width="10" customWidth="1" min="7" max="7"/>
  </cols>
  <sheetData>
    <row r="1">
      <c r="A1" s="1" t="inlineStr">
        <is>
          <t>Ensayo</t>
        </is>
      </c>
      <c r="B1" s="1" t="inlineStr">
        <is>
          <t>Diámetro (mm)</t>
        </is>
      </c>
      <c r="C1" s="1" t="inlineStr">
        <is>
          <t>e0</t>
        </is>
      </c>
      <c r="D1" s="1" t="inlineStr">
        <is>
          <t>Cc1 (0.2–0.8 MPa)</t>
        </is>
      </c>
      <c r="E1" s="1" t="inlineStr">
        <is>
          <t>Cc2 (1.2–4.8 MPa)</t>
        </is>
      </c>
      <c r="F1" s="1" t="inlineStr">
        <is>
          <t>e a 300 m</t>
        </is>
      </c>
      <c r="G1" s="1" t="inlineStr">
        <is>
          <t>e a 700 m</t>
        </is>
      </c>
    </row>
    <row r="2">
      <c r="A2" t="inlineStr">
        <is>
          <t>INT-edo-0.6m-C4 (IDIEM/WSP)</t>
        </is>
      </c>
      <c r="B2" t="n">
        <v>600</v>
      </c>
      <c r="C2" t="n">
        <v>0.425</v>
      </c>
      <c r="D2" t="n">
        <v>0.07309585955514436</v>
      </c>
      <c r="E2" t="n">
        <v>0.07308577804448901</v>
      </c>
      <c r="F2" t="n">
        <v>0.2959748795609864</v>
      </c>
      <c r="G2" t="n">
        <v>0.268417195794952</v>
      </c>
    </row>
    <row r="3">
      <c r="A3" t="inlineStr">
        <is>
          <t>HF-edo-1.0m (IDIEM)</t>
        </is>
      </c>
      <c r="B3" t="n">
        <v>1000</v>
      </c>
      <c r="C3" t="n">
        <v>0.238</v>
      </c>
      <c r="D3" t="n">
        <v>0.01701348389860784</v>
      </c>
      <c r="E3" t="n">
        <v>0.05492262591998575</v>
      </c>
      <c r="F3" t="n">
        <v>0.3849536905861862</v>
      </c>
      <c r="G3" t="n">
        <v>0.3644197876393088</v>
      </c>
    </row>
    <row r="4">
      <c r="A4" t="inlineStr">
        <is>
          <t>MN-edo-1.0m-2021 (IDIEM)</t>
        </is>
      </c>
      <c r="B4" t="n">
        <v>1000</v>
      </c>
      <c r="C4" t="n">
        <v>0.238</v>
      </c>
      <c r="D4" t="n">
        <v>0.02011799228196822</v>
      </c>
      <c r="E4" t="n">
        <v>0.04793222694081214</v>
      </c>
      <c r="F4" t="n">
        <v>0.3863627444848005</v>
      </c>
      <c r="G4" t="n">
        <v>0.368475647680085</v>
      </c>
    </row>
    <row r="5">
      <c r="A5" t="inlineStr">
        <is>
          <t>MN-edo-1.0m-2011 (IDIEM 708.397-A)</t>
        </is>
      </c>
      <c r="B5" t="n">
        <v>949.7</v>
      </c>
      <c r="C5" t="n">
        <v>0.286</v>
      </c>
      <c r="D5" t="n">
        <v>0.03290876131086148</v>
      </c>
      <c r="E5" t="n">
        <v>0.1224388060872296</v>
      </c>
      <c r="F5" t="n">
        <v>0.3096175274168385</v>
      </c>
      <c r="G5" t="n">
        <v>0.2628450713159432</v>
      </c>
    </row>
    <row r="6">
      <c r="A6" t="inlineStr">
        <is>
          <t>MN-edo-0.24m-1.86 (Golder Test 1)</t>
        </is>
      </c>
      <c r="B6" t="n">
        <v>241</v>
      </c>
      <c r="C6" t="n">
        <v>0.455</v>
      </c>
      <c r="D6" t="n">
        <v>0.07474338213496558</v>
      </c>
      <c r="E6" t="n">
        <v>0.1145612523015702</v>
      </c>
      <c r="F6" t="n">
        <v>0.2595987857550175</v>
      </c>
      <c r="G6" t="n">
        <v>0.2158110630915585</v>
      </c>
    </row>
    <row r="7">
      <c r="A7" t="inlineStr">
        <is>
          <t>HF-edo-0.24m-2.1 (Golder)</t>
        </is>
      </c>
      <c r="B7" t="n">
        <v>240</v>
      </c>
      <c r="C7" t="n">
        <v>0.317</v>
      </c>
      <c r="D7" t="n">
        <v>0.01336012795759243</v>
      </c>
      <c r="E7" t="n">
        <v>0.09447527239276306</v>
      </c>
      <c r="F7" t="n">
        <v>0.3584421493881887</v>
      </c>
      <c r="G7" t="n">
        <v>0.3227131519140529</v>
      </c>
    </row>
    <row r="8">
      <c r="A8" t="inlineStr">
        <is>
          <t>HF-edo-0.24m-1.8 (Golder)</t>
        </is>
      </c>
      <c r="B8" t="n">
        <v>240</v>
      </c>
      <c r="C8" t="n">
        <v>0.532</v>
      </c>
      <c r="D8" t="n">
        <v>0.118182046002576</v>
      </c>
      <c r="E8" t="n">
        <v>0.1068903850771351</v>
      </c>
      <c r="F8" t="n">
        <v>0.207428461158097</v>
      </c>
      <c r="G8" t="n">
        <v>0.1665456458919203</v>
      </c>
    </row>
    <row r="9">
      <c r="A9" t="inlineStr">
        <is>
          <t>MN-edo-0.24m-2.3 (Golder)</t>
        </is>
      </c>
      <c r="B9" t="n">
        <v>240</v>
      </c>
      <c r="C9" t="n">
        <v>0.178</v>
      </c>
      <c r="D9" t="n">
        <v>0.01670015994699063</v>
      </c>
      <c r="E9" t="n">
        <v>0.0402938587630927</v>
      </c>
      <c r="F9" t="n">
        <v>0.3968725145233312</v>
      </c>
      <c r="G9" t="n">
        <v>0.3818709401863418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2" customWidth="1" min="3" max="3"/>
    <col width="22" customWidth="1" min="4" max="4"/>
    <col width="22" customWidth="1" min="5" max="5"/>
    <col width="10" customWidth="1" min="6" max="6"/>
    <col width="12" customWidth="1" min="7" max="7"/>
  </cols>
  <sheetData>
    <row r="1">
      <c r="A1" s="1" t="inlineStr">
        <is>
          <t>D lab (mm)</t>
        </is>
      </c>
      <c r="B1" s="1" t="inlineStr">
        <is>
          <t>m_w</t>
        </is>
      </c>
      <c r="C1" s="1" t="inlineStr">
        <is>
          <t>D campo (mm)</t>
        </is>
      </c>
      <c r="D1" s="1" t="inlineStr">
        <is>
          <t>λ = (Dlab/Dcampo)^(3/mw)</t>
        </is>
      </c>
      <c r="E1" s="1" t="inlineStr">
        <is>
          <t>Factor sobre τ = λ^(1−m)</t>
        </is>
      </c>
      <c r="F1" s="1" t="inlineStr">
        <is>
          <t>φ′1 (°)</t>
        </is>
      </c>
      <c r="G1" s="1" t="inlineStr">
        <is>
          <t>Diferencia (°)</t>
        </is>
      </c>
    </row>
    <row r="2">
      <c r="A2" t="n">
        <v>178</v>
      </c>
      <c r="B2" t="n">
        <v>4</v>
      </c>
      <c r="C2" t="n">
        <v>1000</v>
      </c>
      <c r="D2">
        <f>(A2/C2)^(3/B2)</f>
        <v/>
      </c>
      <c r="E2">
        <f>D2^(1-m_)</f>
        <v/>
      </c>
      <c r="F2">
        <f>DEGREES(ATAN(E2*TAN(RADIANS(pe0-omega*e_base))))</f>
        <v/>
      </c>
      <c r="G2">
        <f>F2-(pe0-omega*e_base)</f>
        <v/>
      </c>
    </row>
    <row r="3">
      <c r="A3" t="n">
        <v>178</v>
      </c>
      <c r="B3" t="n">
        <v>6.6667</v>
      </c>
      <c r="C3" t="n">
        <v>1000</v>
      </c>
      <c r="D3">
        <f>(A3/C3)^(3/B3)</f>
        <v/>
      </c>
      <c r="E3">
        <f>D3^(1-m_)</f>
        <v/>
      </c>
      <c r="F3">
        <f>DEGREES(ATAN(E3*TAN(RADIANS(pe0-omega*e_base))))</f>
        <v/>
      </c>
      <c r="G3">
        <f>F3-(pe0-omega*e_base)</f>
        <v/>
      </c>
    </row>
    <row r="4">
      <c r="A4" t="n">
        <v>178</v>
      </c>
      <c r="B4" t="n">
        <v>10</v>
      </c>
      <c r="C4" t="n">
        <v>1000</v>
      </c>
      <c r="D4">
        <f>(A4/C4)^(3/B4)</f>
        <v/>
      </c>
      <c r="E4">
        <f>D4^(1-m_)</f>
        <v/>
      </c>
      <c r="F4">
        <f>DEGREES(ATAN(E4*TAN(RADIANS(pe0-omega*e_base))))</f>
        <v/>
      </c>
      <c r="G4">
        <f>F4-(pe0-omega*e_base)</f>
        <v/>
      </c>
    </row>
    <row r="5">
      <c r="A5" t="n">
        <v>102</v>
      </c>
      <c r="B5" t="n">
        <v>4</v>
      </c>
      <c r="C5" t="n">
        <v>1000</v>
      </c>
      <c r="D5">
        <f>(A5/C5)^(3/B5)</f>
        <v/>
      </c>
      <c r="E5">
        <f>D5^(1-m_)</f>
        <v/>
      </c>
      <c r="F5">
        <f>DEGREES(ATAN(E5*TAN(RADIANS(pe0-omega*e_base))))</f>
        <v/>
      </c>
      <c r="G5">
        <f>F5-(pe0-omega*e_base)</f>
        <v/>
      </c>
    </row>
    <row r="6">
      <c r="A6" t="n">
        <v>102</v>
      </c>
      <c r="B6" t="n">
        <v>6.6667</v>
      </c>
      <c r="C6" t="n">
        <v>1000</v>
      </c>
      <c r="D6">
        <f>(A6/C6)^(3/B6)</f>
        <v/>
      </c>
      <c r="E6">
        <f>D6^(1-m_)</f>
        <v/>
      </c>
      <c r="F6">
        <f>DEGREES(ATAN(E6*TAN(RADIANS(pe0-omega*e_base))))</f>
        <v/>
      </c>
      <c r="G6">
        <f>F6-(pe0-omega*e_base)</f>
        <v/>
      </c>
    </row>
    <row r="7">
      <c r="A7" t="n">
        <v>102</v>
      </c>
      <c r="B7" t="n">
        <v>10</v>
      </c>
      <c r="C7" t="n">
        <v>1000</v>
      </c>
      <c r="D7">
        <f>(A7/C7)^(3/B7)</f>
        <v/>
      </c>
      <c r="E7">
        <f>D7^(1-m_)</f>
        <v/>
      </c>
      <c r="F7">
        <f>DEGREES(ATAN(E7*TAN(RADIANS(pe0-omega*e_base))))</f>
        <v/>
      </c>
      <c r="G7">
        <f>F7-(pe0-omega*e_base)</f>
        <v/>
      </c>
    </row>
    <row r="8">
      <c r="A8" t="n">
        <v>25</v>
      </c>
      <c r="B8" t="n">
        <v>4</v>
      </c>
      <c r="C8" t="n">
        <v>1000</v>
      </c>
      <c r="D8">
        <f>(A8/C8)^(3/B8)</f>
        <v/>
      </c>
      <c r="E8">
        <f>D8^(1-m_)</f>
        <v/>
      </c>
      <c r="F8">
        <f>DEGREES(ATAN(E8*TAN(RADIANS(pe0-omega*e_base))))</f>
        <v/>
      </c>
      <c r="G8">
        <f>F8-(pe0-omega*e_base)</f>
        <v/>
      </c>
    </row>
    <row r="9">
      <c r="A9" t="n">
        <v>25</v>
      </c>
      <c r="B9" t="n">
        <v>6.6667</v>
      </c>
      <c r="C9" t="n">
        <v>1000</v>
      </c>
      <c r="D9">
        <f>(A9/C9)^(3/B9)</f>
        <v/>
      </c>
      <c r="E9">
        <f>D9^(1-m_)</f>
        <v/>
      </c>
      <c r="F9">
        <f>DEGREES(ATAN(E9*TAN(RADIANS(pe0-omega*e_base))))</f>
        <v/>
      </c>
      <c r="G9">
        <f>F9-(pe0-omega*e_base)</f>
        <v/>
      </c>
    </row>
    <row r="10">
      <c r="A10" t="n">
        <v>25</v>
      </c>
      <c r="B10" t="n">
        <v>10</v>
      </c>
      <c r="C10" t="n">
        <v>1000</v>
      </c>
      <c r="D10">
        <f>(A10/C10)^(3/B10)</f>
        <v/>
      </c>
      <c r="E10">
        <f>D10^(1-m_)</f>
        <v/>
      </c>
      <c r="F10">
        <f>DEGREES(ATAN(E10*TAN(RADIANS(pe0-omega*e_base))))</f>
        <v/>
      </c>
      <c r="G10">
        <f>F10-(pe0-omega*e_base)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2026-10-13T19:08:16Z</dcterms:created>
  <dcterms:modified xmlns:dcterms="http://purl.org/dc/terms/" xmlns:xsi="http://www.w3.org/2001/XMLSchema-instance" xsi:type="dcterms:W3CDTF">2026-10-13T19:08:17Z</dcterms:modified>
</cp:coreProperties>
</file>