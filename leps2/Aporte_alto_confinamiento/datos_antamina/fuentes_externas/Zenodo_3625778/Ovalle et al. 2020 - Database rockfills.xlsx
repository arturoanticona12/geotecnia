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OVALE\Dropbox\L_Shrd Carlos O\JGGE ASCE 2019\Revision Nov2019\"/>
    </mc:Choice>
  </mc:AlternateContent>
  <xr:revisionPtr revIDLastSave="0" documentId="13_ncr:1_{2C5A037E-84F9-422C-A8E8-2552E0DE9F42}" xr6:coauthVersionLast="41" xr6:coauthVersionMax="41" xr10:uidLastSave="{00000000-0000-0000-0000-000000000000}"/>
  <bookViews>
    <workbookView xWindow="-120" yWindow="-120" windowWidth="29040" windowHeight="15840" xr2:uid="{E5699D97-6535-46CC-8161-43AB1AC6C4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</calcChain>
</file>

<file path=xl/sharedStrings.xml><?xml version="1.0" encoding="utf-8"?>
<sst xmlns="http://schemas.openxmlformats.org/spreadsheetml/2006/main" count="487" uniqueCount="76">
  <si>
    <t>N°</t>
  </si>
  <si>
    <t>Reference</t>
  </si>
  <si>
    <t>Material name</t>
  </si>
  <si>
    <t>Material description</t>
  </si>
  <si>
    <t>Maximum particle size, dmax (mm)</t>
  </si>
  <si>
    <t>Sample diameter (mm)</t>
  </si>
  <si>
    <t>Initial void ratio</t>
  </si>
  <si>
    <t>Maximum principal stress, σ1 (MPa)</t>
  </si>
  <si>
    <t>Maximum friction angle, φmax (°)</t>
  </si>
  <si>
    <t>Marsal's Breakage ratio, Bg (%)</t>
  </si>
  <si>
    <t>Initial Cu</t>
  </si>
  <si>
    <t>(Marsal et al., 1965)</t>
  </si>
  <si>
    <t>Infiernillo Rockfill (dry)</t>
  </si>
  <si>
    <t xml:space="preserve">Silified conglomerate </t>
  </si>
  <si>
    <t>Infiernillo Cantera N°5 (dry)</t>
  </si>
  <si>
    <t>Diorite</t>
  </si>
  <si>
    <t>Malpaso (dry)</t>
  </si>
  <si>
    <t>Conglomerate</t>
  </si>
  <si>
    <t xml:space="preserve">(Marsal, 1973)  </t>
  </si>
  <si>
    <t>San Francisco grad. 2</t>
  </si>
  <si>
    <t>Basalt</t>
  </si>
  <si>
    <t>Mica grad. X</t>
  </si>
  <si>
    <t>Granitic gneiss</t>
  </si>
  <si>
    <t>Mica grad. Y</t>
  </si>
  <si>
    <t>San Francisco grad. 1</t>
  </si>
  <si>
    <t>Infiernillo (dry)</t>
  </si>
  <si>
    <t>(Marachi et al., 1969)</t>
  </si>
  <si>
    <t>Crushed Basalt</t>
  </si>
  <si>
    <t>Oroville Dam</t>
  </si>
  <si>
    <t>Augite, biotite and quartz</t>
  </si>
  <si>
    <t>Pyramid Dam</t>
  </si>
  <si>
    <t>Argillite</t>
  </si>
  <si>
    <t>(Linero et al., 2007)</t>
  </si>
  <si>
    <t>CAD waste Truncated GSD</t>
  </si>
  <si>
    <t>Granodiorite</t>
  </si>
  <si>
    <t>CAD waste Parallel PSD</t>
  </si>
  <si>
    <t>(Palma et al., 2009)</t>
  </si>
  <si>
    <t>Andina waste rock 1</t>
  </si>
  <si>
    <t>Andina waste rock 2</t>
  </si>
  <si>
    <t>Porphyry</t>
  </si>
  <si>
    <t>(Dorador, 2010)</t>
  </si>
  <si>
    <t>Rancagua rockfill</t>
  </si>
  <si>
    <t>Andesite</t>
  </si>
  <si>
    <t>Leached rockfill</t>
  </si>
  <si>
    <t>Altered granite</t>
  </si>
  <si>
    <t>(Contreras, 2011)</t>
  </si>
  <si>
    <t>Natural waste rock</t>
  </si>
  <si>
    <t>Felsic and andesíte</t>
  </si>
  <si>
    <t>Leached waste rock</t>
  </si>
  <si>
    <t>Crushed waste rock</t>
  </si>
  <si>
    <t>(Bard et al., 2012)</t>
  </si>
  <si>
    <t>ROM waste rock</t>
  </si>
  <si>
    <t>(Ovalle et al., 2014)</t>
  </si>
  <si>
    <t>STV</t>
  </si>
  <si>
    <t>Shale</t>
  </si>
  <si>
    <t>(Becker et al., 1972)</t>
  </si>
  <si>
    <t>Venato</t>
  </si>
  <si>
    <t>Sandstone</t>
  </si>
  <si>
    <t>(Besio, 2012)</t>
  </si>
  <si>
    <t>Black marble</t>
  </si>
  <si>
    <t>Marble</t>
  </si>
  <si>
    <t>Slate</t>
  </si>
  <si>
    <t>This work</t>
  </si>
  <si>
    <t>ANR Pedra granite</t>
  </si>
  <si>
    <t>Granite</t>
  </si>
  <si>
    <t>Ste. Cécile d'Andorge dam</t>
  </si>
  <si>
    <t xml:space="preserve">Pilbara </t>
  </si>
  <si>
    <t>Confinning stress, σ3 (MPa)</t>
  </si>
  <si>
    <t>Secant Young modulus, E50 (MPa)</t>
  </si>
  <si>
    <t>(Marsal, 1967)</t>
  </si>
  <si>
    <t>El Granero, GSD A, dense</t>
  </si>
  <si>
    <t>El Granero, GSD B, dense</t>
  </si>
  <si>
    <t>El Granero, GSD B, loose</t>
  </si>
  <si>
    <t>El Granero, GSD A, loose</t>
  </si>
  <si>
    <t>Schist and mica-schist</t>
  </si>
  <si>
    <t>Colluvial BIF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</si>
</sst>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31AE-2B4D-4E69-A03A-D3E0E07BAA91}">
  <dimension ref="A1:S159"/>
  <sheetViews>
    <sheetView tabSelected="1" workbookViewId="0">
      <pane ySplit="1" topLeftCell="A2" activePane="bottomLeft" state="frozen"/>
      <selection pane="bottomLeft" activeCell="A160" sqref="A160:XFD218"/>
    </sheetView>
  </sheetViews>
  <sheetFormatPr baseColWidth="10" defaultRowHeight="15" x14ac:dyDescent="0.25"/>
  <cols>
    <col min="1" max="1" width="4" bestFit="1" customWidth="1"/>
    <col min="2" max="2" width="46.7109375" bestFit="1" customWidth="1"/>
    <col min="3" max="3" width="23.85546875" bestFit="1" customWidth="1"/>
    <col min="4" max="4" width="12.140625" bestFit="1" customWidth="1"/>
    <col min="5" max="5" width="25.42578125" bestFit="1" customWidth="1"/>
    <col min="6" max="6" width="9.140625" bestFit="1" customWidth="1"/>
    <col min="7" max="8" width="12" bestFit="1" customWidth="1"/>
    <col min="9" max="9" width="14.85546875" bestFit="1" customWidth="1"/>
    <col min="10" max="10" width="13.28515625" bestFit="1" customWidth="1"/>
    <col min="11" max="11" width="12.7109375" bestFit="1" customWidth="1"/>
    <col min="12" max="12" width="11.7109375" bestFit="1" customWidth="1"/>
    <col min="13" max="13" width="12" style="5" bestFit="1" customWidth="1"/>
  </cols>
  <sheetData>
    <row r="1" spans="1:19" s="1" customFormat="1" ht="49.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67</v>
      </c>
      <c r="I1" s="1" t="s">
        <v>7</v>
      </c>
      <c r="J1" s="1" t="s">
        <v>8</v>
      </c>
      <c r="K1" s="1" t="s">
        <v>68</v>
      </c>
      <c r="L1" s="1" t="s">
        <v>9</v>
      </c>
      <c r="M1" s="4" t="s">
        <v>10</v>
      </c>
    </row>
    <row r="2" spans="1:19" x14ac:dyDescent="0.25">
      <c r="A2">
        <v>1</v>
      </c>
      <c r="B2" t="s">
        <v>12</v>
      </c>
      <c r="C2" t="s">
        <v>13</v>
      </c>
      <c r="D2">
        <v>200</v>
      </c>
      <c r="E2" t="s">
        <v>11</v>
      </c>
      <c r="F2">
        <v>1130</v>
      </c>
      <c r="G2" s="3">
        <v>0.69</v>
      </c>
      <c r="H2">
        <v>3.5999999999999997E-2</v>
      </c>
      <c r="I2">
        <v>0.26</v>
      </c>
      <c r="J2">
        <v>49.3</v>
      </c>
      <c r="K2">
        <v>12</v>
      </c>
      <c r="M2" s="5">
        <v>4.25</v>
      </c>
      <c r="N2" s="3"/>
      <c r="O2" s="3"/>
      <c r="P2" s="2"/>
      <c r="Q2" s="3"/>
      <c r="R2" s="3"/>
      <c r="S2" s="2"/>
    </row>
    <row r="3" spans="1:19" x14ac:dyDescent="0.25">
      <c r="A3">
        <f>+A2+1</f>
        <v>2</v>
      </c>
      <c r="B3" t="s">
        <v>12</v>
      </c>
      <c r="C3" t="s">
        <v>13</v>
      </c>
      <c r="D3">
        <v>200</v>
      </c>
      <c r="E3" t="s">
        <v>11</v>
      </c>
      <c r="F3">
        <v>1130</v>
      </c>
      <c r="G3" s="3">
        <v>0.7</v>
      </c>
      <c r="H3">
        <v>7.2999999999999995E-2</v>
      </c>
      <c r="I3">
        <v>0.46100000000000002</v>
      </c>
      <c r="J3">
        <v>46.5</v>
      </c>
      <c r="K3">
        <v>18.600000000000001</v>
      </c>
      <c r="M3" s="5">
        <v>4.25</v>
      </c>
      <c r="N3" s="3"/>
      <c r="O3" s="3"/>
      <c r="P3" s="2"/>
      <c r="Q3" s="3"/>
      <c r="R3" s="3"/>
      <c r="S3" s="2"/>
    </row>
    <row r="4" spans="1:19" x14ac:dyDescent="0.25">
      <c r="A4">
        <f t="shared" ref="A4:A67" si="0">+A3+1</f>
        <v>3</v>
      </c>
      <c r="B4" t="s">
        <v>12</v>
      </c>
      <c r="C4" t="s">
        <v>13</v>
      </c>
      <c r="D4">
        <v>200</v>
      </c>
      <c r="E4" t="s">
        <v>11</v>
      </c>
      <c r="F4">
        <v>1130</v>
      </c>
      <c r="G4" s="3">
        <v>0.65</v>
      </c>
      <c r="H4">
        <v>3.5000000000000003E-2</v>
      </c>
      <c r="I4">
        <v>0.246</v>
      </c>
      <c r="J4">
        <v>48.8</v>
      </c>
      <c r="K4">
        <v>14</v>
      </c>
      <c r="M4" s="5">
        <v>4.25</v>
      </c>
      <c r="N4" s="3"/>
      <c r="O4" s="3"/>
      <c r="P4" s="2"/>
      <c r="Q4" s="3"/>
      <c r="R4" s="3"/>
      <c r="S4" s="2"/>
    </row>
    <row r="5" spans="1:19" x14ac:dyDescent="0.25">
      <c r="A5">
        <f t="shared" si="0"/>
        <v>4</v>
      </c>
      <c r="B5" t="s">
        <v>12</v>
      </c>
      <c r="C5" t="s">
        <v>13</v>
      </c>
      <c r="D5">
        <v>200</v>
      </c>
      <c r="E5" t="s">
        <v>11</v>
      </c>
      <c r="F5">
        <v>1130</v>
      </c>
      <c r="G5" s="3">
        <v>0.7</v>
      </c>
      <c r="H5">
        <v>0.05</v>
      </c>
      <c r="I5">
        <v>0.309</v>
      </c>
      <c r="J5">
        <v>46.2</v>
      </c>
      <c r="K5">
        <v>12.3</v>
      </c>
      <c r="M5" s="5">
        <v>4.25</v>
      </c>
      <c r="N5" s="3"/>
      <c r="O5" s="3"/>
      <c r="P5" s="2"/>
      <c r="Q5" s="3"/>
      <c r="R5" s="3"/>
      <c r="S5" s="2"/>
    </row>
    <row r="6" spans="1:19" x14ac:dyDescent="0.25">
      <c r="A6">
        <f t="shared" si="0"/>
        <v>5</v>
      </c>
      <c r="B6" t="s">
        <v>12</v>
      </c>
      <c r="C6" t="s">
        <v>13</v>
      </c>
      <c r="D6">
        <v>200</v>
      </c>
      <c r="E6" t="s">
        <v>11</v>
      </c>
      <c r="F6">
        <v>1130</v>
      </c>
      <c r="G6" s="3">
        <v>0.6</v>
      </c>
      <c r="H6">
        <v>6.8000000000000005E-2</v>
      </c>
      <c r="I6">
        <v>0.42199999999999999</v>
      </c>
      <c r="J6">
        <v>46.2</v>
      </c>
      <c r="K6">
        <v>14.7</v>
      </c>
      <c r="M6" s="5">
        <v>4.25</v>
      </c>
      <c r="N6" s="3"/>
      <c r="O6" s="3"/>
      <c r="P6" s="2"/>
      <c r="Q6" s="3"/>
      <c r="R6" s="3"/>
      <c r="S6" s="2"/>
    </row>
    <row r="7" spans="1:19" x14ac:dyDescent="0.25">
      <c r="A7">
        <f t="shared" si="0"/>
        <v>6</v>
      </c>
      <c r="B7" t="s">
        <v>12</v>
      </c>
      <c r="C7" t="s">
        <v>13</v>
      </c>
      <c r="D7">
        <v>200</v>
      </c>
      <c r="E7" t="s">
        <v>11</v>
      </c>
      <c r="F7">
        <v>1130</v>
      </c>
      <c r="G7" s="3">
        <v>0.62</v>
      </c>
      <c r="H7">
        <v>6.8000000000000005E-2</v>
      </c>
      <c r="I7">
        <v>0.42099999999999999</v>
      </c>
      <c r="J7">
        <v>46.1</v>
      </c>
      <c r="K7">
        <v>14.7</v>
      </c>
      <c r="M7" s="5">
        <v>4.25</v>
      </c>
      <c r="N7" s="3"/>
      <c r="O7" s="3"/>
      <c r="P7" s="2"/>
      <c r="Q7" s="3"/>
      <c r="R7" s="3"/>
      <c r="S7" s="2"/>
    </row>
    <row r="8" spans="1:19" x14ac:dyDescent="0.25">
      <c r="A8">
        <f t="shared" si="0"/>
        <v>7</v>
      </c>
      <c r="B8" t="s">
        <v>12</v>
      </c>
      <c r="C8" t="s">
        <v>13</v>
      </c>
      <c r="D8">
        <v>200</v>
      </c>
      <c r="E8" t="s">
        <v>11</v>
      </c>
      <c r="F8">
        <v>1130</v>
      </c>
      <c r="G8" s="3">
        <v>0.55000000000000004</v>
      </c>
      <c r="H8">
        <v>0.192</v>
      </c>
      <c r="I8">
        <v>1.1479999999999999</v>
      </c>
      <c r="J8">
        <v>45.6</v>
      </c>
      <c r="K8">
        <v>24.5</v>
      </c>
      <c r="M8" s="5">
        <v>4.25</v>
      </c>
      <c r="N8" s="3"/>
      <c r="O8" s="3"/>
      <c r="P8" s="2"/>
      <c r="Q8" s="3"/>
      <c r="R8" s="3"/>
      <c r="S8" s="2"/>
    </row>
    <row r="9" spans="1:19" x14ac:dyDescent="0.25">
      <c r="A9">
        <f t="shared" si="0"/>
        <v>8</v>
      </c>
      <c r="B9" t="s">
        <v>12</v>
      </c>
      <c r="C9" t="s">
        <v>13</v>
      </c>
      <c r="D9">
        <v>200</v>
      </c>
      <c r="E9" t="s">
        <v>11</v>
      </c>
      <c r="F9">
        <v>1130</v>
      </c>
      <c r="G9" s="3">
        <v>0.55000000000000004</v>
      </c>
      <c r="H9">
        <v>0.497</v>
      </c>
      <c r="I9">
        <v>2.3929999999999998</v>
      </c>
      <c r="J9">
        <v>41</v>
      </c>
      <c r="K9">
        <v>32.700000000000003</v>
      </c>
      <c r="L9">
        <v>13.8</v>
      </c>
      <c r="M9" s="5">
        <v>4.25</v>
      </c>
      <c r="N9" s="3"/>
      <c r="O9" s="3"/>
      <c r="P9" s="2"/>
      <c r="Q9" s="3"/>
      <c r="R9" s="3"/>
      <c r="S9" s="2"/>
    </row>
    <row r="10" spans="1:19" x14ac:dyDescent="0.25">
      <c r="A10">
        <f t="shared" si="0"/>
        <v>9</v>
      </c>
      <c r="B10" t="s">
        <v>12</v>
      </c>
      <c r="C10" t="s">
        <v>13</v>
      </c>
      <c r="D10">
        <v>200</v>
      </c>
      <c r="E10" t="s">
        <v>11</v>
      </c>
      <c r="F10">
        <v>1130</v>
      </c>
      <c r="G10" s="3">
        <v>0.62</v>
      </c>
      <c r="H10">
        <v>1.0169999999999999</v>
      </c>
      <c r="I10">
        <v>4.5579999999999998</v>
      </c>
      <c r="J10">
        <v>39.4</v>
      </c>
      <c r="K10">
        <v>46.6</v>
      </c>
      <c r="M10" s="5">
        <v>4.25</v>
      </c>
      <c r="N10" s="3"/>
      <c r="O10" s="3"/>
      <c r="P10" s="2"/>
      <c r="Q10" s="3"/>
      <c r="R10" s="3"/>
      <c r="S10" s="2"/>
    </row>
    <row r="11" spans="1:19" x14ac:dyDescent="0.25">
      <c r="A11">
        <f t="shared" si="0"/>
        <v>10</v>
      </c>
      <c r="B11" t="s">
        <v>12</v>
      </c>
      <c r="C11" t="s">
        <v>13</v>
      </c>
      <c r="D11">
        <v>200</v>
      </c>
      <c r="E11" t="s">
        <v>11</v>
      </c>
      <c r="F11">
        <v>1130</v>
      </c>
      <c r="G11" s="3">
        <v>0.51</v>
      </c>
      <c r="H11">
        <v>1.7210000000000001</v>
      </c>
      <c r="I11">
        <v>7.1920000000000002</v>
      </c>
      <c r="J11">
        <v>37.9</v>
      </c>
      <c r="K11">
        <v>70.599999999999994</v>
      </c>
      <c r="M11" s="5">
        <v>4.25</v>
      </c>
      <c r="N11" s="3"/>
      <c r="O11" s="3"/>
      <c r="P11" s="2"/>
      <c r="Q11" s="3"/>
      <c r="R11" s="3"/>
      <c r="S11" s="2"/>
    </row>
    <row r="12" spans="1:19" x14ac:dyDescent="0.25">
      <c r="A12">
        <f t="shared" si="0"/>
        <v>11</v>
      </c>
      <c r="B12" t="s">
        <v>12</v>
      </c>
      <c r="C12" t="s">
        <v>13</v>
      </c>
      <c r="D12">
        <v>200</v>
      </c>
      <c r="E12" t="s">
        <v>11</v>
      </c>
      <c r="F12">
        <v>1130</v>
      </c>
      <c r="G12" s="3">
        <v>0.45</v>
      </c>
      <c r="H12">
        <v>2.5369999999999999</v>
      </c>
      <c r="I12">
        <v>10.225</v>
      </c>
      <c r="J12">
        <v>37</v>
      </c>
      <c r="K12">
        <v>91.1</v>
      </c>
      <c r="L12">
        <v>10.6</v>
      </c>
      <c r="M12" s="5">
        <v>4.25</v>
      </c>
      <c r="N12" s="3"/>
      <c r="O12" s="3"/>
      <c r="P12" s="2"/>
      <c r="Q12" s="3"/>
      <c r="R12" s="3"/>
      <c r="S12" s="2"/>
    </row>
    <row r="13" spans="1:19" x14ac:dyDescent="0.25">
      <c r="A13">
        <f t="shared" si="0"/>
        <v>12</v>
      </c>
      <c r="B13" t="s">
        <v>12</v>
      </c>
      <c r="C13" t="s">
        <v>13</v>
      </c>
      <c r="D13">
        <v>200</v>
      </c>
      <c r="E13" t="s">
        <v>11</v>
      </c>
      <c r="F13">
        <v>1130</v>
      </c>
      <c r="G13" s="3">
        <v>0.51</v>
      </c>
      <c r="H13">
        <v>0.192</v>
      </c>
      <c r="I13">
        <v>1.1519999999999999</v>
      </c>
      <c r="J13">
        <v>45.6</v>
      </c>
      <c r="K13">
        <v>24.5</v>
      </c>
      <c r="M13" s="5">
        <v>4.25</v>
      </c>
      <c r="N13" s="3"/>
      <c r="O13" s="3"/>
      <c r="P13" s="2"/>
      <c r="Q13" s="3"/>
      <c r="R13" s="3"/>
      <c r="S13" s="2"/>
    </row>
    <row r="14" spans="1:19" x14ac:dyDescent="0.25">
      <c r="A14">
        <f t="shared" si="0"/>
        <v>13</v>
      </c>
      <c r="B14" t="s">
        <v>12</v>
      </c>
      <c r="C14" t="s">
        <v>13</v>
      </c>
      <c r="D14">
        <v>200</v>
      </c>
      <c r="E14" t="s">
        <v>11</v>
      </c>
      <c r="F14">
        <v>1130</v>
      </c>
      <c r="G14" s="3">
        <v>0.5</v>
      </c>
      <c r="H14">
        <v>0.497</v>
      </c>
      <c r="I14">
        <v>2.5369999999999999</v>
      </c>
      <c r="J14">
        <v>42.2</v>
      </c>
      <c r="K14">
        <v>34.299999999999997</v>
      </c>
      <c r="L14">
        <v>6.3</v>
      </c>
      <c r="M14" s="5">
        <v>4.25</v>
      </c>
      <c r="N14" s="3"/>
      <c r="O14" s="3"/>
      <c r="P14" s="2"/>
      <c r="Q14" s="3"/>
      <c r="R14" s="3"/>
      <c r="S14" s="2"/>
    </row>
    <row r="15" spans="1:19" x14ac:dyDescent="0.25">
      <c r="A15">
        <f t="shared" si="0"/>
        <v>14</v>
      </c>
      <c r="B15" t="s">
        <v>12</v>
      </c>
      <c r="C15" t="s">
        <v>13</v>
      </c>
      <c r="D15">
        <v>200</v>
      </c>
      <c r="E15" t="s">
        <v>11</v>
      </c>
      <c r="F15">
        <v>1130</v>
      </c>
      <c r="G15" s="3">
        <v>0.4</v>
      </c>
      <c r="H15">
        <v>1.0169999999999999</v>
      </c>
      <c r="I15">
        <v>4.5369999999999999</v>
      </c>
      <c r="J15">
        <v>39.299999999999997</v>
      </c>
      <c r="K15">
        <v>60.5</v>
      </c>
      <c r="L15">
        <v>15.3</v>
      </c>
      <c r="M15" s="5">
        <v>4.25</v>
      </c>
      <c r="N15" s="3"/>
      <c r="O15" s="3"/>
      <c r="P15" s="2"/>
      <c r="Q15" s="3"/>
      <c r="R15" s="3"/>
      <c r="S15" s="2"/>
    </row>
    <row r="16" spans="1:19" x14ac:dyDescent="0.25">
      <c r="A16">
        <f t="shared" si="0"/>
        <v>15</v>
      </c>
      <c r="B16" t="s">
        <v>12</v>
      </c>
      <c r="C16" t="s">
        <v>13</v>
      </c>
      <c r="D16">
        <v>200</v>
      </c>
      <c r="E16" t="s">
        <v>11</v>
      </c>
      <c r="F16">
        <v>1130</v>
      </c>
      <c r="G16" s="3">
        <v>0.4</v>
      </c>
      <c r="H16">
        <v>1.7210000000000001</v>
      </c>
      <c r="I16">
        <v>7.141</v>
      </c>
      <c r="J16">
        <v>37.700000000000003</v>
      </c>
      <c r="K16">
        <v>77.099999999999994</v>
      </c>
      <c r="L16">
        <v>14.3</v>
      </c>
      <c r="M16" s="5">
        <v>4.25</v>
      </c>
      <c r="N16" s="3"/>
      <c r="O16" s="3"/>
      <c r="P16" s="2"/>
      <c r="Q16" s="3"/>
      <c r="R16" s="3"/>
      <c r="S16" s="2"/>
    </row>
    <row r="17" spans="1:19" x14ac:dyDescent="0.25">
      <c r="A17">
        <f t="shared" si="0"/>
        <v>16</v>
      </c>
      <c r="B17" t="s">
        <v>12</v>
      </c>
      <c r="C17" t="s">
        <v>13</v>
      </c>
      <c r="D17">
        <v>200</v>
      </c>
      <c r="E17" t="s">
        <v>11</v>
      </c>
      <c r="F17">
        <v>1130</v>
      </c>
      <c r="G17" s="3">
        <v>0.46</v>
      </c>
      <c r="H17">
        <v>2.5369999999999999</v>
      </c>
      <c r="I17">
        <v>9.92</v>
      </c>
      <c r="J17">
        <v>36.299999999999997</v>
      </c>
      <c r="K17">
        <v>88.3</v>
      </c>
      <c r="L17">
        <v>14.1</v>
      </c>
      <c r="M17" s="5">
        <v>4.25</v>
      </c>
      <c r="N17" s="3"/>
      <c r="O17" s="3"/>
      <c r="P17" s="2"/>
      <c r="Q17" s="3"/>
      <c r="R17" s="3"/>
      <c r="S17" s="2"/>
    </row>
    <row r="18" spans="1:19" x14ac:dyDescent="0.25">
      <c r="A18">
        <f t="shared" si="0"/>
        <v>17</v>
      </c>
      <c r="B18" t="s">
        <v>14</v>
      </c>
      <c r="C18" t="s">
        <v>15</v>
      </c>
      <c r="D18">
        <v>200</v>
      </c>
      <c r="E18" t="s">
        <v>11</v>
      </c>
      <c r="F18">
        <v>1130</v>
      </c>
      <c r="G18" s="3">
        <v>0.45</v>
      </c>
      <c r="H18">
        <v>4.1000000000000002E-2</v>
      </c>
      <c r="I18">
        <v>0.308</v>
      </c>
      <c r="J18">
        <v>50</v>
      </c>
      <c r="K18">
        <v>12.8</v>
      </c>
      <c r="L18">
        <v>7.9</v>
      </c>
      <c r="M18" s="5">
        <v>4.83</v>
      </c>
      <c r="N18" s="3"/>
      <c r="O18" s="3"/>
      <c r="P18" s="2"/>
      <c r="Q18" s="3"/>
      <c r="R18" s="3"/>
      <c r="S18" s="2"/>
    </row>
    <row r="19" spans="1:19" x14ac:dyDescent="0.25">
      <c r="A19">
        <f t="shared" si="0"/>
        <v>18</v>
      </c>
      <c r="B19" t="s">
        <v>14</v>
      </c>
      <c r="C19" t="s">
        <v>15</v>
      </c>
      <c r="D19">
        <v>200</v>
      </c>
      <c r="E19" t="s">
        <v>11</v>
      </c>
      <c r="F19">
        <v>1130</v>
      </c>
      <c r="G19" s="3">
        <v>0.61</v>
      </c>
      <c r="H19">
        <v>9.1999999999999998E-2</v>
      </c>
      <c r="I19">
        <v>0.56399999999999995</v>
      </c>
      <c r="J19">
        <v>46.1</v>
      </c>
      <c r="K19">
        <v>15.1</v>
      </c>
      <c r="L19">
        <v>10.8</v>
      </c>
      <c r="M19" s="5">
        <v>7.62</v>
      </c>
      <c r="N19" s="3"/>
      <c r="O19" s="3"/>
      <c r="P19" s="2"/>
      <c r="Q19" s="3"/>
      <c r="R19" s="3"/>
      <c r="S19" s="2"/>
    </row>
    <row r="20" spans="1:19" x14ac:dyDescent="0.25">
      <c r="A20">
        <f t="shared" si="0"/>
        <v>19</v>
      </c>
      <c r="B20" t="s">
        <v>14</v>
      </c>
      <c r="C20" t="s">
        <v>15</v>
      </c>
      <c r="D20">
        <v>200</v>
      </c>
      <c r="E20" t="s">
        <v>11</v>
      </c>
      <c r="F20">
        <v>1130</v>
      </c>
      <c r="G20" s="3">
        <v>0.62</v>
      </c>
      <c r="H20">
        <v>0.192</v>
      </c>
      <c r="I20">
        <v>1.087</v>
      </c>
      <c r="J20">
        <v>44.4</v>
      </c>
      <c r="K20">
        <v>21.5</v>
      </c>
      <c r="L20">
        <v>8.8000000000000007</v>
      </c>
      <c r="M20" s="5">
        <v>7</v>
      </c>
      <c r="N20" s="3"/>
      <c r="O20" s="3"/>
      <c r="P20" s="2"/>
      <c r="Q20" s="3"/>
      <c r="R20" s="3"/>
      <c r="S20" s="2"/>
    </row>
    <row r="21" spans="1:19" x14ac:dyDescent="0.25">
      <c r="A21">
        <f t="shared" si="0"/>
        <v>20</v>
      </c>
      <c r="B21" t="s">
        <v>14</v>
      </c>
      <c r="C21" t="s">
        <v>15</v>
      </c>
      <c r="D21">
        <v>200</v>
      </c>
      <c r="E21" t="s">
        <v>11</v>
      </c>
      <c r="F21">
        <v>1130</v>
      </c>
      <c r="G21" s="3">
        <v>0.73</v>
      </c>
      <c r="H21">
        <v>0.497</v>
      </c>
      <c r="I21">
        <v>2.3780000000000001</v>
      </c>
      <c r="J21">
        <v>40.799999999999997</v>
      </c>
      <c r="K21">
        <v>30.1</v>
      </c>
      <c r="L21">
        <v>15.1</v>
      </c>
      <c r="M21" s="5">
        <v>4.5199999999999996</v>
      </c>
      <c r="N21" s="3"/>
      <c r="O21" s="3"/>
      <c r="P21" s="2"/>
      <c r="Q21" s="3"/>
      <c r="R21" s="3"/>
      <c r="S21" s="2"/>
    </row>
    <row r="22" spans="1:19" x14ac:dyDescent="0.25">
      <c r="A22">
        <f t="shared" si="0"/>
        <v>21</v>
      </c>
      <c r="B22" t="s">
        <v>14</v>
      </c>
      <c r="C22" t="s">
        <v>15</v>
      </c>
      <c r="D22">
        <v>200</v>
      </c>
      <c r="E22" t="s">
        <v>11</v>
      </c>
      <c r="F22">
        <v>1130</v>
      </c>
      <c r="G22" s="3">
        <v>0.55000000000000004</v>
      </c>
      <c r="H22">
        <v>1.0169999999999999</v>
      </c>
      <c r="I22">
        <v>4.12</v>
      </c>
      <c r="J22">
        <v>37.200000000000003</v>
      </c>
      <c r="K22">
        <v>42.7</v>
      </c>
      <c r="L22">
        <v>21.2</v>
      </c>
      <c r="M22" s="5">
        <v>4.95</v>
      </c>
      <c r="N22" s="3"/>
      <c r="O22" s="3"/>
      <c r="P22" s="2"/>
      <c r="Q22" s="3"/>
      <c r="R22" s="3"/>
      <c r="S22" s="2"/>
    </row>
    <row r="23" spans="1:19" x14ac:dyDescent="0.25">
      <c r="A23">
        <f t="shared" si="0"/>
        <v>22</v>
      </c>
      <c r="B23" t="s">
        <v>14</v>
      </c>
      <c r="C23" t="s">
        <v>15</v>
      </c>
      <c r="D23">
        <v>200</v>
      </c>
      <c r="E23" t="s">
        <v>11</v>
      </c>
      <c r="F23">
        <v>1130</v>
      </c>
      <c r="G23" s="3">
        <v>0.51</v>
      </c>
      <c r="H23">
        <v>1.7210000000000001</v>
      </c>
      <c r="I23">
        <v>6.3490000000000002</v>
      </c>
      <c r="J23">
        <v>35</v>
      </c>
      <c r="K23">
        <v>53.2</v>
      </c>
      <c r="L23">
        <v>18.100000000000001</v>
      </c>
      <c r="M23" s="5">
        <v>6.83</v>
      </c>
      <c r="N23" s="3"/>
      <c r="O23" s="3"/>
      <c r="P23" s="2"/>
      <c r="Q23" s="3"/>
      <c r="R23" s="3"/>
      <c r="S23" s="2"/>
    </row>
    <row r="24" spans="1:19" x14ac:dyDescent="0.25">
      <c r="A24">
        <f t="shared" si="0"/>
        <v>23</v>
      </c>
      <c r="B24" t="s">
        <v>14</v>
      </c>
      <c r="C24" t="s">
        <v>15</v>
      </c>
      <c r="D24">
        <v>200</v>
      </c>
      <c r="E24" t="s">
        <v>11</v>
      </c>
      <c r="F24">
        <v>1130</v>
      </c>
      <c r="G24" s="3">
        <v>0.5</v>
      </c>
      <c r="H24">
        <v>2.5369999999999999</v>
      </c>
      <c r="I24">
        <v>9.2349999999999994</v>
      </c>
      <c r="J24">
        <v>34.700000000000003</v>
      </c>
      <c r="K24">
        <v>70.2</v>
      </c>
      <c r="L24">
        <v>24.4</v>
      </c>
      <c r="M24" s="5">
        <v>8.35</v>
      </c>
      <c r="N24" s="3"/>
      <c r="O24" s="3"/>
      <c r="P24" s="2"/>
      <c r="Q24" s="3"/>
      <c r="R24" s="3"/>
      <c r="S24" s="2"/>
    </row>
    <row r="25" spans="1:19" x14ac:dyDescent="0.25">
      <c r="A25">
        <f t="shared" si="0"/>
        <v>24</v>
      </c>
      <c r="B25" t="s">
        <v>16</v>
      </c>
      <c r="C25" t="s">
        <v>17</v>
      </c>
      <c r="D25">
        <v>200</v>
      </c>
      <c r="E25" t="s">
        <v>11</v>
      </c>
      <c r="F25">
        <v>1130</v>
      </c>
      <c r="G25" s="3">
        <v>0.42</v>
      </c>
      <c r="H25">
        <v>4.1000000000000002E-2</v>
      </c>
      <c r="I25">
        <v>0.315</v>
      </c>
      <c r="J25">
        <v>50.4</v>
      </c>
      <c r="L25">
        <v>2.1</v>
      </c>
      <c r="M25" s="5">
        <v>49.3</v>
      </c>
      <c r="N25" s="3"/>
      <c r="O25" s="3"/>
      <c r="P25" s="2"/>
      <c r="Q25" s="3"/>
      <c r="R25" s="3"/>
      <c r="S25" s="2"/>
    </row>
    <row r="26" spans="1:19" x14ac:dyDescent="0.25">
      <c r="A26">
        <f t="shared" si="0"/>
        <v>25</v>
      </c>
      <c r="B26" t="s">
        <v>16</v>
      </c>
      <c r="C26" t="s">
        <v>17</v>
      </c>
      <c r="D26">
        <v>200</v>
      </c>
      <c r="E26" t="s">
        <v>11</v>
      </c>
      <c r="F26">
        <v>1130</v>
      </c>
      <c r="G26" s="3">
        <v>0.35</v>
      </c>
      <c r="H26">
        <v>8.2000000000000003E-2</v>
      </c>
      <c r="I26">
        <v>0.58899999999999997</v>
      </c>
      <c r="J26">
        <v>49.2</v>
      </c>
      <c r="K26">
        <v>34.299999999999997</v>
      </c>
      <c r="L26">
        <v>7.5</v>
      </c>
      <c r="M26" s="5">
        <v>98</v>
      </c>
      <c r="N26" s="3"/>
      <c r="O26" s="3"/>
      <c r="P26" s="2"/>
      <c r="Q26" s="3"/>
      <c r="R26" s="3"/>
      <c r="S26" s="2"/>
    </row>
    <row r="27" spans="1:19" x14ac:dyDescent="0.25">
      <c r="A27">
        <f t="shared" si="0"/>
        <v>26</v>
      </c>
      <c r="B27" t="s">
        <v>16</v>
      </c>
      <c r="C27" t="s">
        <v>17</v>
      </c>
      <c r="D27">
        <v>200</v>
      </c>
      <c r="E27" t="s">
        <v>11</v>
      </c>
      <c r="F27">
        <v>1130</v>
      </c>
      <c r="G27" s="3">
        <v>0.42</v>
      </c>
      <c r="H27">
        <v>0.192</v>
      </c>
      <c r="I27">
        <v>1.3149999999999999</v>
      </c>
      <c r="J27">
        <v>48.2</v>
      </c>
      <c r="K27">
        <v>45</v>
      </c>
      <c r="L27">
        <v>3.4</v>
      </c>
      <c r="M27" s="5">
        <v>38</v>
      </c>
      <c r="N27" s="3"/>
      <c r="O27" s="3"/>
      <c r="P27" s="2"/>
      <c r="Q27" s="3"/>
      <c r="R27" s="3"/>
      <c r="S27" s="2"/>
    </row>
    <row r="28" spans="1:19" x14ac:dyDescent="0.25">
      <c r="A28">
        <f t="shared" si="0"/>
        <v>27</v>
      </c>
      <c r="B28" t="s">
        <v>16</v>
      </c>
      <c r="C28" t="s">
        <v>17</v>
      </c>
      <c r="D28">
        <v>200</v>
      </c>
      <c r="E28" t="s">
        <v>11</v>
      </c>
      <c r="F28">
        <v>1130</v>
      </c>
      <c r="G28" s="3">
        <v>0.32</v>
      </c>
      <c r="H28">
        <v>0.497</v>
      </c>
      <c r="I28">
        <v>2.95</v>
      </c>
      <c r="J28">
        <v>45.3</v>
      </c>
      <c r="K28">
        <v>84.4</v>
      </c>
      <c r="M28" s="5">
        <v>82</v>
      </c>
      <c r="N28" s="3"/>
      <c r="O28" s="3"/>
      <c r="P28" s="2"/>
      <c r="Q28" s="3"/>
      <c r="R28" s="3"/>
      <c r="S28" s="2"/>
    </row>
    <row r="29" spans="1:19" x14ac:dyDescent="0.25">
      <c r="A29">
        <f t="shared" si="0"/>
        <v>28</v>
      </c>
      <c r="B29" t="s">
        <v>16</v>
      </c>
      <c r="C29" t="s">
        <v>17</v>
      </c>
      <c r="D29">
        <v>200</v>
      </c>
      <c r="E29" t="s">
        <v>11</v>
      </c>
      <c r="F29">
        <v>1130</v>
      </c>
      <c r="G29" s="3">
        <v>0.44</v>
      </c>
      <c r="H29">
        <v>1.0169999999999999</v>
      </c>
      <c r="I29">
        <v>4.476</v>
      </c>
      <c r="J29">
        <v>39</v>
      </c>
      <c r="K29">
        <v>87.7</v>
      </c>
      <c r="L29">
        <v>8.1</v>
      </c>
      <c r="M29" s="5">
        <v>33.5</v>
      </c>
      <c r="N29" s="3"/>
      <c r="O29" s="3"/>
      <c r="P29" s="2"/>
      <c r="Q29" s="3"/>
      <c r="R29" s="3"/>
      <c r="S29" s="2"/>
    </row>
    <row r="30" spans="1:19" x14ac:dyDescent="0.25">
      <c r="A30">
        <f t="shared" si="0"/>
        <v>29</v>
      </c>
      <c r="B30" t="s">
        <v>16</v>
      </c>
      <c r="C30" t="s">
        <v>17</v>
      </c>
      <c r="D30">
        <v>200</v>
      </c>
      <c r="E30" t="s">
        <v>11</v>
      </c>
      <c r="F30">
        <v>1130</v>
      </c>
      <c r="G30" s="3">
        <v>0.38</v>
      </c>
      <c r="H30">
        <v>1.7210000000000001</v>
      </c>
      <c r="I30">
        <v>7.5880000000000001</v>
      </c>
      <c r="J30">
        <v>39.1</v>
      </c>
      <c r="K30">
        <v>114</v>
      </c>
      <c r="L30">
        <v>8.9</v>
      </c>
      <c r="M30" s="5">
        <v>77</v>
      </c>
      <c r="N30" s="3"/>
      <c r="O30" s="3"/>
      <c r="P30" s="2"/>
      <c r="Q30" s="3"/>
      <c r="R30" s="3"/>
      <c r="S30" s="2"/>
    </row>
    <row r="31" spans="1:19" x14ac:dyDescent="0.25">
      <c r="A31">
        <f t="shared" si="0"/>
        <v>30</v>
      </c>
      <c r="B31" t="s">
        <v>16</v>
      </c>
      <c r="C31" t="s">
        <v>17</v>
      </c>
      <c r="D31">
        <v>200</v>
      </c>
      <c r="E31" t="s">
        <v>11</v>
      </c>
      <c r="F31">
        <v>1130</v>
      </c>
      <c r="G31" s="3">
        <v>0.4</v>
      </c>
      <c r="H31">
        <v>2.5369999999999999</v>
      </c>
      <c r="I31">
        <v>10.148999999999999</v>
      </c>
      <c r="J31">
        <v>36.9</v>
      </c>
      <c r="K31">
        <v>122</v>
      </c>
      <c r="L31">
        <v>12.3</v>
      </c>
      <c r="M31" s="5">
        <v>35.6</v>
      </c>
      <c r="N31" s="3"/>
      <c r="O31" s="3"/>
      <c r="P31" s="2"/>
      <c r="Q31" s="3"/>
      <c r="R31" s="3"/>
      <c r="S31" s="2"/>
    </row>
    <row r="32" spans="1:19" x14ac:dyDescent="0.25">
      <c r="A32">
        <f t="shared" si="0"/>
        <v>31</v>
      </c>
      <c r="B32" t="s">
        <v>16</v>
      </c>
      <c r="C32" t="s">
        <v>17</v>
      </c>
      <c r="D32">
        <v>200</v>
      </c>
      <c r="E32" t="s">
        <v>11</v>
      </c>
      <c r="F32">
        <v>1130</v>
      </c>
      <c r="G32" s="3">
        <v>0.43</v>
      </c>
      <c r="H32">
        <v>2.5369999999999999</v>
      </c>
      <c r="I32">
        <v>10.301</v>
      </c>
      <c r="J32">
        <v>37.200000000000003</v>
      </c>
      <c r="K32">
        <v>124.5</v>
      </c>
      <c r="L32">
        <v>14.2</v>
      </c>
      <c r="M32" s="5">
        <v>49.3</v>
      </c>
      <c r="N32" s="3"/>
      <c r="O32" s="3"/>
      <c r="P32" s="2"/>
      <c r="Q32" s="3"/>
      <c r="R32" s="3"/>
      <c r="S32" s="2"/>
    </row>
    <row r="33" spans="1:19" x14ac:dyDescent="0.25">
      <c r="A33">
        <f t="shared" si="0"/>
        <v>32</v>
      </c>
      <c r="B33" t="s">
        <v>16</v>
      </c>
      <c r="C33" t="s">
        <v>17</v>
      </c>
      <c r="D33">
        <v>200</v>
      </c>
      <c r="E33" t="s">
        <v>11</v>
      </c>
      <c r="F33">
        <v>1130</v>
      </c>
      <c r="G33" s="3">
        <v>0.42</v>
      </c>
      <c r="H33">
        <v>2.5369999999999999</v>
      </c>
      <c r="I33">
        <v>10.428000000000001</v>
      </c>
      <c r="J33">
        <v>37.5</v>
      </c>
      <c r="K33">
        <v>151.9</v>
      </c>
      <c r="M33" s="5">
        <v>82.8</v>
      </c>
      <c r="N33" s="3"/>
      <c r="O33" s="3"/>
      <c r="P33" s="2"/>
      <c r="Q33" s="3"/>
      <c r="R33" s="3"/>
      <c r="S33" s="2"/>
    </row>
    <row r="34" spans="1:19" x14ac:dyDescent="0.25">
      <c r="A34">
        <f t="shared" si="0"/>
        <v>33</v>
      </c>
      <c r="B34" t="s">
        <v>16</v>
      </c>
      <c r="C34" t="s">
        <v>17</v>
      </c>
      <c r="D34">
        <v>200</v>
      </c>
      <c r="E34" t="s">
        <v>11</v>
      </c>
      <c r="F34">
        <v>1130</v>
      </c>
      <c r="G34" s="3">
        <v>0.33</v>
      </c>
      <c r="H34">
        <v>2.5369999999999999</v>
      </c>
      <c r="I34">
        <v>11.113</v>
      </c>
      <c r="J34">
        <v>38.9</v>
      </c>
      <c r="M34" s="5">
        <v>112</v>
      </c>
      <c r="N34" s="3"/>
      <c r="O34" s="3"/>
      <c r="P34" s="2"/>
      <c r="Q34" s="3"/>
      <c r="R34" s="3"/>
      <c r="S34" s="2"/>
    </row>
    <row r="35" spans="1:19" x14ac:dyDescent="0.25">
      <c r="A35">
        <f t="shared" si="0"/>
        <v>34</v>
      </c>
      <c r="B35" t="s">
        <v>16</v>
      </c>
      <c r="C35" t="s">
        <v>17</v>
      </c>
      <c r="D35">
        <v>200</v>
      </c>
      <c r="E35" t="s">
        <v>11</v>
      </c>
      <c r="F35">
        <v>1130</v>
      </c>
      <c r="G35" s="3">
        <v>0.33</v>
      </c>
      <c r="H35">
        <v>2.5369999999999999</v>
      </c>
      <c r="I35">
        <v>11.417</v>
      </c>
      <c r="J35">
        <v>39.5</v>
      </c>
      <c r="M35" s="5">
        <v>91</v>
      </c>
      <c r="N35" s="3"/>
      <c r="O35" s="3"/>
      <c r="P35" s="2"/>
      <c r="Q35" s="3"/>
      <c r="R35" s="3"/>
      <c r="S35" s="2"/>
    </row>
    <row r="36" spans="1:19" x14ac:dyDescent="0.25">
      <c r="A36">
        <f t="shared" si="0"/>
        <v>35</v>
      </c>
      <c r="B36" t="s">
        <v>19</v>
      </c>
      <c r="C36" t="s">
        <v>20</v>
      </c>
      <c r="D36">
        <v>180</v>
      </c>
      <c r="E36" t="s">
        <v>18</v>
      </c>
      <c r="F36">
        <v>1130</v>
      </c>
      <c r="G36" s="3">
        <v>0.38900000000000001</v>
      </c>
      <c r="H36">
        <v>0.46</v>
      </c>
      <c r="I36">
        <v>2.8340000000000001</v>
      </c>
      <c r="J36">
        <v>46.1</v>
      </c>
      <c r="K36">
        <v>61.3</v>
      </c>
      <c r="L36">
        <v>13.6</v>
      </c>
      <c r="M36" s="5">
        <v>18</v>
      </c>
      <c r="N36" s="3"/>
      <c r="O36" s="3"/>
      <c r="P36" s="2"/>
      <c r="Q36" s="3"/>
      <c r="R36" s="3"/>
      <c r="S36" s="2"/>
    </row>
    <row r="37" spans="1:19" x14ac:dyDescent="0.25">
      <c r="A37">
        <f t="shared" si="0"/>
        <v>36</v>
      </c>
      <c r="B37" t="s">
        <v>19</v>
      </c>
      <c r="C37" t="s">
        <v>20</v>
      </c>
      <c r="D37">
        <v>180</v>
      </c>
      <c r="E37" t="s">
        <v>18</v>
      </c>
      <c r="F37">
        <v>1130</v>
      </c>
      <c r="G37" s="3">
        <v>0.33300000000000002</v>
      </c>
      <c r="H37">
        <v>0.96</v>
      </c>
      <c r="I37">
        <v>4.8860000000000001</v>
      </c>
      <c r="J37">
        <v>42.2</v>
      </c>
      <c r="K37">
        <v>78.5</v>
      </c>
      <c r="L37">
        <v>11.4</v>
      </c>
      <c r="M37" s="5">
        <v>18</v>
      </c>
      <c r="N37" s="3"/>
      <c r="O37" s="3"/>
      <c r="P37" s="2"/>
      <c r="Q37" s="3"/>
      <c r="R37" s="3"/>
      <c r="S37" s="2"/>
    </row>
    <row r="38" spans="1:19" x14ac:dyDescent="0.25">
      <c r="A38">
        <f t="shared" si="0"/>
        <v>37</v>
      </c>
      <c r="B38" t="s">
        <v>19</v>
      </c>
      <c r="C38" t="s">
        <v>20</v>
      </c>
      <c r="D38">
        <v>180</v>
      </c>
      <c r="E38" t="s">
        <v>18</v>
      </c>
      <c r="F38">
        <v>1130</v>
      </c>
      <c r="G38" s="3">
        <v>0.35099999999999998</v>
      </c>
      <c r="H38">
        <v>2.42</v>
      </c>
      <c r="I38">
        <v>10.260999999999999</v>
      </c>
      <c r="J38">
        <v>38.200000000000003</v>
      </c>
      <c r="K38">
        <v>88.7</v>
      </c>
      <c r="L38">
        <v>12.6</v>
      </c>
      <c r="M38" s="5">
        <v>18</v>
      </c>
      <c r="N38" s="3"/>
      <c r="O38" s="3"/>
      <c r="P38" s="2"/>
      <c r="Q38" s="3"/>
      <c r="R38" s="3"/>
      <c r="S38" s="2"/>
    </row>
    <row r="39" spans="1:19" x14ac:dyDescent="0.25">
      <c r="A39">
        <f t="shared" si="0"/>
        <v>38</v>
      </c>
      <c r="B39" t="s">
        <v>21</v>
      </c>
      <c r="C39" t="s">
        <v>22</v>
      </c>
      <c r="D39">
        <v>200</v>
      </c>
      <c r="E39" t="s">
        <v>18</v>
      </c>
      <c r="F39">
        <v>1130</v>
      </c>
      <c r="G39" s="3">
        <v>0.33</v>
      </c>
      <c r="H39">
        <v>0.45100000000000001</v>
      </c>
      <c r="I39">
        <v>1.8260000000000001</v>
      </c>
      <c r="J39">
        <v>37.200000000000003</v>
      </c>
      <c r="K39">
        <v>39.200000000000003</v>
      </c>
      <c r="L39">
        <v>10.5</v>
      </c>
      <c r="M39" s="5">
        <v>14</v>
      </c>
      <c r="N39" s="3"/>
      <c r="O39" s="3"/>
      <c r="P39" s="2"/>
      <c r="Q39" s="3"/>
      <c r="R39" s="3"/>
      <c r="S39" s="2"/>
    </row>
    <row r="40" spans="1:19" x14ac:dyDescent="0.25">
      <c r="A40">
        <f t="shared" si="0"/>
        <v>39</v>
      </c>
      <c r="B40" t="s">
        <v>21</v>
      </c>
      <c r="C40" t="s">
        <v>22</v>
      </c>
      <c r="D40">
        <v>200</v>
      </c>
      <c r="E40" t="s">
        <v>18</v>
      </c>
      <c r="F40">
        <v>1130</v>
      </c>
      <c r="G40" s="3">
        <v>0.36</v>
      </c>
      <c r="H40">
        <v>0.94099999999999995</v>
      </c>
      <c r="I40">
        <v>3.33</v>
      </c>
      <c r="J40">
        <v>34</v>
      </c>
      <c r="K40">
        <v>51</v>
      </c>
      <c r="L40">
        <v>16.8</v>
      </c>
      <c r="M40" s="5">
        <v>14</v>
      </c>
      <c r="N40" s="3"/>
      <c r="O40" s="3"/>
      <c r="P40" s="2"/>
      <c r="Q40" s="3"/>
      <c r="R40" s="3"/>
      <c r="S40" s="2"/>
    </row>
    <row r="41" spans="1:19" x14ac:dyDescent="0.25">
      <c r="A41">
        <f t="shared" si="0"/>
        <v>40</v>
      </c>
      <c r="B41" t="s">
        <v>21</v>
      </c>
      <c r="C41" t="s">
        <v>22</v>
      </c>
      <c r="D41">
        <v>200</v>
      </c>
      <c r="E41" t="s">
        <v>18</v>
      </c>
      <c r="F41">
        <v>1130</v>
      </c>
      <c r="G41" s="3">
        <v>0.38</v>
      </c>
      <c r="H41">
        <v>1.617</v>
      </c>
      <c r="I41">
        <v>5.4329999999999998</v>
      </c>
      <c r="J41">
        <v>32.799999999999997</v>
      </c>
      <c r="L41">
        <v>19</v>
      </c>
      <c r="M41" s="5">
        <v>14</v>
      </c>
      <c r="N41" s="3"/>
      <c r="O41" s="3"/>
      <c r="P41" s="2"/>
      <c r="Q41" s="3"/>
      <c r="R41" s="3"/>
      <c r="S41" s="2"/>
    </row>
    <row r="42" spans="1:19" x14ac:dyDescent="0.25">
      <c r="A42">
        <f t="shared" si="0"/>
        <v>41</v>
      </c>
      <c r="B42" t="s">
        <v>21</v>
      </c>
      <c r="C42" t="s">
        <v>22</v>
      </c>
      <c r="D42">
        <v>200</v>
      </c>
      <c r="E42" t="s">
        <v>18</v>
      </c>
      <c r="F42">
        <v>1130</v>
      </c>
      <c r="G42" s="3">
        <v>0.36</v>
      </c>
      <c r="H42">
        <v>2.4209999999999998</v>
      </c>
      <c r="I42">
        <v>7.9640000000000004</v>
      </c>
      <c r="J42">
        <v>32.299999999999997</v>
      </c>
      <c r="K42">
        <v>96.3</v>
      </c>
      <c r="L42">
        <v>23.9</v>
      </c>
      <c r="M42" s="5">
        <v>14</v>
      </c>
      <c r="N42" s="3"/>
      <c r="O42" s="3"/>
      <c r="P42" s="2"/>
      <c r="Q42" s="3"/>
      <c r="R42" s="3"/>
      <c r="S42" s="2"/>
    </row>
    <row r="43" spans="1:19" x14ac:dyDescent="0.25">
      <c r="A43">
        <f t="shared" si="0"/>
        <v>42</v>
      </c>
      <c r="B43" t="s">
        <v>23</v>
      </c>
      <c r="C43" t="s">
        <v>22</v>
      </c>
      <c r="D43">
        <v>200</v>
      </c>
      <c r="E43" t="s">
        <v>18</v>
      </c>
      <c r="F43">
        <v>1130</v>
      </c>
      <c r="G43" s="3">
        <v>0.66</v>
      </c>
      <c r="H43">
        <v>0.44900000000000001</v>
      </c>
      <c r="I43">
        <v>1.58</v>
      </c>
      <c r="J43">
        <v>33.9</v>
      </c>
      <c r="K43">
        <v>13.5</v>
      </c>
      <c r="L43">
        <v>23.5</v>
      </c>
      <c r="M43" s="5">
        <v>2.5</v>
      </c>
      <c r="N43" s="3"/>
      <c r="O43" s="3"/>
      <c r="P43" s="2"/>
      <c r="Q43" s="3"/>
      <c r="R43" s="3"/>
      <c r="S43" s="2"/>
    </row>
    <row r="44" spans="1:19" x14ac:dyDescent="0.25">
      <c r="A44">
        <f t="shared" si="0"/>
        <v>43</v>
      </c>
      <c r="B44" t="s">
        <v>23</v>
      </c>
      <c r="C44" t="s">
        <v>22</v>
      </c>
      <c r="D44">
        <v>200</v>
      </c>
      <c r="E44" t="s">
        <v>18</v>
      </c>
      <c r="F44">
        <v>1130</v>
      </c>
      <c r="G44" s="3">
        <v>0.63</v>
      </c>
      <c r="H44">
        <v>0.93700000000000006</v>
      </c>
      <c r="I44">
        <v>3.2040000000000002</v>
      </c>
      <c r="J44">
        <v>33.200000000000003</v>
      </c>
      <c r="K44">
        <v>16.3</v>
      </c>
      <c r="L44">
        <v>32.9</v>
      </c>
      <c r="M44" s="5">
        <v>2.5</v>
      </c>
      <c r="N44" s="3"/>
      <c r="O44" s="3"/>
      <c r="P44" s="2"/>
      <c r="Q44" s="3"/>
      <c r="R44" s="3"/>
      <c r="S44" s="2"/>
    </row>
    <row r="45" spans="1:19" x14ac:dyDescent="0.25">
      <c r="A45">
        <f t="shared" si="0"/>
        <v>44</v>
      </c>
      <c r="B45" t="s">
        <v>23</v>
      </c>
      <c r="C45" t="s">
        <v>22</v>
      </c>
      <c r="D45">
        <v>200</v>
      </c>
      <c r="E45" t="s">
        <v>18</v>
      </c>
      <c r="F45">
        <v>1130</v>
      </c>
      <c r="G45" s="3">
        <v>0.68</v>
      </c>
      <c r="H45">
        <v>1.627</v>
      </c>
      <c r="I45">
        <v>5.2220000000000004</v>
      </c>
      <c r="J45">
        <v>31.7</v>
      </c>
      <c r="K45">
        <v>36.1</v>
      </c>
      <c r="L45">
        <v>43.2</v>
      </c>
      <c r="M45" s="5">
        <v>2.5</v>
      </c>
      <c r="N45" s="3"/>
      <c r="O45" s="3"/>
      <c r="P45" s="2"/>
      <c r="Q45" s="3"/>
      <c r="R45" s="3"/>
      <c r="S45" s="2"/>
    </row>
    <row r="46" spans="1:19" x14ac:dyDescent="0.25">
      <c r="A46">
        <f t="shared" si="0"/>
        <v>45</v>
      </c>
      <c r="B46" t="s">
        <v>24</v>
      </c>
      <c r="C46" t="s">
        <v>20</v>
      </c>
      <c r="D46">
        <v>80</v>
      </c>
      <c r="E46" t="s">
        <v>18</v>
      </c>
      <c r="F46">
        <v>1130</v>
      </c>
      <c r="G46" s="3">
        <v>0.39</v>
      </c>
      <c r="H46">
        <v>0.46</v>
      </c>
      <c r="I46">
        <v>2.6680000000000001</v>
      </c>
      <c r="J46">
        <v>44.9</v>
      </c>
      <c r="L46">
        <v>8.3000000000000007</v>
      </c>
      <c r="M46" s="5">
        <v>11</v>
      </c>
      <c r="N46" s="3"/>
      <c r="O46" s="3"/>
      <c r="P46" s="2"/>
      <c r="Q46" s="3"/>
      <c r="R46" s="3"/>
      <c r="S46" s="2"/>
    </row>
    <row r="47" spans="1:19" x14ac:dyDescent="0.25">
      <c r="A47">
        <f t="shared" si="0"/>
        <v>46</v>
      </c>
      <c r="B47" t="s">
        <v>24</v>
      </c>
      <c r="C47" t="s">
        <v>20</v>
      </c>
      <c r="D47">
        <v>80</v>
      </c>
      <c r="E47" t="s">
        <v>18</v>
      </c>
      <c r="F47">
        <v>1130</v>
      </c>
      <c r="G47" s="3">
        <v>0.33</v>
      </c>
      <c r="H47">
        <v>0.96</v>
      </c>
      <c r="I47">
        <v>4.55</v>
      </c>
      <c r="J47">
        <v>40.700000000000003</v>
      </c>
      <c r="L47">
        <v>7.7</v>
      </c>
      <c r="M47" s="5">
        <v>14</v>
      </c>
      <c r="N47" s="3"/>
      <c r="O47" s="3"/>
      <c r="P47" s="2"/>
      <c r="Q47" s="3"/>
      <c r="R47" s="3"/>
      <c r="S47" s="2"/>
    </row>
    <row r="48" spans="1:19" x14ac:dyDescent="0.25">
      <c r="A48">
        <f t="shared" si="0"/>
        <v>47</v>
      </c>
      <c r="B48" t="s">
        <v>24</v>
      </c>
      <c r="C48" t="s">
        <v>20</v>
      </c>
      <c r="D48">
        <v>80</v>
      </c>
      <c r="E48" t="s">
        <v>18</v>
      </c>
      <c r="F48">
        <v>1130</v>
      </c>
      <c r="G48" s="3">
        <v>0.38</v>
      </c>
      <c r="H48">
        <v>2.42</v>
      </c>
      <c r="I48">
        <v>10.188000000000001</v>
      </c>
      <c r="J48">
        <v>38</v>
      </c>
      <c r="L48">
        <v>15</v>
      </c>
      <c r="M48" s="5">
        <v>14</v>
      </c>
      <c r="N48" s="3"/>
      <c r="O48" s="3"/>
      <c r="P48" s="2"/>
      <c r="Q48" s="3"/>
      <c r="R48" s="3"/>
      <c r="S48" s="2"/>
    </row>
    <row r="49" spans="1:19" x14ac:dyDescent="0.25">
      <c r="A49">
        <f t="shared" si="0"/>
        <v>48</v>
      </c>
      <c r="B49" t="s">
        <v>25</v>
      </c>
      <c r="C49" t="s">
        <v>20</v>
      </c>
      <c r="D49">
        <v>200</v>
      </c>
      <c r="E49" t="s">
        <v>69</v>
      </c>
      <c r="F49">
        <v>1130</v>
      </c>
      <c r="G49" s="3">
        <v>0.3</v>
      </c>
      <c r="H49">
        <v>2.548</v>
      </c>
      <c r="I49">
        <v>7.9509999999999996</v>
      </c>
      <c r="J49">
        <v>31</v>
      </c>
      <c r="K49">
        <v>96.9</v>
      </c>
      <c r="L49">
        <v>12</v>
      </c>
      <c r="M49" s="5">
        <v>19</v>
      </c>
      <c r="N49" s="3"/>
      <c r="O49" s="3"/>
      <c r="P49" s="2"/>
      <c r="Q49" s="3"/>
      <c r="R49" s="3"/>
      <c r="S49" s="2"/>
    </row>
    <row r="50" spans="1:19" x14ac:dyDescent="0.25">
      <c r="A50">
        <f t="shared" si="0"/>
        <v>49</v>
      </c>
      <c r="B50" t="s">
        <v>25</v>
      </c>
      <c r="C50" t="s">
        <v>20</v>
      </c>
      <c r="D50">
        <v>200</v>
      </c>
      <c r="E50" t="s">
        <v>69</v>
      </c>
      <c r="F50">
        <v>1130</v>
      </c>
      <c r="G50" s="3">
        <v>0.3</v>
      </c>
      <c r="H50">
        <v>1.0189999999999999</v>
      </c>
      <c r="I50">
        <v>4.0359999999999996</v>
      </c>
      <c r="J50">
        <v>36.6</v>
      </c>
      <c r="K50">
        <v>78.5</v>
      </c>
      <c r="L50">
        <v>11</v>
      </c>
      <c r="M50" s="5">
        <v>19</v>
      </c>
      <c r="N50" s="3"/>
      <c r="O50" s="3"/>
      <c r="P50" s="2"/>
      <c r="Q50" s="3"/>
      <c r="R50" s="3"/>
      <c r="S50" s="2"/>
    </row>
    <row r="51" spans="1:19" x14ac:dyDescent="0.25">
      <c r="A51">
        <f t="shared" si="0"/>
        <v>50</v>
      </c>
      <c r="B51" t="s">
        <v>25</v>
      </c>
      <c r="C51" t="s">
        <v>20</v>
      </c>
      <c r="D51">
        <v>200</v>
      </c>
      <c r="E51" t="s">
        <v>69</v>
      </c>
      <c r="F51">
        <v>1130</v>
      </c>
      <c r="G51" s="3">
        <v>0.3</v>
      </c>
      <c r="H51">
        <v>0.51</v>
      </c>
      <c r="I51">
        <v>2.548</v>
      </c>
      <c r="J51">
        <v>41.8</v>
      </c>
      <c r="K51">
        <v>61.3</v>
      </c>
      <c r="L51">
        <v>13</v>
      </c>
      <c r="M51" s="5">
        <v>19</v>
      </c>
      <c r="N51" s="3"/>
      <c r="O51" s="3"/>
      <c r="P51" s="2"/>
      <c r="Q51" s="3"/>
      <c r="R51" s="3"/>
      <c r="S51" s="2"/>
    </row>
    <row r="52" spans="1:19" x14ac:dyDescent="0.25">
      <c r="A52">
        <f t="shared" si="0"/>
        <v>51</v>
      </c>
      <c r="B52" t="s">
        <v>25</v>
      </c>
      <c r="C52" t="s">
        <v>20</v>
      </c>
      <c r="D52">
        <v>200</v>
      </c>
      <c r="E52" t="s">
        <v>69</v>
      </c>
      <c r="F52">
        <v>1130</v>
      </c>
      <c r="G52" s="3">
        <v>0.3</v>
      </c>
      <c r="H52">
        <v>4.1000000000000002E-2</v>
      </c>
      <c r="I52">
        <v>0.57099999999999995</v>
      </c>
      <c r="J52">
        <v>60.1</v>
      </c>
      <c r="M52" s="5">
        <v>19</v>
      </c>
      <c r="N52" s="3"/>
      <c r="O52" s="3"/>
      <c r="P52" s="2"/>
      <c r="Q52" s="3"/>
      <c r="R52" s="3"/>
      <c r="S52" s="2"/>
    </row>
    <row r="53" spans="1:19" x14ac:dyDescent="0.25">
      <c r="A53">
        <f t="shared" si="0"/>
        <v>52</v>
      </c>
      <c r="B53" t="s">
        <v>25</v>
      </c>
      <c r="C53" t="s">
        <v>20</v>
      </c>
      <c r="D53">
        <v>200</v>
      </c>
      <c r="E53" t="s">
        <v>69</v>
      </c>
      <c r="F53">
        <v>1130</v>
      </c>
      <c r="G53" s="3">
        <v>0.3</v>
      </c>
      <c r="H53">
        <v>9.1999999999999998E-2</v>
      </c>
      <c r="I53">
        <v>0.96299999999999997</v>
      </c>
      <c r="J53">
        <v>55.7</v>
      </c>
      <c r="M53" s="5">
        <v>19</v>
      </c>
      <c r="N53" s="3"/>
      <c r="O53" s="3"/>
      <c r="P53" s="2"/>
      <c r="Q53" s="3"/>
      <c r="R53" s="3"/>
      <c r="S53" s="2"/>
    </row>
    <row r="54" spans="1:19" x14ac:dyDescent="0.25">
      <c r="A54">
        <f t="shared" si="0"/>
        <v>53</v>
      </c>
      <c r="B54" t="s">
        <v>27</v>
      </c>
      <c r="C54" t="s">
        <v>20</v>
      </c>
      <c r="D54">
        <v>152.4</v>
      </c>
      <c r="E54" t="s">
        <v>26</v>
      </c>
      <c r="F54">
        <v>914.4</v>
      </c>
      <c r="G54" s="3">
        <v>0.41799999999999998</v>
      </c>
      <c r="H54">
        <v>0.20699999999999999</v>
      </c>
      <c r="I54">
        <v>1.36</v>
      </c>
      <c r="J54">
        <v>47.4</v>
      </c>
      <c r="K54">
        <v>57.9</v>
      </c>
      <c r="L54">
        <v>8.5</v>
      </c>
      <c r="M54" s="5">
        <v>5.7</v>
      </c>
      <c r="N54" s="3"/>
      <c r="O54" s="3"/>
      <c r="P54" s="2"/>
      <c r="Q54" s="3"/>
      <c r="R54" s="3"/>
      <c r="S54" s="2"/>
    </row>
    <row r="55" spans="1:19" x14ac:dyDescent="0.25">
      <c r="A55">
        <f t="shared" si="0"/>
        <v>54</v>
      </c>
      <c r="B55" t="s">
        <v>27</v>
      </c>
      <c r="C55" t="s">
        <v>20</v>
      </c>
      <c r="D55">
        <v>152.4</v>
      </c>
      <c r="E55" t="s">
        <v>26</v>
      </c>
      <c r="F55">
        <v>914.4</v>
      </c>
      <c r="G55" s="3">
        <v>0.40699999999999997</v>
      </c>
      <c r="H55">
        <v>0.96499999999999997</v>
      </c>
      <c r="I55">
        <v>4.6150000000000002</v>
      </c>
      <c r="J55">
        <v>40.9</v>
      </c>
      <c r="K55">
        <v>91.7</v>
      </c>
      <c r="L55">
        <v>14.8</v>
      </c>
      <c r="M55" s="5">
        <v>5.7</v>
      </c>
      <c r="N55" s="3"/>
      <c r="O55" s="3"/>
      <c r="P55" s="2"/>
      <c r="Q55" s="3"/>
      <c r="R55" s="3"/>
      <c r="S55" s="2"/>
    </row>
    <row r="56" spans="1:19" x14ac:dyDescent="0.25">
      <c r="A56">
        <f t="shared" si="0"/>
        <v>55</v>
      </c>
      <c r="B56" t="s">
        <v>27</v>
      </c>
      <c r="C56" t="s">
        <v>20</v>
      </c>
      <c r="D56">
        <v>152.4</v>
      </c>
      <c r="E56" t="s">
        <v>26</v>
      </c>
      <c r="F56">
        <v>914.4</v>
      </c>
      <c r="G56" s="3">
        <v>0.36599999999999999</v>
      </c>
      <c r="H56">
        <v>2.8959999999999999</v>
      </c>
      <c r="I56">
        <v>11.724</v>
      </c>
      <c r="J56">
        <v>37.1</v>
      </c>
      <c r="K56">
        <v>110.4</v>
      </c>
      <c r="L56">
        <v>27.6</v>
      </c>
      <c r="M56" s="5">
        <v>5.7</v>
      </c>
      <c r="N56" s="3"/>
      <c r="O56" s="3"/>
      <c r="P56" s="2"/>
      <c r="Q56" s="3"/>
      <c r="R56" s="3"/>
      <c r="S56" s="2"/>
    </row>
    <row r="57" spans="1:19" x14ac:dyDescent="0.25">
      <c r="A57">
        <f t="shared" si="0"/>
        <v>56</v>
      </c>
      <c r="B57" t="s">
        <v>27</v>
      </c>
      <c r="C57" t="s">
        <v>20</v>
      </c>
      <c r="D57">
        <v>152.4</v>
      </c>
      <c r="E57" t="s">
        <v>26</v>
      </c>
      <c r="F57">
        <v>914.4</v>
      </c>
      <c r="G57" s="3">
        <v>0.32300000000000001</v>
      </c>
      <c r="H57">
        <v>4.4820000000000002</v>
      </c>
      <c r="I57">
        <v>17.387</v>
      </c>
      <c r="J57">
        <v>36.200000000000003</v>
      </c>
      <c r="K57">
        <v>130</v>
      </c>
      <c r="L57">
        <v>33.799999999999997</v>
      </c>
      <c r="M57" s="5">
        <v>5.7</v>
      </c>
      <c r="N57" s="3"/>
      <c r="O57" s="3"/>
      <c r="P57" s="2"/>
      <c r="Q57" s="3"/>
      <c r="R57" s="3"/>
      <c r="S57" s="2"/>
    </row>
    <row r="58" spans="1:19" x14ac:dyDescent="0.25">
      <c r="A58">
        <f t="shared" si="0"/>
        <v>57</v>
      </c>
      <c r="B58" t="s">
        <v>28</v>
      </c>
      <c r="C58" t="s">
        <v>29</v>
      </c>
      <c r="D58">
        <v>152.4</v>
      </c>
      <c r="E58" t="s">
        <v>26</v>
      </c>
      <c r="F58">
        <v>914.4</v>
      </c>
      <c r="G58" s="3">
        <v>0.22</v>
      </c>
      <c r="H58">
        <v>0.20699999999999999</v>
      </c>
      <c r="I58">
        <v>1.347</v>
      </c>
      <c r="J58">
        <v>47.2</v>
      </c>
      <c r="L58">
        <v>2.2000000000000002</v>
      </c>
      <c r="M58" s="5">
        <v>5</v>
      </c>
      <c r="N58" s="3"/>
      <c r="O58" s="3"/>
      <c r="P58" s="2"/>
      <c r="Q58" s="3"/>
      <c r="R58" s="3"/>
      <c r="S58" s="2"/>
    </row>
    <row r="59" spans="1:19" x14ac:dyDescent="0.25">
      <c r="A59">
        <f t="shared" si="0"/>
        <v>58</v>
      </c>
      <c r="B59" t="s">
        <v>28</v>
      </c>
      <c r="C59" t="s">
        <v>29</v>
      </c>
      <c r="D59">
        <v>152.4</v>
      </c>
      <c r="E59" t="s">
        <v>26</v>
      </c>
      <c r="F59">
        <v>914.4</v>
      </c>
      <c r="G59" s="3">
        <v>0.214</v>
      </c>
      <c r="H59">
        <v>0.96499999999999997</v>
      </c>
      <c r="I59">
        <v>5.1970000000000001</v>
      </c>
      <c r="J59">
        <v>43.4</v>
      </c>
      <c r="L59">
        <v>6.4</v>
      </c>
      <c r="M59" s="5">
        <v>5</v>
      </c>
      <c r="N59" s="3"/>
      <c r="O59" s="3"/>
      <c r="P59" s="2"/>
      <c r="Q59" s="3"/>
      <c r="R59" s="3"/>
      <c r="S59" s="2"/>
    </row>
    <row r="60" spans="1:19" x14ac:dyDescent="0.25">
      <c r="A60">
        <f t="shared" si="0"/>
        <v>59</v>
      </c>
      <c r="B60" t="s">
        <v>28</v>
      </c>
      <c r="C60" t="s">
        <v>29</v>
      </c>
      <c r="D60">
        <v>152.4</v>
      </c>
      <c r="E60" t="s">
        <v>26</v>
      </c>
      <c r="F60">
        <v>914.4</v>
      </c>
      <c r="G60" s="3">
        <v>0.20899999999999999</v>
      </c>
      <c r="H60">
        <v>2.8959999999999999</v>
      </c>
      <c r="I60">
        <v>13.259</v>
      </c>
      <c r="J60">
        <v>39.9</v>
      </c>
      <c r="L60">
        <v>14</v>
      </c>
      <c r="M60" s="5">
        <v>5</v>
      </c>
      <c r="N60" s="3"/>
      <c r="O60" s="3"/>
      <c r="P60" s="2"/>
      <c r="Q60" s="3"/>
      <c r="R60" s="3"/>
      <c r="S60" s="2"/>
    </row>
    <row r="61" spans="1:19" x14ac:dyDescent="0.25">
      <c r="A61">
        <f t="shared" si="0"/>
        <v>60</v>
      </c>
      <c r="B61" t="s">
        <v>28</v>
      </c>
      <c r="C61" t="s">
        <v>29</v>
      </c>
      <c r="D61">
        <v>152.4</v>
      </c>
      <c r="E61" t="s">
        <v>26</v>
      </c>
      <c r="F61">
        <v>914.4</v>
      </c>
      <c r="G61" s="3">
        <v>0.191</v>
      </c>
      <c r="H61">
        <v>4.4820000000000002</v>
      </c>
      <c r="I61">
        <v>19.213000000000001</v>
      </c>
      <c r="J61">
        <v>38.4</v>
      </c>
      <c r="L61">
        <v>18</v>
      </c>
      <c r="M61" s="5">
        <v>5</v>
      </c>
      <c r="N61" s="3"/>
      <c r="O61" s="3"/>
      <c r="P61" s="2"/>
      <c r="Q61" s="3"/>
      <c r="R61" s="3"/>
      <c r="S61" s="2"/>
    </row>
    <row r="62" spans="1:19" x14ac:dyDescent="0.25">
      <c r="A62">
        <f t="shared" si="0"/>
        <v>61</v>
      </c>
      <c r="B62" t="s">
        <v>30</v>
      </c>
      <c r="C62" t="s">
        <v>31</v>
      </c>
      <c r="D62">
        <v>152.4</v>
      </c>
      <c r="E62" t="s">
        <v>26</v>
      </c>
      <c r="F62">
        <v>914.4</v>
      </c>
      <c r="G62" s="3">
        <v>0.439</v>
      </c>
      <c r="H62">
        <v>0.20699999999999999</v>
      </c>
      <c r="I62">
        <v>1.335</v>
      </c>
      <c r="J62">
        <v>47</v>
      </c>
      <c r="L62">
        <v>13.6</v>
      </c>
      <c r="M62" s="5">
        <v>10</v>
      </c>
      <c r="N62" s="3"/>
      <c r="O62" s="3"/>
      <c r="P62" s="2"/>
      <c r="Q62" s="3"/>
      <c r="R62" s="3"/>
      <c r="S62" s="2"/>
    </row>
    <row r="63" spans="1:19" x14ac:dyDescent="0.25">
      <c r="A63">
        <f t="shared" si="0"/>
        <v>62</v>
      </c>
      <c r="B63" t="s">
        <v>30</v>
      </c>
      <c r="C63" t="s">
        <v>31</v>
      </c>
      <c r="D63">
        <v>152.4</v>
      </c>
      <c r="E63" t="s">
        <v>26</v>
      </c>
      <c r="F63">
        <v>914.4</v>
      </c>
      <c r="G63" s="3">
        <v>0.41699999999999998</v>
      </c>
      <c r="H63">
        <v>0.96499999999999997</v>
      </c>
      <c r="I63">
        <v>4.415</v>
      </c>
      <c r="J63">
        <v>39.9</v>
      </c>
      <c r="K63">
        <v>57.9</v>
      </c>
      <c r="L63">
        <v>21.3</v>
      </c>
      <c r="M63" s="5">
        <v>10</v>
      </c>
      <c r="N63" s="3"/>
      <c r="O63" s="3"/>
      <c r="P63" s="2"/>
      <c r="Q63" s="3"/>
      <c r="R63" s="3"/>
      <c r="S63" s="2"/>
    </row>
    <row r="64" spans="1:19" x14ac:dyDescent="0.25">
      <c r="A64">
        <f t="shared" si="0"/>
        <v>63</v>
      </c>
      <c r="B64" t="s">
        <v>30</v>
      </c>
      <c r="C64" t="s">
        <v>31</v>
      </c>
      <c r="D64">
        <v>152.4</v>
      </c>
      <c r="E64" t="s">
        <v>26</v>
      </c>
      <c r="F64">
        <v>914.4</v>
      </c>
      <c r="G64" s="3">
        <v>0.36199999999999999</v>
      </c>
      <c r="H64">
        <v>2.8959999999999999</v>
      </c>
      <c r="I64">
        <v>11.698</v>
      </c>
      <c r="J64">
        <v>37.1</v>
      </c>
      <c r="K64">
        <v>96.5</v>
      </c>
      <c r="L64">
        <v>36.4</v>
      </c>
      <c r="M64" s="5">
        <v>10</v>
      </c>
      <c r="N64" s="3"/>
      <c r="O64" s="3"/>
      <c r="P64" s="2"/>
      <c r="Q64" s="3"/>
      <c r="R64" s="3"/>
      <c r="S64" s="2"/>
    </row>
    <row r="65" spans="1:19" x14ac:dyDescent="0.25">
      <c r="A65">
        <f t="shared" si="0"/>
        <v>64</v>
      </c>
      <c r="B65" t="s">
        <v>30</v>
      </c>
      <c r="C65" t="s">
        <v>31</v>
      </c>
      <c r="D65">
        <v>152.4</v>
      </c>
      <c r="E65" t="s">
        <v>26</v>
      </c>
      <c r="F65">
        <v>914.4</v>
      </c>
      <c r="G65" s="3">
        <v>0.32100000000000001</v>
      </c>
      <c r="H65">
        <v>4.4820000000000002</v>
      </c>
      <c r="I65">
        <v>16.853000000000002</v>
      </c>
      <c r="J65">
        <v>35.4</v>
      </c>
      <c r="K65">
        <v>125.5</v>
      </c>
      <c r="L65">
        <v>42.3</v>
      </c>
      <c r="M65" s="5">
        <v>10</v>
      </c>
      <c r="N65" s="3"/>
      <c r="O65" s="3"/>
      <c r="P65" s="2"/>
      <c r="Q65" s="3"/>
      <c r="R65" s="3"/>
      <c r="S65" s="2"/>
    </row>
    <row r="66" spans="1:19" x14ac:dyDescent="0.25">
      <c r="A66">
        <f t="shared" si="0"/>
        <v>65</v>
      </c>
      <c r="B66" t="s">
        <v>33</v>
      </c>
      <c r="C66" t="s">
        <v>34</v>
      </c>
      <c r="D66">
        <v>200</v>
      </c>
      <c r="E66" t="s">
        <v>32</v>
      </c>
      <c r="F66">
        <v>1000</v>
      </c>
      <c r="G66" s="3">
        <v>0.44</v>
      </c>
      <c r="H66">
        <v>1</v>
      </c>
      <c r="I66">
        <v>4.5</v>
      </c>
      <c r="J66">
        <v>38</v>
      </c>
      <c r="K66">
        <v>45</v>
      </c>
      <c r="L66">
        <v>16.399999999999999</v>
      </c>
      <c r="M66" s="5">
        <v>9</v>
      </c>
      <c r="N66" s="3"/>
      <c r="O66" s="3"/>
      <c r="P66" s="2"/>
      <c r="Q66" s="3"/>
      <c r="R66" s="3"/>
      <c r="S66" s="2"/>
    </row>
    <row r="67" spans="1:19" x14ac:dyDescent="0.25">
      <c r="A67">
        <f t="shared" si="0"/>
        <v>66</v>
      </c>
      <c r="B67" t="s">
        <v>33</v>
      </c>
      <c r="C67" t="s">
        <v>34</v>
      </c>
      <c r="D67">
        <v>200</v>
      </c>
      <c r="E67" t="s">
        <v>32</v>
      </c>
      <c r="F67">
        <v>1000</v>
      </c>
      <c r="G67" s="3">
        <v>0.37</v>
      </c>
      <c r="H67">
        <v>1.6</v>
      </c>
      <c r="I67">
        <v>8</v>
      </c>
      <c r="J67">
        <v>40</v>
      </c>
      <c r="K67">
        <v>64</v>
      </c>
      <c r="L67">
        <v>24.1</v>
      </c>
      <c r="M67" s="5">
        <v>9</v>
      </c>
      <c r="N67" s="3"/>
      <c r="O67" s="3"/>
      <c r="P67" s="2"/>
      <c r="Q67" s="3"/>
      <c r="R67" s="3"/>
      <c r="S67" s="2"/>
    </row>
    <row r="68" spans="1:19" x14ac:dyDescent="0.25">
      <c r="A68">
        <f t="shared" ref="A68:A131" si="1">+A67+1</f>
        <v>67</v>
      </c>
      <c r="B68" t="s">
        <v>33</v>
      </c>
      <c r="C68" t="s">
        <v>34</v>
      </c>
      <c r="D68">
        <v>200</v>
      </c>
      <c r="E68" t="s">
        <v>32</v>
      </c>
      <c r="F68">
        <v>1000</v>
      </c>
      <c r="G68" s="3">
        <v>0.36</v>
      </c>
      <c r="H68">
        <v>2.5</v>
      </c>
      <c r="I68">
        <v>10</v>
      </c>
      <c r="J68">
        <v>36</v>
      </c>
      <c r="K68">
        <v>63.3</v>
      </c>
      <c r="L68">
        <v>30</v>
      </c>
      <c r="M68" s="5">
        <v>9</v>
      </c>
      <c r="N68" s="3"/>
      <c r="O68" s="3"/>
      <c r="P68" s="2"/>
      <c r="Q68" s="3"/>
      <c r="R68" s="3"/>
      <c r="S68" s="2"/>
    </row>
    <row r="69" spans="1:19" x14ac:dyDescent="0.25">
      <c r="A69">
        <f t="shared" si="1"/>
        <v>68</v>
      </c>
      <c r="B69" t="s">
        <v>35</v>
      </c>
      <c r="C69" t="s">
        <v>34</v>
      </c>
      <c r="D69">
        <v>200</v>
      </c>
      <c r="E69" t="s">
        <v>32</v>
      </c>
      <c r="F69">
        <v>1000</v>
      </c>
      <c r="G69" s="3">
        <v>0.45</v>
      </c>
      <c r="H69">
        <v>0.1</v>
      </c>
      <c r="I69">
        <v>0.73</v>
      </c>
      <c r="J69">
        <v>51</v>
      </c>
      <c r="K69">
        <v>13.3</v>
      </c>
      <c r="L69">
        <v>6.4</v>
      </c>
      <c r="M69" s="5">
        <v>16</v>
      </c>
      <c r="N69" s="3"/>
      <c r="O69" s="3"/>
      <c r="P69" s="2"/>
      <c r="Q69" s="3"/>
      <c r="R69" s="3"/>
      <c r="S69" s="2"/>
    </row>
    <row r="70" spans="1:19" x14ac:dyDescent="0.25">
      <c r="A70">
        <f t="shared" si="1"/>
        <v>69</v>
      </c>
      <c r="B70" t="s">
        <v>35</v>
      </c>
      <c r="C70" t="s">
        <v>34</v>
      </c>
      <c r="D70">
        <v>200</v>
      </c>
      <c r="E70" t="s">
        <v>32</v>
      </c>
      <c r="F70">
        <v>1000</v>
      </c>
      <c r="G70" s="3">
        <v>0.44</v>
      </c>
      <c r="H70">
        <v>0.2</v>
      </c>
      <c r="I70">
        <v>1.2</v>
      </c>
      <c r="J70">
        <v>47</v>
      </c>
      <c r="K70">
        <v>10</v>
      </c>
      <c r="L70">
        <v>7.7</v>
      </c>
      <c r="M70" s="5">
        <v>16</v>
      </c>
      <c r="N70" s="3"/>
      <c r="O70" s="3"/>
      <c r="P70" s="2"/>
      <c r="Q70" s="3"/>
      <c r="R70" s="3"/>
      <c r="S70" s="2"/>
    </row>
    <row r="71" spans="1:19" x14ac:dyDescent="0.25">
      <c r="A71">
        <f t="shared" si="1"/>
        <v>70</v>
      </c>
      <c r="B71" t="s">
        <v>35</v>
      </c>
      <c r="C71" t="s">
        <v>34</v>
      </c>
      <c r="D71">
        <v>200</v>
      </c>
      <c r="E71" t="s">
        <v>32</v>
      </c>
      <c r="F71">
        <v>1000</v>
      </c>
      <c r="G71" s="3">
        <v>0.43</v>
      </c>
      <c r="H71">
        <v>0.5</v>
      </c>
      <c r="I71">
        <v>2.2999999999999998</v>
      </c>
      <c r="J71">
        <v>40</v>
      </c>
      <c r="K71">
        <v>18</v>
      </c>
      <c r="L71">
        <v>9.4</v>
      </c>
      <c r="M71" s="5">
        <v>16</v>
      </c>
      <c r="N71" s="3"/>
      <c r="O71" s="3"/>
      <c r="P71" s="2"/>
      <c r="Q71" s="3"/>
      <c r="R71" s="3"/>
      <c r="S71" s="2"/>
    </row>
    <row r="72" spans="1:19" x14ac:dyDescent="0.25">
      <c r="A72">
        <f t="shared" si="1"/>
        <v>71</v>
      </c>
      <c r="B72" t="s">
        <v>35</v>
      </c>
      <c r="C72" t="s">
        <v>34</v>
      </c>
      <c r="D72">
        <v>200</v>
      </c>
      <c r="E72" t="s">
        <v>32</v>
      </c>
      <c r="F72">
        <v>1000</v>
      </c>
      <c r="G72" s="3">
        <v>0.39</v>
      </c>
      <c r="H72">
        <v>1</v>
      </c>
      <c r="I72">
        <v>4.4000000000000004</v>
      </c>
      <c r="J72">
        <v>39</v>
      </c>
      <c r="K72">
        <v>40</v>
      </c>
      <c r="L72">
        <v>13.6</v>
      </c>
      <c r="M72" s="5">
        <v>16</v>
      </c>
      <c r="N72" s="3"/>
      <c r="O72" s="3"/>
      <c r="P72" s="2"/>
      <c r="Q72" s="3"/>
      <c r="R72" s="3"/>
      <c r="S72" s="2"/>
    </row>
    <row r="73" spans="1:19" x14ac:dyDescent="0.25">
      <c r="A73">
        <f t="shared" si="1"/>
        <v>72</v>
      </c>
      <c r="B73" t="s">
        <v>35</v>
      </c>
      <c r="C73" t="s">
        <v>34</v>
      </c>
      <c r="D73">
        <v>200</v>
      </c>
      <c r="E73" t="s">
        <v>32</v>
      </c>
      <c r="F73">
        <v>1000</v>
      </c>
      <c r="G73" s="3">
        <v>0.34</v>
      </c>
      <c r="H73">
        <v>2</v>
      </c>
      <c r="I73">
        <v>6.6</v>
      </c>
      <c r="J73">
        <v>32</v>
      </c>
      <c r="K73">
        <v>51.1</v>
      </c>
      <c r="L73">
        <v>15</v>
      </c>
      <c r="M73" s="5">
        <v>16</v>
      </c>
      <c r="N73" s="3"/>
      <c r="O73" s="3"/>
      <c r="P73" s="2"/>
      <c r="Q73" s="3"/>
      <c r="R73" s="3"/>
      <c r="S73" s="2"/>
    </row>
    <row r="74" spans="1:19" x14ac:dyDescent="0.25">
      <c r="A74">
        <f t="shared" si="1"/>
        <v>73</v>
      </c>
      <c r="B74" t="s">
        <v>37</v>
      </c>
      <c r="C74" t="s">
        <v>34</v>
      </c>
      <c r="D74">
        <v>152.39999999999998</v>
      </c>
      <c r="E74" t="s">
        <v>36</v>
      </c>
      <c r="F74">
        <v>1000</v>
      </c>
      <c r="G74" s="3">
        <v>0.39</v>
      </c>
      <c r="H74">
        <v>0.8</v>
      </c>
      <c r="I74">
        <v>3.3119999999999998</v>
      </c>
      <c r="J74">
        <v>37</v>
      </c>
      <c r="K74">
        <v>22</v>
      </c>
      <c r="L74">
        <v>13</v>
      </c>
      <c r="M74" s="5">
        <v>30</v>
      </c>
      <c r="N74" s="3"/>
      <c r="O74" s="3"/>
      <c r="P74" s="2"/>
      <c r="Q74" s="3"/>
      <c r="R74" s="3"/>
      <c r="S74" s="2"/>
    </row>
    <row r="75" spans="1:19" x14ac:dyDescent="0.25">
      <c r="A75">
        <f t="shared" si="1"/>
        <v>74</v>
      </c>
      <c r="B75" t="s">
        <v>37</v>
      </c>
      <c r="C75" t="s">
        <v>34</v>
      </c>
      <c r="D75">
        <v>152.4</v>
      </c>
      <c r="E75" t="s">
        <v>36</v>
      </c>
      <c r="F75">
        <v>1000</v>
      </c>
      <c r="G75" s="3">
        <v>0.36</v>
      </c>
      <c r="H75">
        <v>1.5</v>
      </c>
      <c r="I75">
        <v>7.1849999999999996</v>
      </c>
      <c r="J75">
        <v>40</v>
      </c>
      <c r="K75">
        <v>46.9</v>
      </c>
      <c r="L75">
        <v>14</v>
      </c>
      <c r="M75" s="5">
        <v>30</v>
      </c>
      <c r="N75" s="3"/>
      <c r="O75" s="3"/>
      <c r="P75" s="2"/>
      <c r="Q75" s="3"/>
      <c r="R75" s="3"/>
      <c r="S75" s="2"/>
    </row>
    <row r="76" spans="1:19" x14ac:dyDescent="0.25">
      <c r="A76">
        <f t="shared" si="1"/>
        <v>75</v>
      </c>
      <c r="B76" t="s">
        <v>37</v>
      </c>
      <c r="C76" t="s">
        <v>34</v>
      </c>
      <c r="D76">
        <v>152.4</v>
      </c>
      <c r="E76" t="s">
        <v>36</v>
      </c>
      <c r="F76">
        <v>1000</v>
      </c>
      <c r="G76" s="3">
        <v>0.33</v>
      </c>
      <c r="H76">
        <v>2</v>
      </c>
      <c r="I76">
        <v>8.98</v>
      </c>
      <c r="J76">
        <v>40</v>
      </c>
      <c r="K76">
        <v>65.599999999999994</v>
      </c>
      <c r="L76">
        <v>18</v>
      </c>
      <c r="M76" s="5">
        <v>30</v>
      </c>
      <c r="N76" s="3"/>
      <c r="O76" s="3"/>
      <c r="P76" s="2"/>
      <c r="Q76" s="3"/>
      <c r="R76" s="3"/>
      <c r="S76" s="2"/>
    </row>
    <row r="77" spans="1:19" x14ac:dyDescent="0.25">
      <c r="A77">
        <f t="shared" si="1"/>
        <v>76</v>
      </c>
      <c r="B77" t="s">
        <v>37</v>
      </c>
      <c r="C77" t="s">
        <v>34</v>
      </c>
      <c r="D77">
        <v>152.4</v>
      </c>
      <c r="E77" t="s">
        <v>36</v>
      </c>
      <c r="F77">
        <v>1000</v>
      </c>
      <c r="G77" s="3">
        <v>0.33</v>
      </c>
      <c r="H77">
        <v>2.5</v>
      </c>
      <c r="I77">
        <v>11.875</v>
      </c>
      <c r="J77">
        <v>40</v>
      </c>
      <c r="K77">
        <v>72.2</v>
      </c>
      <c r="L77">
        <v>19</v>
      </c>
      <c r="M77" s="5">
        <v>30</v>
      </c>
      <c r="N77" s="3"/>
      <c r="O77" s="3"/>
      <c r="P77" s="2"/>
      <c r="Q77" s="3"/>
      <c r="R77" s="3"/>
      <c r="S77" s="2"/>
    </row>
    <row r="78" spans="1:19" x14ac:dyDescent="0.25">
      <c r="A78">
        <f t="shared" si="1"/>
        <v>77</v>
      </c>
      <c r="B78" t="s">
        <v>38</v>
      </c>
      <c r="C78" t="s">
        <v>39</v>
      </c>
      <c r="D78">
        <v>152.4</v>
      </c>
      <c r="E78" t="s">
        <v>36</v>
      </c>
      <c r="F78">
        <v>1000</v>
      </c>
      <c r="G78" s="3">
        <v>0.37</v>
      </c>
      <c r="H78">
        <v>1</v>
      </c>
      <c r="I78">
        <v>6.37</v>
      </c>
      <c r="J78">
        <v>46</v>
      </c>
      <c r="K78">
        <v>51.3</v>
      </c>
      <c r="L78">
        <v>19</v>
      </c>
      <c r="M78" s="5">
        <v>8</v>
      </c>
      <c r="N78" s="3"/>
      <c r="O78" s="3"/>
      <c r="P78" s="2"/>
      <c r="Q78" s="3"/>
      <c r="R78" s="3"/>
      <c r="S78" s="2"/>
    </row>
    <row r="79" spans="1:19" x14ac:dyDescent="0.25">
      <c r="A79">
        <f t="shared" si="1"/>
        <v>78</v>
      </c>
      <c r="B79" t="s">
        <v>38</v>
      </c>
      <c r="C79" t="s">
        <v>39</v>
      </c>
      <c r="D79">
        <v>152.4</v>
      </c>
      <c r="E79" t="s">
        <v>36</v>
      </c>
      <c r="F79">
        <v>1000</v>
      </c>
      <c r="G79" s="3">
        <v>0.35</v>
      </c>
      <c r="H79">
        <v>1.5</v>
      </c>
      <c r="I79">
        <v>8.3249999999999993</v>
      </c>
      <c r="J79">
        <v>43</v>
      </c>
      <c r="K79">
        <v>80.3</v>
      </c>
      <c r="L79">
        <v>21</v>
      </c>
      <c r="M79" s="5">
        <v>8</v>
      </c>
      <c r="N79" s="3"/>
      <c r="O79" s="3"/>
      <c r="P79" s="2"/>
      <c r="Q79" s="3"/>
      <c r="R79" s="3"/>
      <c r="S79" s="2"/>
    </row>
    <row r="80" spans="1:19" x14ac:dyDescent="0.25">
      <c r="A80">
        <f t="shared" si="1"/>
        <v>79</v>
      </c>
      <c r="B80" t="s">
        <v>38</v>
      </c>
      <c r="C80" t="s">
        <v>39</v>
      </c>
      <c r="D80">
        <v>152.4</v>
      </c>
      <c r="E80" t="s">
        <v>36</v>
      </c>
      <c r="F80">
        <v>1000</v>
      </c>
      <c r="G80" s="3">
        <v>0.33</v>
      </c>
      <c r="H80">
        <v>2</v>
      </c>
      <c r="I80">
        <v>11.36</v>
      </c>
      <c r="J80">
        <v>44</v>
      </c>
      <c r="K80">
        <v>88</v>
      </c>
      <c r="L80">
        <v>25</v>
      </c>
      <c r="M80" s="5">
        <v>8</v>
      </c>
      <c r="N80" s="3"/>
      <c r="O80" s="3"/>
      <c r="P80" s="2"/>
      <c r="Q80" s="3"/>
      <c r="R80" s="3"/>
      <c r="S80" s="2"/>
    </row>
    <row r="81" spans="1:19" x14ac:dyDescent="0.25">
      <c r="A81">
        <f t="shared" si="1"/>
        <v>80</v>
      </c>
      <c r="B81" t="s">
        <v>38</v>
      </c>
      <c r="C81" t="s">
        <v>39</v>
      </c>
      <c r="D81">
        <v>152.4</v>
      </c>
      <c r="E81" t="s">
        <v>36</v>
      </c>
      <c r="F81">
        <v>1000</v>
      </c>
      <c r="G81" s="3">
        <v>0.32</v>
      </c>
      <c r="H81">
        <v>2.5</v>
      </c>
      <c r="I81">
        <v>13.45</v>
      </c>
      <c r="J81">
        <v>42</v>
      </c>
      <c r="K81">
        <v>113.6</v>
      </c>
      <c r="L81">
        <v>27</v>
      </c>
      <c r="M81" s="5">
        <v>8</v>
      </c>
      <c r="N81" s="3"/>
      <c r="O81" s="3"/>
      <c r="P81" s="2"/>
      <c r="Q81" s="3"/>
      <c r="R81" s="3"/>
      <c r="S81" s="2"/>
    </row>
    <row r="82" spans="1:19" x14ac:dyDescent="0.25">
      <c r="A82">
        <f t="shared" si="1"/>
        <v>81</v>
      </c>
      <c r="B82" t="s">
        <v>41</v>
      </c>
      <c r="C82" t="s">
        <v>42</v>
      </c>
      <c r="D82">
        <v>175</v>
      </c>
      <c r="E82" t="s">
        <v>40</v>
      </c>
      <c r="F82">
        <v>1000</v>
      </c>
      <c r="G82" s="3">
        <v>0.41399999999999998</v>
      </c>
      <c r="H82">
        <v>0.39200000000000002</v>
      </c>
      <c r="I82">
        <v>1.5109999999999999</v>
      </c>
      <c r="J82">
        <v>36</v>
      </c>
      <c r="K82">
        <v>10.8</v>
      </c>
      <c r="M82" s="5">
        <v>4.4000000000000004</v>
      </c>
      <c r="N82" s="3"/>
      <c r="O82" s="3"/>
      <c r="P82" s="2"/>
      <c r="Q82" s="3"/>
      <c r="R82" s="3"/>
      <c r="S82" s="2"/>
    </row>
    <row r="83" spans="1:19" x14ac:dyDescent="0.25">
      <c r="A83">
        <f t="shared" si="1"/>
        <v>82</v>
      </c>
      <c r="B83" t="s">
        <v>41</v>
      </c>
      <c r="C83" t="s">
        <v>42</v>
      </c>
      <c r="D83">
        <v>175</v>
      </c>
      <c r="E83" t="s">
        <v>40</v>
      </c>
      <c r="F83">
        <v>1000</v>
      </c>
      <c r="G83" s="3">
        <v>0.41399999999999998</v>
      </c>
      <c r="H83">
        <v>0.78500000000000003</v>
      </c>
      <c r="I83">
        <v>3.0760000000000001</v>
      </c>
      <c r="J83">
        <v>36.4</v>
      </c>
      <c r="K83">
        <v>19</v>
      </c>
      <c r="M83" s="5">
        <v>4.4000000000000004</v>
      </c>
      <c r="N83" s="3"/>
      <c r="O83" s="3"/>
      <c r="P83" s="2"/>
      <c r="Q83" s="3"/>
      <c r="R83" s="3"/>
      <c r="S83" s="2"/>
    </row>
    <row r="84" spans="1:19" x14ac:dyDescent="0.25">
      <c r="A84">
        <f t="shared" si="1"/>
        <v>83</v>
      </c>
      <c r="B84" t="s">
        <v>41</v>
      </c>
      <c r="C84" t="s">
        <v>42</v>
      </c>
      <c r="D84">
        <v>175</v>
      </c>
      <c r="E84" t="s">
        <v>40</v>
      </c>
      <c r="F84">
        <v>1000</v>
      </c>
      <c r="G84" s="3">
        <v>0.41399999999999998</v>
      </c>
      <c r="H84">
        <v>1.57</v>
      </c>
      <c r="I84">
        <v>6.2590000000000003</v>
      </c>
      <c r="J84">
        <v>36.799999999999997</v>
      </c>
      <c r="K84">
        <v>37.299999999999997</v>
      </c>
      <c r="M84" s="5">
        <v>4.4000000000000004</v>
      </c>
      <c r="N84" s="3"/>
      <c r="O84" s="3"/>
      <c r="P84" s="2"/>
      <c r="Q84" s="3"/>
      <c r="R84" s="3"/>
      <c r="S84" s="2"/>
    </row>
    <row r="85" spans="1:19" x14ac:dyDescent="0.25">
      <c r="A85">
        <f t="shared" si="1"/>
        <v>84</v>
      </c>
      <c r="B85" t="s">
        <v>43</v>
      </c>
      <c r="C85" t="s">
        <v>44</v>
      </c>
      <c r="D85">
        <v>152</v>
      </c>
      <c r="E85" t="s">
        <v>40</v>
      </c>
      <c r="F85">
        <v>1000</v>
      </c>
      <c r="G85" s="3">
        <v>0.48599999999999999</v>
      </c>
      <c r="H85">
        <v>0.78500000000000003</v>
      </c>
      <c r="I85">
        <v>3.9409999999999998</v>
      </c>
      <c r="J85">
        <v>41.9</v>
      </c>
      <c r="K85">
        <v>39.200000000000003</v>
      </c>
      <c r="M85" s="5">
        <v>91</v>
      </c>
      <c r="N85" s="3"/>
      <c r="O85" s="3"/>
      <c r="P85" s="2"/>
      <c r="Q85" s="3"/>
      <c r="R85" s="3"/>
      <c r="S85" s="2"/>
    </row>
    <row r="86" spans="1:19" x14ac:dyDescent="0.25">
      <c r="A86">
        <f t="shared" si="1"/>
        <v>85</v>
      </c>
      <c r="B86" t="s">
        <v>43</v>
      </c>
      <c r="C86" t="s">
        <v>44</v>
      </c>
      <c r="D86">
        <v>152</v>
      </c>
      <c r="E86" t="s">
        <v>40</v>
      </c>
      <c r="F86">
        <v>1000</v>
      </c>
      <c r="G86" s="3">
        <v>0.48599999999999999</v>
      </c>
      <c r="H86">
        <v>1.962</v>
      </c>
      <c r="I86">
        <v>9.8979999999999997</v>
      </c>
      <c r="J86">
        <v>42</v>
      </c>
      <c r="K86">
        <v>58.2</v>
      </c>
      <c r="M86" s="5">
        <v>91</v>
      </c>
      <c r="N86" s="3"/>
      <c r="O86" s="3"/>
      <c r="P86" s="2"/>
      <c r="Q86" s="3"/>
      <c r="R86" s="3"/>
      <c r="S86" s="2"/>
    </row>
    <row r="87" spans="1:19" x14ac:dyDescent="0.25">
      <c r="A87">
        <f t="shared" si="1"/>
        <v>86</v>
      </c>
      <c r="B87" t="s">
        <v>43</v>
      </c>
      <c r="C87" t="s">
        <v>44</v>
      </c>
      <c r="D87">
        <v>152</v>
      </c>
      <c r="E87" t="s">
        <v>40</v>
      </c>
      <c r="F87">
        <v>1000</v>
      </c>
      <c r="G87" s="3">
        <v>0.48599999999999999</v>
      </c>
      <c r="H87">
        <v>2.4529999999999998</v>
      </c>
      <c r="I87">
        <v>12.372</v>
      </c>
      <c r="J87">
        <v>42</v>
      </c>
      <c r="K87">
        <v>83.6</v>
      </c>
      <c r="M87" s="5">
        <v>91</v>
      </c>
      <c r="N87" s="3"/>
      <c r="O87" s="3"/>
      <c r="P87" s="2"/>
      <c r="Q87" s="3"/>
      <c r="R87" s="3"/>
      <c r="S87" s="2"/>
    </row>
    <row r="88" spans="1:19" x14ac:dyDescent="0.25">
      <c r="A88">
        <f t="shared" si="1"/>
        <v>87</v>
      </c>
      <c r="B88" t="s">
        <v>46</v>
      </c>
      <c r="C88" t="s">
        <v>47</v>
      </c>
      <c r="D88">
        <v>200</v>
      </c>
      <c r="E88" t="s">
        <v>45</v>
      </c>
      <c r="F88">
        <v>1000</v>
      </c>
      <c r="G88" s="3">
        <v>0.5</v>
      </c>
      <c r="H88">
        <v>9.8000000000000004E-2</v>
      </c>
      <c r="I88">
        <v>0.81399999999999995</v>
      </c>
      <c r="J88">
        <v>51.7</v>
      </c>
      <c r="K88">
        <v>13.6</v>
      </c>
      <c r="L88">
        <v>6.5</v>
      </c>
      <c r="M88" s="5">
        <v>17.399999999999999</v>
      </c>
      <c r="N88" s="3"/>
      <c r="O88" s="3"/>
      <c r="P88" s="2"/>
      <c r="Q88" s="3"/>
      <c r="R88" s="3"/>
      <c r="S88" s="2"/>
    </row>
    <row r="89" spans="1:19" x14ac:dyDescent="0.25">
      <c r="A89">
        <f t="shared" si="1"/>
        <v>88</v>
      </c>
      <c r="B89" t="s">
        <v>46</v>
      </c>
      <c r="C89" t="s">
        <v>47</v>
      </c>
      <c r="D89">
        <v>200</v>
      </c>
      <c r="E89" t="s">
        <v>45</v>
      </c>
      <c r="F89">
        <v>1000</v>
      </c>
      <c r="G89" s="3">
        <v>0.5</v>
      </c>
      <c r="H89">
        <v>0.19600000000000001</v>
      </c>
      <c r="I89">
        <v>1.24</v>
      </c>
      <c r="J89">
        <v>46.6</v>
      </c>
      <c r="K89">
        <v>12.7</v>
      </c>
      <c r="L89">
        <v>7.5</v>
      </c>
      <c r="M89" s="5">
        <v>17.399999999999999</v>
      </c>
      <c r="N89" s="3"/>
      <c r="O89" s="3"/>
      <c r="P89" s="2"/>
      <c r="Q89" s="3"/>
      <c r="R89" s="3"/>
      <c r="S89" s="2"/>
    </row>
    <row r="90" spans="1:19" x14ac:dyDescent="0.25">
      <c r="A90">
        <f t="shared" si="1"/>
        <v>89</v>
      </c>
      <c r="B90" t="s">
        <v>46</v>
      </c>
      <c r="C90" t="s">
        <v>47</v>
      </c>
      <c r="D90">
        <v>200</v>
      </c>
      <c r="E90" t="s">
        <v>45</v>
      </c>
      <c r="F90">
        <v>1000</v>
      </c>
      <c r="G90" s="3">
        <v>0.5</v>
      </c>
      <c r="H90">
        <v>0.49</v>
      </c>
      <c r="I90">
        <v>2.242</v>
      </c>
      <c r="J90">
        <v>40</v>
      </c>
      <c r="K90">
        <v>19.7</v>
      </c>
      <c r="L90">
        <v>9.5</v>
      </c>
      <c r="M90" s="5">
        <v>17.399999999999999</v>
      </c>
      <c r="N90" s="3"/>
      <c r="O90" s="3"/>
      <c r="P90" s="2"/>
      <c r="Q90" s="3"/>
      <c r="R90" s="3"/>
      <c r="S90" s="2"/>
    </row>
    <row r="91" spans="1:19" x14ac:dyDescent="0.25">
      <c r="A91">
        <f t="shared" si="1"/>
        <v>90</v>
      </c>
      <c r="B91" t="s">
        <v>46</v>
      </c>
      <c r="C91" t="s">
        <v>47</v>
      </c>
      <c r="D91">
        <v>200</v>
      </c>
      <c r="E91" t="s">
        <v>45</v>
      </c>
      <c r="F91">
        <v>1000</v>
      </c>
      <c r="G91" s="3">
        <v>0.5</v>
      </c>
      <c r="H91">
        <v>0.98099999999999998</v>
      </c>
      <c r="I91">
        <v>4.2670000000000003</v>
      </c>
      <c r="J91">
        <v>38.799999999999997</v>
      </c>
      <c r="K91">
        <v>34.1</v>
      </c>
      <c r="L91">
        <v>13.5</v>
      </c>
      <c r="M91" s="5">
        <v>17.399999999999999</v>
      </c>
      <c r="N91" s="3"/>
      <c r="O91" s="3"/>
      <c r="P91" s="2"/>
      <c r="Q91" s="3"/>
      <c r="R91" s="3"/>
      <c r="S91" s="2"/>
    </row>
    <row r="92" spans="1:19" x14ac:dyDescent="0.25">
      <c r="A92">
        <f t="shared" si="1"/>
        <v>91</v>
      </c>
      <c r="B92" t="s">
        <v>46</v>
      </c>
      <c r="C92" t="s">
        <v>47</v>
      </c>
      <c r="D92">
        <v>200</v>
      </c>
      <c r="E92" t="s">
        <v>45</v>
      </c>
      <c r="F92">
        <v>1000</v>
      </c>
      <c r="G92" s="3">
        <v>0.5</v>
      </c>
      <c r="H92">
        <v>1.9610000000000001</v>
      </c>
      <c r="I92">
        <v>7.5510000000000002</v>
      </c>
      <c r="J92">
        <v>36</v>
      </c>
      <c r="K92">
        <v>53.6</v>
      </c>
      <c r="L92">
        <v>15</v>
      </c>
      <c r="M92" s="5">
        <v>17.399999999999999</v>
      </c>
      <c r="N92" s="3"/>
      <c r="O92" s="3"/>
      <c r="P92" s="2"/>
      <c r="Q92" s="3"/>
      <c r="R92" s="3"/>
      <c r="S92" s="2"/>
    </row>
    <row r="93" spans="1:19" x14ac:dyDescent="0.25">
      <c r="A93">
        <f t="shared" si="1"/>
        <v>92</v>
      </c>
      <c r="B93" t="s">
        <v>48</v>
      </c>
      <c r="C93" t="s">
        <v>47</v>
      </c>
      <c r="D93">
        <v>200</v>
      </c>
      <c r="E93" t="s">
        <v>45</v>
      </c>
      <c r="F93">
        <v>1000</v>
      </c>
      <c r="G93" s="3">
        <v>0.45</v>
      </c>
      <c r="H93">
        <v>0.19600000000000001</v>
      </c>
      <c r="I93">
        <v>0.91800000000000004</v>
      </c>
      <c r="J93">
        <v>40.4</v>
      </c>
      <c r="K93">
        <v>9.1999999999999993</v>
      </c>
      <c r="L93">
        <v>6.5</v>
      </c>
      <c r="M93" s="5">
        <v>17.5</v>
      </c>
      <c r="N93" s="3"/>
      <c r="O93" s="3"/>
      <c r="P93" s="2"/>
      <c r="Q93" s="3"/>
      <c r="R93" s="3"/>
      <c r="S93" s="2"/>
    </row>
    <row r="94" spans="1:19" x14ac:dyDescent="0.25">
      <c r="A94">
        <f t="shared" si="1"/>
        <v>93</v>
      </c>
      <c r="B94" t="s">
        <v>48</v>
      </c>
      <c r="C94" t="s">
        <v>47</v>
      </c>
      <c r="D94">
        <v>200</v>
      </c>
      <c r="E94" t="s">
        <v>45</v>
      </c>
      <c r="F94">
        <v>1000</v>
      </c>
      <c r="G94" s="3">
        <v>0.45</v>
      </c>
      <c r="H94">
        <v>0.98099999999999998</v>
      </c>
      <c r="I94">
        <v>4.1630000000000003</v>
      </c>
      <c r="J94">
        <v>38.200000000000003</v>
      </c>
      <c r="K94">
        <v>31.3</v>
      </c>
      <c r="L94">
        <v>16</v>
      </c>
      <c r="M94" s="5">
        <v>17.5</v>
      </c>
      <c r="N94" s="3"/>
      <c r="O94" s="3"/>
      <c r="P94" s="2"/>
      <c r="Q94" s="3"/>
      <c r="R94" s="3"/>
      <c r="S94" s="2"/>
    </row>
    <row r="95" spans="1:19" x14ac:dyDescent="0.25">
      <c r="A95">
        <f t="shared" si="1"/>
        <v>94</v>
      </c>
      <c r="B95" t="s">
        <v>48</v>
      </c>
      <c r="C95" t="s">
        <v>47</v>
      </c>
      <c r="D95">
        <v>200</v>
      </c>
      <c r="E95" t="s">
        <v>45</v>
      </c>
      <c r="F95">
        <v>1000</v>
      </c>
      <c r="G95" s="3">
        <v>0.45</v>
      </c>
      <c r="H95">
        <v>1.4710000000000001</v>
      </c>
      <c r="I95">
        <v>7.3639999999999999</v>
      </c>
      <c r="J95">
        <v>41.8</v>
      </c>
      <c r="K95">
        <v>41.6</v>
      </c>
      <c r="L95">
        <v>19</v>
      </c>
      <c r="M95" s="5">
        <v>17.5</v>
      </c>
      <c r="N95" s="3"/>
      <c r="O95" s="3"/>
      <c r="P95" s="2"/>
      <c r="Q95" s="3"/>
      <c r="R95" s="3"/>
      <c r="S95" s="2"/>
    </row>
    <row r="96" spans="1:19" x14ac:dyDescent="0.25">
      <c r="A96">
        <f t="shared" si="1"/>
        <v>95</v>
      </c>
      <c r="B96" t="s">
        <v>48</v>
      </c>
      <c r="C96" t="s">
        <v>47</v>
      </c>
      <c r="D96">
        <v>200</v>
      </c>
      <c r="E96" t="s">
        <v>45</v>
      </c>
      <c r="F96">
        <v>1000</v>
      </c>
      <c r="G96" s="3">
        <v>0.45</v>
      </c>
      <c r="H96">
        <v>2.452</v>
      </c>
      <c r="I96">
        <v>8.5540000000000003</v>
      </c>
      <c r="J96">
        <v>35.5</v>
      </c>
      <c r="K96">
        <v>58.3</v>
      </c>
      <c r="L96">
        <v>18.5</v>
      </c>
      <c r="M96" s="5">
        <v>17.5</v>
      </c>
      <c r="N96" s="3"/>
      <c r="O96" s="3"/>
      <c r="P96" s="2"/>
      <c r="Q96" s="3"/>
      <c r="R96" s="3"/>
      <c r="S96" s="2"/>
    </row>
    <row r="97" spans="1:19" x14ac:dyDescent="0.25">
      <c r="A97">
        <f t="shared" si="1"/>
        <v>96</v>
      </c>
      <c r="B97" t="s">
        <v>49</v>
      </c>
      <c r="C97" t="s">
        <v>47</v>
      </c>
      <c r="D97">
        <v>200</v>
      </c>
      <c r="E97" t="s">
        <v>45</v>
      </c>
      <c r="F97">
        <v>1000</v>
      </c>
      <c r="G97" s="3">
        <v>0.45</v>
      </c>
      <c r="H97">
        <v>0.98099999999999998</v>
      </c>
      <c r="I97">
        <v>4.5270000000000001</v>
      </c>
      <c r="J97">
        <v>40.1</v>
      </c>
      <c r="K97">
        <v>38.799999999999997</v>
      </c>
      <c r="L97">
        <v>21.5</v>
      </c>
      <c r="M97" s="5">
        <v>9.1</v>
      </c>
      <c r="N97" s="3"/>
      <c r="O97" s="3"/>
      <c r="P97" s="2"/>
      <c r="Q97" s="3"/>
      <c r="R97" s="3"/>
      <c r="S97" s="2"/>
    </row>
    <row r="98" spans="1:19" x14ac:dyDescent="0.25">
      <c r="A98">
        <f t="shared" si="1"/>
        <v>97</v>
      </c>
      <c r="B98" t="s">
        <v>49</v>
      </c>
      <c r="C98" t="s">
        <v>47</v>
      </c>
      <c r="D98">
        <v>200</v>
      </c>
      <c r="E98" t="s">
        <v>45</v>
      </c>
      <c r="F98">
        <v>1000</v>
      </c>
      <c r="G98" s="3">
        <v>0.45</v>
      </c>
      <c r="H98">
        <v>1.569</v>
      </c>
      <c r="I98">
        <v>7.7670000000000003</v>
      </c>
      <c r="J98">
        <v>41.6</v>
      </c>
      <c r="K98">
        <v>67.3</v>
      </c>
      <c r="L98">
        <v>28</v>
      </c>
      <c r="M98" s="5">
        <v>9.1</v>
      </c>
      <c r="N98" s="3"/>
      <c r="O98" s="3"/>
      <c r="P98" s="2"/>
      <c r="Q98" s="3"/>
      <c r="R98" s="3"/>
      <c r="S98" s="2"/>
    </row>
    <row r="99" spans="1:19" x14ac:dyDescent="0.25">
      <c r="A99">
        <f t="shared" si="1"/>
        <v>98</v>
      </c>
      <c r="B99" t="s">
        <v>49</v>
      </c>
      <c r="C99" t="s">
        <v>47</v>
      </c>
      <c r="D99">
        <v>200</v>
      </c>
      <c r="E99" t="s">
        <v>45</v>
      </c>
      <c r="F99">
        <v>1000</v>
      </c>
      <c r="G99" s="3">
        <v>0.45</v>
      </c>
      <c r="H99">
        <v>2.452</v>
      </c>
      <c r="I99">
        <v>9.86</v>
      </c>
      <c r="J99">
        <v>37</v>
      </c>
      <c r="K99">
        <v>71.900000000000006</v>
      </c>
      <c r="L99">
        <v>32</v>
      </c>
      <c r="M99" s="5">
        <v>9.1</v>
      </c>
      <c r="N99" s="3"/>
      <c r="O99" s="3"/>
      <c r="P99" s="2"/>
      <c r="Q99" s="3"/>
      <c r="R99" s="3"/>
      <c r="S99" s="2"/>
    </row>
    <row r="100" spans="1:19" x14ac:dyDescent="0.25">
      <c r="A100">
        <f t="shared" si="1"/>
        <v>99</v>
      </c>
      <c r="B100" t="s">
        <v>51</v>
      </c>
      <c r="C100" t="s">
        <v>39</v>
      </c>
      <c r="D100">
        <v>200</v>
      </c>
      <c r="E100" t="s">
        <v>50</v>
      </c>
      <c r="F100">
        <v>1000</v>
      </c>
      <c r="G100" s="3">
        <v>0.45900000000000002</v>
      </c>
      <c r="H100">
        <v>0.1</v>
      </c>
      <c r="I100">
        <v>0.81</v>
      </c>
      <c r="J100">
        <v>51.3</v>
      </c>
      <c r="K100">
        <v>12</v>
      </c>
      <c r="L100">
        <v>6.3</v>
      </c>
      <c r="M100" s="5">
        <v>9.3000000000000007</v>
      </c>
      <c r="N100" s="3"/>
      <c r="O100" s="3"/>
      <c r="P100" s="2"/>
      <c r="Q100" s="3"/>
      <c r="R100" s="3"/>
      <c r="S100" s="2"/>
    </row>
    <row r="101" spans="1:19" x14ac:dyDescent="0.25">
      <c r="A101">
        <f t="shared" si="1"/>
        <v>100</v>
      </c>
      <c r="B101" t="s">
        <v>51</v>
      </c>
      <c r="C101" t="s">
        <v>39</v>
      </c>
      <c r="D101">
        <v>200</v>
      </c>
      <c r="E101" t="s">
        <v>50</v>
      </c>
      <c r="F101">
        <v>1000</v>
      </c>
      <c r="G101" s="3">
        <v>0.45900000000000002</v>
      </c>
      <c r="H101">
        <v>0.2</v>
      </c>
      <c r="I101">
        <v>1.268</v>
      </c>
      <c r="J101">
        <v>46.7</v>
      </c>
      <c r="K101">
        <v>12.5</v>
      </c>
      <c r="L101">
        <v>7.6</v>
      </c>
      <c r="M101" s="5">
        <v>9.3000000000000007</v>
      </c>
      <c r="N101" s="3"/>
      <c r="O101" s="3"/>
      <c r="P101" s="2"/>
      <c r="Q101" s="3"/>
      <c r="R101" s="3"/>
      <c r="S101" s="2"/>
    </row>
    <row r="102" spans="1:19" x14ac:dyDescent="0.25">
      <c r="A102">
        <f t="shared" si="1"/>
        <v>101</v>
      </c>
      <c r="B102" t="s">
        <v>51</v>
      </c>
      <c r="C102" t="s">
        <v>39</v>
      </c>
      <c r="D102">
        <v>200</v>
      </c>
      <c r="E102" t="s">
        <v>50</v>
      </c>
      <c r="F102">
        <v>1000</v>
      </c>
      <c r="G102" s="3">
        <v>0.45900000000000002</v>
      </c>
      <c r="H102">
        <v>0.5</v>
      </c>
      <c r="I102">
        <v>2.3199999999999998</v>
      </c>
      <c r="J102">
        <v>40.200000000000003</v>
      </c>
      <c r="K102">
        <v>17</v>
      </c>
      <c r="L102">
        <v>9.4</v>
      </c>
      <c r="M102" s="5">
        <v>9.3000000000000007</v>
      </c>
      <c r="N102" s="3"/>
      <c r="O102" s="3"/>
      <c r="P102" s="2"/>
      <c r="Q102" s="3"/>
      <c r="R102" s="3"/>
      <c r="S102" s="2"/>
    </row>
    <row r="103" spans="1:19" x14ac:dyDescent="0.25">
      <c r="A103">
        <f t="shared" si="1"/>
        <v>102</v>
      </c>
      <c r="B103" t="s">
        <v>51</v>
      </c>
      <c r="C103" t="s">
        <v>39</v>
      </c>
      <c r="D103">
        <v>200</v>
      </c>
      <c r="E103" t="s">
        <v>50</v>
      </c>
      <c r="F103">
        <v>1000</v>
      </c>
      <c r="G103" s="3">
        <v>0.45900000000000002</v>
      </c>
      <c r="H103">
        <v>1</v>
      </c>
      <c r="I103">
        <v>4.3899999999999997</v>
      </c>
      <c r="J103">
        <v>39</v>
      </c>
      <c r="K103">
        <v>35</v>
      </c>
      <c r="L103">
        <v>13.6</v>
      </c>
      <c r="M103" s="5">
        <v>9.3000000000000007</v>
      </c>
      <c r="N103" s="3"/>
      <c r="O103" s="3"/>
      <c r="P103" s="2"/>
      <c r="Q103" s="3"/>
      <c r="R103" s="3"/>
      <c r="S103" s="2"/>
    </row>
    <row r="104" spans="1:19" x14ac:dyDescent="0.25">
      <c r="A104">
        <f t="shared" si="1"/>
        <v>103</v>
      </c>
      <c r="B104" t="s">
        <v>51</v>
      </c>
      <c r="C104" t="s">
        <v>39</v>
      </c>
      <c r="D104">
        <v>200</v>
      </c>
      <c r="E104" t="s">
        <v>50</v>
      </c>
      <c r="F104">
        <v>1000</v>
      </c>
      <c r="G104" s="3">
        <v>0.45900000000000002</v>
      </c>
      <c r="H104">
        <v>2</v>
      </c>
      <c r="I104">
        <v>6.61</v>
      </c>
      <c r="J104">
        <v>32.4</v>
      </c>
      <c r="K104">
        <v>48.7</v>
      </c>
      <c r="L104">
        <v>15</v>
      </c>
      <c r="M104" s="5">
        <v>9.3000000000000007</v>
      </c>
      <c r="N104" s="3"/>
      <c r="O104" s="3"/>
      <c r="P104" s="2"/>
      <c r="Q104" s="3"/>
      <c r="R104" s="3"/>
      <c r="S104" s="2"/>
    </row>
    <row r="105" spans="1:19" x14ac:dyDescent="0.25">
      <c r="A105">
        <f t="shared" si="1"/>
        <v>104</v>
      </c>
      <c r="B105" t="s">
        <v>48</v>
      </c>
      <c r="C105" t="s">
        <v>39</v>
      </c>
      <c r="D105">
        <v>200</v>
      </c>
      <c r="E105" t="s">
        <v>50</v>
      </c>
      <c r="F105">
        <v>1000</v>
      </c>
      <c r="G105" s="3">
        <v>0.46200000000000002</v>
      </c>
      <c r="H105">
        <v>0.2</v>
      </c>
      <c r="I105">
        <v>0.96799999999999997</v>
      </c>
      <c r="J105">
        <v>41.1</v>
      </c>
      <c r="K105">
        <v>9.8000000000000007</v>
      </c>
      <c r="L105">
        <v>6</v>
      </c>
      <c r="M105" s="5">
        <v>16</v>
      </c>
      <c r="N105" s="3"/>
      <c r="O105" s="3"/>
      <c r="P105" s="2"/>
      <c r="Q105" s="3"/>
      <c r="R105" s="3"/>
      <c r="S105" s="2"/>
    </row>
    <row r="106" spans="1:19" x14ac:dyDescent="0.25">
      <c r="A106">
        <f t="shared" si="1"/>
        <v>105</v>
      </c>
      <c r="B106" t="s">
        <v>48</v>
      </c>
      <c r="C106" t="s">
        <v>39</v>
      </c>
      <c r="D106">
        <v>200</v>
      </c>
      <c r="E106" t="s">
        <v>50</v>
      </c>
      <c r="F106">
        <v>1000</v>
      </c>
      <c r="G106" s="3">
        <v>0.46200000000000002</v>
      </c>
      <c r="H106">
        <v>1</v>
      </c>
      <c r="I106">
        <v>4.6399999999999997</v>
      </c>
      <c r="J106">
        <v>40.200000000000003</v>
      </c>
      <c r="K106">
        <v>38</v>
      </c>
      <c r="L106">
        <v>16</v>
      </c>
      <c r="M106" s="5">
        <v>16</v>
      </c>
      <c r="N106" s="3"/>
      <c r="O106" s="3"/>
      <c r="P106" s="2"/>
      <c r="Q106" s="3"/>
      <c r="R106" s="3"/>
      <c r="S106" s="2"/>
    </row>
    <row r="107" spans="1:19" x14ac:dyDescent="0.25">
      <c r="A107">
        <f t="shared" si="1"/>
        <v>106</v>
      </c>
      <c r="B107" t="s">
        <v>48</v>
      </c>
      <c r="C107" t="s">
        <v>39</v>
      </c>
      <c r="D107">
        <v>200</v>
      </c>
      <c r="E107" t="s">
        <v>50</v>
      </c>
      <c r="F107">
        <v>1000</v>
      </c>
      <c r="G107" s="3">
        <v>0.46200000000000002</v>
      </c>
      <c r="H107">
        <v>1.5</v>
      </c>
      <c r="I107">
        <v>7.28</v>
      </c>
      <c r="J107">
        <v>41.2</v>
      </c>
      <c r="K107">
        <v>43</v>
      </c>
      <c r="L107">
        <v>19</v>
      </c>
      <c r="M107" s="5">
        <v>16</v>
      </c>
      <c r="N107" s="3"/>
      <c r="O107" s="3"/>
      <c r="P107" s="2"/>
      <c r="Q107" s="3"/>
      <c r="R107" s="3"/>
      <c r="S107" s="2"/>
    </row>
    <row r="108" spans="1:19" x14ac:dyDescent="0.25">
      <c r="A108">
        <f t="shared" si="1"/>
        <v>107</v>
      </c>
      <c r="B108" t="s">
        <v>48</v>
      </c>
      <c r="C108" t="s">
        <v>39</v>
      </c>
      <c r="D108">
        <v>200</v>
      </c>
      <c r="E108" t="s">
        <v>50</v>
      </c>
      <c r="F108">
        <v>1000</v>
      </c>
      <c r="G108" s="3">
        <v>0.46200000000000002</v>
      </c>
      <c r="H108">
        <v>2.5</v>
      </c>
      <c r="I108">
        <v>9.42</v>
      </c>
      <c r="J108">
        <v>35.5</v>
      </c>
      <c r="K108">
        <v>59.5</v>
      </c>
      <c r="L108">
        <v>19</v>
      </c>
      <c r="M108" s="5">
        <v>16</v>
      </c>
      <c r="N108" s="3"/>
      <c r="O108" s="3"/>
      <c r="P108" s="2"/>
      <c r="Q108" s="3"/>
      <c r="R108" s="3"/>
      <c r="S108" s="2"/>
    </row>
    <row r="109" spans="1:19" x14ac:dyDescent="0.25">
      <c r="A109">
        <f t="shared" si="1"/>
        <v>108</v>
      </c>
      <c r="B109" t="s">
        <v>48</v>
      </c>
      <c r="C109" t="s">
        <v>39</v>
      </c>
      <c r="D109">
        <v>200</v>
      </c>
      <c r="E109" t="s">
        <v>50</v>
      </c>
      <c r="F109">
        <v>1000</v>
      </c>
      <c r="G109" s="3">
        <v>0.46200000000000002</v>
      </c>
      <c r="H109">
        <v>1.2</v>
      </c>
      <c r="I109">
        <v>5.32</v>
      </c>
      <c r="J109">
        <v>39.200000000000003</v>
      </c>
      <c r="K109">
        <v>41.3</v>
      </c>
      <c r="M109" s="5">
        <v>123</v>
      </c>
      <c r="N109" s="3"/>
      <c r="O109" s="3"/>
      <c r="P109" s="2"/>
      <c r="Q109" s="3"/>
      <c r="R109" s="3"/>
      <c r="S109" s="2"/>
    </row>
    <row r="110" spans="1:19" x14ac:dyDescent="0.25">
      <c r="A110">
        <f t="shared" si="1"/>
        <v>109</v>
      </c>
      <c r="B110" t="s">
        <v>48</v>
      </c>
      <c r="C110" t="s">
        <v>39</v>
      </c>
      <c r="D110">
        <v>200</v>
      </c>
      <c r="E110" t="s">
        <v>50</v>
      </c>
      <c r="F110">
        <v>1000</v>
      </c>
      <c r="G110" s="3">
        <v>0.46200000000000002</v>
      </c>
      <c r="H110">
        <v>2</v>
      </c>
      <c r="I110">
        <v>7.95</v>
      </c>
      <c r="J110">
        <v>36.700000000000003</v>
      </c>
      <c r="K110">
        <v>69.7</v>
      </c>
      <c r="M110" s="5">
        <v>123</v>
      </c>
      <c r="N110" s="3"/>
      <c r="O110" s="3"/>
      <c r="P110" s="2"/>
      <c r="Q110" s="3"/>
      <c r="R110" s="3"/>
      <c r="S110" s="2"/>
    </row>
    <row r="111" spans="1:19" x14ac:dyDescent="0.25">
      <c r="A111">
        <f t="shared" si="1"/>
        <v>110</v>
      </c>
      <c r="B111" t="s">
        <v>49</v>
      </c>
      <c r="C111" t="s">
        <v>39</v>
      </c>
      <c r="D111">
        <v>200</v>
      </c>
      <c r="E111" t="s">
        <v>50</v>
      </c>
      <c r="F111">
        <v>1000</v>
      </c>
      <c r="G111" s="3">
        <v>0.46400000000000002</v>
      </c>
      <c r="H111">
        <v>1</v>
      </c>
      <c r="I111">
        <v>5.01</v>
      </c>
      <c r="J111">
        <v>41.9</v>
      </c>
      <c r="K111">
        <v>36.5</v>
      </c>
      <c r="L111">
        <v>23</v>
      </c>
      <c r="M111" s="5">
        <v>9.0599999999999987</v>
      </c>
      <c r="N111" s="3"/>
      <c r="O111" s="3"/>
      <c r="P111" s="2"/>
      <c r="Q111" s="3"/>
      <c r="R111" s="3"/>
      <c r="S111" s="2"/>
    </row>
    <row r="112" spans="1:19" x14ac:dyDescent="0.25">
      <c r="A112">
        <f t="shared" si="1"/>
        <v>111</v>
      </c>
      <c r="B112" t="s">
        <v>49</v>
      </c>
      <c r="C112" t="s">
        <v>39</v>
      </c>
      <c r="D112">
        <v>200</v>
      </c>
      <c r="E112" t="s">
        <v>50</v>
      </c>
      <c r="F112">
        <v>1000</v>
      </c>
      <c r="G112" s="3">
        <v>0.46400000000000002</v>
      </c>
      <c r="H112">
        <v>1</v>
      </c>
      <c r="I112">
        <v>4.55</v>
      </c>
      <c r="J112">
        <v>39.799999999999997</v>
      </c>
      <c r="K112">
        <v>40.4</v>
      </c>
      <c r="L112">
        <v>21</v>
      </c>
      <c r="M112" s="5">
        <v>9.0599999999999987</v>
      </c>
      <c r="N112" s="3"/>
      <c r="O112" s="3"/>
      <c r="P112" s="2"/>
      <c r="Q112" s="3"/>
      <c r="R112" s="3"/>
      <c r="S112" s="2"/>
    </row>
    <row r="113" spans="1:19" x14ac:dyDescent="0.25">
      <c r="A113">
        <f t="shared" si="1"/>
        <v>112</v>
      </c>
      <c r="B113" t="s">
        <v>49</v>
      </c>
      <c r="C113" t="s">
        <v>39</v>
      </c>
      <c r="D113">
        <v>200</v>
      </c>
      <c r="E113" t="s">
        <v>50</v>
      </c>
      <c r="F113">
        <v>1000</v>
      </c>
      <c r="G113" s="3">
        <v>0.46400000000000002</v>
      </c>
      <c r="H113">
        <v>1.6</v>
      </c>
      <c r="I113">
        <v>8</v>
      </c>
      <c r="J113">
        <v>41.8</v>
      </c>
      <c r="K113">
        <v>66.400000000000006</v>
      </c>
      <c r="L113">
        <v>28</v>
      </c>
      <c r="M113" s="5">
        <v>9.0599999999999987</v>
      </c>
      <c r="N113" s="3"/>
      <c r="O113" s="3"/>
      <c r="P113" s="2"/>
      <c r="Q113" s="3"/>
      <c r="R113" s="3"/>
      <c r="S113" s="2"/>
    </row>
    <row r="114" spans="1:19" x14ac:dyDescent="0.25">
      <c r="A114">
        <f t="shared" si="1"/>
        <v>113</v>
      </c>
      <c r="B114" t="s">
        <v>49</v>
      </c>
      <c r="C114" t="s">
        <v>39</v>
      </c>
      <c r="D114">
        <v>200</v>
      </c>
      <c r="E114" t="s">
        <v>50</v>
      </c>
      <c r="F114">
        <v>1000</v>
      </c>
      <c r="G114" s="3">
        <v>0.32600000000000001</v>
      </c>
      <c r="H114">
        <v>2.5</v>
      </c>
      <c r="I114">
        <v>9.99</v>
      </c>
      <c r="J114">
        <v>36.799999999999997</v>
      </c>
      <c r="K114">
        <v>73</v>
      </c>
      <c r="L114">
        <v>33</v>
      </c>
      <c r="M114" s="5">
        <v>9.0599999999999987</v>
      </c>
      <c r="N114" s="3"/>
      <c r="O114" s="3"/>
      <c r="P114" s="2"/>
      <c r="Q114" s="3"/>
      <c r="R114" s="3"/>
      <c r="S114" s="2"/>
    </row>
    <row r="115" spans="1:19" x14ac:dyDescent="0.25">
      <c r="A115">
        <f t="shared" si="1"/>
        <v>114</v>
      </c>
      <c r="B115" t="s">
        <v>53</v>
      </c>
      <c r="C115" t="s">
        <v>54</v>
      </c>
      <c r="D115">
        <v>160</v>
      </c>
      <c r="E115" t="s">
        <v>52</v>
      </c>
      <c r="F115">
        <v>1000</v>
      </c>
      <c r="G115" s="3">
        <v>0.53</v>
      </c>
      <c r="H115">
        <v>0.4</v>
      </c>
      <c r="I115">
        <v>1.9530000000000001</v>
      </c>
      <c r="J115">
        <v>41.3</v>
      </c>
      <c r="K115">
        <v>27.9</v>
      </c>
      <c r="L115">
        <v>11.5</v>
      </c>
      <c r="M115" s="5">
        <v>3.7</v>
      </c>
      <c r="N115" s="3"/>
      <c r="O115" s="3"/>
      <c r="P115" s="2"/>
      <c r="Q115" s="3"/>
      <c r="R115" s="3"/>
      <c r="S115" s="2"/>
    </row>
    <row r="116" spans="1:19" x14ac:dyDescent="0.25">
      <c r="A116">
        <f t="shared" si="1"/>
        <v>115</v>
      </c>
      <c r="B116" t="s">
        <v>53</v>
      </c>
      <c r="C116" t="s">
        <v>54</v>
      </c>
      <c r="D116">
        <v>160</v>
      </c>
      <c r="E116" t="s">
        <v>52</v>
      </c>
      <c r="F116">
        <v>1000</v>
      </c>
      <c r="G116" s="3">
        <v>0.53</v>
      </c>
      <c r="H116">
        <v>0.3</v>
      </c>
      <c r="I116">
        <v>1.663</v>
      </c>
      <c r="J116">
        <v>44</v>
      </c>
      <c r="K116">
        <v>21.2</v>
      </c>
      <c r="L116">
        <v>10.199999999999999</v>
      </c>
      <c r="M116" s="5">
        <v>4.3</v>
      </c>
      <c r="N116" s="3"/>
      <c r="O116" s="3"/>
      <c r="P116" s="2"/>
      <c r="Q116" s="3"/>
      <c r="R116" s="3"/>
      <c r="S116" s="2"/>
    </row>
    <row r="117" spans="1:19" x14ac:dyDescent="0.25">
      <c r="A117">
        <f t="shared" si="1"/>
        <v>116</v>
      </c>
      <c r="B117" t="s">
        <v>53</v>
      </c>
      <c r="C117" t="s">
        <v>54</v>
      </c>
      <c r="D117">
        <v>160</v>
      </c>
      <c r="E117" t="s">
        <v>52</v>
      </c>
      <c r="F117">
        <v>1000</v>
      </c>
      <c r="G117" s="3">
        <v>0.51</v>
      </c>
      <c r="H117">
        <v>0.2</v>
      </c>
      <c r="I117">
        <v>1.198</v>
      </c>
      <c r="J117">
        <v>45.6</v>
      </c>
      <c r="K117">
        <v>21.2</v>
      </c>
      <c r="L117">
        <v>9.1</v>
      </c>
      <c r="M117" s="5">
        <v>4.4000000000000004</v>
      </c>
      <c r="N117" s="3"/>
      <c r="O117" s="3"/>
      <c r="P117" s="2"/>
      <c r="Q117" s="3"/>
      <c r="R117" s="3"/>
      <c r="S117" s="2"/>
    </row>
    <row r="118" spans="1:19" x14ac:dyDescent="0.25">
      <c r="A118">
        <f t="shared" si="1"/>
        <v>117</v>
      </c>
      <c r="B118" t="s">
        <v>53</v>
      </c>
      <c r="C118" t="s">
        <v>54</v>
      </c>
      <c r="D118">
        <v>160</v>
      </c>
      <c r="E118" t="s">
        <v>52</v>
      </c>
      <c r="F118">
        <v>1000</v>
      </c>
      <c r="G118" s="3">
        <v>0.59</v>
      </c>
      <c r="H118">
        <v>0.3</v>
      </c>
      <c r="I118">
        <v>1.4490000000000001</v>
      </c>
      <c r="J118">
        <v>41.1</v>
      </c>
      <c r="K118">
        <v>26.4</v>
      </c>
      <c r="L118">
        <v>7.3</v>
      </c>
      <c r="M118" s="5">
        <v>3.8</v>
      </c>
      <c r="N118" s="3"/>
      <c r="O118" s="3"/>
      <c r="P118" s="2"/>
      <c r="Q118" s="3"/>
      <c r="R118" s="3"/>
      <c r="S118" s="2"/>
    </row>
    <row r="119" spans="1:19" x14ac:dyDescent="0.25">
      <c r="A119">
        <f t="shared" si="1"/>
        <v>118</v>
      </c>
      <c r="B119" t="s">
        <v>56</v>
      </c>
      <c r="C119" t="s">
        <v>57</v>
      </c>
      <c r="D119">
        <v>152</v>
      </c>
      <c r="E119" t="s">
        <v>55</v>
      </c>
      <c r="F119">
        <v>914.4</v>
      </c>
      <c r="G119" s="3">
        <v>0.47599999999999998</v>
      </c>
      <c r="H119">
        <v>0.20699999999999999</v>
      </c>
      <c r="I119">
        <v>0.96299999999999997</v>
      </c>
      <c r="J119">
        <v>40.200000000000003</v>
      </c>
      <c r="L119">
        <v>12.4</v>
      </c>
      <c r="M119" s="5">
        <v>7</v>
      </c>
      <c r="N119" s="3"/>
      <c r="O119" s="3"/>
      <c r="P119" s="2"/>
      <c r="Q119" s="3"/>
      <c r="R119" s="3"/>
      <c r="S119" s="2"/>
    </row>
    <row r="120" spans="1:19" x14ac:dyDescent="0.25">
      <c r="A120">
        <f t="shared" si="1"/>
        <v>119</v>
      </c>
      <c r="B120" t="s">
        <v>56</v>
      </c>
      <c r="C120" t="s">
        <v>57</v>
      </c>
      <c r="D120">
        <v>152</v>
      </c>
      <c r="E120" t="s">
        <v>55</v>
      </c>
      <c r="F120">
        <v>914.4</v>
      </c>
      <c r="G120" s="3">
        <v>0.45500000000000002</v>
      </c>
      <c r="H120">
        <v>0.97</v>
      </c>
      <c r="I120">
        <v>3.8410000000000002</v>
      </c>
      <c r="J120">
        <v>36.6</v>
      </c>
      <c r="K120">
        <v>51.7</v>
      </c>
      <c r="L120">
        <v>22.9</v>
      </c>
      <c r="M120" s="5">
        <v>7</v>
      </c>
      <c r="N120" s="3"/>
      <c r="O120" s="3"/>
      <c r="P120" s="2"/>
      <c r="Q120" s="3"/>
      <c r="R120" s="3"/>
      <c r="S120" s="2"/>
    </row>
    <row r="121" spans="1:19" x14ac:dyDescent="0.25">
      <c r="A121">
        <f t="shared" si="1"/>
        <v>120</v>
      </c>
      <c r="B121" t="s">
        <v>56</v>
      </c>
      <c r="C121" t="s">
        <v>57</v>
      </c>
      <c r="D121">
        <v>152</v>
      </c>
      <c r="E121" t="s">
        <v>55</v>
      </c>
      <c r="F121">
        <v>130</v>
      </c>
      <c r="G121" s="3">
        <v>0.46899999999999997</v>
      </c>
      <c r="H121">
        <v>2.91</v>
      </c>
      <c r="I121">
        <v>11.233000000000001</v>
      </c>
      <c r="J121">
        <v>36</v>
      </c>
      <c r="K121">
        <v>105</v>
      </c>
      <c r="L121">
        <v>28.8</v>
      </c>
      <c r="M121" s="5">
        <v>7</v>
      </c>
      <c r="N121" s="3"/>
      <c r="O121" s="3"/>
      <c r="P121" s="2"/>
      <c r="Q121" s="3"/>
      <c r="R121" s="3"/>
      <c r="S121" s="2"/>
    </row>
    <row r="122" spans="1:19" x14ac:dyDescent="0.25">
      <c r="A122">
        <f t="shared" si="1"/>
        <v>121</v>
      </c>
      <c r="B122" t="s">
        <v>56</v>
      </c>
      <c r="C122" t="s">
        <v>57</v>
      </c>
      <c r="D122">
        <v>152</v>
      </c>
      <c r="E122" t="s">
        <v>55</v>
      </c>
      <c r="F122">
        <v>914.4</v>
      </c>
      <c r="G122" s="3">
        <v>0.53700000000000003</v>
      </c>
      <c r="H122">
        <v>4.4800000000000004</v>
      </c>
      <c r="I122">
        <v>17.427</v>
      </c>
      <c r="J122">
        <v>36.200000000000003</v>
      </c>
      <c r="K122">
        <v>134.5</v>
      </c>
      <c r="L122">
        <v>33.299999999999997</v>
      </c>
      <c r="M122" s="5">
        <v>7</v>
      </c>
      <c r="N122" s="3"/>
      <c r="O122" s="3"/>
      <c r="P122" s="2"/>
      <c r="Q122" s="3"/>
      <c r="R122" s="3"/>
      <c r="S122" s="2"/>
    </row>
    <row r="123" spans="1:19" x14ac:dyDescent="0.25">
      <c r="A123">
        <f t="shared" si="1"/>
        <v>122</v>
      </c>
      <c r="B123" t="s">
        <v>59</v>
      </c>
      <c r="C123" t="s">
        <v>60</v>
      </c>
      <c r="D123">
        <v>177.8</v>
      </c>
      <c r="E123" t="s">
        <v>58</v>
      </c>
      <c r="F123">
        <v>1000</v>
      </c>
      <c r="G123" s="3">
        <v>0.29299999999999998</v>
      </c>
      <c r="H123">
        <v>0.49</v>
      </c>
      <c r="I123">
        <v>2.2250000000000001</v>
      </c>
      <c r="J123">
        <v>39.700000000000003</v>
      </c>
      <c r="K123">
        <v>27.8</v>
      </c>
      <c r="L123">
        <v>12</v>
      </c>
      <c r="M123" s="5">
        <v>34.4</v>
      </c>
      <c r="N123" s="3"/>
      <c r="O123" s="3"/>
      <c r="P123" s="2"/>
      <c r="Q123" s="3"/>
      <c r="R123" s="3"/>
      <c r="S123" s="2"/>
    </row>
    <row r="124" spans="1:19" x14ac:dyDescent="0.25">
      <c r="A124">
        <f t="shared" si="1"/>
        <v>123</v>
      </c>
      <c r="B124" t="s">
        <v>59</v>
      </c>
      <c r="C124" t="s">
        <v>60</v>
      </c>
      <c r="D124">
        <v>177.8</v>
      </c>
      <c r="E124" t="s">
        <v>58</v>
      </c>
      <c r="F124">
        <v>1000</v>
      </c>
      <c r="G124" s="3">
        <v>0.29299999999999998</v>
      </c>
      <c r="H124">
        <v>0.49</v>
      </c>
      <c r="I124">
        <v>2.1539999999999999</v>
      </c>
      <c r="J124">
        <v>39</v>
      </c>
      <c r="K124">
        <v>27.8</v>
      </c>
      <c r="M124" s="5">
        <v>34.4</v>
      </c>
      <c r="N124" s="3"/>
      <c r="O124" s="3"/>
      <c r="P124" s="2"/>
      <c r="Q124" s="3"/>
      <c r="R124" s="3"/>
      <c r="S124" s="2"/>
    </row>
    <row r="125" spans="1:19" x14ac:dyDescent="0.25">
      <c r="A125">
        <f t="shared" si="1"/>
        <v>124</v>
      </c>
      <c r="B125" t="s">
        <v>59</v>
      </c>
      <c r="C125" t="s">
        <v>60</v>
      </c>
      <c r="D125">
        <v>177.8</v>
      </c>
      <c r="E125" t="s">
        <v>58</v>
      </c>
      <c r="F125">
        <v>1000</v>
      </c>
      <c r="G125" s="3">
        <v>0.29299999999999998</v>
      </c>
      <c r="H125">
        <v>0.98099999999999998</v>
      </c>
      <c r="I125">
        <v>3.73</v>
      </c>
      <c r="J125">
        <v>35.700000000000003</v>
      </c>
      <c r="K125">
        <v>38.200000000000003</v>
      </c>
      <c r="L125">
        <v>21</v>
      </c>
      <c r="M125" s="5">
        <v>34.4</v>
      </c>
      <c r="N125" s="3"/>
      <c r="O125" s="3"/>
      <c r="P125" s="2"/>
      <c r="Q125" s="3"/>
      <c r="R125" s="3"/>
      <c r="S125" s="2"/>
    </row>
    <row r="126" spans="1:19" x14ac:dyDescent="0.25">
      <c r="A126">
        <f t="shared" si="1"/>
        <v>125</v>
      </c>
      <c r="B126" t="s">
        <v>59</v>
      </c>
      <c r="C126" t="s">
        <v>60</v>
      </c>
      <c r="D126">
        <v>177.8</v>
      </c>
      <c r="E126" t="s">
        <v>58</v>
      </c>
      <c r="F126">
        <v>1000</v>
      </c>
      <c r="G126" s="3">
        <v>0.29299999999999998</v>
      </c>
      <c r="H126">
        <v>1.9610000000000001</v>
      </c>
      <c r="I126">
        <v>7.7859999999999996</v>
      </c>
      <c r="J126">
        <v>36.700000000000003</v>
      </c>
      <c r="K126">
        <v>73.3</v>
      </c>
      <c r="M126" s="5">
        <v>34.4</v>
      </c>
      <c r="N126" s="3"/>
      <c r="O126" s="3"/>
      <c r="P126" s="2"/>
      <c r="Q126" s="3"/>
      <c r="R126" s="3"/>
      <c r="S126" s="2"/>
    </row>
    <row r="127" spans="1:19" x14ac:dyDescent="0.25">
      <c r="A127">
        <f t="shared" si="1"/>
        <v>126</v>
      </c>
      <c r="B127" t="s">
        <v>59</v>
      </c>
      <c r="C127" t="s">
        <v>60</v>
      </c>
      <c r="D127">
        <v>177.8</v>
      </c>
      <c r="E127" t="s">
        <v>58</v>
      </c>
      <c r="F127">
        <v>1000</v>
      </c>
      <c r="G127" s="3">
        <v>0.29299999999999998</v>
      </c>
      <c r="H127">
        <v>1.9610000000000001</v>
      </c>
      <c r="I127">
        <v>7.8540000000000001</v>
      </c>
      <c r="J127">
        <v>36.9</v>
      </c>
      <c r="K127">
        <v>73.3</v>
      </c>
      <c r="L127">
        <v>25</v>
      </c>
      <c r="M127" s="5">
        <v>34.4</v>
      </c>
      <c r="N127" s="3"/>
      <c r="O127" s="3"/>
      <c r="P127" s="2"/>
      <c r="Q127" s="3"/>
      <c r="R127" s="3"/>
      <c r="S127" s="2"/>
    </row>
    <row r="128" spans="1:19" x14ac:dyDescent="0.25">
      <c r="A128">
        <f t="shared" si="1"/>
        <v>127</v>
      </c>
      <c r="B128" t="s">
        <v>70</v>
      </c>
      <c r="C128" t="s">
        <v>61</v>
      </c>
      <c r="D128">
        <v>200</v>
      </c>
      <c r="E128" t="s">
        <v>18</v>
      </c>
      <c r="F128">
        <v>1130</v>
      </c>
      <c r="G128" s="3">
        <v>0.49</v>
      </c>
      <c r="H128">
        <v>0.04</v>
      </c>
      <c r="I128">
        <v>0.36399999999999999</v>
      </c>
      <c r="J128">
        <v>53.3</v>
      </c>
      <c r="L128">
        <v>7.7</v>
      </c>
      <c r="M128" s="5">
        <v>10</v>
      </c>
      <c r="N128" s="3"/>
      <c r="O128" s="3"/>
      <c r="P128" s="2"/>
      <c r="Q128" s="3"/>
      <c r="R128" s="3"/>
      <c r="S128" s="2"/>
    </row>
    <row r="129" spans="1:19" x14ac:dyDescent="0.25">
      <c r="A129">
        <f t="shared" si="1"/>
        <v>128</v>
      </c>
      <c r="B129" t="s">
        <v>70</v>
      </c>
      <c r="C129" t="s">
        <v>61</v>
      </c>
      <c r="D129">
        <v>200</v>
      </c>
      <c r="E129" t="s">
        <v>18</v>
      </c>
      <c r="F129">
        <v>1130</v>
      </c>
      <c r="G129" s="3">
        <v>0.49</v>
      </c>
      <c r="H129">
        <v>0.09</v>
      </c>
      <c r="I129">
        <v>0.69899999999999995</v>
      </c>
      <c r="J129">
        <v>50.5</v>
      </c>
      <c r="L129">
        <v>7.1</v>
      </c>
      <c r="M129" s="5">
        <v>10</v>
      </c>
      <c r="N129" s="3"/>
      <c r="O129" s="3"/>
      <c r="P129" s="2"/>
      <c r="Q129" s="3"/>
      <c r="R129" s="3"/>
      <c r="S129" s="2"/>
    </row>
    <row r="130" spans="1:19" x14ac:dyDescent="0.25">
      <c r="A130">
        <f t="shared" si="1"/>
        <v>129</v>
      </c>
      <c r="B130" t="s">
        <v>70</v>
      </c>
      <c r="C130" t="s">
        <v>61</v>
      </c>
      <c r="D130">
        <v>200</v>
      </c>
      <c r="E130" t="s">
        <v>18</v>
      </c>
      <c r="F130">
        <v>1130</v>
      </c>
      <c r="G130" s="3">
        <v>0.49</v>
      </c>
      <c r="H130">
        <v>0.157</v>
      </c>
      <c r="I130">
        <v>0.93700000000000006</v>
      </c>
      <c r="J130">
        <v>45.5</v>
      </c>
      <c r="L130">
        <v>8.4</v>
      </c>
      <c r="M130" s="5">
        <v>10</v>
      </c>
      <c r="N130" s="3"/>
      <c r="O130" s="3"/>
      <c r="P130" s="2"/>
      <c r="Q130" s="3"/>
      <c r="R130" s="3"/>
      <c r="S130" s="2"/>
    </row>
    <row r="131" spans="1:19" x14ac:dyDescent="0.25">
      <c r="A131">
        <f t="shared" si="1"/>
        <v>130</v>
      </c>
      <c r="B131" t="s">
        <v>70</v>
      </c>
      <c r="C131" t="s">
        <v>61</v>
      </c>
      <c r="D131">
        <v>200</v>
      </c>
      <c r="E131" t="s">
        <v>18</v>
      </c>
      <c r="F131">
        <v>1130</v>
      </c>
      <c r="G131" s="3">
        <v>0.49</v>
      </c>
      <c r="H131">
        <v>0.45500000000000002</v>
      </c>
      <c r="I131">
        <v>2.161</v>
      </c>
      <c r="J131">
        <v>40.700000000000003</v>
      </c>
      <c r="L131">
        <v>14.5</v>
      </c>
      <c r="M131" s="5">
        <v>10</v>
      </c>
      <c r="N131" s="3"/>
      <c r="O131" s="3"/>
      <c r="P131" s="2"/>
      <c r="Q131" s="3"/>
      <c r="R131" s="3"/>
      <c r="S131" s="2"/>
    </row>
    <row r="132" spans="1:19" x14ac:dyDescent="0.25">
      <c r="A132">
        <f t="shared" ref="A132:A159" si="2">+A131+1</f>
        <v>131</v>
      </c>
      <c r="B132" t="s">
        <v>70</v>
      </c>
      <c r="C132" t="s">
        <v>61</v>
      </c>
      <c r="D132">
        <v>200</v>
      </c>
      <c r="E132" t="s">
        <v>18</v>
      </c>
      <c r="F132">
        <v>1130</v>
      </c>
      <c r="G132" s="3">
        <v>0.49</v>
      </c>
      <c r="H132">
        <v>0.97299999999999998</v>
      </c>
      <c r="I132">
        <v>3.59</v>
      </c>
      <c r="J132">
        <v>35</v>
      </c>
      <c r="L132">
        <v>22.6</v>
      </c>
      <c r="M132" s="5">
        <v>10</v>
      </c>
      <c r="N132" s="3"/>
      <c r="O132" s="3"/>
      <c r="P132" s="2"/>
      <c r="Q132" s="3"/>
      <c r="R132" s="3"/>
      <c r="S132" s="2"/>
    </row>
    <row r="133" spans="1:19" x14ac:dyDescent="0.25">
      <c r="A133">
        <f t="shared" si="2"/>
        <v>132</v>
      </c>
      <c r="B133" t="s">
        <v>70</v>
      </c>
      <c r="C133" t="s">
        <v>61</v>
      </c>
      <c r="D133">
        <v>200</v>
      </c>
      <c r="E133" t="s">
        <v>18</v>
      </c>
      <c r="F133">
        <v>1130</v>
      </c>
      <c r="G133" s="3">
        <v>0.49</v>
      </c>
      <c r="H133">
        <v>1.66</v>
      </c>
      <c r="I133">
        <v>6.5570000000000004</v>
      </c>
      <c r="J133">
        <v>36.6</v>
      </c>
      <c r="L133">
        <v>27.6</v>
      </c>
      <c r="M133" s="5">
        <v>10</v>
      </c>
      <c r="N133" s="3"/>
      <c r="O133" s="3"/>
      <c r="P133" s="2"/>
      <c r="Q133" s="3"/>
      <c r="R133" s="3"/>
      <c r="S133" s="2"/>
    </row>
    <row r="134" spans="1:19" x14ac:dyDescent="0.25">
      <c r="A134">
        <f t="shared" si="2"/>
        <v>133</v>
      </c>
      <c r="B134" t="s">
        <v>71</v>
      </c>
      <c r="C134" t="s">
        <v>61</v>
      </c>
      <c r="D134">
        <v>200</v>
      </c>
      <c r="E134" t="s">
        <v>18</v>
      </c>
      <c r="F134">
        <v>1130</v>
      </c>
      <c r="G134" s="3">
        <v>0.59</v>
      </c>
      <c r="H134">
        <v>0.04</v>
      </c>
      <c r="I134">
        <v>0.318</v>
      </c>
      <c r="J134">
        <v>51</v>
      </c>
      <c r="L134">
        <v>8.1999999999999993</v>
      </c>
      <c r="M134" s="5">
        <v>4.3</v>
      </c>
      <c r="N134" s="3"/>
      <c r="O134" s="3"/>
      <c r="P134" s="2"/>
      <c r="Q134" s="3"/>
      <c r="R134" s="3"/>
      <c r="S134" s="2"/>
    </row>
    <row r="135" spans="1:19" x14ac:dyDescent="0.25">
      <c r="A135">
        <f t="shared" si="2"/>
        <v>134</v>
      </c>
      <c r="B135" t="s">
        <v>71</v>
      </c>
      <c r="C135" t="s">
        <v>61</v>
      </c>
      <c r="D135">
        <v>200</v>
      </c>
      <c r="E135" t="s">
        <v>18</v>
      </c>
      <c r="F135">
        <v>1130</v>
      </c>
      <c r="G135" s="3">
        <v>0.59</v>
      </c>
      <c r="H135">
        <v>0.09</v>
      </c>
      <c r="I135">
        <v>0.58199999999999996</v>
      </c>
      <c r="J135">
        <v>47.1</v>
      </c>
      <c r="L135">
        <v>8.8000000000000007</v>
      </c>
      <c r="M135" s="5">
        <v>4.3</v>
      </c>
      <c r="N135" s="3"/>
      <c r="O135" s="3"/>
      <c r="P135" s="2"/>
      <c r="Q135" s="3"/>
      <c r="R135" s="3"/>
      <c r="S135" s="2"/>
    </row>
    <row r="136" spans="1:19" x14ac:dyDescent="0.25">
      <c r="A136">
        <f t="shared" si="2"/>
        <v>135</v>
      </c>
      <c r="B136" t="s">
        <v>71</v>
      </c>
      <c r="C136" t="s">
        <v>61</v>
      </c>
      <c r="D136">
        <v>200</v>
      </c>
      <c r="E136" t="s">
        <v>18</v>
      </c>
      <c r="F136">
        <v>1130</v>
      </c>
      <c r="G136" s="3">
        <v>0.59</v>
      </c>
      <c r="H136">
        <v>0.16800000000000001</v>
      </c>
      <c r="I136">
        <v>0.97899999999999998</v>
      </c>
      <c r="J136">
        <v>45</v>
      </c>
      <c r="L136">
        <v>9.8000000000000007</v>
      </c>
      <c r="M136" s="5">
        <v>4.3</v>
      </c>
      <c r="N136" s="3"/>
      <c r="O136" s="3"/>
      <c r="P136" s="2"/>
      <c r="Q136" s="3"/>
      <c r="R136" s="3"/>
      <c r="S136" s="2"/>
    </row>
    <row r="137" spans="1:19" x14ac:dyDescent="0.25">
      <c r="A137">
        <f t="shared" si="2"/>
        <v>136</v>
      </c>
      <c r="B137" t="s">
        <v>71</v>
      </c>
      <c r="C137" t="s">
        <v>61</v>
      </c>
      <c r="D137">
        <v>200</v>
      </c>
      <c r="E137" t="s">
        <v>18</v>
      </c>
      <c r="F137">
        <v>1130</v>
      </c>
      <c r="G137" s="3">
        <v>0.59</v>
      </c>
      <c r="H137">
        <v>0.46600000000000003</v>
      </c>
      <c r="I137">
        <v>2.06</v>
      </c>
      <c r="J137">
        <v>39.1</v>
      </c>
      <c r="L137">
        <v>13.3</v>
      </c>
      <c r="M137" s="5">
        <v>4.3</v>
      </c>
      <c r="N137" s="3"/>
      <c r="O137" s="3"/>
      <c r="P137" s="2"/>
      <c r="Q137" s="3"/>
      <c r="R137" s="3"/>
      <c r="S137" s="2"/>
    </row>
    <row r="138" spans="1:19" x14ac:dyDescent="0.25">
      <c r="A138">
        <f t="shared" si="2"/>
        <v>137</v>
      </c>
      <c r="B138" t="s">
        <v>71</v>
      </c>
      <c r="C138" t="s">
        <v>61</v>
      </c>
      <c r="D138">
        <v>200</v>
      </c>
      <c r="E138" t="s">
        <v>18</v>
      </c>
      <c r="F138">
        <v>1130</v>
      </c>
      <c r="G138" s="3">
        <v>0.59</v>
      </c>
      <c r="H138">
        <v>0.81100000000000005</v>
      </c>
      <c r="I138">
        <v>3.3410000000000002</v>
      </c>
      <c r="J138">
        <v>37.5</v>
      </c>
      <c r="L138">
        <v>18</v>
      </c>
      <c r="M138" s="5">
        <v>4.3</v>
      </c>
      <c r="N138" s="3"/>
      <c r="O138" s="3"/>
      <c r="P138" s="2"/>
      <c r="Q138" s="3"/>
      <c r="R138" s="3"/>
      <c r="S138" s="2"/>
    </row>
    <row r="139" spans="1:19" x14ac:dyDescent="0.25">
      <c r="A139">
        <f t="shared" si="2"/>
        <v>138</v>
      </c>
      <c r="B139" t="s">
        <v>71</v>
      </c>
      <c r="C139" t="s">
        <v>61</v>
      </c>
      <c r="D139">
        <v>200</v>
      </c>
      <c r="E139" t="s">
        <v>18</v>
      </c>
      <c r="F139">
        <v>1130</v>
      </c>
      <c r="G139" s="3">
        <v>0.59</v>
      </c>
      <c r="H139">
        <v>1.51</v>
      </c>
      <c r="I139">
        <v>5.4509999999999996</v>
      </c>
      <c r="J139">
        <v>34.5</v>
      </c>
      <c r="L139">
        <v>21.7</v>
      </c>
      <c r="M139" s="5">
        <v>4.3</v>
      </c>
      <c r="N139" s="3"/>
      <c r="O139" s="3"/>
      <c r="P139" s="2"/>
      <c r="Q139" s="3"/>
      <c r="R139" s="3"/>
      <c r="S139" s="2"/>
    </row>
    <row r="140" spans="1:19" x14ac:dyDescent="0.25">
      <c r="A140">
        <f t="shared" si="2"/>
        <v>139</v>
      </c>
      <c r="B140" t="s">
        <v>72</v>
      </c>
      <c r="C140" t="s">
        <v>61</v>
      </c>
      <c r="D140">
        <v>200</v>
      </c>
      <c r="E140" t="s">
        <v>18</v>
      </c>
      <c r="F140">
        <v>1130</v>
      </c>
      <c r="G140" s="3">
        <v>0.69</v>
      </c>
      <c r="H140">
        <v>7.0999999999999994E-2</v>
      </c>
      <c r="I140">
        <v>0.42899999999999999</v>
      </c>
      <c r="J140">
        <v>45.7</v>
      </c>
      <c r="L140">
        <v>8.9</v>
      </c>
      <c r="M140" s="5">
        <v>4.3</v>
      </c>
      <c r="N140" s="3"/>
      <c r="O140" s="3"/>
      <c r="P140" s="2"/>
      <c r="Q140" s="3"/>
      <c r="R140" s="3"/>
      <c r="S140" s="2"/>
    </row>
    <row r="141" spans="1:19" x14ac:dyDescent="0.25">
      <c r="A141">
        <f t="shared" si="2"/>
        <v>140</v>
      </c>
      <c r="B141" t="s">
        <v>72</v>
      </c>
      <c r="C141" t="s">
        <v>61</v>
      </c>
      <c r="D141">
        <v>200</v>
      </c>
      <c r="E141" t="s">
        <v>18</v>
      </c>
      <c r="F141">
        <v>1130</v>
      </c>
      <c r="G141" s="3">
        <v>0.69</v>
      </c>
      <c r="H141">
        <v>0.151</v>
      </c>
      <c r="I141">
        <v>0.85499999999999998</v>
      </c>
      <c r="J141">
        <v>44.4</v>
      </c>
      <c r="L141">
        <v>9.6</v>
      </c>
      <c r="M141" s="5">
        <v>4.3</v>
      </c>
      <c r="N141" s="3"/>
      <c r="O141" s="3"/>
      <c r="P141" s="2"/>
      <c r="Q141" s="3"/>
      <c r="R141" s="3"/>
      <c r="S141" s="2"/>
    </row>
    <row r="142" spans="1:19" x14ac:dyDescent="0.25">
      <c r="A142">
        <f t="shared" si="2"/>
        <v>141</v>
      </c>
      <c r="B142" t="s">
        <v>72</v>
      </c>
      <c r="C142" t="s">
        <v>61</v>
      </c>
      <c r="D142">
        <v>200</v>
      </c>
      <c r="E142" t="s">
        <v>18</v>
      </c>
      <c r="F142">
        <v>1130</v>
      </c>
      <c r="G142" s="3">
        <v>0.69</v>
      </c>
      <c r="H142">
        <v>0.46500000000000002</v>
      </c>
      <c r="I142">
        <v>1.9530000000000001</v>
      </c>
      <c r="J142">
        <v>38</v>
      </c>
      <c r="M142" s="5">
        <v>4.3</v>
      </c>
      <c r="N142" s="3"/>
      <c r="O142" s="3"/>
      <c r="P142" s="2"/>
      <c r="Q142" s="3"/>
      <c r="R142" s="3"/>
      <c r="S142" s="2"/>
    </row>
    <row r="143" spans="1:19" x14ac:dyDescent="0.25">
      <c r="A143">
        <f t="shared" si="2"/>
        <v>142</v>
      </c>
      <c r="B143" t="s">
        <v>72</v>
      </c>
      <c r="C143" t="s">
        <v>61</v>
      </c>
      <c r="D143">
        <v>200</v>
      </c>
      <c r="E143" t="s">
        <v>18</v>
      </c>
      <c r="F143">
        <v>1130</v>
      </c>
      <c r="G143" s="3">
        <v>0.69</v>
      </c>
      <c r="H143">
        <v>0.82399999999999995</v>
      </c>
      <c r="I143">
        <v>3.024</v>
      </c>
      <c r="J143">
        <v>34.9</v>
      </c>
      <c r="L143">
        <v>17.8</v>
      </c>
      <c r="M143" s="5">
        <v>4.3</v>
      </c>
      <c r="N143" s="3"/>
      <c r="O143" s="3"/>
      <c r="P143" s="2"/>
      <c r="Q143" s="3"/>
      <c r="R143" s="3"/>
      <c r="S143" s="2"/>
    </row>
    <row r="144" spans="1:19" x14ac:dyDescent="0.25">
      <c r="A144">
        <f t="shared" si="2"/>
        <v>143</v>
      </c>
      <c r="B144" t="s">
        <v>72</v>
      </c>
      <c r="C144" t="s">
        <v>61</v>
      </c>
      <c r="D144">
        <v>200</v>
      </c>
      <c r="E144" t="s">
        <v>18</v>
      </c>
      <c r="F144">
        <v>1130</v>
      </c>
      <c r="G144" s="3">
        <v>0.69</v>
      </c>
      <c r="H144">
        <v>1.51</v>
      </c>
      <c r="I144">
        <v>4.923</v>
      </c>
      <c r="J144">
        <v>32</v>
      </c>
      <c r="L144">
        <v>25.1</v>
      </c>
      <c r="M144" s="5">
        <v>4.3</v>
      </c>
      <c r="N144" s="3"/>
      <c r="O144" s="3"/>
      <c r="P144" s="2"/>
      <c r="Q144" s="3"/>
      <c r="R144" s="3"/>
      <c r="S144" s="2"/>
    </row>
    <row r="145" spans="1:19" x14ac:dyDescent="0.25">
      <c r="A145">
        <f t="shared" si="2"/>
        <v>144</v>
      </c>
      <c r="B145" t="s">
        <v>73</v>
      </c>
      <c r="C145" t="s">
        <v>61</v>
      </c>
      <c r="D145">
        <v>200</v>
      </c>
      <c r="E145" t="s">
        <v>18</v>
      </c>
      <c r="F145">
        <v>1130</v>
      </c>
      <c r="G145" s="3">
        <v>0.7</v>
      </c>
      <c r="H145">
        <v>0.09</v>
      </c>
      <c r="I145">
        <v>0.57499999999999996</v>
      </c>
      <c r="J145">
        <v>46.8</v>
      </c>
      <c r="L145">
        <v>7.1</v>
      </c>
      <c r="M145" s="5">
        <v>10</v>
      </c>
      <c r="N145" s="3"/>
      <c r="O145" s="3"/>
      <c r="P145" s="2"/>
      <c r="Q145" s="3"/>
      <c r="R145" s="3"/>
      <c r="S145" s="2"/>
    </row>
    <row r="146" spans="1:19" x14ac:dyDescent="0.25">
      <c r="A146">
        <f t="shared" si="2"/>
        <v>145</v>
      </c>
      <c r="B146" t="s">
        <v>73</v>
      </c>
      <c r="C146" t="s">
        <v>61</v>
      </c>
      <c r="D146">
        <v>200</v>
      </c>
      <c r="E146" t="s">
        <v>18</v>
      </c>
      <c r="F146">
        <v>1130</v>
      </c>
      <c r="G146" s="3">
        <v>0.7</v>
      </c>
      <c r="H146">
        <v>0.16200000000000001</v>
      </c>
      <c r="I146">
        <v>0.82</v>
      </c>
      <c r="J146">
        <v>42.1</v>
      </c>
      <c r="L146">
        <v>9.9</v>
      </c>
      <c r="M146" s="5">
        <v>10</v>
      </c>
      <c r="N146" s="3"/>
      <c r="O146" s="3"/>
      <c r="P146" s="2"/>
      <c r="Q146" s="3"/>
      <c r="R146" s="3"/>
      <c r="S146" s="2"/>
    </row>
    <row r="147" spans="1:19" x14ac:dyDescent="0.25">
      <c r="A147">
        <f t="shared" si="2"/>
        <v>146</v>
      </c>
      <c r="B147" t="s">
        <v>73</v>
      </c>
      <c r="C147" t="s">
        <v>61</v>
      </c>
      <c r="D147">
        <v>200</v>
      </c>
      <c r="E147" t="s">
        <v>18</v>
      </c>
      <c r="F147">
        <v>1130</v>
      </c>
      <c r="G147" s="3">
        <v>0.7</v>
      </c>
      <c r="H147">
        <v>0.46200000000000002</v>
      </c>
      <c r="I147">
        <v>1.82</v>
      </c>
      <c r="J147">
        <v>36.5</v>
      </c>
      <c r="L147">
        <v>13.7</v>
      </c>
      <c r="M147" s="5">
        <v>10</v>
      </c>
      <c r="N147" s="3"/>
      <c r="O147" s="3"/>
      <c r="P147" s="2"/>
      <c r="Q147" s="3"/>
      <c r="R147" s="3"/>
      <c r="S147" s="2"/>
    </row>
    <row r="148" spans="1:19" x14ac:dyDescent="0.25">
      <c r="A148">
        <f t="shared" si="2"/>
        <v>147</v>
      </c>
      <c r="B148" t="s">
        <v>73</v>
      </c>
      <c r="C148" t="s">
        <v>61</v>
      </c>
      <c r="D148">
        <v>200</v>
      </c>
      <c r="E148" t="s">
        <v>18</v>
      </c>
      <c r="F148">
        <v>1130</v>
      </c>
      <c r="G148" s="3">
        <v>0.7</v>
      </c>
      <c r="H148">
        <v>0.95499999999999996</v>
      </c>
      <c r="I148">
        <v>3.0750000000000002</v>
      </c>
      <c r="J148">
        <v>31.7</v>
      </c>
      <c r="L148">
        <v>16.2</v>
      </c>
      <c r="M148" s="5">
        <v>10</v>
      </c>
      <c r="N148" s="3"/>
      <c r="O148" s="3"/>
      <c r="P148" s="2"/>
      <c r="Q148" s="3"/>
      <c r="R148" s="3"/>
      <c r="S148" s="2"/>
    </row>
    <row r="149" spans="1:19" x14ac:dyDescent="0.25">
      <c r="A149">
        <f t="shared" si="2"/>
        <v>148</v>
      </c>
      <c r="B149" t="s">
        <v>73</v>
      </c>
      <c r="C149" t="s">
        <v>61</v>
      </c>
      <c r="D149">
        <v>200</v>
      </c>
      <c r="E149" t="s">
        <v>18</v>
      </c>
      <c r="F149">
        <v>1130</v>
      </c>
      <c r="G149" s="3">
        <v>0.7</v>
      </c>
      <c r="H149">
        <v>1.66</v>
      </c>
      <c r="I149">
        <v>5.76</v>
      </c>
      <c r="J149">
        <v>33.5</v>
      </c>
      <c r="L149">
        <v>23</v>
      </c>
      <c r="M149" s="5">
        <v>10</v>
      </c>
      <c r="N149" s="3"/>
      <c r="O149" s="3"/>
      <c r="P149" s="2"/>
      <c r="Q149" s="3"/>
      <c r="R149" s="3"/>
      <c r="S149" s="2"/>
    </row>
    <row r="150" spans="1:19" x14ac:dyDescent="0.25">
      <c r="A150">
        <f t="shared" si="2"/>
        <v>149</v>
      </c>
      <c r="B150" t="s">
        <v>63</v>
      </c>
      <c r="C150" t="s">
        <v>64</v>
      </c>
      <c r="D150">
        <v>160</v>
      </c>
      <c r="E150" t="s">
        <v>62</v>
      </c>
      <c r="F150">
        <v>1000</v>
      </c>
      <c r="G150" s="3">
        <v>0.86</v>
      </c>
      <c r="H150">
        <v>0.1</v>
      </c>
      <c r="I150">
        <v>0.51100000000000001</v>
      </c>
      <c r="J150">
        <v>42.3</v>
      </c>
      <c r="K150">
        <v>15.7</v>
      </c>
      <c r="M150" s="5">
        <v>2</v>
      </c>
      <c r="N150" s="3"/>
      <c r="O150" s="3"/>
      <c r="P150" s="2"/>
      <c r="Q150" s="3"/>
      <c r="R150" s="3"/>
      <c r="S150" s="2"/>
    </row>
    <row r="151" spans="1:19" x14ac:dyDescent="0.25">
      <c r="A151">
        <f t="shared" si="2"/>
        <v>150</v>
      </c>
      <c r="B151" t="s">
        <v>63</v>
      </c>
      <c r="C151" t="s">
        <v>64</v>
      </c>
      <c r="D151">
        <v>160</v>
      </c>
      <c r="E151" t="s">
        <v>62</v>
      </c>
      <c r="F151">
        <v>1000</v>
      </c>
      <c r="G151" s="3">
        <v>0.84</v>
      </c>
      <c r="H151">
        <v>0.1</v>
      </c>
      <c r="I151">
        <v>0.505</v>
      </c>
      <c r="J151">
        <v>42</v>
      </c>
      <c r="K151">
        <v>12.2</v>
      </c>
      <c r="M151" s="5">
        <v>2</v>
      </c>
      <c r="N151" s="3"/>
      <c r="O151" s="3"/>
      <c r="P151" s="2"/>
      <c r="Q151" s="3"/>
      <c r="R151" s="3"/>
      <c r="S151" s="2"/>
    </row>
    <row r="152" spans="1:19" x14ac:dyDescent="0.25">
      <c r="A152">
        <f t="shared" si="2"/>
        <v>151</v>
      </c>
      <c r="B152" t="s">
        <v>63</v>
      </c>
      <c r="C152" t="s">
        <v>64</v>
      </c>
      <c r="D152">
        <v>160</v>
      </c>
      <c r="E152" t="s">
        <v>62</v>
      </c>
      <c r="F152">
        <v>1000</v>
      </c>
      <c r="G152" s="3">
        <v>0.82</v>
      </c>
      <c r="H152">
        <v>0.19800000000000001</v>
      </c>
      <c r="I152">
        <v>0.88600000000000001</v>
      </c>
      <c r="J152">
        <v>39.4</v>
      </c>
      <c r="K152">
        <v>18.399999999999999</v>
      </c>
      <c r="M152" s="5">
        <v>2</v>
      </c>
      <c r="N152" s="3"/>
      <c r="O152" s="3"/>
      <c r="P152" s="2"/>
      <c r="Q152" s="3"/>
      <c r="R152" s="3"/>
      <c r="S152" s="2"/>
    </row>
    <row r="153" spans="1:19" x14ac:dyDescent="0.25">
      <c r="A153">
        <f t="shared" si="2"/>
        <v>152</v>
      </c>
      <c r="B153" t="s">
        <v>65</v>
      </c>
      <c r="C153" t="s">
        <v>74</v>
      </c>
      <c r="D153">
        <v>160</v>
      </c>
      <c r="E153" t="s">
        <v>62</v>
      </c>
      <c r="F153">
        <v>1000</v>
      </c>
      <c r="G153" s="3">
        <v>0.309</v>
      </c>
      <c r="H153">
        <v>0.10199999999999999</v>
      </c>
      <c r="I153">
        <v>0.56000000000000005</v>
      </c>
      <c r="J153">
        <v>43.8</v>
      </c>
      <c r="K153">
        <v>10.9</v>
      </c>
      <c r="M153" s="5">
        <v>60</v>
      </c>
      <c r="N153" s="3"/>
      <c r="O153" s="3"/>
      <c r="P153" s="2"/>
      <c r="Q153" s="3"/>
      <c r="R153" s="3"/>
      <c r="S153" s="2"/>
    </row>
    <row r="154" spans="1:19" x14ac:dyDescent="0.25">
      <c r="A154">
        <f t="shared" si="2"/>
        <v>153</v>
      </c>
      <c r="B154" t="s">
        <v>65</v>
      </c>
      <c r="C154" t="s">
        <v>74</v>
      </c>
      <c r="D154">
        <v>160</v>
      </c>
      <c r="E154" t="s">
        <v>62</v>
      </c>
      <c r="F154">
        <v>1000</v>
      </c>
      <c r="G154" s="3">
        <v>0.30399999999999999</v>
      </c>
      <c r="H154">
        <v>0.19800000000000001</v>
      </c>
      <c r="I154">
        <v>0.96499999999999997</v>
      </c>
      <c r="J154">
        <v>41.3</v>
      </c>
      <c r="K154">
        <v>14.7</v>
      </c>
      <c r="M154" s="5">
        <v>60</v>
      </c>
      <c r="N154" s="3"/>
      <c r="O154" s="3"/>
      <c r="P154" s="2"/>
      <c r="Q154" s="3"/>
      <c r="R154" s="3"/>
      <c r="S154" s="2"/>
    </row>
    <row r="155" spans="1:19" x14ac:dyDescent="0.25">
      <c r="A155">
        <f t="shared" si="2"/>
        <v>154</v>
      </c>
      <c r="B155" t="s">
        <v>65</v>
      </c>
      <c r="C155" t="s">
        <v>74</v>
      </c>
      <c r="D155">
        <v>160</v>
      </c>
      <c r="E155" t="s">
        <v>62</v>
      </c>
      <c r="F155">
        <v>1000</v>
      </c>
      <c r="G155" s="3">
        <v>0.316</v>
      </c>
      <c r="H155">
        <v>0.30099999999999999</v>
      </c>
      <c r="I155">
        <v>1.331</v>
      </c>
      <c r="J155">
        <v>39.1</v>
      </c>
      <c r="K155">
        <v>16.399999999999999</v>
      </c>
      <c r="M155" s="5">
        <v>60</v>
      </c>
      <c r="N155" s="3"/>
      <c r="O155" s="3"/>
      <c r="P155" s="2"/>
      <c r="Q155" s="3"/>
      <c r="R155" s="3"/>
      <c r="S155" s="2"/>
    </row>
    <row r="156" spans="1:19" x14ac:dyDescent="0.25">
      <c r="A156">
        <f t="shared" si="2"/>
        <v>155</v>
      </c>
      <c r="B156" t="s">
        <v>66</v>
      </c>
      <c r="C156" t="s">
        <v>75</v>
      </c>
      <c r="D156">
        <v>152</v>
      </c>
      <c r="E156" t="s">
        <v>62</v>
      </c>
      <c r="F156">
        <v>1000</v>
      </c>
      <c r="G156" s="3">
        <v>0.55000000000000004</v>
      </c>
      <c r="H156">
        <v>0.25</v>
      </c>
      <c r="I156">
        <v>1.528</v>
      </c>
      <c r="J156">
        <v>45.9</v>
      </c>
      <c r="K156">
        <v>17.8</v>
      </c>
      <c r="L156">
        <v>4</v>
      </c>
      <c r="M156" s="5">
        <v>18</v>
      </c>
      <c r="N156" s="3"/>
      <c r="O156" s="3"/>
      <c r="P156" s="2"/>
      <c r="Q156" s="3"/>
      <c r="R156" s="3"/>
      <c r="S156" s="2"/>
    </row>
    <row r="157" spans="1:19" x14ac:dyDescent="0.25">
      <c r="A157">
        <f t="shared" si="2"/>
        <v>156</v>
      </c>
      <c r="B157" t="s">
        <v>66</v>
      </c>
      <c r="C157" t="s">
        <v>75</v>
      </c>
      <c r="D157">
        <v>152</v>
      </c>
      <c r="E157" t="s">
        <v>62</v>
      </c>
      <c r="F157">
        <v>1000</v>
      </c>
      <c r="G157" s="3">
        <v>0.55000000000000004</v>
      </c>
      <c r="H157">
        <v>0.5</v>
      </c>
      <c r="I157">
        <v>2.72</v>
      </c>
      <c r="J157">
        <v>43.6</v>
      </c>
      <c r="K157">
        <v>29.2</v>
      </c>
      <c r="L157">
        <v>11</v>
      </c>
      <c r="M157" s="5">
        <v>18</v>
      </c>
      <c r="N157" s="3"/>
      <c r="O157" s="3"/>
      <c r="P157" s="2"/>
      <c r="Q157" s="3"/>
      <c r="R157" s="3"/>
      <c r="S157" s="2"/>
    </row>
    <row r="158" spans="1:19" x14ac:dyDescent="0.25">
      <c r="A158">
        <f t="shared" si="2"/>
        <v>157</v>
      </c>
      <c r="B158" t="s">
        <v>66</v>
      </c>
      <c r="C158" t="s">
        <v>75</v>
      </c>
      <c r="D158">
        <v>152</v>
      </c>
      <c r="E158" t="s">
        <v>62</v>
      </c>
      <c r="F158">
        <v>1000</v>
      </c>
      <c r="G158" s="3">
        <v>0.55000000000000004</v>
      </c>
      <c r="H158">
        <v>1</v>
      </c>
      <c r="I158">
        <v>4.6100000000000003</v>
      </c>
      <c r="J158">
        <v>40.1</v>
      </c>
      <c r="K158">
        <v>42.7</v>
      </c>
      <c r="L158">
        <v>14</v>
      </c>
      <c r="M158" s="5">
        <v>18</v>
      </c>
      <c r="N158" s="3"/>
      <c r="O158" s="3"/>
      <c r="P158" s="2"/>
      <c r="Q158" s="3"/>
      <c r="R158" s="3"/>
      <c r="S158" s="2"/>
    </row>
    <row r="159" spans="1:19" x14ac:dyDescent="0.25">
      <c r="A159">
        <f t="shared" si="2"/>
        <v>158</v>
      </c>
      <c r="B159" t="s">
        <v>66</v>
      </c>
      <c r="C159" t="s">
        <v>75</v>
      </c>
      <c r="D159">
        <v>152</v>
      </c>
      <c r="E159" t="s">
        <v>62</v>
      </c>
      <c r="F159">
        <v>1000</v>
      </c>
      <c r="G159" s="3">
        <v>0.55000000000000004</v>
      </c>
      <c r="H159">
        <v>2</v>
      </c>
      <c r="I159">
        <v>9.0399999999999991</v>
      </c>
      <c r="J159">
        <v>39.6</v>
      </c>
      <c r="K159">
        <v>64.099999999999994</v>
      </c>
      <c r="M159" s="5">
        <v>18</v>
      </c>
      <c r="N159" s="3"/>
      <c r="O159" s="3"/>
      <c r="P159" s="2"/>
      <c r="Q159" s="3"/>
      <c r="R159" s="3"/>
      <c r="S159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OVALLE</dc:creator>
  <cp:lastModifiedBy>CARLOS OVALLE</cp:lastModifiedBy>
  <dcterms:created xsi:type="dcterms:W3CDTF">2020-01-22T20:49:11Z</dcterms:created>
  <dcterms:modified xsi:type="dcterms:W3CDTF">2020-01-23T13:02:11Z</dcterms:modified>
</cp:coreProperties>
</file>